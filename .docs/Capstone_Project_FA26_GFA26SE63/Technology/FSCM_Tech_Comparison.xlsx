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Tong_hop" sheetId="1" r:id="rId4"/>
    <sheet state="visible" name="00_Uoc_tinh" sheetId="2" r:id="rId5"/>
    <sheet state="visible" name="01_Web_UI" sheetId="3" r:id="rId6"/>
    <sheet state="visible" name="02_Backend" sheetId="4" r:id="rId7"/>
    <sheet state="visible" name="03_Mobile" sheetId="5" r:id="rId8"/>
    <sheet state="visible" name="04_Offline" sheetId="6" r:id="rId9"/>
    <sheet state="visible" name="05_SQL" sheetId="7" r:id="rId10"/>
    <sheet state="visible" name="06_PIM_Search" sheetId="8" r:id="rId11"/>
    <sheet state="visible" name="07_Compute" sheetId="9" r:id="rId12"/>
    <sheet state="visible" name="08_Web_Host" sheetId="10" r:id="rId13"/>
    <sheet state="visible" name="09_Object_Storage" sheetId="11" r:id="rId14"/>
    <sheet state="visible" name="10_Auth" sheetId="12" r:id="rId15"/>
    <sheet state="visible" name="11_Scheduler" sheetId="13" r:id="rId16"/>
    <sheet state="visible" name="12_Queue" sheetId="14" r:id="rId17"/>
    <sheet state="visible" name="13_Notifications" sheetId="15" r:id="rId18"/>
    <sheet state="visible" name="14_Email_SMS" sheetId="16" r:id="rId19"/>
    <sheet state="visible" name="15_Cache_Rules" sheetId="17" r:id="rId20"/>
    <sheet state="visible" name="16_Camera_Barcode" sheetId="18" r:id="rId21"/>
    <sheet state="visible" name="17_PDF_Excel" sheetId="19" r:id="rId22"/>
    <sheet state="visible" name="18_Dashboard" sheetId="20" r:id="rId23"/>
    <sheet state="visible" name="19_Maps_Routing" sheetId="21" r:id="rId24"/>
    <sheet state="visible" name="20_Optimization" sheetId="22" r:id="rId25"/>
    <sheet state="visible" name="21_OCR" sheetId="23" r:id="rId26"/>
    <sheet state="visible" name="22_LLM" sheetId="24" r:id="rId27"/>
    <sheet state="visible" name="23_Computer_Vision" sheetId="25" r:id="rId28"/>
    <sheet state="visible" name="24_Forecast" sheetId="26" r:id="rId29"/>
    <sheet state="visible" name="25_IoT" sheetId="27" r:id="rId30"/>
    <sheet state="visible" name="26_Observability" sheetId="28" r:id="rId31"/>
    <sheet state="visible" name="27_Security" sheetId="29" r:id="rId32"/>
    <sheet state="visible" name="28_CICD" sheetId="30" r:id="rId33"/>
    <sheet state="visible" name="29_Testing" sheetId="31" r:id="rId34"/>
    <sheet state="visible" name="30_Backup_Audit" sheetId="32" r:id="rId35"/>
    <sheet state="visible" name="31_App_Distribution" sheetId="33" r:id="rId36"/>
    <sheet state="visible" name="32_Pham_vi" sheetId="34" r:id="rId37"/>
    <sheet state="visible" name="33_Huong_dan" sheetId="35" r:id="rId38"/>
  </sheets>
  <definedNames/>
  <calcPr/>
  <extLst>
    <ext uri="GoogleSheetsCustomDataVersion2">
      <go:sheetsCustomData xmlns:go="http://customooxmlschemas.google.com/" r:id="rId39" roundtripDataChecksum="ya2kq7gPwzPEs1lb+EyV6xcWoKZZaTgKZuz6mLcgzcY="/>
    </ext>
  </extLst>
</workbook>
</file>

<file path=xl/sharedStrings.xml><?xml version="1.0" encoding="utf-8"?>
<sst xmlns="http://schemas.openxmlformats.org/spreadsheetml/2006/main" count="2043" uniqueCount="1440">
  <si>
    <t>Web quản trị và cổng đối soát</t>
  </si>
  <si>
    <t>API, giao dịch tồn kho và FEFO</t>
  </si>
  <si>
    <t>Ước tính usage theo giả định có thể chỉnh</t>
  </si>
  <si>
    <t>Bắt buộc. Word: Administrator, Retail Store Manager; Flow 3 bước 24</t>
  </si>
  <si>
    <t>Đây là chi phí của các meter minh họa, KHÔNG phải tổng hóa đơn dự án. USD chưa thuế. Ô vàng là input.</t>
  </si>
  <si>
    <t>Bắt buộc. Word: Must have; Flow 3 bước 5,9,19,31; Flow 4 B1–B5</t>
  </si>
  <si>
    <t>00_Tong_hop</t>
  </si>
  <si>
    <t>Tra cứu 20/09/2026. Giá chưa gồm thuế; nhận định kiến trúc không phải cam kết của hãng.</t>
  </si>
  <si>
    <t>Đề xuất: Spring Boot + JPA + SQL trong modular monolith.</t>
  </si>
  <si>
    <t>Đề xuất: React + TypeScript; tận dụng kỹ năng hiện có của nhóm nếu phù hợp.</t>
  </si>
  <si>
    <t>Hạng mục / input</t>
  </si>
  <si>
    <t>Tự code FEFO, atomic reservation, idempotency, audit và state machine; không mua cloud để thay logic.</t>
  </si>
  <si>
    <t>Giá trị</t>
  </si>
  <si>
    <t>Đơn vị</t>
  </si>
  <si>
    <t>Giải thích</t>
  </si>
  <si>
    <t>Nguồn / giả định</t>
  </si>
  <si>
    <t>Vai trò</t>
  </si>
  <si>
    <t>UI không được tự quyết định quyền duyệt hoặc số dư tồn kho.</t>
  </si>
  <si>
    <t>Ảnh mới mỗi tháng</t>
  </si>
  <si>
    <t>ảnh</t>
  </si>
  <si>
    <t>Giả định minh họa, chưa phải sizing từ requirement.</t>
  </si>
  <si>
    <t>Input người lập</t>
  </si>
  <si>
    <t>Input</t>
  </si>
  <si>
    <t>Dung lượng ảnh trung bình</t>
  </si>
  <si>
    <t>MB/ảnh</t>
  </si>
  <si>
    <t>Sau nén; dùng MB/GB hệ thập phân.</t>
  </si>
  <si>
    <t>Nhà cung cấp / giải pháp</t>
  </si>
  <si>
    <t>Số tháng lưu ảnh</t>
  </si>
  <si>
    <t>Spring Boot</t>
  </si>
  <si>
    <t>tháng</t>
  </si>
  <si>
    <t>ASP.NET Core</t>
  </si>
  <si>
    <t>Mô hình steady-state; không phải dung lượng tháng đầu.</t>
  </si>
  <si>
    <t>React</t>
  </si>
  <si>
    <t>NestJS</t>
  </si>
  <si>
    <t>Vue</t>
  </si>
  <si>
    <t>Angular</t>
  </si>
  <si>
    <t>Số lần đọc/ảnh mới</t>
  </si>
  <si>
    <t>lần</t>
  </si>
  <si>
    <t>Giá tham chiếu (số)</t>
  </si>
  <si>
    <t>Chưa gồm truy cập ảnh cũ, list/head; nhập riêng khi có số đo.</t>
  </si>
  <si>
    <t>Dung lượng lưu steady-state</t>
  </si>
  <si>
    <t>Đơn vị và điều kiện giá</t>
  </si>
  <si>
    <t>USD phí framework</t>
  </si>
  <si>
    <t>USD phí thư viện</t>
  </si>
  <si>
    <t>Miễn phí / dùng thử</t>
  </si>
  <si>
    <t>Không thu phí thư viện; máy chủ, bảo trì và hỗ trợ trả riêng.</t>
  </si>
  <si>
    <t>Chi phí phát sinh</t>
  </si>
  <si>
    <t>Compute, DB; hỗ trợ thương mại tùy chọn.</t>
  </si>
  <si>
    <t>Compute, DB; công cụ thương mại tùy chọn.</t>
  </si>
  <si>
    <t>Compute, DB, ORM và worker.</t>
  </si>
  <si>
    <t>Hosting và bộ UI thương mại nếu chọn.</t>
  </si>
  <si>
    <t>Phù hợp nghiệp vụ (nhận định)</t>
  </si>
  <si>
    <t>Hosting; components trả phí nếu có.</t>
  </si>
  <si>
    <t>JPA @Version, transactions, Spring Security, scheduler.</t>
  </si>
  <si>
    <t>Hosting và nhân lực học framework.</t>
  </si>
  <si>
    <t>EF Core concurrency token, API và authorization.</t>
  </si>
  <si>
    <t>TypeScript chung với web; API module hóa.</t>
  </si>
  <si>
    <t>Mở rộng và độ tin cậy</t>
  </si>
  <si>
    <t>SPA cho duyệt nhập/đơn, dashboard và đối soát.</t>
  </si>
  <si>
    <t>Scale API stateless; DB quyết định throughput commit.</t>
  </si>
  <si>
    <t>Phù hợp dashboard CRUD gọn.</t>
  </si>
  <si>
    <t>Container và scale ngang; transaction phía SQL.</t>
  </si>
  <si>
    <t>Ứng dụng nội bộ nhiều form và module.</t>
  </si>
  <si>
    <t>I/O tốt; tác vụ CPU nặng tách worker.</t>
  </si>
  <si>
    <t>Bảo mật / vị trí dữ liệu</t>
  </si>
  <si>
    <t>Kiểm tra quyền theo vai trò, kho và đối tượng đơn.</t>
  </si>
  <si>
    <t>Tách route, phân trang phía server; hiệu năng phụ thuộc thiết kế.</t>
  </si>
  <si>
    <t>Policy-based authorization; secrets ngoài source code.</t>
  </si>
  <si>
    <t>Lazy loading; backend xử lý aggregate.</t>
  </si>
  <si>
    <t>Kiến trúc có quy ước; hỗ trợ dự án lớn.</t>
  </si>
  <si>
    <t>Guards + validation; kiểm tra ownership phía server.</t>
  </si>
  <si>
    <t>Tích hợp / công vận hành</t>
  </si>
  <si>
    <t>RBAC phải kiểm tra ở API; tránh lưu bí mật ở bundle.</t>
  </si>
  <si>
    <t>Bảo mật vẫn ở API.</t>
  </si>
  <si>
    <t>Java; phù hợp dấu hiệu @Version trong core flow.</t>
  </si>
  <si>
    <t>HTTP interceptor không thay RBAC server.</t>
  </si>
  <si>
    <t>C#; tốt nếu nhóm quen hệ Microsoft.</t>
  </si>
  <si>
    <t>ORM phải được chọn và kiểm thử transaction.</t>
  </si>
  <si>
    <t>Ecosystem rộng; tự chọn router, forms, data fetching.</t>
  </si>
  <si>
    <t>Dễ khởi đầu; cần đánh giá kinh nghiệm nhóm.</t>
  </si>
  <si>
    <t>TypeScript; nhiều thành phần tích hợp.</t>
  </si>
  <si>
    <t>Hạn chế / lock-in</t>
  </si>
  <si>
    <t>Ít phụ thuộc cloud; cần thống nhất thư viện và phiên bản.</t>
  </si>
  <si>
    <t>Retry phải đọc lại tồn; không chỉ lặp cùng version cũ.</t>
  </si>
  <si>
    <t>Đổi từ React tốn công đào tạo.</t>
  </si>
  <si>
    <t>GB-tháng</t>
  </si>
  <si>
    <t>Chi phí học cao hơn nếu nhóm chưa dùng.</t>
  </si>
  <si>
    <t>Cần triển khai concurrency/idempotency tương đương.</t>
  </si>
  <si>
    <t>Ảnh/tháng × MB × retention / 1.000.</t>
  </si>
  <si>
    <t>Không để FEFO CPU-heavy chặn event loop.</t>
  </si>
  <si>
    <t>Tính từ B6:B8</t>
  </si>
  <si>
    <t>Nguồn chính thức / căn cứ</t>
  </si>
  <si>
    <t>Build</t>
  </si>
  <si>
    <t>https://react.dev/</t>
  </si>
  <si>
    <t>https://vuejs.org/</t>
  </si>
  <si>
    <t>https://spring.io/projects/spring-boot/</t>
  </si>
  <si>
    <t>Class A operations/tháng</t>
  </si>
  <si>
    <t>https://angular.dev/</t>
  </si>
  <si>
    <t>https://dotnet.microsoft.com/en-us/platform/free</t>
  </si>
  <si>
    <t>https://nestjs.com/</t>
  </si>
  <si>
    <t>operations</t>
  </si>
  <si>
    <t>Giả định 1 PUT/ảnh; multipart/list/metadata cần chỉnh workload.</t>
  </si>
  <si>
    <t>Tính từ B6</t>
  </si>
  <si>
    <t>Class B operations/tháng</t>
  </si>
  <si>
    <t>Giả định số GET theo ảnh mới.</t>
  </si>
  <si>
    <t>Tính từ B6,B9</t>
  </si>
  <si>
    <t>R2 free storage</t>
  </si>
  <si>
    <t>Standard only.</t>
  </si>
  <si>
    <t>https://developers.cloudflare.com/r2/pricing/</t>
  </si>
  <si>
    <t>z1`</t>
  </si>
  <si>
    <t>Rate</t>
  </si>
  <si>
    <t>R2 storage rate</t>
  </si>
  <si>
    <t>USD/GB-tháng</t>
  </si>
  <si>
    <t>Làm tròn lên GB billable.</t>
  </si>
  <si>
    <t>R2 free Class A</t>
  </si>
  <si>
    <t>operations/tháng</t>
  </si>
  <si>
    <t>R2 Class A rate</t>
  </si>
  <si>
    <t>USD/triệu operations</t>
  </si>
  <si>
    <t>Làm tròn lên triệu operations billable.</t>
  </si>
  <si>
    <t>R2 free Class B</t>
  </si>
  <si>
    <t>R2 Class B rate</t>
  </si>
  <si>
    <t>R2 storage cost</t>
  </si>
  <si>
    <t>31 nhóm công nghệ. Bao phủ core và các phần mở rộng nêu trong hai tài liệu; không có nghĩa phải mua tất cả dịch vụ.</t>
  </si>
  <si>
    <t>Đề xuất lõi: React + Spring Boot + PostgreSQL + Android/SQLite/WorkManager + R2 + FCM. FEFO, reservation, phê duyệt và audit do nhóm phát triển.</t>
  </si>
  <si>
    <t>32_Pham_vi</t>
  </si>
  <si>
    <t>00_Uoc_tinh</t>
  </si>
  <si>
    <t>33_Huong_dan</t>
  </si>
  <si>
    <t>USD/tháng</t>
  </si>
  <si>
    <t>Ưu tiên theo Project Detail v2.0. ETA/MLOR/transportation còn mâu thuẫn giữa các tab Core Flow. Giá tra cứu 20/09/2026; ô “Theo usage/Liên hệ” không phải giá 0.</t>
  </si>
  <si>
    <t>Không bao gồm backup copy hoặc version cũ.</t>
  </si>
  <si>
    <t>Tính từ workload và rate</t>
  </si>
  <si>
    <t>Output</t>
  </si>
  <si>
    <t>R2 Class A cost</t>
  </si>
  <si>
    <t>Mã</t>
  </si>
  <si>
    <t>Requests ghi/list theo workload mô tả.</t>
  </si>
  <si>
    <t>R2 Class B cost</t>
  </si>
  <si>
    <t>Requests đọc theo workload mô tả.</t>
  </si>
  <si>
    <t>R2 subtotal</t>
  </si>
  <si>
    <t>Nhóm công nghệ</t>
  </si>
  <si>
    <t>Egress trực tiếp R2 bằng 0; dịch vụ nối thêm có thể tính phí.</t>
  </si>
  <si>
    <t>Tổng các meter R2</t>
  </si>
  <si>
    <t>Mức cần thiết</t>
  </si>
  <si>
    <t>SES outbound emails</t>
  </si>
  <si>
    <t>email/tháng</t>
  </si>
  <si>
    <t>Không trừ trial; không gửi attachment trong ví dụ.</t>
  </si>
  <si>
    <t>Yêu cầu / core flow</t>
  </si>
  <si>
    <t>SES unit rate</t>
  </si>
  <si>
    <t>USD/1.000 emails</t>
  </si>
  <si>
    <t>Khuyến nghị ban đầu</t>
  </si>
  <si>
    <t>Không gồm attachment, dedicated IP hoặc validation.</t>
  </si>
  <si>
    <t>https://aws.amazon.com/ses/pricing/</t>
  </si>
  <si>
    <t>SES outbound cost</t>
  </si>
  <si>
    <t>Điều kiện / rủi ro chính</t>
  </si>
  <si>
    <t>So sánh</t>
  </si>
  <si>
    <t>Lựa chọn đang cân nhắc</t>
  </si>
  <si>
    <t>3.000 emails là giả định, không phải quota nhà cung cấp.</t>
  </si>
  <si>
    <t>Tính số lượng × đơn giá</t>
  </si>
  <si>
    <t>Google Routes Essentials</t>
  </si>
  <si>
    <t>events/tháng</t>
  </si>
  <si>
    <t>Một SKU; không gộp map loads, geocoding hoặc Pro.</t>
  </si>
  <si>
    <t>Routes free events</t>
  </si>
  <si>
    <t>T01</t>
  </si>
  <si>
    <t>Free cap cho SKU Essentials này.</t>
  </si>
  <si>
    <t>https://developers.google.com/maps/billing-and-pricing/pricing</t>
  </si>
  <si>
    <t>Routes tier-1 unit rate</t>
  </si>
  <si>
    <t>USD/1.000 events</t>
  </si>
  <si>
    <t>Chỉ mô hình tới 100.000 events/tháng.</t>
  </si>
  <si>
    <t>Routes cost</t>
  </si>
  <si>
    <t>Bắt buộc</t>
  </si>
  <si>
    <t>Word: Administrator, Retail Store Manager; Flow 3 bước 24</t>
  </si>
  <si>
    <t>React + TypeScript; tận dụng kỹ năng hiện có của nhóm nếu phù hợp.</t>
  </si>
  <si>
    <t>01_Web_UI</t>
  </si>
  <si>
    <t>Trên 100.000 cần bổ sung các bậc giá; không ngoại suy.</t>
  </si>
  <si>
    <t>Tính sau free cap</t>
  </si>
  <si>
    <t>Các chi phí CHƯA tính</t>
  </si>
  <si>
    <t>Chưa có input</t>
  </si>
  <si>
    <t>Không phải 0</t>
  </si>
  <si>
    <t>API compute, SQL, backup, domain, auth vượt quota, CI, logs, support, app store, dev/ops, VAT và optional AI/IoT.</t>
  </si>
  <si>
    <t>Cần sizing thực tế</t>
  </si>
  <si>
    <t>Phạm vi</t>
  </si>
  <si>
    <t>T02</t>
  </si>
  <si>
    <t>Word: Must have; Flow 3 bước 5,9,19,31; Flow 4 B1–B5</t>
  </si>
  <si>
    <t>Spring Boot + JPA + SQL trong modular monolith.</t>
  </si>
  <si>
    <t>02_Backend</t>
  </si>
  <si>
    <t>ASP .NET</t>
  </si>
  <si>
    <t>T03</t>
  </si>
  <si>
    <t>Nền tảng app di động</t>
  </si>
  <si>
    <t>Word: DMS offline-first, WorkManager; Flow 7</t>
  </si>
  <si>
    <t>Android Kotlin nếu chỉ Android; React Native nếu cần Android + iOS.</t>
  </si>
  <si>
    <t>Chưa có yêu cầu nền tảng iOS. WorkManager là Android, không phải API nền dùng chung iOS.</t>
  </si>
  <si>
    <t>03_Mobile</t>
  </si>
  <si>
    <t>Flutter</t>
  </si>
  <si>
    <t>T04</t>
  </si>
  <si>
    <t>Cache SQLite, queue cục bộ và sync</t>
  </si>
  <si>
    <t>Word: C1, edge case A; Flow 7 bước 1–9</t>
  </si>
  <si>
    <t>SQLite/Room + WorkManager + REST idempotency phía server.</t>
  </si>
  <si>
    <t>Cache tồn kho là tham khảo. Chỉ server được reserve. Chọn cách sync, không cài cả ba.</t>
  </si>
  <si>
    <t>04_Offline</t>
  </si>
  <si>
    <t>SQLite + WorkManager + REST</t>
  </si>
  <si>
    <t>T05</t>
  </si>
  <si>
    <t>Cơ sở dữ liệu giao dịch</t>
  </si>
  <si>
    <t>Word: Batch/Lot, optimistic locking, write-off; Flow 3 bước 19</t>
  </si>
  <si>
    <t>PostgreSQL managed cho pilot; local PostgreSQL cho dev.</t>
  </si>
  <si>
    <t>Một SQL database cho nhiều kho giúp reserve atomic. Backup ảnh tách khỏi backup DB.</t>
  </si>
  <si>
    <t>05_SQL</t>
  </si>
  <si>
    <t>Azure Database for PostgreSQL</t>
  </si>
  <si>
    <t>T06</t>
  </si>
  <si>
    <t>PIM linh hoạt và tìm kiếm SKU</t>
  </si>
  <si>
    <t>Bắt buộc / mở rộng</t>
  </si>
  <si>
    <t>Word: quản lý SKU; Flow 2 mục 1.1 gợi ý MongoDB</t>
  </si>
  <si>
    <t>Bắt đầu bằng SQL + JSONB + index; chưa cần thêm MongoDB.</t>
  </si>
  <si>
    <t>NoSQL không bắt buộc chỉ vì catalog nhiều thuộc tính. Tìm kiếm chuyên dụng chỉ khi SQL không đủ.</t>
  </si>
  <si>
    <t>06_PIM_Search</t>
  </si>
  <si>
    <t>Bắt buộc. Word: DMS offline-first, WorkManager; Flow 7</t>
  </si>
  <si>
    <t>T07</t>
  </si>
  <si>
    <t>Hosting API và worker</t>
  </si>
  <si>
    <t>Suy ra từ web/mobile API, job date-tracker và sync</t>
  </si>
  <si>
    <t>Đề xuất: Android Kotlin nếu chỉ Android; React Native nếu cần Android + iOS.</t>
  </si>
  <si>
    <t>Railway cho pilot dễ triển khai; Cloud Run khi cần autoscale và tách job.</t>
  </si>
  <si>
    <t>Không chạy cron quan trọng chỉ trong process có thể ngủ/scale-to-zero.</t>
  </si>
  <si>
    <t>07_Compute</t>
  </si>
  <si>
    <t>Azure</t>
  </si>
  <si>
    <t>Bắt buộc. Word: C1, edge case A; Flow 7 bước 1–9</t>
  </si>
  <si>
    <t>Android Kotlin / Jetpack</t>
  </si>
  <si>
    <t>React Native</t>
  </si>
  <si>
    <t>T08</t>
  </si>
  <si>
    <t>Static hosting, CDN và frontend deploy</t>
  </si>
  <si>
    <t>Đề xuất: SQLite/Room + WorkManager + REST idempotency phía server.</t>
  </si>
  <si>
    <t>USD phí SDK</t>
  </si>
  <si>
    <t>Suy ra từ web Administrator/Retail Store Manager</t>
  </si>
  <si>
    <t>Thiết bị test và phát hành Google Play riêng.</t>
  </si>
  <si>
    <t>EAS tùy chọn; phí cửa hàng ứng dụng riêng.</t>
  </si>
  <si>
    <t>Cloudflare Pages cho React SPA; chọn một dịch vụ frontend.</t>
  </si>
  <si>
    <t>Build, thiết bị test, phí store.</t>
  </si>
  <si>
    <t>Room, WorkManager, CameraX tích hợp trực tiếp.</t>
  </si>
  <si>
    <t>Tận dụng JavaScript/TypeScript; camera và SQLite qua module.</t>
  </si>
  <si>
    <t>Chi phí API/DB riêng; CDN không được cache đáp ứng API chứa dữ liệu riêng tư.</t>
  </si>
  <si>
    <t>Một codebase; UI đồng nhất.</t>
  </si>
  <si>
    <t>Chạy trên thiết bị; API chịu tải đồng bộ.</t>
  </si>
  <si>
    <t>Đa nền tảng; kiểm thử queue trên thiết bị thật.</t>
  </si>
  <si>
    <t>08_Web_Host</t>
  </si>
  <si>
    <t>Phần lớn logic trên thiết bị; workload sync ở API.</t>
  </si>
  <si>
    <t>Keystore, token ngắn hạn; hạn chế dữ liệu cache.</t>
  </si>
  <si>
    <t>Keychain/Keystore qua module tương ứng.</t>
  </si>
  <si>
    <t>Vercel</t>
  </si>
  <si>
    <t>Lưu token bằng secure storage; mã hóa theo nhu cầu.</t>
  </si>
  <si>
    <t>Phù hợp nhất với cách mô tả hiện tại.</t>
  </si>
  <si>
    <t>Room + WorkManager + REST</t>
  </si>
  <si>
    <t>Cần bridge/plugin cho tác vụ nền đáng tin cậy.</t>
  </si>
  <si>
    <t>Dart; plugin SQLite/background cần đánh giá.</t>
  </si>
  <si>
    <t>SQLite đa nền tảng + API</t>
  </si>
  <si>
    <t>T09</t>
  </si>
  <si>
    <t>Firebase Firestore offline</t>
  </si>
  <si>
    <t>Chỉ Android; hệ điều hành quyết định lịch chạy nền.</t>
  </si>
  <si>
    <t>iOS không bảo đảm sync ngay khi có mạng.</t>
  </si>
  <si>
    <t>Plugin native và chính sách OS vẫn giới hạn background.</t>
  </si>
  <si>
    <t>Ảnh bằng chứng, ảnh SKU và PDF</t>
  </si>
  <si>
    <t>https://developer.android.com/topic/architecture/data-layer/offline-first</t>
  </si>
  <si>
    <t>https://reactnative.dev/</t>
  </si>
  <si>
    <t>https://flutter.dev/</t>
  </si>
  <si>
    <t>Word: ảnh xuất/nhận/write-off; Flow 6,8</t>
  </si>
  <si>
    <t>Theo usage</t>
  </si>
  <si>
    <t>R2 cho ảnh bằng chứng chi phí thấp; Cloudinary khi cần nhiều biến đổi ảnh.</t>
  </si>
  <si>
    <t>Bucket private, signed URL ngắn hạn; lưu object key + checksum + metadata trong DB. Không coi URL là bằng chứng toàn vẹn.</t>
  </si>
  <si>
    <t>09_Object_Storage</t>
  </si>
  <si>
    <t>Azure Blob Storage</t>
  </si>
  <si>
    <t>USD phí SQLite</t>
  </si>
  <si>
    <t>Reads/writes/storage; bảng giá Firebase</t>
  </si>
  <si>
    <t>T10</t>
  </si>
  <si>
    <t>Đăng nhập, RBAC và phạm vi kho</t>
  </si>
  <si>
    <t>Có hạn mức miễn phí theo loại DB/operation; xem bảng giá.</t>
  </si>
  <si>
    <t>Word: actors, phê duyệt nhập/write-off; Flow 3</t>
  </si>
  <si>
    <t>Thời gian xây retry, delta sync, conflict handling.</t>
  </si>
  <si>
    <t>Plugin/wrapper, worker native, test Android/iOS.</t>
  </si>
  <si>
    <t>Auth managed hoặc Spring Security; quyền nghiệp vụ lưu và kiểm tra ở backend.</t>
  </si>
  <si>
    <t>Reads, writes, storage, network sau quota.</t>
  </si>
  <si>
    <t>Hai cấp duyệt cần hai người/quyền tách biệt theo quy tắc được chốt, không chỉ hai nút bấm.</t>
  </si>
  <si>
    <t>Queue bền vững, retry backoff, client request ID.</t>
  </si>
  <si>
    <t>Phù hợp React Native/Flutter; queue đơn và queue ảnh riêng.</t>
  </si>
  <si>
    <t>10_Auth</t>
  </si>
  <si>
    <t>SDK cache/sync có sẵn; phù hợp dữ liệu phụ trợ.</t>
  </si>
  <si>
    <t>Microsoft Entra ID</t>
  </si>
  <si>
    <t>Batch/pagination; unique key chống gửi lại.</t>
  </si>
  <si>
    <t>Giới hạn bởi bộ nhớ thiết bị và kích thước batch sync.</t>
  </si>
  <si>
    <t>Managed scale; cần thiết kế document và index.</t>
  </si>
  <si>
    <t>T11</t>
  </si>
  <si>
    <t>Tách cache theo user; xóa khi logout theo chính sách.</t>
  </si>
  <si>
    <t>Date-tracker, job và lịch chạy</t>
  </si>
  <si>
    <t>Secure storage cho token; không nhúng cloud secret.</t>
  </si>
  <si>
    <t>Security Rules và Auth; quyền phải nhất quán với API.</t>
  </si>
  <si>
    <t>Nhóm tự xây contract và trạng thái lỗi.</t>
  </si>
  <si>
    <t>Word: cron 00:00; Flow 5</t>
  </si>
  <si>
    <t>Thiết kế outbox local; đồng bộ khi foreground là fallback.</t>
  </si>
  <si>
    <t>Nhanh cho realtime nhưng tạo thêm nguồn dữ liệu.</t>
  </si>
  <si>
    <t>Quartz hoặc scheduler cloud gọi job idempotent.</t>
  </si>
  <si>
    <t>Không có nhà cung cấp xử lý xung đột tồn kho thay nhóm.</t>
  </si>
  <si>
    <t>SQLite không tự cung cấp đồng bộ mạng.</t>
  </si>
  <si>
    <t>Không chọn làm đường ghi tồn kho song song với SQL.</t>
  </si>
  <si>
    <t>https://developer.android.com/topic/architecture/data-layer/offline-first
https://developer.android.com/develop/background-work/background-tasks/persistent</t>
  </si>
  <si>
    <t>https://www.sqlite.org/copyright.html</t>
  </si>
  <si>
    <t>https://firebase.google.com/pricing</t>
  </si>
  <si>
    <t>Dùng Asia/Ho_Chi_Minh. Khi reserve vẫn kiểm tra expiry trực tiếp, không phụ thuộc cron đã chạy.</t>
  </si>
  <si>
    <t>11_Scheduler</t>
  </si>
  <si>
    <t>Azure Database for PostgreSQL outbox + worker
(nhóm tự lưu job cần chạy vào bảng outbox rồi code 1 chương trình chạy nền worker để chạy các job định kỳ)</t>
  </si>
  <si>
    <t>T12</t>
  </si>
  <si>
    <t>Outbox, message queue và retry</t>
  </si>
  <si>
    <t>Nên có</t>
  </si>
  <si>
    <t>Flow 3 bước 11; Flow 4 bước 19–20; notification</t>
  </si>
  <si>
    <t>DB transactional outbox trước; thêm SQS khi cần worker độc lập.</t>
  </si>
  <si>
    <t>Không cần microservices hay Kafka để làm FEFO. Broker không bảo đảm exactly-once nghiệp vụ.</t>
  </si>
  <si>
    <t>12_Queue</t>
  </si>
  <si>
    <t>Azure Database for PostgreSQL outbox + worker
(nhóm tự lưu job cần chạy vào bảng outbox rồi code 1 chương trình chạy queue các job khi có yêu cầu, retry khi fail và lưu trạng thái của job đấy)</t>
  </si>
  <si>
    <t>T13</t>
  </si>
  <si>
    <t>Thông báo in-app, push và realtime</t>
  </si>
  <si>
    <t>Bắt buộc / kênh tùy chọn</t>
  </si>
  <si>
    <t>Word: trạng thái đơn, cảnh báo, phản hồi; Flow 3 bước 4,12,23</t>
  </si>
  <si>
    <t>DB notification + FCM; polling/SSE cho web khi cần.</t>
  </si>
  <si>
    <t>Push chỉ là tín hiệu. App mở lại phải đọc trạng thái từ API; không dùng push làm sổ giao dịch.</t>
  </si>
  <si>
    <t>13_Notifications</t>
  </si>
  <si>
    <t>Azure Notification Hubs</t>
  </si>
  <si>
    <t>T14</t>
  </si>
  <si>
    <t>Email giao dịch và SMS dự phòng</t>
  </si>
  <si>
    <t>Tùy chọn</t>
  </si>
  <si>
    <t>Suy ra từ reset mật khẩu/cảnh báo; tài liệu không bắt buộc SMS</t>
  </si>
  <si>
    <t>Resend Free cho pilot nhỏ; SES cho volume; chưa cần SMS mặc định.</t>
  </si>
  <si>
    <t>Thông báo trong app là lõi; không mua tất cả kênh. SMS tiếng Việt có thể chia nhiều segment.</t>
  </si>
  <si>
    <t>14_Email_SMS</t>
  </si>
  <si>
    <t>Tạm thời scope chưa cần gửi thông báo qua sms mà chỉ cần thông báo qua app, nếu khả thi thì sẽ tích hợp thông báo qua email trước rồi mới đến sms.</t>
  </si>
  <si>
    <t>T15</t>
  </si>
  <si>
    <t>Cache và promotion engine</t>
  </si>
  <si>
    <t>Word Nice to have; Flow 9</t>
  </si>
  <si>
    <t>Chỉ thêm cache khi có promotion hoặc số liệu đo cho thấy cần.</t>
  </si>
  <si>
    <t>Cache không giữ số dư tồn kho chính thức. Quy tắc khuyến mãi vẫn phải tự lập trình và version hóa.</t>
  </si>
  <si>
    <t>15_Cache_Rules</t>
  </si>
  <si>
    <t>Đây là mục nice to have, có thể thảo luận sau</t>
  </si>
  <si>
    <t>T16</t>
  </si>
  <si>
    <t>Bắt buộc. Word: Batch/Lot, optimistic locking, write-off; Flow 3 bước 19</t>
  </si>
  <si>
    <t>Chụp ảnh, nén ảnh, QR và barcode</t>
  </si>
  <si>
    <t>Word warehouse/retailer evidence; Flow 6 bước 3</t>
  </si>
  <si>
    <t>Camera native + ML Kit barcode, nén trước upload, queue ảnh riêng.</t>
  </si>
  <si>
    <t>Đề xuất: PostgreSQL managed cho pilot; local PostgreSQL cho dev.</t>
  </si>
  <si>
    <t>Barcode đọc được không đồng nghĩa lô hợp lệ; server kiểm tra batch thuộc picking/reservation.</t>
  </si>
  <si>
    <t>16_Camera_Barcode</t>
  </si>
  <si>
    <t>Chụp ảnh trên mobile và up lên blob storage, barcode là nice to have nên có thể thảo luận sau</t>
  </si>
  <si>
    <t>T17</t>
  </si>
  <si>
    <t>Phiếu xuất PDF và xuất báo cáo</t>
  </si>
  <si>
    <t>Supabase PostgreSQL</t>
  </si>
  <si>
    <t>AWS RDS PostgreSQL</t>
  </si>
  <si>
    <t>PostgreSQL tự quản</t>
  </si>
  <si>
    <t>Theo Core Flow</t>
  </si>
  <si>
    <t>Flow 6 bước 11; dashboard Word</t>
  </si>
  <si>
    <t>Theo cấu hình</t>
  </si>
  <si>
    <t>PDFBox + POI trong backend Java; bản in có mã chứng từ.</t>
  </si>
  <si>
    <t>Chữ ký ảnh trên PDF không mặc nhiên là chữ ký số pháp lý. E-invoice chưa có trong yêu cầu.</t>
  </si>
  <si>
    <t>USD/tháng Pro, từ mức công bố</t>
  </si>
  <si>
    <t>USD instance-hour + storage + I/O</t>
  </si>
  <si>
    <t>USD giấy phép PostgreSQL</t>
  </si>
  <si>
    <t>17_PDF_Excel</t>
  </si>
  <si>
    <t>Free: 500 MB DB, 2 project hoạt động; pause sau 1 tuần không hoạt động.</t>
  </si>
  <si>
    <t>Ưu đãi AWS theo tuổi tài khoản; không coi là miễn phí vĩnh viễn.</t>
  </si>
  <si>
    <t>Dùng website của nhóm, code bằng thư viện</t>
  </si>
  <si>
    <t>Pro 8 GB disk/project; vượt $0.125/GB; compute/project thêm phí.</t>
  </si>
  <si>
    <t>T18</t>
  </si>
  <si>
    <t>Backup vượt quota, Multi-AZ, transfer, monitoring có thể tăng phí.</t>
  </si>
  <si>
    <t>VM, disk, backup, trực vận hành.</t>
  </si>
  <si>
    <t>Biểu đồ và BI</t>
  </si>
  <si>
    <t>SQL transaction, index FEFO, JSONB PIM.</t>
  </si>
  <si>
    <t>SQL transaction; phù hợp production với quản trị hạ tầng.</t>
  </si>
  <si>
    <t>Bắt buộc / BI tùy chọn</t>
  </si>
  <si>
    <t>Transaction, constraints, JSONB đủ cho lõi.</t>
  </si>
  <si>
    <t>Nâng compute; Pro backup hàng ngày giữ 7 ngày. SLA ưu tiên ở Team/Enterprise.</t>
  </si>
  <si>
    <t>Word Batch/Lot dashboard; Flow 3 bước 24</t>
  </si>
  <si>
    <t>Managed backup, chọn Multi-AZ và read replica theo thiết kế.</t>
  </si>
  <si>
    <t>Tự dựng replica/failover; không có SLA dịch vụ mặc định.</t>
  </si>
  <si>
    <t>Chọn region; backend riêng kết nối DB, không lộ service role.</t>
  </si>
  <si>
    <t>Chart.js hoặc ECharts với API aggregate SQL.</t>
  </si>
  <si>
    <t>VPC, private DB, IAM; chọn region gần người dùng.</t>
  </si>
  <si>
    <t>Toàn quyền vị trí dữ liệu; tự vá và quản lý truy cập.</t>
  </si>
  <si>
    <t>Chốt định nghĩa near-date denominator, stockout, spoilage; BI SaaS không cần cho core.</t>
  </si>
  <si>
    <t>Provision nhanh; cần connection pool và migration.</t>
  </si>
  <si>
    <t>Công vận hành vừa; cấu hình mạng và sizing cần người phụ trách.</t>
  </si>
  <si>
    <t>Công vận hành cao hơn managed.</t>
  </si>
  <si>
    <t>18_Dashboard</t>
  </si>
  <si>
    <t>Pro không đồng nghĩa PITR đã bao gồm; kiểm tra add-on.</t>
  </si>
  <si>
    <t>Giá chính xác cần instance/region/RPO; không báo một giá chung.</t>
  </si>
  <si>
    <t>Dùng website của nhóm, code bằng thư viện (chart.js)</t>
  </si>
  <si>
    <t>Rẻ tiền thuê chưa chắc rẻ tổng chi phí.</t>
  </si>
  <si>
    <t>T19</t>
  </si>
  <si>
    <t>https://supabase.com/pricing</t>
  </si>
  <si>
    <t>https://aws.amazon.com/rds/postgresql/pricing/</t>
  </si>
  <si>
    <t>https://www.postgresql.org/about/licence/
https://www.postgresql.org/docs/current/backup.html</t>
  </si>
  <si>
    <t>Bản đồ, geocoding, khoảng cách và ETA</t>
  </si>
  <si>
    <t>Cần chốt phạm vi</t>
  </si>
  <si>
    <t>Flow 3 dòng 2 loại ETA/MLOR nhưng bước 13 và Flow 4 B2 có dùng</t>
  </si>
  <si>
    <t>So sánh mẫu địa chỉ VN giữa Vietmap và Google; Mapbox là phương án quốc tế.</t>
  </si>
  <si>
    <t>Bắt buộc / mở rộng. Word: quản lý SKU; Flow 2 mục 1.1 gợi ý MongoDB</t>
  </si>
  <si>
    <t>MLOR và cam kết giao là rule nội bộ. Routing API không tự chứng minh đang dùng Dijkstra; matrix tính theo element.</t>
  </si>
  <si>
    <t>19_Maps_Routing</t>
  </si>
  <si>
    <t>BA chốt lại xem mình sẽ dùng map nào và quản lí tuyến, node cũng như chạy dijkstra như thế nào?</t>
  </si>
  <si>
    <t>Đề xuất: Bắt đầu bằng SQL + JSONB + index; chưa cần thêm MongoDB.</t>
  </si>
  <si>
    <t>T20</t>
  </si>
  <si>
    <t>Dijkstra, lịch xuất, MLOR và tối ưu tuyến</t>
  </si>
  <si>
    <t>Flow 4 B2–B5; Word transportation optional</t>
  </si>
  <si>
    <t>FEFO–MLOR tự code; OR-Tools chỉ khi mở rộng tối ưu nhiều điểm giao.</t>
  </si>
  <si>
    <t>PostgreSQL JSONB + search</t>
  </si>
  <si>
    <t>MongoDB Atlas</t>
  </si>
  <si>
    <t>SQL chuẩn hóa thuộc tính</t>
  </si>
  <si>
    <t>Dijkstra tìm đường trên đồ thị; OR-Tools VRP tối ưu chuyến. Hai bài toán khác nhau.</t>
  </si>
  <si>
    <t>20_Optimization</t>
  </si>
  <si>
    <t>Theo cluster</t>
  </si>
  <si>
    <t>T21</t>
  </si>
  <si>
    <t>USD giấy phép; dùng DB đã chọn</t>
  </si>
  <si>
    <t>USD theo tier và usage</t>
  </si>
  <si>
    <t>OCR nhãn hàng nhập khẩu</t>
  </si>
  <si>
    <t>USD phần mềm bổ sung</t>
  </si>
  <si>
    <t>Không thêm dịch vụ nếu dùng cùng DB.</t>
  </si>
  <si>
    <t>Có Free cluster; quota phải kiểm tra theo region/tier.</t>
  </si>
  <si>
    <t>Bắt buộc. Suy ra từ web/mobile API, job date-tracker và sync</t>
  </si>
  <si>
    <t>Dùng SQL hiện có.</t>
  </si>
  <si>
    <t>Word A3 Nice to have</t>
  </si>
  <si>
    <t>Compute/index/disk tăng theo dữ liệu.</t>
  </si>
  <si>
    <t>Google Vision thử trên bộ nhãn thật; Tesseract làm baseline tự host.</t>
  </si>
  <si>
    <t>Compute/storage/backup/egress và pipeline sync.</t>
  </si>
  <si>
    <t>Thời gian thiết kế attribute/value và index.</t>
  </si>
  <si>
    <t>OCR chỉ lấy chữ. Nhãn tiếng Việt phải qua người có thẩm quyền duyệt trước công bố.</t>
  </si>
  <si>
    <t>PIM cùng transaction với SKU và inventory.</t>
  </si>
  <si>
    <t>Phù hợp catalog document phức tạp, độc lập inventory.</t>
  </si>
  <si>
    <t>Catalog nhỏ, validation rõ theo loại sản phẩm.</t>
  </si>
  <si>
    <t>21_OCR</t>
  </si>
  <si>
    <t>Index phù hợp; tách truy vấn báo cáo nặng khi cần.</t>
  </si>
  <si>
    <t>Managed cluster; scale theo tier.</t>
  </si>
  <si>
    <t>Scale cùng DB; query join có thể phức tạp.</t>
  </si>
  <si>
    <t>Giữ một lớp quyền và backup.</t>
  </si>
  <si>
    <t>Quyền DB/network phải cấu hình riêng.</t>
  </si>
  <si>
    <t>Cùng phân quyền, backup và audit.</t>
  </si>
  <si>
    <t>Đề xuất: Railway cho pilot dễ triển khai; Cloud Run khi cần autoscale và tách job.</t>
  </si>
  <si>
    <t>T22</t>
  </si>
  <si>
    <t>Ít tích hợp nhất.</t>
  </si>
  <si>
    <t>Thêm DB, migration và đồng bộ SKU.</t>
  </si>
  <si>
    <t>Không thêm vendor.</t>
  </si>
  <si>
    <t>Dịch/parse nhãn và diễn giải dự báo</t>
  </si>
  <si>
    <t>Cần schema validation cho JSON; SQL vẫn là nguồn tồn kho.</t>
  </si>
  <si>
    <t>Không dùng để nhân đôi số dư tồn kho.</t>
  </si>
  <si>
    <t>Ít linh hoạt hơn document nhưng dễ ràng buộc.</t>
  </si>
  <si>
    <t>Word A3, Supply Chain Analyst optional</t>
  </si>
  <si>
    <t>https://www.postgresql.org/docs/current/datatype-json.html</t>
  </si>
  <si>
    <t>https://www.mongodb.com/pricing</t>
  </si>
  <si>
    <t>https://www.postgresql.org/docs/current/ddl.html</t>
  </si>
  <si>
    <t>Dùng model nhỏ qua adapter, JSON schema và duyệt thủ công; không đưa LLM vào commit tồn kho.</t>
  </si>
  <si>
    <t>LLM không thay mô hình dự báo số lượng; chi phí token ảnh/output/retry phải được đo riêng.</t>
  </si>
  <si>
    <t>22_LLM</t>
  </si>
  <si>
    <t>Railway</t>
  </si>
  <si>
    <t>Google Cloud Run</t>
  </si>
  <si>
    <t>Render</t>
  </si>
  <si>
    <t>AWS Lightsail</t>
  </si>
  <si>
    <t>T23</t>
  </si>
  <si>
    <t>Share-of-Shelf từ ảnh kệ</t>
  </si>
  <si>
    <t>Chưa chốt giá</t>
  </si>
  <si>
    <t>Theo bundle</t>
  </si>
  <si>
    <t>Word C3 Nice to have</t>
  </si>
  <si>
    <t>PoC Roboflow hoặc custom detector sau khi có dataset gán nhãn.</t>
  </si>
  <si>
    <t>USD/tháng tối thiểu Hobby; Pro tối thiểu 20</t>
  </si>
  <si>
    <t>USD/vCPU-second active; ví dụ bảng tier hiển thị</t>
  </si>
  <si>
    <t>Trang pricing động chưa trích được giá compute</t>
  </si>
  <si>
    <t>OCR/general image labels không đủ nhận SKU và tỷ lệ mặt kệ. Cần định nghĩa thước đo và ground truth.</t>
  </si>
  <si>
    <t>USD/tháng theo RAM/CPU/region/IP</t>
  </si>
  <si>
    <t>23_Computer_Vision</t>
  </si>
  <si>
    <t>Trial/Free có điều kiện; không dùng credit tạm làm ngân sách dài hạn.</t>
  </si>
  <si>
    <t>Request-based có free quota; áp dụng theo tài khoản và bảng giá region.</t>
  </si>
  <si>
    <t>Có Free; cần xác nhận sleep/quota và điều kiện dùng thực tế.</t>
  </si>
  <si>
    <t>Ưu đãi dùng thử chỉ cho bundle đủ điều kiện.</t>
  </si>
  <si>
    <t>T24</t>
  </si>
  <si>
    <t>Dự báo SKU/đại lý và safety stock</t>
  </si>
  <si>
    <t>RAM $0.00000386/GB-s; CPU $0.00000772/vCPU-s; egress $0.05/GB.</t>
  </si>
  <si>
    <t>RAM $0.0000025/GiB-s; $0.40/triệu request trước free quota; build/registry/egress riêng.</t>
  </si>
  <si>
    <t>Compute, disk, DB, bandwidth và cron tách phí.</t>
  </si>
  <si>
    <t>Snapshot, transfer vượt quota, DB riêng.</t>
  </si>
  <si>
    <t>Word Supply Chain Analyst, Nice to have</t>
  </si>
  <si>
    <t>Deploy container/API và worker nhanh.</t>
  </si>
  <si>
    <t>Baseline seasonal-naive rồi statsmodels/Prophet; chạy batch.</t>
  </si>
  <si>
    <t>Container Java/Node/.NET; dễ scale API.</t>
  </si>
  <si>
    <t>Git/container deploy, background workers, cron.</t>
  </si>
  <si>
    <t>Dữ liệu đơn không đồng nghĩa nhu cầu thật khi có stockout. MAPE không dùng trực tiếp khi actual bằng 0.</t>
  </si>
  <si>
    <t>VM container đơn giản cho modular monolith.</t>
  </si>
  <si>
    <t>24_Forecast</t>
  </si>
  <si>
    <t>Hobby đến 5 replicas; Pro cao hơn. Availability target không tự là SLA hợp đồng.</t>
  </si>
  <si>
    <t>Autoscale; cần giới hạn instance và connection pool DB.</t>
  </si>
  <si>
    <t>Có autoscaling theo plan; xác nhận SLA trả phí.</t>
  </si>
  <si>
    <t>Nâng bundle; HA/load balancer phải thiết kế riêng.</t>
  </si>
  <si>
    <t>T25</t>
  </si>
  <si>
    <t>Chọn region phù hợp; variables và private networking theo cấu hình.</t>
  </si>
  <si>
    <t>IAM, service account, region; xác thực job endpoint.</t>
  </si>
  <si>
    <t>Cold-chain và telemetry nhiệt độ</t>
  </si>
  <si>
    <t>Chọn region; secrets và mạng riêng theo dịch vụ.</t>
  </si>
  <si>
    <t>SSH/firewall/OS patch do nhóm phụ trách.</t>
  </si>
  <si>
    <t>Ít DevOps; set usage limits và theo dõi RAM Java.</t>
  </si>
  <si>
    <t>Cron qua Cloud Scheduler/Jobs; tránh job nền trong request container.</t>
  </si>
  <si>
    <t>Dễ demo; cần đối chiếu giá trong console trước mua.</t>
  </si>
  <si>
    <t>Word Logistics Coordinator và cold-chain optional</t>
  </si>
  <si>
    <t>Dễ dự trù hơn nhiều dịch vụ AWS ghép lại.</t>
  </si>
  <si>
    <t>$5 là minimum usage, không phải trọn gói chạy backend + DB.</t>
  </si>
  <si>
    <t>Chỉ chọn sau khi xác định thiết bị, tần suất gửi và vận chuyển có mạng.</t>
  </si>
  <si>
    <t>Cold start và phí min instances; bảng giá thay đổi theo region/mode.</t>
  </si>
  <si>
    <t>Không dùng giá cũ $7 như dữ liệu đã xác minh.</t>
  </si>
  <si>
    <t>Một VM là điểm lỗi đơn; phải backup ngoài máy.</t>
  </si>
  <si>
    <t>Broker MQTT không thay cảm biến, hiệu chuẩn, SIM, gateway và lưu lịch sử.</t>
  </si>
  <si>
    <t>https://railway.com/pricing</t>
  </si>
  <si>
    <t>https://cloud.google.com/run/pricing</t>
  </si>
  <si>
    <t>25_IoT</t>
  </si>
  <si>
    <t>https://render.com/pricing</t>
  </si>
  <si>
    <t>https://aws.amazon.com/lightsail/pricing/</t>
  </si>
  <si>
    <t>T26</t>
  </si>
  <si>
    <t>Lỗi, logs, metrics và cảnh báo</t>
  </si>
  <si>
    <t>Suy ra từ sync lỗi, job missed, contention và vận hành</t>
  </si>
  <si>
    <t>Crashlytics cho mobile + logs/metrics backend; Sentry khi cần truy lỗi web/API.</t>
  </si>
  <si>
    <t>Audit nghiệp vụ lưu DB riêng, không thay bằng logs có retention ngắn.</t>
  </si>
  <si>
    <t>26_Observability</t>
  </si>
  <si>
    <t>Azure Monitor</t>
  </si>
  <si>
    <t>T27</t>
  </si>
  <si>
    <t>DNS/TLS/WAF, secrets và bảo vệ API</t>
  </si>
  <si>
    <t>Cần khi triển khai</t>
  </si>
  <si>
    <t>Word RBAC/audit; suy ra từ ảnh riêng tư và API mobile</t>
  </si>
  <si>
    <t>TLS + API auth + secrets manager theo cloud; WAF/rate limit theo exposure.</t>
  </si>
  <si>
    <t>Các cột là thành phần bổ sung nhau, không phải sản phẩm thay thế hoàn toàn.</t>
  </si>
  <si>
    <t>27_Security</t>
  </si>
  <si>
    <t>Azure DNS, Azure Front Door, Azure Web Application Firewall, Azure Key Vault, Azure API Management, Azure RBAC</t>
  </si>
  <si>
    <t>T28</t>
  </si>
  <si>
    <t>Git, CI/CD, container và hạ tầng</t>
  </si>
  <si>
    <t>Suy ra từ phát triển nhóm và release web/mobile/API</t>
  </si>
  <si>
    <t>GitHub Actions + container; chọn một CI chính.</t>
  </si>
  <si>
    <t>Dev/staging/prod tách secrets và dữ liệu. Container registry/IaC là thành phần bổ sung.</t>
  </si>
  <si>
    <t>28_CICD</t>
  </si>
  <si>
    <t>Github Actions</t>
  </si>
  <si>
    <t>T29</t>
  </si>
  <si>
    <t>Kiểm thử FEFO, tải, offline và bảo mật</t>
  </si>
  <si>
    <t>Flow 2 B2: 100 request đồng thời; Word edge A/B/C</t>
  </si>
  <si>
    <t>Unit/integration + JMeter/k6 + thiết bị offline thật + Playwright.</t>
  </si>
  <si>
    <t>Bắt buộc. Suy ra từ web Administrator/Retail Store Manager</t>
  </si>
  <si>
    <t>100 requests đồng thời là mục tiêu test nêu trong file, không phải traffic production đã đo.</t>
  </si>
  <si>
    <t>29_Testing</t>
  </si>
  <si>
    <t>Chưa chốt, tạm thời dự kiến nhóm sẽ tự viết test và dùng thiết bị đang có để test</t>
  </si>
  <si>
    <t>Đề xuất: Cloudflare Pages cho React SPA; chọn một dịch vụ frontend.</t>
  </si>
  <si>
    <t>T30</t>
  </si>
  <si>
    <t>Backup, phục hồi và lưu audit</t>
  </si>
  <si>
    <t>Word audit trail, write-off, traceability; suy ra vận hành</t>
  </si>
  <si>
    <t>DB backup + object version/retention + diễn tập restore.</t>
  </si>
  <si>
    <t>Chốt RPO/RTO và thời gian lưu ảnh/audit; snapshot không được tự coi là đã phục hồi được.</t>
  </si>
  <si>
    <t>Cloudflare Pages</t>
  </si>
  <si>
    <t>30_Backup_Audit</t>
  </si>
  <si>
    <t>Firebase Hosting</t>
  </si>
  <si>
    <t>T31</t>
  </si>
  <si>
    <t>Build, beta test và phát hành mobile</t>
  </si>
  <si>
    <t>Theo nền tảng chọn</t>
  </si>
  <si>
    <t>Suy ra từ DMS mobile; chưa chốt Android/iOS</t>
  </si>
  <si>
    <t>Pilot dùng Firebase App Distribution; Play khi phát hành Android.</t>
  </si>
  <si>
    <t>USD gói Free cho static frontend</t>
  </si>
  <si>
    <t>Store, beta distribution và build service là các khâu khác nhau, không cộng như ba app thay thế.</t>
  </si>
  <si>
    <t>USD/tháng mức Pro công bố; kiểm tra seat/usage</t>
  </si>
  <si>
    <t>USD storage/transfer sau quota</t>
  </si>
  <si>
    <t>31_App_Distribution</t>
  </si>
  <si>
    <t>500 builds/tháng, 1 build đồng thời; 20.000 files; 25 MiB/file.</t>
  </si>
  <si>
    <t>Hobby $0; xem điều kiện dự án cá nhân/thương mại trước chọn.</t>
  </si>
  <si>
    <t>Chưa chốt, tùy vào tiến độ để push app lên mobile qua CH play trước rồi đến appstore sau</t>
  </si>
  <si>
    <t>Có Spark no-cost quota; xem bảng giá Hosting.</t>
  </si>
  <si>
    <t>Functions dùng quota Workers; custom domain đăng ký riêng.</t>
  </si>
  <si>
    <t>Usage ngoài credit; compute, image processing và seat theo plan.</t>
  </si>
  <si>
    <t>Hosting khác App Hosting; SSR có compute phụ trợ.</t>
  </si>
  <si>
    <t>SPA quản trị, preview deployment.</t>
  </si>
  <si>
    <t>React/Next.js; tốt khi cần SSR.</t>
  </si>
  <si>
    <t>SPA cùng hệ Firebase mobile.</t>
  </si>
  <si>
    <t>Phân phối edge; backend không chạy JVM trên Pages.</t>
  </si>
  <si>
    <t>Global CDN; Enterprise nêu SLA 99.99%.</t>
  </si>
  <si>
    <t>Managed CDN; chọn budget và quota phù hợp.</t>
  </si>
  <si>
    <t>HTTPS và headers; cấu hình origin API riêng.</t>
  </si>
  <si>
    <t>Env theo môi trường; middleware không thay server auth.</t>
  </si>
  <si>
    <t>HTTPS; Auth tích hợp nhưng API vẫn cần xác minh token.</t>
  </si>
  <si>
    <t>Deploy từ Git; ít vận hành.</t>
  </si>
  <si>
    <t>Git preview tiện; SPA thuần không cần hết tính năng.</t>
  </si>
  <si>
    <t>SDK/CLI Firebase; triển khai đơn giản.</t>
  </si>
  <si>
    <t>Functions có giới hạn runtime; không thay container backend.</t>
  </si>
  <si>
    <t>Cần xác nhận điều khoản Hobby và scope Pro trước production.</t>
  </si>
  <si>
    <t>Không nhầm quota Hosting với Cloud Storage hoặc App Hosting.</t>
  </si>
  <si>
    <t>https://developers.cloudflare.com/pages/platform/limits/</t>
  </si>
  <si>
    <t>https://vercel.com/pricing</t>
  </si>
  <si>
    <t>Bắt buộc. Word: ảnh xuất/nhận/write-off; Flow 6,8</t>
  </si>
  <si>
    <t>Đề xuất: R2 cho ảnh bằng chứng chi phí thấp; Cloudinary khi cần nhiều biến đổi ảnh.</t>
  </si>
  <si>
    <t>Cloudflare R2 Standard</t>
  </si>
  <si>
    <t>Amazon S3</t>
  </si>
  <si>
    <t>Cloudinary</t>
  </si>
  <si>
    <t>Supabase Storage</t>
  </si>
  <si>
    <t>Theo region/class</t>
  </si>
  <si>
    <t>USD/GB-tháng trước free allowance</t>
  </si>
  <si>
    <t>USD GB-tháng + requests + transfer</t>
  </si>
  <si>
    <t>USD/tháng Plus trả tháng; 89 nếu trả năm</t>
  </si>
  <si>
    <t>USD/tháng Pro dùng chung bundle</t>
  </si>
  <si>
    <t>10 GB-tháng, 1 triệu Class A, 10 triệu Class B mỗi tháng.</t>
  </si>
  <si>
    <t>AWS credit/trial theo điều kiện; không mặc định 5 GB miễn phí vĩnh viễn.</t>
  </si>
  <si>
    <t>25 credits/tháng; 3 users/1 account; không yêu cầu thẻ ở Free.</t>
  </si>
  <si>
    <t>Free 1 GB file storage; 5 GB egress + 5 GB cached egress.</t>
  </si>
  <si>
    <t>A $4.50/triệu; B $0.36/triệu; egress R2 trực tiếp miễn phí. Làm tròn đơn vị billing.</t>
  </si>
  <si>
    <t>PUT/GET, egress, versioning, replication, KMS, retrieval theo class.</t>
  </si>
  <si>
    <t>Plus 225 credits dùng chung cho storage/transform/delivery; không phải 225 GB mỗi loại.</t>
  </si>
  <si>
    <t>Pro 100 GB storage rồi $0.0213/GB; egress khác cached egress.</t>
  </si>
  <si>
    <t>Ảnh hai đầu, write-off, PDF; S3-compatible API.</t>
  </si>
  <si>
    <t>Bằng chứng cần lifecycle, versioning, retention và hệ sinh thái AWS.</t>
  </si>
  <si>
    <t>Ảnh catalog/thumbnail/optimization và CDN.</t>
  </si>
  <si>
    <t>Nhanh khi đã dùng Supabase Auth/DB.</t>
  </si>
  <si>
    <t>Bắt buộc. Word: actors, phê duyệt nhập/write-off; Flow 3</t>
  </si>
  <si>
    <t>Managed object storage; xem SLA theo hợp đồng.</t>
  </si>
  <si>
    <t>Quy mô lớn; durability khác uptime SLA.</t>
  </si>
  <si>
    <t>Managed media pipeline; Enterprise báo giá.</t>
  </si>
  <si>
    <t>Nâng quota/plan; storage backup phải xem riêng.</t>
  </si>
  <si>
    <t>Private bucket, presigned URLs; kiểm tra yêu cầu data residency riêng.</t>
  </si>
  <si>
    <t>IAM, private bucket, signed URL; region cụ thể; cân nhắc Object Lock.</t>
  </si>
  <si>
    <t>Đề xuất: Auth managed hoặc Spring Security; quyền nghiệp vụ lưu và kiểm tra ở backend.</t>
  </si>
  <si>
    <t>Phải chọn asset/access mode riêng tư phù hợp ảnh bằng chứng.</t>
  </si>
  <si>
    <t>Private buckets và policies/signed URLs theo triển khai.</t>
  </si>
  <si>
    <t>Nén ảnh trên app; tự tạo thumbnail nếu cần.</t>
  </si>
  <si>
    <t>SDK phổ biến; policy/IAM cần cấu hình cẩn thận.</t>
  </si>
  <si>
    <t>SDK/media transformations giảm công code.</t>
  </si>
  <si>
    <t>Một nhà cung cấp cho DB/Auth/Storage.</t>
  </si>
  <si>
    <t>Không gồm xử lý ảnh Cloudinary; phí Workers/Images riêng.</t>
  </si>
  <si>
    <t>Giá region động chưa chốt; cần calculator theo vị trí và egress.</t>
  </si>
  <si>
    <t>Credit khó quy đổi 1:1 sang GB; khóa chặt URL transformation hơn S3 API.</t>
  </si>
  <si>
    <t>Không cộng lại $25 cho mỗi thành phần cùng một bundle.</t>
  </si>
  <si>
    <t>Supabase Auth</t>
  </si>
  <si>
    <t>Amazon Cognito Lite</t>
  </si>
  <si>
    <t>https://aws.amazon.com/s3/pricing/
https://aws.amazon.com/free/</t>
  </si>
  <si>
    <t>Auth0</t>
  </si>
  <si>
    <t>https://cloudinary.com/pricing</t>
  </si>
  <si>
    <t>Keycloak tự quản</t>
  </si>
  <si>
    <t>Theo plan/MAU</t>
  </si>
  <si>
    <t>USD trong quota Free; Pro bundle 25/tháng</t>
  </si>
  <si>
    <t>USD/MAU bậc đầu sau free; direct/social</t>
  </si>
  <si>
    <t>B2B và B2C có bảng giá khác</t>
  </si>
  <si>
    <t>USD giấy phép</t>
  </si>
  <si>
    <t>50.000 MAU Free; Pro 100.000 MAU.</t>
  </si>
  <si>
    <t>10.000 MAU theo điều kiện Lite/Essentials; federation có cách tính khác.</t>
  </si>
  <si>
    <t>Free công bố tới 25.000 MAU; giới hạn tính năng theo plan.</t>
  </si>
  <si>
    <t>Pro vượt MAU $0.00325/MAU; email/SMS có phí riêng.</t>
  </si>
  <si>
    <t>MFA SMS, email, nâng tier/add-on riêng.</t>
  </si>
  <si>
    <t>Organizations, enterprise SSO, MFA, machine-to-machine tùy gói.</t>
  </si>
  <si>
    <t>Compute, DB, backup, patch và trực sự cố.</t>
  </si>
  <si>
    <t>JWT login cho web/mobile; triển khai nhanh.</t>
  </si>
  <si>
    <t>User pools + OAuth/OIDC cho API.</t>
  </si>
  <si>
    <t>Phù hợp khi cần login/SSO đa tổ chức.</t>
  </si>
  <si>
    <t>SSO/OIDC, roles, user federation.</t>
  </si>
  <si>
    <t>Scale theo MAU; kiểm tra plan SLA.</t>
  </si>
  <si>
    <t>Managed identity theo region; scale MAU.</t>
  </si>
  <si>
    <t>Managed; Enterprise cần báo giá/SLA.</t>
  </si>
  <si>
    <t>Cluster được; tự chịu HA và nâng cấp.</t>
  </si>
  <si>
    <t>Role/kho/đơn kiểm tra trong API; bảo vệ service-role key.</t>
  </si>
  <si>
    <t>IAM + token validation; RBAC nghiệp vụ vẫn tự xây.</t>
  </si>
  <si>
    <t>OIDC; authorization theo kho phải code riêng.</t>
  </si>
  <si>
    <t>Tự chọn vị trí dữ liệu, TLS, realm và admin controls.</t>
  </si>
  <si>
    <t>Dùng SDK hoặc JWT verification ở Spring.</t>
  </si>
  <si>
    <t>Nhiều cấu hình hơn Supabase.</t>
  </si>
  <si>
    <t>SDK tốt; tùy biến flow có mức lock-in.</t>
  </si>
  <si>
    <t>Vận hành nặng hơn managed auth.</t>
  </si>
  <si>
    <t>Email delivery và quyền duyệt không được giải quyết chỉ bằng Auth.</t>
  </si>
  <si>
    <t>Không áp giá Lite cho Plus/federation/M2M.</t>
  </si>
  <si>
    <t>Không lấy giá B2C thấp nhất để dự toán B2B nội bộ.</t>
  </si>
  <si>
    <t>Chọn khi cần tự chủ identity, không chỉ vì phí license bằng 0.</t>
  </si>
  <si>
    <t>https://aws.amazon.com/cognito/pricing/</t>
  </si>
  <si>
    <t>https://auth0.com/pricing</t>
  </si>
  <si>
    <t>https://www.keycloak.org/</t>
  </si>
  <si>
    <t>Bắt buộc. Word: cron 00:00; Flow 5</t>
  </si>
  <si>
    <t>Đề xuất: Quartz hoặc scheduler cloud gọi job idempotent.</t>
  </si>
  <si>
    <t>Quartz Scheduler (Java)</t>
  </si>
  <si>
    <t>Google Cloud Scheduler</t>
  </si>
  <si>
    <t>AWS EventBridge Scheduler</t>
  </si>
  <si>
    <t>USD giấy phép Apache 2.0</t>
  </si>
  <si>
    <t>USD/job/31 ngày sau free</t>
  </si>
  <si>
    <t>Giá Scheduler cần đối chiếu mục riêng</t>
  </si>
  <si>
    <t>3 jobs/billing account/tháng miễn phí.</t>
  </si>
  <si>
    <t>Không đồng nhất free AWS management events với free Scheduler.</t>
  </si>
  <si>
    <t>CPU/DB của app; persistent job store nếu cần.</t>
  </si>
  <si>
    <t>Target Cloud Run/Functions và network tính riêng.</t>
  </si>
  <si>
    <t>Target compute, delivery và transfer có thể thêm phí.</t>
  </si>
  <si>
    <t>Java job, retry/misfire và clustering theo cấu hình.</t>
  </si>
  <si>
    <t>Trigger hằng ngày và tác vụ định kỳ.</t>
  </si>
  <si>
    <t>AWS managed trigger, timezone và target integration.</t>
  </si>
  <si>
    <t>Scale bằng cluster/job store; khóa tránh chạy trùng.</t>
  </si>
  <si>
    <t>Managed trigger; job handler phải chịu retry/trùng.</t>
  </si>
  <si>
    <t>Tách trigger khỏi app; endpoint idempotent.</t>
  </si>
  <si>
    <t>Job nội bộ; quyền DB tối thiểu.</t>
  </si>
  <si>
    <t>OIDC/IAM cho endpoint đích.</t>
  </si>
  <si>
    <t>IAM role cho target; không public endpoint tùy tiện.</t>
  </si>
  <si>
    <t>Phù hợp backend luôn chạy.</t>
  </si>
  <si>
    <t>Hợp Cloud Run scale-to-zero.</t>
  </si>
  <si>
    <t>Hợp hệ AWS; cần quota/price Scheduler trước mua.</t>
  </si>
  <si>
    <t>Process tắt thì cần xử lý missed job; không miễn phí compute.</t>
  </si>
  <si>
    <t>Tính theo số job, không theo số lần chạy.</t>
  </si>
  <si>
    <t>Trang hiện tại chưa trích được đơn giá Scheduler nên chưa chốt số.</t>
  </si>
  <si>
    <t>https://www.quartz-scheduler.org/</t>
  </si>
  <si>
    <t>https://cloud.google.com/scheduler/pricing</t>
  </si>
  <si>
    <t>https://aws.amazon.com/eventbridge/pricing/</t>
  </si>
  <si>
    <t>Nên có. Flow 3 bước 11; Flow 4 bước 19–20; notification</t>
  </si>
  <si>
    <t>Đề xuất: DB transactional outbox trước; thêm SQS khi cần worker độc lập.</t>
  </si>
  <si>
    <t>SQL outbox + worker</t>
  </si>
  <si>
    <t>Amazon SQS</t>
  </si>
  <si>
    <t>RabbitMQ tự quản</t>
  </si>
  <si>
    <t>Theo region/type</t>
  </si>
  <si>
    <t>USD/triệu requests</t>
  </si>
  <si>
    <t>USD giấy phép MPL 2.0</t>
  </si>
  <si>
    <t>Dùng cùng SQL/worker đã chọn.</t>
  </si>
  <si>
    <t>1 triệu requests/tháng theo trang pricing.</t>
  </si>
  <si>
    <t>CPU và query poll; lưu retention/outbox index.</t>
  </si>
  <si>
    <t>Send/receive/delete, chunk payload, KMS/transfer; rate theo Standard/FIFO.</t>
  </si>
  <si>
    <t>VM, disk, cluster, backup và giám sát.</t>
  </si>
  <si>
    <t>Commit event cùng transaction tồn kho, gửi sau commit.</t>
  </si>
  <si>
    <t>Notification, ảnh/OCR, backorder processing.</t>
  </si>
  <si>
    <t>Routing linh hoạt, acknowledgements, nhiều consumer.</t>
  </si>
  <si>
    <t>Đủ pilot; partition/claim rows khi tăng worker.</t>
  </si>
  <si>
    <t>Managed queue; DLQ và retry; consumers idempotent.</t>
  </si>
  <si>
    <t>Quorum/cluster cần thiết kế; tự chịu SLA.</t>
  </si>
  <si>
    <t>Quyền DB riêng; audit nghiệp vụ tách log debug.</t>
  </si>
  <si>
    <t>IAM và mã hóa; chọn region gần backend.</t>
  </si>
  <si>
    <t>TLS/users/vhost; hạn chế management endpoint.</t>
  </si>
  <si>
    <t>Tự xây retry, dead-letter status, dedupe.</t>
  </si>
  <si>
    <t>Giảm vận hành broker.</t>
  </si>
  <si>
    <t>Công vận hành cao hơn SQS.</t>
  </si>
  <si>
    <t>Đây là mẫu triển khai, không phải sản phẩm SaaS.</t>
  </si>
  <si>
    <t>Một event thường nhiều request; không tính 1 đơn = 1 request.</t>
  </si>
  <si>
    <t>Không cần cho MVP chỉ có một API + worker.</t>
  </si>
  <si>
    <t>https://www.postgresql.org/docs/current/tutorial-transactions.html</t>
  </si>
  <si>
    <t>https://aws.amazon.com/sqs/pricing/</t>
  </si>
  <si>
    <t>https://www.rabbitmq.com/</t>
  </si>
  <si>
    <t>Bắt buộc / kênh tùy chọn. Word: trạng thái đơn, cảnh báo, phản hồi; Flow 3 bước 4,12,23</t>
  </si>
  <si>
    <t>Đề xuất: DB notification + FCM; polling/SSE cho web khi cần.</t>
  </si>
  <si>
    <t>Firebase Cloud Messaging</t>
  </si>
  <si>
    <t>OneSignal</t>
  </si>
  <si>
    <t>DB + polling/SSE</t>
  </si>
  <si>
    <t>Tùy chọn. Suy ra từ reset mật khẩu/cảnh báo; tài liệu không bắt buộc SMS</t>
  </si>
  <si>
    <t>USD phí FCM</t>
  </si>
  <si>
    <t>USD/tháng Growth từ mức công bố</t>
  </si>
  <si>
    <t>FCM là no-cost product.</t>
  </si>
  <si>
    <t>Có Free plan; quota theo channel và tính năng.</t>
  </si>
  <si>
    <t>Dùng backend/DB sẵn có.</t>
  </si>
  <si>
    <t>Đề xuất: Resend Free cho pilot nhỏ; SES cho volume; chưa cần SMS mặc định.</t>
  </si>
  <si>
    <t>Backend gửi, logs và các Firebase product khác tính riêng.</t>
  </si>
  <si>
    <t>MAU/subscribers/channel usage tùy plan.</t>
  </si>
  <si>
    <t>Request, connection và worker hạ tầng.</t>
  </si>
  <si>
    <t>Push Android/iOS/web trạng thái đơn và cận hạn.</t>
  </si>
  <si>
    <t>Dashboard campaign, segmentation, automation.</t>
  </si>
  <si>
    <t>In-app inbox đáng tin, read/unread, web cập nhật.</t>
  </si>
  <si>
    <t>Managed fanout; việc nhận phụ thuộc mạng/OS.</t>
  </si>
  <si>
    <t>Managed; SLA/support theo gói.</t>
  </si>
  <si>
    <t>Polling đơn giản; SSE cần quản lý connections khi scale.</t>
  </si>
  <si>
    <t>Resend</t>
  </si>
  <si>
    <t>Amazon SES</t>
  </si>
  <si>
    <t>Token thiết bị nhạy cảm; không gửi đầy đủ dữ liệu đơn trong payload.</t>
  </si>
  <si>
    <t>Twilio SMS Vietnam</t>
  </si>
  <si>
    <t>Thêm bên xử lý device/user data.</t>
  </si>
  <si>
    <t>Authorization từng subscription; không broadcast chéo kho.</t>
  </si>
  <si>
    <t>SDK rộng; cần quản lý token rotation.</t>
  </si>
  <si>
    <t>Dễ vận hành chiến dịch; thừa tính năng cho thông báo nội bộ đơn giản.</t>
  </si>
  <si>
    <t>Nhóm tự xây; không thêm SaaS.</t>
  </si>
  <si>
    <t>Không bảo đảm giao ngay; iOS cần cấu hình APNs.</t>
  </si>
  <si>
    <t>USD/tháng Pro</t>
  </si>
  <si>
    <t>Có lock-in orchestration; vẫn dựa trên kênh push nền.</t>
  </si>
  <si>
    <t>USD/1.000 outbound emails</t>
  </si>
  <si>
    <t>Không đánh thức mobile đã bị OS dừng như push service.</t>
  </si>
  <si>
    <t>USD/outbound SMS segment theo trang VN</t>
  </si>
  <si>
    <t>Free 3.000 email/tháng, tối đa 100/ngày UTC; gửi/nhận cùng quota.</t>
  </si>
  <si>
    <t>Ưu đãi/free theo điều kiện tài khoản; ngân sách dài hạn không trừ trial.</t>
  </si>
  <si>
    <t>https://onesignal.com/pricing</t>
  </si>
  <si>
    <t>Trial có điều kiện; không có quota SMS miễn phí lâu dài đã xác minh.</t>
  </si>
  <si>
    <t>Pro 50.000 email/tháng; vượt $0.90/1.000.</t>
  </si>
  <si>
    <t>Attachment $0.12/GB; dedicated IP, validation và endpoint riêng.</t>
  </si>
  <si>
    <t>Sender registration, carrier/features và nhiều segment có thể tăng phí.</t>
  </si>
  <si>
    <t>Reset password, thông báo phê duyệt/đối soát.</t>
  </si>
  <si>
    <t>Chi phí gửi thấp, phù hợp AWS.</t>
  </si>
  <si>
    <t>Chỉ cảnh báo khẩn/OTP khi business yêu cầu.</t>
  </si>
  <si>
    <t>Managed SMTP/API; quota ngày có thể chặn peak Free.</t>
  </si>
  <si>
    <t>Managed; xin production access và quota.</t>
  </si>
  <si>
    <t>Theo throughput/đăng ký sender và network.</t>
  </si>
  <si>
    <t>Xác minh domain, DKIM/SPF/DMARC; key trên server.</t>
  </si>
  <si>
    <t>Domain verification, IAM; xử lý complaint/bounce.</t>
  </si>
  <si>
    <t>Không đưa dữ liệu nhạy cảm đầy đủ vào SMS.</t>
  </si>
  <si>
    <t>Tùy chọn. Word Nice to have; Flow 9</t>
  </si>
  <si>
    <t>Tích hợp đơn giản; domain là chi phí riêng.</t>
  </si>
  <si>
    <t>Công cấu hình nhiều hơn Resend.</t>
  </si>
  <si>
    <t>REST API; cần test nhà mạng VN.</t>
  </si>
  <si>
    <t>Mỗi recipient được tính; cần bounce handling.</t>
  </si>
  <si>
    <t>Sandbox giới hạn gửi; delivery không chỉ phụ thuộc API thành công.</t>
  </si>
  <si>
    <t>Giá cao so với push/email; báo giá nội địa có thể khác.</t>
  </si>
  <si>
    <t>https://resend.com/pricing
https://resend.com/docs/knowledge-base/account-quotas-and-limits</t>
  </si>
  <si>
    <t>https://www.twilio.com/en-us/sms/pricing/vn</t>
  </si>
  <si>
    <t>Đề xuất: Chỉ thêm cache khi có promotion hoặc số liệu đo cho thấy cần.</t>
  </si>
  <si>
    <t>Upstash Redis</t>
  </si>
  <si>
    <t>Valkey tự quản</t>
  </si>
  <si>
    <t>Cache trong process + SQL</t>
  </si>
  <si>
    <t>USD/100.000 commands PAYG</t>
  </si>
  <si>
    <t>Bắt buộc. Word warehouse/retailer evidence; Flow 6 bước 3</t>
  </si>
  <si>
    <t>Free 256 MB, 10 GB bandwidth, 500.000 commands/tháng.</t>
  </si>
  <si>
    <t>Đề xuất: Camera native + ML Kit barcode, nén trước upload, queue ảnh riêng.</t>
  </si>
  <si>
    <t>Dùng RAM backend hiện có.</t>
  </si>
  <si>
    <t>Fixed từ $10/tháng, read region thêm phí; PAYG khác Free.</t>
  </si>
  <si>
    <t>VM/RAM/replica/backup.</t>
  </si>
  <si>
    <t>RAM và công invalidation.</t>
  </si>
  <si>
    <t>Cache catalog/rules, TTL, rate limit.</t>
  </si>
  <si>
    <t>Cache tương thích nhiều client Redis.</t>
  </si>
  <si>
    <t>Rules nhỏ, một instance, catalog read-heavy.</t>
  </si>
  <si>
    <t>Google ML Kit Barcode</t>
  </si>
  <si>
    <t>ZXing</t>
  </si>
  <si>
    <t>Scandit</t>
  </si>
  <si>
    <t>Managed; quota/CPS theo plan.</t>
  </si>
  <si>
    <t>Tự thiết kế cluster, persistence và failover.</t>
  </si>
  <si>
    <t>Nhiều replicas cần version/TTL để tránh lệch.</t>
  </si>
  <si>
    <t>Liên hệ</t>
  </si>
  <si>
    <t>TLS và token; không lộ REST token ở app.</t>
  </si>
  <si>
    <t>Private network; auth/TLS.</t>
  </si>
  <si>
    <t>USD phí SDK on-device</t>
  </si>
  <si>
    <t>Không giữ secrets trong response/cache public.</t>
  </si>
  <si>
    <t>Giá theo use case/deployment</t>
  </si>
  <si>
    <t>Quét mã trên thiết bị; không cần gọi cloud cho mỗi lần quét.</t>
  </si>
  <si>
    <t>Dễ dùng; region gần API để tránh tăng latency.</t>
  </si>
  <si>
    <t>Tăng gánh vận hành; dùng Docker khi dev.</t>
  </si>
  <si>
    <t>Có đánh giá/demo; không coi là production free.</t>
  </si>
  <si>
    <t>Đơn giản nhất cho MVP.</t>
  </si>
  <si>
    <t>Thiết bị/camera và chi phí storage ảnh tách riêng.</t>
  </si>
  <si>
    <t>Công tích hợp UI camera và xử lý ảnh.</t>
  </si>
  <si>
    <t>SDK license theo thỏa thuận; thiết bị riêng.</t>
  </si>
  <si>
    <t>Một request cart có thể nhiều commands; không mặc định &lt;100ms.</t>
  </si>
  <si>
    <t>Kiểm tra tương thích client/module; không đồng nhất mọi phiên bản Redis.</t>
  </si>
  <si>
    <t>QR/barcode offline cho batch xuất và nhận.</t>
  </si>
  <si>
    <t>Sinh/đọc barcode, QR, phù hợp Java.</t>
  </si>
  <si>
    <t>Không chia sẻ cache giữa replicas; SQL là nguồn rule.</t>
  </si>
  <si>
    <t>Nhiều mã, môi trường kho khó, nhu cầu hiệu suất cao.</t>
  </si>
  <si>
    <t>Tải xử lý nằm trên thiết bị.</t>
  </si>
  <si>
    <t>Offline; hiệu quả phụ thuộc chất lượng ảnh.</t>
  </si>
  <si>
    <t>Thương mại; đo trên nhãn/thiết bị thực tế.</t>
  </si>
  <si>
    <t>https://upstash.com/pricing/redis</t>
  </si>
  <si>
    <t>Giảm truyền ảnh barcode lên cloud.</t>
  </si>
  <si>
    <t>https://valkey.io/</t>
  </si>
  <si>
    <t>Không phải gửi ảnh ra nhà cung cấp.</t>
  </si>
  <si>
    <t>Xác nhận dữ liệu telemetry và điều khoản offline.</t>
  </si>
  <si>
    <t>Android/iOS SDK; cần test bundle model/offline lần đầu.</t>
  </si>
  <si>
    <t>Nhẹ nhưng phải chọn wrapper được duy trì.</t>
  </si>
  <si>
    <t>SDK/support thương mại.</t>
  </si>
  <si>
    <t>Không phải OCR nhãn; barcode không tự chứa số dư tồn.</t>
  </si>
  <si>
    <t>Dự án gốc maintenance mode; kiểm tra camera wrapper.</t>
  </si>
  <si>
    <t>Chỉ đáng mua khi đo được lợi ích hơn ML Kit.</t>
  </si>
  <si>
    <t>https://developers.google.com/ml-kit/vision/barcode-scanning</t>
  </si>
  <si>
    <t>https://github.com/zxing/zxing</t>
  </si>
  <si>
    <t>https://www.scandit.com/pricing/</t>
  </si>
  <si>
    <t>Theo Core Flow. Flow 6 bước 11; dashboard Word</t>
  </si>
  <si>
    <t>Đề xuất: PDFBox + POI trong backend Java; bản in có mã chứng từ.</t>
  </si>
  <si>
    <t>Apache PDFBox + POI</t>
  </si>
  <si>
    <t>Playwright HTML to PDF</t>
  </si>
  <si>
    <t>In từ trình duyệt</t>
  </si>
  <si>
    <t>Dùng web/app hiện có.</t>
  </si>
  <si>
    <t>CPU/memory render, font và lưu trữ file.</t>
  </si>
  <si>
    <t>Container browser/RAM; XLSX dùng thư viện khác.</t>
  </si>
  <si>
    <t>Thời gian làm print CSS và test trình duyệt.</t>
  </si>
  <si>
    <t>PDF picking/phiếu xuất; XLSX báo cáo.</t>
  </si>
  <si>
    <t>Tận dụng HTML/CSS để in chứng từ.</t>
  </si>
  <si>
    <t>Demo hoặc báo cáo đơn giản, người dùng lưu PDF.</t>
  </si>
  <si>
    <t>Dùng worker cho báo cáo lớn; giới hạn dữ liệu xuất.</t>
  </si>
  <si>
    <t>Worker pool; giới hạn concurrency Chromium.</t>
  </si>
  <si>
    <t>Không cần worker render server.</t>
  </si>
  <si>
    <t>Kiểm tra quyền tải; tránh formula injection trong CSV/XLSX.</t>
  </si>
  <si>
    <t>Chặn URL nội bộ không được phép; render template tin cậy.</t>
  </si>
  <si>
    <t>Chỉ hiển thị dữ liệu đã được cấp quyền.</t>
  </si>
  <si>
    <t>Java phù hợp Spring; phải tự làm template.</t>
  </si>
  <si>
    <t>Dễ preview layout; nặng hơn PDF native.</t>
  </si>
  <si>
    <t>Triển khai ít công nhất.</t>
  </si>
  <si>
    <t>PDFBox không tự tạo layout đẹp từ HTML; cần nhúng font Việt.</t>
  </si>
  <si>
    <t>Không chạy arbitrary HTML không kiểm soát; PDF hỗ trợ qua Chromium.</t>
  </si>
  <si>
    <t>Bắt buộc / BI tùy chọn. Word Batch/Lot dashboard; Flow 3 bước 24</t>
  </si>
  <si>
    <t>Khó tái lập tài liệu chuẩn; không phù hợp lưu chứng từ bất biến tự động.</t>
  </si>
  <si>
    <t>https://pdfbox.apache.org/
https://poi.apache.org/</t>
  </si>
  <si>
    <t>https://playwright.dev/</t>
  </si>
  <si>
    <t>https://developer.mozilla.org/en-US/docs/Web/CSS/CSS_media_queries/Printing</t>
  </si>
  <si>
    <t>Đề xuất: Chart.js hoặc ECharts với API aggregate SQL.</t>
  </si>
  <si>
    <t>Chart.js</t>
  </si>
  <si>
    <t>Apache ECharts</t>
  </si>
  <si>
    <t>Metabase</t>
  </si>
  <si>
    <t>Theo plan</t>
  </si>
  <si>
    <t>Open Source tự quản hoặc Cloud trả phí</t>
  </si>
  <si>
    <t>Có Open Source; hạ tầng tự trả.</t>
  </si>
  <si>
    <t>Compute API aggregate; dev frontend.</t>
  </si>
  <si>
    <t>Công cấu hình chart và API.</t>
  </si>
  <si>
    <t>Cloud/embedding và quyền nâng cao theo plan.</t>
  </si>
  <si>
    <t>Biểu đồ tỷ lệ cận hạn và KPI xuất kho.</t>
  </si>
  <si>
    <t>Tương tác/drill-down nhiều loại biểu đồ.</t>
  </si>
  <si>
    <t>Analyst tự truy vấn báo cáo khi mở rộng.</t>
  </si>
  <si>
    <t>Phân trang/aggregate server; tránh tải toàn inventory vào browser.</t>
  </si>
  <si>
    <t>Phù hợp dashboard phong phú; đo hiệu năng với dataset lớn.</t>
  </si>
  <si>
    <t>Tách workload BI khỏi DB giao dịch khi tải lớn.</t>
  </si>
  <si>
    <t>API áp dụng scope theo kho.</t>
  </si>
  <si>
    <t>Dữ liệu nhạy cảm vẫn ở API có quyền.</t>
  </si>
  <si>
    <t>Read-only DB role; kiểm tra quyền embedding theo edition.</t>
  </si>
  <si>
    <t>Nhẹ, đủ dashboard cơ bản.</t>
  </si>
  <si>
    <t>Khả năng tùy biến cao.</t>
  </si>
  <si>
    <t>Ít code biểu đồ nhưng thêm service.</t>
  </si>
  <si>
    <t>Cần tự làm drill-down và export.</t>
  </si>
  <si>
    <t>Nhiều option hơn, chi phí thiết kế UX cao hơn.</t>
  </si>
  <si>
    <t>Không đưa tài khoản BI quyền ghi tồn kho; license embedding cần xem.</t>
  </si>
  <si>
    <t>https://www.chartjs.org/</t>
  </si>
  <si>
    <t>https://echarts.apache.org/en/index.html</t>
  </si>
  <si>
    <t>https://www.metabase.com/pricing</t>
  </si>
  <si>
    <t>Cần chốt phạm vi. Flow 3 dòng 2 loại ETA/MLOR nhưng bước 13 và Flow 4 B2 có dùng</t>
  </si>
  <si>
    <t>Đề xuất: So sánh mẫu địa chỉ VN giữa Vietmap và Google; Mapbox là phương án quốc tế.</t>
  </si>
  <si>
    <t>Google Maps Routes</t>
  </si>
  <si>
    <t>Mapbox Matrix</t>
  </si>
  <si>
    <t>VIETMAP Maps API</t>
  </si>
  <si>
    <t>OSRM + dữ liệu OSM</t>
  </si>
  <si>
    <t>USD/1.000 events Essentials bậc đầu</t>
  </si>
  <si>
    <t>USD/1.000 elements bậc 100.001–500.000</t>
  </si>
  <si>
    <t>VND/transaction bậc 1–500.000, trả sau</t>
  </si>
  <si>
    <t>USD license phần mềm; hạ tầng riêng</t>
  </si>
  <si>
    <t>10.000 events/tháng miễn phí từng SKU Routes/Matrix Essentials.</t>
  </si>
  <si>
    <t>100.000 matrix elements/tháng miễn phí.</t>
  </si>
  <si>
    <t>Trial 1 tháng; Routing 250 trans/ngày; bảng trial dưới 60.000/tháng.</t>
  </si>
  <si>
    <t>Geocoding riêng: $5/1.000 sau 10.000; map load và Pro/traffic SKU khác.</t>
  </si>
  <si>
    <t>Map loads, geocoding, directions có SKU/quota khác.</t>
  </si>
  <si>
    <t>Các API có quy đổi request→transaction khác; trả trước có ưu đãi.</t>
  </si>
  <si>
    <t>Import/cập nhật bản đồ, RAM/CPU/tiles/geocoder riêng.</t>
  </si>
  <si>
    <t>Road distance/ETA và address lookup.</t>
  </si>
  <si>
    <t>Ma trận khoảng cách/thời gian cho nhiều kho.</t>
  </si>
  <si>
    <t>Dịch vụ nội địa, routing/geocoding/matrix/TSP/VRP.</t>
  </si>
  <si>
    <t>Tự host road routing/matrix cho phạm vi cố định.</t>
  </si>
  <si>
    <t>Managed; nhiều request khi kho × điểm bán tăng.</t>
  </si>
  <si>
    <t>Scale trả theo elements; giới hạn coordinates/request.</t>
  </si>
  <si>
    <t>Báo giá dung lượng cao; xác nhận SLA/QPS bằng hợp đồng.</t>
  </si>
  <si>
    <t>Cần benchmark kích thước đồ thị và memory.</t>
  </si>
  <si>
    <t>API key restrictions; xem quyền lưu/cache dữ liệu.</t>
  </si>
  <si>
    <t>Token scopes và điều khoản cache/attribution.</t>
  </si>
  <si>
    <t>Xác nhận lưu dữ liệu/region và điều khoản thương mại.</t>
  </si>
  <si>
    <t>Tự quản dữ liệu; tuân thủ giấy phép/attribution nguồn map.</t>
  </si>
  <si>
    <t>SDK/docs tốt; đo địa chỉ VN và độ chính xác ETA.</t>
  </si>
  <si>
    <t>UI map tùy biến; cần benchmark coverage tại VN.</t>
  </si>
  <si>
    <t>Hỗ trợ Việt Nam; test địa chỉ kho/retailer thật.</t>
  </si>
  <si>
    <t>DevOps và geodata nặng hơn API hosted.</t>
  </si>
  <si>
    <t>ETA cần cộng chuẩn bị/lịch kho; không dùng straight-line thay road.</t>
  </si>
  <si>
    <t>Không áp quota Matrix cho toàn bộ Mapbox products.</t>
  </si>
  <si>
    <t>Không coi trial là free vĩnh viễn; giá VAT cần xác nhận.</t>
  </si>
  <si>
    <t>Demo endpoint không phải SLA production; không có traffic live mặc định.</t>
  </si>
  <si>
    <t>https://www.mapbox.com/pricing</t>
  </si>
  <si>
    <t>https://vietmap.vn/maps-api</t>
  </si>
  <si>
    <t>https://project-osrm.org/</t>
  </si>
  <si>
    <t>Cần chốt phạm vi. Flow 4 B2–B5; Word transportation optional</t>
  </si>
  <si>
    <t>Đề xuất: FEFO–MLOR tự code; OR-Tools chỉ khi mở rộng tối ưu nhiều điểm giao.</t>
  </si>
  <si>
    <t>Tự code Dijkstra + FEFO</t>
  </si>
  <si>
    <t>Google OR-Tools</t>
  </si>
  <si>
    <t>Google Route Optimization</t>
  </si>
  <si>
    <t>USD license bổ sung</t>
  </si>
  <si>
    <t>USD/1.000 events SingleVehicleRouting bậc đầu</t>
  </si>
  <si>
    <t>Code nội bộ; dữ liệu tuyến không tự miễn phí.</t>
  </si>
  <si>
    <t>SingleVehicle 5.000; FleetRouting 1.000 free events/tháng.</t>
  </si>
  <si>
    <t>Dev/test thuật toán, dữ liệu đồ thị và cập nhật.</t>
  </si>
  <si>
    <t>Compute solver và matrix distance từ nguồn khác.</t>
  </si>
  <si>
    <t>FleetRouting bậc đầu $30/1.000; xem chính xác billable event.</t>
  </si>
  <si>
    <t>B2 road distance + ETA/MLOR + FEFO sorting/reserve.</t>
  </si>
  <si>
    <t>VRP với tải xe/time windows khi có transportation.</t>
  </si>
  <si>
    <t>Managed optimization khi mở rộng vận tải.</t>
  </si>
  <si>
    <t>Đồ thị lớn cần cache và index; SQL commit là nút riêng.</t>
  </si>
  <si>
    <t>Bài toán lớn đặt time limit; có thể chỉ tìm nghiệm tốt.</t>
  </si>
  <si>
    <t>Giảm công solver; quota/limits theo API.</t>
  </si>
  <si>
    <t>Audit đầu vào/quy tắc/phiên bản để giải thích allocation.</t>
  </si>
  <si>
    <t>Chạy nội bộ; không buộc gửi dữ liệu sang Google.</t>
  </si>
  <si>
    <t>Dữ liệu địa chỉ/đơn gửi bên ngoài theo điều khoản.</t>
  </si>
  <si>
    <t>Phù hợp nếu đề tài bắt buộc trình bày Dijkstra.</t>
  </si>
  <si>
    <t>Có API nhiều ngôn ngữ; tách service/worker nếu cần.</t>
  </si>
  <si>
    <t>REST API; map/route services có phí riêng.</t>
  </si>
  <si>
    <t>Cần dữ liệu road graph; không dùng AI sinh khoảng cách.</t>
  </si>
  <si>
    <t>Không thay FEFO và không cung cấp bản đồ/traffic.</t>
  </si>
  <si>
    <t>Chỉ nên mua sau khi có đội xe, ràng buộc vận hành rõ.</t>
  </si>
  <si>
    <t>FEFO_Context_CoreFlow_v1.0.xlsx: tab 4, B2–B5</t>
  </si>
  <si>
    <t>https://developers.google.com/optimization/routing</t>
  </si>
  <si>
    <t>Tùy chọn. Word A3 Nice to have</t>
  </si>
  <si>
    <t>Đề xuất: Google Vision thử trên bộ nhãn thật; Tesseract làm baseline tự host.</t>
  </si>
  <si>
    <t>Google Cloud Vision OCR</t>
  </si>
  <si>
    <t>Amazon Textract</t>
  </si>
  <si>
    <t>Tesseract</t>
  </si>
  <si>
    <t>Tùy chọn. Word A3, Supply Chain Analyst optional</t>
  </si>
  <si>
    <t>USD/1.000 units Text Detection bậc đầu</t>
  </si>
  <si>
    <t>Đề xuất: Dùng model nhỏ qua adapter, JSON schema và duyệt thủ công; không đưa LLM vào commit tồn kho.</t>
  </si>
  <si>
    <t>USD/trang DetectDocumentText, Oregon, 1 triệu đầu</t>
  </si>
  <si>
    <t>1.000 units/tháng đầu miễn phí theo feature.</t>
  </si>
  <si>
    <t>Free/trial theo điều kiện; không mặc định dài hạn.</t>
  </si>
  <si>
    <t>Storage/compute riêng; nhiều feature trên ảnh tính riêng.</t>
  </si>
  <si>
    <t>Forms/tables/queries có mức giá riêng, không áp giá text-only.</t>
  </si>
  <si>
    <t>CPU, image preprocessing và công tinh chỉnh.</t>
  </si>
  <si>
    <t>Trích chữ từ bao bì để LLM cấu trúc hóa.</t>
  </si>
  <si>
    <t>Tài liệu scan; cân nhắc ngôn ngữ và bao bì.</t>
  </si>
  <si>
    <t>OCR tự host; hỗ trợ language data.</t>
  </si>
  <si>
    <t>Managed quota; batch/retry ở worker.</t>
  </si>
  <si>
    <t>Managed; jobs async khi nhiều trang.</t>
  </si>
  <si>
    <t>Gemini 3.8 Flash</t>
  </si>
  <si>
    <t>Worker CPU; batch theo dung lượng.</t>
  </si>
  <si>
    <t>Claude Sonnet 4.6</t>
  </si>
  <si>
    <t>Model mở tự host</t>
  </si>
  <si>
    <t>Đánh giá vị trí xử lý và dữ liệu ảnh gửi đi.</t>
  </si>
  <si>
    <t>S3/IAM/region; kiểm tra ngôn ngữ được hỗ trợ.</t>
  </si>
  <si>
    <t>Dữ liệu ở môi trường của nhóm.</t>
  </si>
  <si>
    <t>REST/SDK; dễ làm PoC.</t>
  </si>
  <si>
    <t>Tốt khi dữ liệu là chứng từ hơn ảnh kệ.</t>
  </si>
  <si>
    <t>Không có phí API; phải tự quản model/language files.</t>
  </si>
  <si>
    <t>Theo model</t>
  </si>
  <si>
    <t>Đo CER/field accuracy trên nhãn mờ/cong; không mặc định chính xác.</t>
  </si>
  <si>
    <t>Cần PoC tiếng Việt/nhãn đa ngữ trước chọn.</t>
  </si>
  <si>
    <t>Ảnh cong/loá cần tiền xử lý; support cộng đồng.</t>
  </si>
  <si>
    <t>USD/triệu input tokens Standard tới 31/12/2026</t>
  </si>
  <si>
    <t>USD/triệu input tokens Standard</t>
  </si>
  <si>
    <t>https://cloud.google.com/vision/pricing</t>
  </si>
  <si>
    <t>Giấy phép model và GPU/CPU</t>
  </si>
  <si>
    <t>https://aws.amazon.com/textract/pricing/</t>
  </si>
  <si>
    <t>https://tesseract-ocr.github.io/</t>
  </si>
  <si>
    <t>Có Free limited access; dữ liệu Free có thể dùng cải thiện sản phẩm.</t>
  </si>
  <si>
    <t>Không xác minh quota API miễn phí lâu dài.</t>
  </si>
  <si>
    <t>Không phí API bên ngoài nếu tự host; license cần xét từng model.</t>
  </si>
  <si>
    <t>Output $3.75/triệu tới 31/12/2026; giá công bố sau đó tăng; tools/cache riêng.</t>
  </si>
  <si>
    <t>Output $15/triệu; cache, batch, tools có giá khác.</t>
  </si>
  <si>
    <t>GPU, RAM, điện, monitoring, công đánh giá.</t>
  </si>
  <si>
    <t>Multimodal nhãn, JSON và diễn giải.</t>
  </si>
  <si>
    <t>Diễn giải và cấu trúc nhãn sau OCR.</t>
  </si>
  <si>
    <t>Thích hợp dữ liệu không muốn gửi ngoài.</t>
  </si>
  <si>
    <t>Rate limit theo tier; queue/budget cap.</t>
  </si>
  <si>
    <t>Rate limit theo tier; retry có backoff.</t>
  </si>
  <si>
    <t>Throughput phụ thuộc hardware/model quantization.</t>
  </si>
  <si>
    <t>Paid nêu không dùng nội dung cải thiện sản phẩm; xét điều khoản thực tế.</t>
  </si>
  <si>
    <t>Xem retention/data policy trước gửi dữ liệu doanh nghiệp.</t>
  </si>
  <si>
    <t>Tự kiểm soát dữ liệu; phải bảo vệ inference endpoint.</t>
  </si>
  <si>
    <t>REST SDK; model ID có vòng đời riêng.</t>
  </si>
  <si>
    <t>API adapter; schema validation và review.</t>
  </si>
  <si>
    <t>MLOps cao; chỉ chọn sau PoC chất lượng tiếng Việt.</t>
  </si>
  <si>
    <t>Đây là giá model cụ thể, không phải giá mọi Gemini; benchmark tiếng Việt.</t>
  </si>
  <si>
    <t>Chat subscription không bao gồm mọi API usage; model khác giá khác.</t>
  </si>
  <si>
    <t>Không mặc định model tải được là được dùng thương mại.</t>
  </si>
  <si>
    <t>https://ai.google.dev/gemini-api/docs/pricing</t>
  </si>
  <si>
    <t>https://platform.claude.com/docs/en/about-claude/pricing</t>
  </si>
  <si>
    <t>Đánh giá kiến trúc; chưa chọn model/nhà cung cấp cụ thể</t>
  </si>
  <si>
    <t>Tùy chọn. Word C3 Nice to have</t>
  </si>
  <si>
    <t>Đề xuất: PoC Roboflow hoặc custom detector sau khi có dataset gán nhãn.</t>
  </si>
  <si>
    <t>Roboflow</t>
  </si>
  <si>
    <t>AWS Rekognition Custom Labels</t>
  </si>
  <si>
    <t>Custom detector tự host</t>
  </si>
  <si>
    <t>Theo giờ</t>
  </si>
  <si>
    <t>Credits/train/inference và private data</t>
  </si>
  <si>
    <t>Training/inference provisioned resources</t>
  </si>
  <si>
    <t>License + GPU/CPU + dữ liệu</t>
  </si>
  <si>
    <t>Public plan cho học tập/nghiên cứu; project được công khai.</t>
  </si>
  <si>
    <t>Free/trial theo điều kiện; không coi là free production.</t>
  </si>
  <si>
    <t>Framework có thể OSS; license model/dataset phải kiểm tra.</t>
  </si>
  <si>
    <t>Private business plan, train/inference credits và deployment.</t>
  </si>
  <si>
    <t>Training, inference uptime và S3.</t>
  </si>
  <si>
    <t>Gán nhãn, huấn luyện, inference, drift monitoring.</t>
  </si>
  <si>
    <t>Gán nhãn, huấn luyện object detection SKU.</t>
  </si>
  <si>
    <t>Custom classification/detection, không chỉ general labels.</t>
  </si>
  <si>
    <t>Kiểm soát pipeline đo diện tích/facing SKU.</t>
  </si>
  <si>
    <t>Managed workflow; test throughput/latency.</t>
  </si>
  <si>
    <t>Managed; kiểm soát giờ bật model để tránh phí idle.</t>
  </si>
  <si>
    <t>Scale worker; tùy GPU và ảnh.</t>
  </si>
  <si>
    <t>Không đưa ảnh doanh nghiệp vào Public plan nếu không muốn công khai.</t>
  </si>
  <si>
    <t>S3/IAM và region được hỗ trợ.</t>
  </si>
  <si>
    <t>Giữ ảnh nội bộ.</t>
  </si>
  <si>
    <t>Nhanh PoC; cần dữ liệu từng SKU.</t>
  </si>
  <si>
    <t>Hợp hệ AWS; cần dataset và đánh giá.</t>
  </si>
  <si>
    <t>Công ML cao nhất.</t>
  </si>
  <si>
    <t>Quota/giá động chưa chốt; không khẳng định accuracy trước test.</t>
  </si>
  <si>
    <t>Không dùng giá general image API để dự toán Custom Labels.</t>
  </si>
  <si>
    <t>Chưa chọn kiến trúc/model; không đưa số accuracy giả định.</t>
  </si>
  <si>
    <t>Tùy chọn. Word Supply Chain Analyst, Nice to have</t>
  </si>
  <si>
    <t>https://roboflow.com/pricing</t>
  </si>
  <si>
    <t>https://aws.amazon.com/rekognition/pricing/</t>
  </si>
  <si>
    <t>Đánh giá kiến trúc; cần chốt model và dữ liệu</t>
  </si>
  <si>
    <t>Đề xuất: Baseline seasonal-naive rồi statsmodels/Prophet; chạy batch.</t>
  </si>
  <si>
    <t>statsmodels</t>
  </si>
  <si>
    <t>Prophet</t>
  </si>
  <si>
    <t>Seasonal-naive nội bộ</t>
  </si>
  <si>
    <t>USD phí thư viện OSS</t>
  </si>
  <si>
    <t>USD giấy phép MIT</t>
  </si>
  <si>
    <t>Không thêm SaaS.</t>
  </si>
  <si>
    <t>CPU batch, lưu feature và đánh giá backtest.</t>
  </si>
  <si>
    <t>CPU huấn luyện và công tinh chỉnh.</t>
  </si>
  <si>
    <t>Công lập baseline, backtest và dashboard.</t>
  </si>
  <si>
    <t>ETS/SARIMAX và mô hình thống kê baseline.</t>
  </si>
  <si>
    <t>Mùa vụ/lịch ngày lễ cho chuỗi đủ dữ liệu.</t>
  </si>
  <si>
    <t>Mốc đối chiếu trước khi mua ML managed.</t>
  </si>
  <si>
    <t>Tăng chuỗi SKU×retailer cần orchestration.</t>
  </si>
  <si>
    <t>Nhiều chuỗi chạy batch song song.</t>
  </si>
  <si>
    <t>Compute thấp; dễ giải thích cho Admin.</t>
  </si>
  <si>
    <t>Chạy trong backend/worker nội bộ.</t>
  </si>
  <si>
    <t>Tự host, không cần gửi dữ liệu cho Meta.</t>
  </si>
  <si>
    <t>Dùng dữ liệu đã phân quyền.</t>
  </si>
  <si>
    <t>Python worker; version model/data.</t>
  </si>
  <si>
    <t>API Python; dễ khởi đầu cho chuỗi theo thời gian.</t>
  </si>
  <si>
    <t>Nhanh nhất, dễ audit.</t>
  </si>
  <si>
    <t>Không tự suy ra lost demand hay đặt hàng; cần data đủ dài.</t>
  </si>
  <si>
    <t>Không mặc định tốt với intermittent demand; backtest bắt buộc.</t>
  </si>
  <si>
    <t>Chất lượng phụ thuộc pattern; không tự động forecast cho SKU mới.</t>
  </si>
  <si>
    <t>Tùy chọn. Word Logistics Coordinator và cold-chain optional</t>
  </si>
  <si>
    <t>https://www.statsmodels.org/stable/index.html</t>
  </si>
  <si>
    <t>https://github.com/facebook/prophet</t>
  </si>
  <si>
    <t>Word: Nice to have dự báo; phương án phân tích đề xuất</t>
  </si>
  <si>
    <t>Đề xuất: Chỉ chọn sau khi xác định thiết bị, tần suất gửi và vận chuyển có mạng.</t>
  </si>
  <si>
    <t>Nên có. Suy ra từ sync lỗi, job missed, contention và vận hành</t>
  </si>
  <si>
    <t>AWS IoT Core</t>
  </si>
  <si>
    <t>HiveMQ Lab</t>
  </si>
  <si>
    <t>ThingsBoard</t>
  </si>
  <si>
    <t>Đề xuất: Crashlytics cho mobile + logs/metrics backend; Sentry khi cần truy lỗi web/API.</t>
  </si>
  <si>
    <t>Theo edition</t>
  </si>
  <si>
    <t>Messages/connection minutes/rules/shadow</t>
  </si>
  <si>
    <t>USD gói Lab</t>
  </si>
  <si>
    <t>Community tự quản hoặc Cloud trả phí</t>
  </si>
  <si>
    <t>Ưu đãi AWS theo điều kiện tài khoản; không mặc định dài hạn.</t>
  </si>
  <si>
    <t>1 broker deployment, 100 connections, 100 msgs/s chuẩn 5 KB.</t>
  </si>
  <si>
    <t>Community có bản miễn phí; cloud theo plan.</t>
  </si>
  <si>
    <t>DB/logs/rules/Lambda/SNS và data transfer riêng.</t>
  </si>
  <si>
    <t>Production Launch/scale cần giá theo deployment.</t>
  </si>
  <si>
    <t>Hosting, device count, messages, retention và gateway.</t>
  </si>
  <si>
    <t>MQTT, device identity, rules cho cảnh báo nhiệt độ.</t>
  </si>
  <si>
    <t>MQTT PoC với gateway/cảm biến.</t>
  </si>
  <si>
    <t>Sentry</t>
  </si>
  <si>
    <t>Telemetry dashboard và rules có sẵn.</t>
  </si>
  <si>
    <t>Grafana Cloud</t>
  </si>
  <si>
    <t>Firebase Crashlytics</t>
  </si>
  <si>
    <t>Managed scale theo quotas; chia topic theo device/trip.</t>
  </si>
  <si>
    <t>Chuyển plan khi production; Lab là thử nghiệm.</t>
  </si>
  <si>
    <t>Scale tùy edition/hạ tầng.</t>
  </si>
  <si>
    <t>X.509/IAM; quản lý cert và revoke từng thiết bị.</t>
  </si>
  <si>
    <t>Device credentials/TLS; xác nhận region ở plan chọn.</t>
  </si>
  <si>
    <t>Quản trị device credentials và tenant.</t>
  </si>
  <si>
    <t>Tích hợp AWS nhiều; công setup vừa/cao.</t>
  </si>
  <si>
    <t>USD/tháng Team khi trả năm theo calculator</t>
  </si>
  <si>
    <t>Dễ bắt đầu MQTT managed.</t>
  </si>
  <si>
    <t>USD/tháng platform fee Pro theo phần pricing</t>
  </si>
  <si>
    <t>Nhanh UI IoT hơn xây từ đầu.</t>
  </si>
  <si>
    <t>USD phí Crashlytics</t>
  </si>
  <si>
    <t>Nhân đủ số cảm biến × message size × thời gian online.</t>
  </si>
  <si>
    <t>Chỉ broker; dashboard business và DB phải bổ sung.</t>
  </si>
  <si>
    <t>Có Developer free; quota chi tiết cần kiểm tra plan.</t>
  </si>
  <si>
    <t>Tách quyền truy cập IoT với hệ FEFO; đồng bộ batch/trip ID.</t>
  </si>
  <si>
    <t>Free traces/profiles mỗi loại 50 GB/tháng, retention 14 ngày theo bảng.</t>
  </si>
  <si>
    <t>No-cost Firebase product.</t>
  </si>
  <si>
    <t>https://aws.amazon.com/iot-core/pricing/</t>
  </si>
  <si>
    <t>https://www.hivemq.com/pricing/</t>
  </si>
  <si>
    <t>Team ví dụ 50.000 errors/tháng; events/logs/replays vượt quota tính thêm.</t>
  </si>
  <si>
    <t>https://thingsboard.io/pricing/</t>
  </si>
  <si>
    <t>Metrics/logs/traces có meter khác; vượt quota và retention thêm phí.</t>
  </si>
  <si>
    <t>Các dịch vụ backend/log khác riêng.</t>
  </si>
  <si>
    <t>Web/mobile/backend errors, tracing.</t>
  </si>
  <si>
    <t>OpenTelemetry, metrics retry/latency và job health.</t>
  </si>
  <si>
    <t>Crash và lỗi mobile ảnh/sync.</t>
  </si>
  <si>
    <t>Managed; sampling để kiểm soát volume.</t>
  </si>
  <si>
    <t>Managed; kiểm soát cardinality và ingestion.</t>
  </si>
  <si>
    <t>Managed mobile monitoring.</t>
  </si>
  <si>
    <t>Scrub token, PII, nội dung đơn/ảnh khỏi events.</t>
  </si>
  <si>
    <t>Loại PII; chọn stack region và retention.</t>
  </si>
  <si>
    <t>Minimize custom keys chứa dữ liệu khách hàng.</t>
  </si>
  <si>
    <t>SDK nhanh; source map upload bảo mật.</t>
  </si>
  <si>
    <t>Cấu hình collector/metrics cần công.</t>
  </si>
  <si>
    <t>SDK mobile, symbol/mapping file khi build.</t>
  </si>
  <si>
    <t>Giá annual khác monthly; không cộng mọi tín hiệu như cùng quota.</t>
  </si>
  <si>
    <t>Không coi free traces là quota logs chung; xem từng product.</t>
  </si>
  <si>
    <t>Không thay backend logs hay audit write-off.</t>
  </si>
  <si>
    <t>https://sentry.io/pricing/</t>
  </si>
  <si>
    <t>https://grafana.com/pricing/</t>
  </si>
  <si>
    <t>Cần khi triển khai. Word RBAC/audit; suy ra từ ảnh riêng tư và API mobile</t>
  </si>
  <si>
    <t>Đề xuất: TLS + API auth + secrets manager theo cloud; WAF/rate limit theo exposure.</t>
  </si>
  <si>
    <t>Cloudflare DNS/CDN/WAF</t>
  </si>
  <si>
    <t>AWS Secrets Manager</t>
  </si>
  <si>
    <t>AWS Parameter Store Standard</t>
  </si>
  <si>
    <t>USD gói Free; nâng plan theo tính năng</t>
  </si>
  <si>
    <t>USD/secret-tháng theo ví dụ pricing</t>
  </si>
  <si>
    <t>USD lưu parameter Standard theo điều kiện</t>
  </si>
  <si>
    <t>DNS/CDN/TLS cơ bản ở Free; WAF/rules theo plan.</t>
  </si>
  <si>
    <t>Không xác minh free dài hạn cho lưu secrets.</t>
  </si>
  <si>
    <t>Standard tier khác Advanced; giới hạn theo tài liệu.</t>
  </si>
  <si>
    <t>Domain registration, WAF nâng cao/Workers/paid plan.</t>
  </si>
  <si>
    <t>API $0.05/10.000 calls; rotation compute có thể riêng.</t>
  </si>
  <si>
    <t>Advanced, high-throughput và KMS có thể tính phí.</t>
  </si>
  <si>
    <t>Bảo vệ điểm vào web/API, rate limit theo thiết kế.</t>
  </si>
  <si>
    <t>Cất DB/API credentials và rotation.</t>
  </si>
  <si>
    <t>Config và secrets đơn giản khi chưa cần rotation phức tạp.</t>
  </si>
  <si>
    <t>Global edge; SLA/support tùy plan.</t>
  </si>
  <si>
    <t>Managed; cache đọc secret hợp lý.</t>
  </si>
  <si>
    <t>Quota/throttling; không fetch mỗi request một cách vô hạn.</t>
  </si>
  <si>
    <t>Origin chỉ cho traffic hợp lệ; không cache API riêng tư.</t>
  </si>
  <si>
    <t>IAM/KMS/audit; không đưa key vào app.</t>
  </si>
  <si>
    <t>IAM/SecureString; quyền decrypt kiểm soát riêng.</t>
  </si>
  <si>
    <t>DNS/proxy dễ tích hợp; kiểm tra upload size/timeouts.</t>
  </si>
  <si>
    <t>Hợp AWS; triển khai least privilege.</t>
  </si>
  <si>
    <t>Rẻ khi đã ở AWS.</t>
  </si>
  <si>
    <t>Không thay auth hay bảo vệ logic write-off; giá domain theo TLD.</t>
  </si>
  <si>
    <t>Không phải WAF/DNS; mỗi secret/version policy ảnh hưởng vận hành.</t>
  </si>
  <si>
    <t>Không đầy đủ tính năng rotation của Secrets Manager.</t>
  </si>
  <si>
    <t>https://www.cloudflare.com/plans/</t>
  </si>
  <si>
    <t>https://aws.amazon.com/secrets-manager/pricing/</t>
  </si>
  <si>
    <t>https://docs.aws.amazon.com/systems-manager/latest/userguide/parameter-store-advanced-parameters.html</t>
  </si>
  <si>
    <t>Nên có. Suy ra từ phát triển nhóm và release web/mobile/API</t>
  </si>
  <si>
    <t>Đề xuất: GitHub Actions + container; chọn một CI chính.</t>
  </si>
  <si>
    <t>GitHub Actions</t>
  </si>
  <si>
    <t>GitLab CI</t>
  </si>
  <si>
    <t>Docker + OpenTofu</t>
  </si>
  <si>
    <t>Theo license/gói</t>
  </si>
  <si>
    <t>USD gói GitHub Free trong quota</t>
  </si>
  <si>
    <t>USD gói Free trong quota</t>
  </si>
  <si>
    <t>Engine/IaC OSS; Desktop theo điều kiện</t>
  </si>
  <si>
    <t>Nên có. Flow 2 B2: 100 request đồng thời; Word edge A/B/C</t>
  </si>
  <si>
    <t>2.000 CI/CD minutes/tháng; public repo có điều kiện miễn phí riêng.</t>
  </si>
  <si>
    <t>400 compute minutes/tháng, 5 users/top-level group, 10 GiB storage.</t>
  </si>
  <si>
    <t>OpenTofu OSS; Docker Desktop miễn phí chỉ khi đủ điều kiện sử dụng.</t>
  </si>
  <si>
    <t>Runner OS/size, artifact storage, phút vượt quota và team plan.</t>
  </si>
  <si>
    <t>Nâng plan hoặc runner riêng khi vượt quota.</t>
  </si>
  <si>
    <t>Desktop trả phí, registry, runner và cloud resources.</t>
  </si>
  <si>
    <t>Đề xuất: Unit/integration + JMeter/k6 + thiết bị offline thật + Playwright.</t>
  </si>
  <si>
    <t>Build/test/deploy API/web; registry ghép theo nhu cầu.</t>
  </si>
  <si>
    <t>Cần khi triển khai. Word audit trail, write-off, traceability; suy ra vận hành</t>
  </si>
  <si>
    <t>Repo/CI/registry trong một nền tảng.</t>
  </si>
  <si>
    <t>Đóng gói môi trường, tái lập deploy/IaC.</t>
  </si>
  <si>
    <t>Hosted runners; self-hosted tự trả compute.</t>
  </si>
  <si>
    <t>Shared/self-managed runners.</t>
  </si>
  <si>
    <t>Không tự cung cấp compute/HA.</t>
  </si>
  <si>
    <t>OIDC deploy ưu tiên hơn cloud key dài hạn.</t>
  </si>
  <si>
    <t>Protected environments và secrets theo edition.</t>
  </si>
  <si>
    <t>Scan image, pin version, bảo vệ state file chứa secrets.</t>
  </si>
  <si>
    <t>YAML workflow, cache dependencies.</t>
  </si>
  <si>
    <t>Hợp nhóm đã dùng GitLab.</t>
  </si>
  <si>
    <t>Docker Compose đủ pilot; chưa cần Kubernetes.</t>
  </si>
  <si>
    <t>Đề xuất: DB backup + object version/retention + diễn tập restore.</t>
  </si>
  <si>
    <t>JMeter</t>
  </si>
  <si>
    <t>Phút macOS/mobile build không tương đương mọi runner Linux.</t>
  </si>
  <si>
    <t>k6 OSS</t>
  </si>
  <si>
    <t>Giới hạn 5 users có thể không đủ nhóm + giảng viên.</t>
  </si>
  <si>
    <t>Playwright + ZAP</t>
  </si>
  <si>
    <t>Đây là công cụ bổ sung CI; xác nhận Docker Desktop license cho doanh nghiệp.</t>
  </si>
  <si>
    <t>https://github.com/pricing</t>
  </si>
  <si>
    <t>https://about.gitlab.com/pricing/</t>
  </si>
  <si>
    <t>https://www.docker.com/pricing/
https://opentofu.org/</t>
  </si>
  <si>
    <t>USD phí OSS; cloud riêng</t>
  </si>
  <si>
    <t>USD công cụ OSS</t>
  </si>
  <si>
    <t>Supabase managed backup</t>
  </si>
  <si>
    <t>RDS backup + S3 versioning</t>
  </si>
  <si>
    <t>PostgreSQL backup tự quản</t>
  </si>
  <si>
    <t>Máy tạo tải/CI và môi trường test riêng.</t>
  </si>
  <si>
    <t>Load runner; Grafana Cloud k6 tính theo plan.</t>
  </si>
  <si>
    <t>Browser runner, môi trường scan và công phân tích.</t>
  </si>
  <si>
    <t>Race 2 đơn, 100 requests reserve, đo latency/error.</t>
  </si>
  <si>
    <t>Script load API, thresholds latency và failed checks.</t>
  </si>
  <si>
    <t>E2E phê duyệt/đối soát và scan web/API.</t>
  </si>
  <si>
    <t>Distributed load khi cần; test generator phải đủ tài nguyên.</t>
  </si>
  <si>
    <t>Scale cloud hoặc runner; báo cáo theo workload.</t>
  </si>
  <si>
    <t>Parallel tests; giới hạn scan cho scope test.</t>
  </si>
  <si>
    <t>USD/tháng Pro bundle, không cộng lại</t>
  </si>
  <si>
    <t>USD backup/storage/requests và policy</t>
  </si>
  <si>
    <t>USD license công cụ</t>
  </si>
  <si>
    <t>Không bắn load vào production ngoài kế hoạch.</t>
  </si>
  <si>
    <t>Data test giả; tách token và environment.</t>
  </si>
  <si>
    <t>Test access chéo kho, upload, authorization.</t>
  </si>
  <si>
    <t>Free không dùng làm cam kết backup production.</t>
  </si>
  <si>
    <t>Ưu đãi/quota theo dịch vụ và cấu hình.</t>
  </si>
  <si>
    <t>GUI authoring + CLI chạy CI.</t>
  </si>
  <si>
    <t>Hợp workflow JS/CI.</t>
  </si>
  <si>
    <t>Bổ sung unit/integration và test mobile thiết bị thật.</t>
  </si>
  <si>
    <t>PITR/add-on và storage ảnh tách khỏi DB backup.</t>
  </si>
  <si>
    <t>Cross-region copy, nhiều version ảnh, KMS, restore compute.</t>
  </si>
  <si>
    <t>Protocol-level; không thay test browser/mobile offline.</t>
  </si>
  <si>
    <t>Backup storage, transfer, máy restore, giờ vận hành.</t>
  </si>
  <si>
    <t>Phải kiểm tra số dư invariant sau load, không chỉ status 200.</t>
  </si>
  <si>
    <t>Không thay JMeter/k6 cho load hay kiểm thử Android WorkManager.</t>
  </si>
  <si>
    <t>Pro daily DB backups giữ 7 ngày.</t>
  </si>
  <si>
    <t>Managed DB restore + object lifecycle/retention.</t>
  </si>
  <si>
    <t>SQL dump/WAL theo nhu cầu; export audit riêng.</t>
  </si>
  <si>
    <t>https://jmeter.apache.org/</t>
  </si>
  <si>
    <t>https://grafana.com/docs/k6/latest/</t>
  </si>
  <si>
    <t>Restore theo tính năng plan; cần diễn tập.</t>
  </si>
  <si>
    <t>https://playwright.dev/
https://www.zaproxy.org/</t>
  </si>
  <si>
    <t>Thiết kế RPO/RTO, Multi-AZ và DR riêng.</t>
  </si>
  <si>
    <t>Tự quản lịch, retention, alert và restore.</t>
  </si>
  <si>
    <t>Kiểm tra quyền restore và lưu backup ngoài phạm vi lỗi.</t>
  </si>
  <si>
    <t>IAM tách quyền xóa backup; xét retention lock.</t>
  </si>
  <si>
    <t>Mã hóa, credentials riêng; backup ngoài máy DB.</t>
  </si>
  <si>
    <t>Giảm công DB ops.</t>
  </si>
  <si>
    <t>Ops vừa, policy phải được kiểm thử.</t>
  </si>
  <si>
    <t>Rẻ phần mềm, công vận hành cao.</t>
  </si>
  <si>
    <t>Không tính là backup file object; RPO daily khác PITR.</t>
  </si>
  <si>
    <t>Multi-AZ không thay backup; DB và ảnh cần khôi phục nhất quán.</t>
  </si>
  <si>
    <t>Chốt RPO/RTO trước chọn dump-only hay continuous archiving.</t>
  </si>
  <si>
    <t>https://aws.amazon.com/rds/postgresql/pricing/
https://aws.amazon.com/s3/pricing/</t>
  </si>
  <si>
    <t>https://www.postgresql.org/docs/current/backup.html</t>
  </si>
  <si>
    <t>Theo nền tảng chọn. Suy ra từ DMS mobile; chưa chốt Android/iOS</t>
  </si>
  <si>
    <t>Đề xuất: Pilot dùng Firebase App Distribution; Play khi phát hành Android.</t>
  </si>
  <si>
    <t>Firebase App Distribution</t>
  </si>
  <si>
    <t>Google Play Console</t>
  </si>
  <si>
    <t>Apple Developer Program</t>
  </si>
  <si>
    <t>Expo EAS</t>
  </si>
  <si>
    <t>Theo gói/usage</t>
  </si>
  <si>
    <t>USD phí dịch vụ</t>
  </si>
  <si>
    <t>USD phí đăng ký một lần</t>
  </si>
  <si>
    <t>USD/năm theo membership chuẩn</t>
  </si>
  <si>
    <t>Build và update theo quota</t>
  </si>
  <si>
    <t>No-cost product theo Firebase pricing.</t>
  </si>
  <si>
    <t>Không miễn phí đăng ký phổ thông.</t>
  </si>
  <si>
    <t>Chỉ có ngoại lệ miễn phí cho đối tượng đủ điều kiện.</t>
  </si>
  <si>
    <t>Có Free; quota Android/iOS/build/update xem plan hiện tại.</t>
  </si>
  <si>
    <t>Build machine và store fee nếu phát hành chính thức.</t>
  </si>
  <si>
    <t>Build/signing/device test và chính sách tài khoản.</t>
  </si>
  <si>
    <t>Máy Mac/build, thiết bị iOS; local currency có thể khác.</t>
  </si>
  <si>
    <t>Paid build credits, OTA MAU và bandwidth.</t>
  </si>
  <si>
    <t>Phát bản test cho nhóm Sales/Warehouse.</t>
  </si>
  <si>
    <t>Phát hành Android, các track test.</t>
  </si>
  <si>
    <t>iOS/TestFlight nếu nhóm mở rộng iOS.</t>
  </si>
  <si>
    <t>Build React Native/Expo trên cloud.</t>
  </si>
  <si>
    <t>Quản lý tester và release beta theo giới hạn dịch vụ.</t>
  </si>
  <si>
    <t>Store distribution; review/chính sách áp dụng.</t>
  </si>
  <si>
    <t>Store review và provisioning.</t>
  </si>
  <si>
    <t>Managed build queue; priority theo plan.</t>
  </si>
  <si>
    <t>Chỉ mời tester được phép; app ký bằng key an toàn.</t>
  </si>
  <si>
    <t>Bảo vệ tài khoản publisher và signing keys.</t>
  </si>
  <si>
    <t>Signing certificates, Keychain và quyền camera.</t>
  </si>
  <si>
    <t>Quản lý credentials ký app và env build.</t>
  </si>
  <si>
    <t>Nhanh cho pilot; kết hợp Crashlytics.</t>
  </si>
  <si>
    <t>Cần xác minh/test theo loại tài khoản.</t>
  </si>
  <si>
    <t>Chi phí và công test tăng so với Android-only.</t>
  </si>
  <si>
    <t>Không cần nếu chọn native Android và build CI riêng.</t>
  </si>
  <si>
    <t>Không thay public store hoặc MDM doanh nghiệp.</t>
  </si>
  <si>
    <t>Không quy đổi phí một lần thành $25 mỗi tháng.</t>
  </si>
  <si>
    <t>Không cần mua nếu scope chỉ Android.</t>
  </si>
  <si>
    <t>Chưa xác minh số quota cụ thể nên không dùng trong dự toán.</t>
  </si>
  <si>
    <t>https://support.google.com/googleplay/android-developer/answer/6112435</t>
  </si>
  <si>
    <t>https://developer.apple.com/programs/whats-included/</t>
  </si>
  <si>
    <t>https://expo.dev/pricing</t>
  </si>
  <si>
    <t>Cách dùng bảng và nguyên tắc đánh giá</t>
  </si>
  <si>
    <t>Dành cho nhóm phát triển FSCM lựa chọn stack, dự toán pilot và chuẩn bị trao đổi với nhà cung cấp.</t>
  </si>
  <si>
    <t>Chủ đề</t>
  </si>
  <si>
    <t>Nội dung</t>
  </si>
  <si>
    <t>Lưu ý sử dụng</t>
  </si>
  <si>
    <t>Phạm vi “tất cả tech”</t>
  </si>
  <si>
    <t>Bao phủ năng lực nêu trong 2 tài liệu và các phần hạ tầng/vận hành cần suy ra. Mỗi nhóm có shortlist 3–4 lựa chọn, không phải danh sách mọi vendor trên thị trường.</t>
  </si>
  <si>
    <t>Không cần mua toàn bộ. Một số hàng là công cụ bổ sung nhau, đã ghi rõ ở từng tab.</t>
  </si>
  <si>
    <t>Nguồn yêu cầu</t>
  </si>
  <si>
    <t>Project_Detail_v2.0.docx: Actors, Must have, Nice to have, Happy/Edge cases. FEFO_Context_CoreFlow_v1.0.xlsx: tất cả tab có nội dung, đặc biệt 3–9.</t>
  </si>
  <si>
    <t>Tab “Trang tính1” trống. Các tài liệu gốc khác được core flow nhắc tới chưa được cung cấp trong lượt này.</t>
  </si>
  <si>
    <t>Nguồn giá</t>
  </si>
  <si>
    <t>Trang chính thức được truy cập ngày 20/09/2026. URL đặt tại hàng Nguồn mỗi tab.</t>
  </si>
  <si>
    <t>Trang giá động không trích được số thì ghi “chưa chốt/theo usage/liên hệ”, không điền 0.</t>
  </si>
  <si>
    <t>Số tiền</t>
  </si>
  <si>
    <t>Giá tham chiếu giữ nguyên USD hoặc VND theo đơn vị cạnh số. Các gói trả năm/one-time được ghi riêng.</t>
  </si>
  <si>
    <t>Không tự đổi tỷ giá; thuế, phí thẻ, chiết khấu hợp đồng và region có thể thay đổi hóa đơn.</t>
  </si>
  <si>
    <t>Free không đồng nhất</t>
  </si>
  <si>
    <t>Tách recurring free quota, trial/credit có thời hạn, OSS miễn license và commercial free theo điều kiện.</t>
  </si>
  <si>
    <t>Self-host không miễn compute/backup/on-call. Trial không dùng làm ngân sách production dài hạn.</t>
  </si>
  <si>
    <t>So sánh định tính</t>
  </si>
  <si>
    <t>Các hàng phù hợp, scale, vận hành và lock-in là nhận định kiến trúc dựa trên chức năng và scope; chưa có benchmark dự án.</t>
  </si>
  <si>
    <t>Không gán điểm số giả hoặc cam kết latency/accuracy chưa đo. SLA chỉ là điều khoản nếu plan/hợp đồng thật có.</t>
  </si>
  <si>
    <t>Đề xuất pilot</t>
  </si>
  <si>
    <t>React SPA; Spring Boot; PostgreSQL; Android Kotlin + Room/WorkManager; R2; DB notifications + FCM; Quartz/outbox.</t>
  </si>
  <si>
    <t>Auth chọn một hướng. SQL constraints/transactions và API là nơi thực thi FEFO, quyền và số dư.</t>
  </si>
  <si>
    <t>Mở rộng production</t>
  </si>
  <si>
    <t>Chọn region gần người dùng và DB/API cùng vùng nếu có thể; managed DB, backup, observability và quota alerts.</t>
  </si>
  <si>
    <t>Chốt RPO/RTO, retention, SLA hỗ trợ và quyền di chuyển dữ liệu trước ký dịch vụ.</t>
  </si>
  <si>
    <t>TCO cần thu thập</t>
  </si>
  <si>
    <t>MAU, peak requests, orders/day, SKU/batch count, kho/đại lý, ảnh/order, MB/ảnh, số lần xem, retention, email/ngày, map matrix elements, AI tokens.</t>
  </si>
  <si>
    <t>TCO = phí fixed + usage + egress + backup + hỗ trợ + license + công vận hành. Tab ước tính chỉ minh họa meter đã có rate rõ.</t>
  </si>
  <si>
    <t>Tránh cộng đôi</t>
  </si>
  <si>
    <t>Supabase Pro có DB/Auth/Storage cùng bundle; Railway minimum gồm usage credit.</t>
  </si>
  <si>
    <t>Không cộng $25 cho từng Supabase component hoặc cộng cả minimum và usage đã nằm trong credit.</t>
  </si>
  <si>
    <t>Tiêu chí PoC bắt buộc</t>
  </si>
  <si>
    <t>Đơn offline gửi lại không trùng; 2 sales tranh batch; không âm tồn; reserve khác physical; ảnh gắn đúng chứng từ; đúng quyền hai cấp; restore dữ liệu được.</t>
  </si>
  <si>
    <t>Maps test địa chỉ VN; OCR test nhãn thật; CV có ground truth; forecast có holdout/backtest.</t>
  </si>
  <si>
    <t>Những tech nhỏ đã gộp</t>
  </si>
  <si>
    <t>REST/OpenAPI, validation, ORM/migrations, transaction/versioning, idempotency và state machine thuộc Backend/SQL. Camera/compression thuộc Camera. Registry/IaC thuộc CI/CD.</t>
  </si>
  <si>
    <t>GPS thuộc Maps/mobile optional; TLS/DNS/secrets thuộc Security; PDF/Excel/printing thuộc Documents.</t>
  </si>
  <si>
    <t>Ngoài scope hiện tại</t>
  </si>
  <si>
    <t>Payment gateway, e-invoice, kế toán/ERP, inventory điểm bán, chatbot/vector DB, Kubernetes/Kafka không có yêu cầu bắt buộc trong tài liệu đã đọc.</t>
  </si>
  <si>
    <t>Không đánh dấu cần mua chỉ vì có thể dùng trong tương lai. Có thể bổ sung khi requirements được duyệt.</t>
  </si>
  <si>
    <t>Quy trình lựa chọn</t>
  </si>
  <si>
    <t>1. Chốt scope. 2. Chọn shortlist. 3. PoC chức năng bắt buộc. 4. Đo usage/latency. 5. Kiểm tra license, data và SLA. 6. Chốt tổng giá theo quote.</t>
  </si>
  <si>
    <t>Điền lựa chọn ở cột H tab chính; mở tab con để xem lý do và điều kiện giá.</t>
  </si>
  <si>
    <t>Các điểm phạm vi ảnh hưởng lựa chọn công nghệ</t>
  </si>
  <si>
    <t>Các đề xuất dưới đây là quyết định phân tích để so sánh; chưa sửa nội dung hai file nguồn.</t>
  </si>
  <si>
    <t>Vấn đề</t>
  </si>
  <si>
    <t>Vị trí trong tài liệu</t>
  </si>
  <si>
    <t>Khác biệt / thiếu thông tin</t>
  </si>
  <si>
    <t>Cách xử lý trong workbook</t>
  </si>
  <si>
    <t>Cần chốt trước triển khai</t>
  </si>
  <si>
    <t>P01</t>
  </si>
  <si>
    <t>ETA/MLOR có thuộc core?</t>
  </si>
  <si>
    <t>Word: Must/Nice; Flow 3 dòng 2 so với bước 11,13; Flow 4 B2</t>
  </si>
  <si>
    <t>Flow 3 nói không thuộc core nhưng gọi FEFO–MLOR đầy đủ.</t>
  </si>
  <si>
    <t>Đánh dấu Maps/Optimization là cần chốt, không bắt buộc mua ngay.</t>
  </si>
  <si>
    <t>Chọn FEFO cơ bản hoặc B1–B5 đầy đủ; chốt dữ liệu tuyến, lịch, MLOR.</t>
  </si>
  <si>
    <t>P02</t>
  </si>
  <si>
    <t>Ai duyệt nhập?</t>
  </si>
  <si>
    <t>Word Administrator; Flow 3 bước 3; Flow 5 bước 4</t>
  </si>
  <si>
    <t>Flow 5 vẫn để Thủ kho “Duyệt”.</t>
  </si>
  <si>
    <t>Dùng Administrator duyệt theo Word và Flow 3.</t>
  </si>
  <si>
    <t>Cập nhật tab chi tiết, test người tạo không tự duyệt.</t>
  </si>
  <si>
    <t>P03</t>
  </si>
  <si>
    <t>Nhận hàng và Completed</t>
  </si>
  <si>
    <t>Word Retail Store Manager; Flow 3 bước 20–25; Flow 8</t>
  </si>
  <si>
    <t>Flow 8 vẫn dùng Sales/Shipper và Completed.</t>
  </si>
  <si>
    <t>Tách Receipt Reconciliation khỏi order Dispatched; transportation optional.</t>
  </si>
  <si>
    <t>Chốt actor và state machine trước viết push/POD.</t>
  </si>
  <si>
    <t>P04</t>
  </si>
  <si>
    <t>Batch ID có duy nhất?</t>
  </si>
  <si>
    <t>Word và Flow 3: [SKU]-[YYMMDD]</t>
  </si>
  <si>
    <t>Nhiều batch cùng SKU/ngày có thể trùng mã.</t>
  </si>
  <si>
    <t>UUID/ID nội bộ + batch code có sequence/supplier lot.</t>
  </si>
  <si>
    <t>Chốt cách sinh mã, constraint unique và dữ liệu quét.</t>
  </si>
  <si>
    <t>P05</t>
  </si>
  <si>
    <t>Write-off hai cấp</t>
  </si>
  <si>
    <t>Word Must have; Flow 3 bước 29–31</t>
  </si>
  <si>
    <t>Chưa mô tả chi tiết quyền hai cấp trong actor chỉ có Admin.</t>
  </si>
  <si>
    <t>Lưu từng approval, người duyệt, thời gian; check stock lại trong commit.</t>
  </si>
  <si>
    <t>Chốt separation of duties và 2 người duyệt có bắt buộc khác nhau.</t>
  </si>
  <si>
    <t>P06</t>
  </si>
  <si>
    <t>Override batch khi pick</t>
  </si>
  <si>
    <t>Flow 6 bước 6; Flow 3 bước 17</t>
  </si>
  <si>
    <t>Cho override nhưng core không cho tự chọn batch ngoài allocation.</t>
  </si>
  <si>
    <t>Override phải revalidate eligibility, reserve batch mới và release batch cũ atomically.</t>
  </si>
  <si>
    <t>Không chỉ đổi Batch ID trong audit.</t>
  </si>
  <si>
    <t>P07</t>
  </si>
  <si>
    <t>Số liệu sizing</t>
  </si>
  <si>
    <t>Hai tài liệu không nêu traffic production, số thiết bị hay GB ảnh</t>
  </si>
  <si>
    <t>100 concurrent requests là test, không phải nhu cầu dịch vụ thực.</t>
  </si>
  <si>
    <t>Ước tính là giả định chỉnh được; chưa chốt tổng TCO.</t>
  </si>
  <si>
    <t>Thu thập MAU, orders/day, ảnh/order, retention, regions, RPO/RTO.</t>
  </si>
  <si>
    <t>P08</t>
  </si>
  <si>
    <t>Phạm vi không có yêu cầu</t>
  </si>
  <si>
    <t>Word và core flow đã đọc</t>
  </si>
  <si>
    <t>Không có online payment, hóa đơn điện tử, quản lý tồn điểm bán, ERP integration bắt buộc.</t>
  </si>
  <si>
    <t>Không đưa payment/e-invoice/ERP SaaS vào stack bắt buộc.</t>
  </si>
  <si>
    <t>Chỉ mở lại khi có yêu cầu mới; không suy từ chữ “phân phối”.</t>
  </si>
  <si>
    <t>P09</t>
  </si>
  <si>
    <t>Microservices và distributed reservation</t>
  </si>
  <si>
    <t>Flow 4 bước 20 là trường hợp nhiều DB/service</t>
  </si>
  <si>
    <t>Nhiều kho không bắt buộc nhiều database độc lập.</t>
  </si>
  <si>
    <t>Ưu tiên một SQL transaction cho reserve đa kho; outbox cho sự kiện.</t>
  </si>
  <si>
    <t>Saga/bù trừ chỉ cần khi thực sự chia service/DB.</t>
  </si>
  <si>
    <t>P10</t>
  </si>
  <si>
    <t>Hạn sử dụng và cron</t>
  </si>
  <si>
    <t>Word cron 00:00; Flow 5 expired</t>
  </si>
  <si>
    <t>Job trễ có thể để trạng thái batch cũ.</t>
  </si>
  <si>
    <t>Check expiry ngay trong allocation/issue; cron phục vụ trạng thái/cảnh báo.</t>
  </si>
  <si>
    <t>Chốt timezone, nghĩa của EXP date và job retry/misfire.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</si>
</sst>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
    <numFmt numFmtId="165" formatCode="0.########"/>
  </numFmts>
  <fonts count="8">
    <font>
      <sz val="11.0"/>
      <color rgb="FF000000"/>
      <name val="Carlito"/>
      <scheme val="minor"/>
    </font>
    <font>
      <b/>
      <sz val="16.0"/>
      <color rgb="FFFFFFFF"/>
      <name val="Arial"/>
    </font>
    <font/>
    <font>
      <sz val="11.0"/>
      <color rgb="FF183549"/>
      <name val="Arial"/>
    </font>
    <font>
      <sz val="11.0"/>
      <color rgb="FF007F82"/>
      <name val="Arial"/>
    </font>
    <font>
      <b/>
      <sz val="11.0"/>
      <color rgb="FFFFFFFF"/>
      <name val="Arial"/>
    </font>
    <font>
      <b/>
      <sz val="11.0"/>
      <color rgb="FF183549"/>
      <name val="Arial"/>
    </font>
    <font>
      <sz val="10.0"/>
      <color rgb="FF007F82"/>
      <name val="Arial"/>
    </font>
  </fonts>
  <fills count="12">
    <fill>
      <patternFill patternType="none"/>
    </fill>
    <fill>
      <patternFill patternType="lightGray"/>
    </fill>
    <fill>
      <patternFill patternType="solid">
        <fgColor rgb="FF17354A"/>
        <bgColor rgb="FF17354A"/>
      </patternFill>
    </fill>
    <fill>
      <patternFill patternType="solid">
        <fgColor rgb="FFE8F4F3"/>
        <bgColor rgb="FFE8F4F3"/>
      </patternFill>
    </fill>
    <fill>
      <patternFill patternType="solid">
        <fgColor rgb="FF007F82"/>
        <bgColor rgb="FF007F82"/>
      </patternFill>
    </fill>
    <fill>
      <patternFill patternType="solid">
        <fgColor rgb="FFFFF0C2"/>
        <bgColor rgb="FFFFF0C2"/>
      </patternFill>
    </fill>
    <fill>
      <patternFill patternType="solid">
        <fgColor rgb="FFFFF2CC"/>
        <bgColor rgb="FFFFF2CC"/>
      </patternFill>
    </fill>
    <fill>
      <patternFill patternType="solid">
        <fgColor rgb="FFF3F6F8"/>
        <bgColor rgb="FFF3F6F8"/>
      </patternFill>
    </fill>
    <fill>
      <patternFill patternType="solid">
        <fgColor rgb="FFF6FAFB"/>
        <bgColor rgb="FFF6FAFB"/>
      </patternFill>
    </fill>
    <fill>
      <patternFill patternType="solid">
        <fgColor rgb="FFB3E5A1"/>
        <bgColor rgb="FFB3E5A1"/>
      </patternFill>
    </fill>
    <fill>
      <patternFill patternType="solid">
        <fgColor rgb="FFFFF7D6"/>
        <bgColor rgb="FFFFF7D6"/>
      </patternFill>
    </fill>
    <fill>
      <patternFill patternType="solid">
        <fgColor rgb="FFEA9999"/>
        <bgColor rgb="FFEA9999"/>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0" fontId="2" numFmtId="0" xfId="0" applyBorder="1" applyFont="1"/>
    <xf borderId="3" fillId="0" fontId="2" numFmtId="0" xfId="0" applyBorder="1" applyFont="1"/>
    <xf borderId="1" fillId="3" fontId="3" numFmtId="0" xfId="0" applyAlignment="1" applyBorder="1" applyFill="1" applyFont="1">
      <alignment shrinkToFit="0" vertical="center" wrapText="1"/>
    </xf>
    <xf borderId="0" fillId="0" fontId="4" numFmtId="0" xfId="0" applyAlignment="1" applyFont="1">
      <alignment shrinkToFit="0" vertical="center" wrapText="1"/>
    </xf>
    <xf borderId="0" fillId="0" fontId="3" numFmtId="0" xfId="0" applyAlignment="1" applyFont="1">
      <alignment shrinkToFit="0" vertical="center" wrapText="1"/>
    </xf>
    <xf borderId="4" fillId="4" fontId="5" numFmtId="0" xfId="0" applyAlignment="1" applyBorder="1" applyFill="1" applyFont="1">
      <alignment shrinkToFit="0" vertical="center" wrapText="1"/>
    </xf>
    <xf borderId="1" fillId="5" fontId="3" numFmtId="0" xfId="0" applyAlignment="1" applyBorder="1" applyFill="1" applyFont="1">
      <alignment shrinkToFit="0" vertical="center" wrapText="1"/>
    </xf>
    <xf borderId="4" fillId="6" fontId="3" numFmtId="164" xfId="0" applyAlignment="1" applyBorder="1" applyFill="1" applyFont="1" applyNumberFormat="1">
      <alignment shrinkToFit="0" vertical="center" wrapText="1"/>
    </xf>
    <xf borderId="4" fillId="7" fontId="6" numFmtId="0" xfId="0" applyAlignment="1" applyBorder="1" applyFill="1" applyFont="1">
      <alignment shrinkToFit="0" vertical="center" wrapText="1"/>
    </xf>
    <xf borderId="4" fillId="8" fontId="3" numFmtId="3" xfId="0" applyAlignment="1" applyBorder="1" applyFill="1" applyFont="1" applyNumberFormat="1">
      <alignment shrinkToFit="0" vertical="center" wrapText="1"/>
    </xf>
    <xf borderId="4" fillId="8" fontId="3" numFmtId="0" xfId="0" applyAlignment="1" applyBorder="1" applyFill="1" applyFont="1">
      <alignment shrinkToFit="0" vertical="center" wrapText="1"/>
    </xf>
    <xf borderId="0" fillId="0" fontId="3" numFmtId="164" xfId="0" applyAlignment="1" applyFont="1" applyNumberFormat="1">
      <alignment shrinkToFit="0" vertical="center" wrapText="1"/>
    </xf>
    <xf borderId="0" fillId="0" fontId="7" numFmtId="0" xfId="0" applyAlignment="1" applyFont="1">
      <alignment shrinkToFit="0" vertical="center" wrapText="1"/>
    </xf>
    <xf borderId="1" fillId="2" fontId="1" numFmtId="0" xfId="0" applyAlignment="1" applyBorder="1" applyFill="1" applyFont="1">
      <alignment readingOrder="0" shrinkToFit="0" vertical="center" wrapText="1"/>
    </xf>
    <xf borderId="4" fillId="3" fontId="3" numFmtId="0" xfId="0" applyAlignment="1" applyBorder="1" applyFill="1" applyFont="1">
      <alignment shrinkToFit="0" vertical="center" wrapText="1"/>
    </xf>
    <xf borderId="4" fillId="3" fontId="3" numFmtId="164" xfId="0" applyAlignment="1" applyBorder="1" applyFill="1" applyFont="1" applyNumberFormat="1">
      <alignment shrinkToFit="0" vertical="center" wrapText="1"/>
    </xf>
    <xf borderId="4" fillId="4" fontId="5" numFmtId="0" xfId="0" applyAlignment="1" applyBorder="1" applyFill="1" applyFont="1">
      <alignment horizontal="left" readingOrder="0" shrinkToFit="0" vertical="center" wrapText="1"/>
    </xf>
    <xf borderId="0" fillId="0" fontId="3" numFmtId="0" xfId="0" applyAlignment="1" applyFont="1">
      <alignment shrinkToFit="0" vertical="center" wrapText="1"/>
    </xf>
    <xf borderId="0" fillId="0" fontId="4" numFmtId="0" xfId="0" applyAlignment="1" applyFont="1">
      <alignment shrinkToFit="0" vertical="center" wrapText="1"/>
    </xf>
    <xf borderId="4" fillId="9" fontId="3" numFmtId="0" xfId="0" applyAlignment="1" applyBorder="1" applyFill="1" applyFont="1">
      <alignment shrinkToFit="0" vertical="center" wrapText="1"/>
    </xf>
    <xf borderId="4" fillId="9" fontId="3" numFmtId="0" xfId="0" applyAlignment="1" applyBorder="1" applyFill="1" applyFont="1">
      <alignment readingOrder="0" shrinkToFit="0" vertical="center" wrapText="1"/>
    </xf>
    <xf borderId="4" fillId="8" fontId="3" numFmtId="165" xfId="0" applyAlignment="1" applyBorder="1" applyFill="1" applyFont="1" applyNumberFormat="1">
      <alignment shrinkToFit="0" vertical="center" wrapText="1"/>
    </xf>
    <xf borderId="4" fillId="10" fontId="3" numFmtId="0" xfId="0" applyAlignment="1" applyBorder="1" applyFill="1" applyFont="1">
      <alignment readingOrder="0" shrinkToFit="0" vertical="center" wrapText="1"/>
    </xf>
    <xf borderId="4" fillId="11" fontId="3" numFmtId="0" xfId="0" applyAlignment="1" applyBorder="1" applyFill="1" applyFont="1">
      <alignment readingOrder="0" shrinkToFit="0" vertical="center" wrapText="1"/>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2">
    <tableStyle count="4" pivot="0" name="00_Tong_hop-style">
      <tableStyleElement dxfId="1" type="headerRow"/>
      <tableStyleElement dxfId="2" type="firstRowStripe"/>
      <tableStyleElement dxfId="3" type="secondRowStripe"/>
      <tableStyleElement dxfId="4" size="0" type="wholeTable"/>
    </tableStyle>
    <tableStyle count="4" pivot="0" name="32_Pham_vi-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customschemas.google.com/relationships/workbookmetadata" Target="metadata"/><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7:H38" displayName="TechnologyInventory" name="TechnologyInventory" id="1">
  <tableColumns count="8">
    <tableColumn name="Mã" id="1"/>
    <tableColumn name="Nhóm công nghệ" id="2"/>
    <tableColumn name="Mức cần thiết" id="3"/>
    <tableColumn name="Yêu cầu / core flow" id="4"/>
    <tableColumn name="Khuyến nghị ban đầu" id="5"/>
    <tableColumn name="Điều kiện / rủi ro chính" id="6"/>
    <tableColumn name="So sánh" id="7"/>
    <tableColumn name="Lựa chọn đang cân nhắc" id="8"/>
  </tableColumns>
  <tableStyleInfo name="00_Tong_hop-style" showColumnStripes="0" showFirstColumn="1" showLastColumn="1" showRowStripes="1"/>
</table>
</file>

<file path=xl/tables/table2.xml><?xml version="1.0" encoding="utf-8"?>
<table xmlns="http://schemas.openxmlformats.org/spreadsheetml/2006/main" ref="A5:F15" displayName="ScopeDecisions" name="ScopeDecisions" id="2">
  <tableColumns count="6">
    <tableColumn name="Mã" id="1"/>
    <tableColumn name="Vấn đề" id="2"/>
    <tableColumn name="Vị trí trong tài liệu" id="3"/>
    <tableColumn name="Khác biệt / thiếu thông tin" id="4"/>
    <tableColumn name="Cách xử lý trong workbook" id="5"/>
    <tableColumn name="Cần chốt trước triển khai" id="6"/>
  </tableColumns>
  <tableStyleInfo name="32_Pham_v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 Id="rId3" Type="http://schemas.openxmlformats.org/officeDocument/2006/relationships/table" Target="../tables/table2.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F82"/>
    <pageSetUpPr/>
  </sheetPr>
  <sheetViews>
    <sheetView showGridLines="0" workbookViewId="0"/>
  </sheetViews>
  <sheetFormatPr customHeight="1" defaultColWidth="12.63" defaultRowHeight="15.0"/>
  <cols>
    <col customWidth="1" min="1" max="1" width="9.0"/>
    <col customWidth="1" min="2" max="2" width="31.0"/>
    <col customWidth="1" min="3" max="3" width="23.0"/>
    <col customWidth="1" min="4" max="4" width="40.0"/>
    <col customWidth="1" min="5" max="6" width="48.0"/>
    <col customWidth="1" min="7" max="7" width="23.0"/>
    <col customWidth="1" min="8" max="8" width="26.0"/>
    <col customWidth="1" min="9" max="26" width="8.63"/>
  </cols>
  <sheetData>
    <row r="1" ht="37.5" customHeight="1">
      <c r="A1" s="15" t="s">
        <v>109</v>
      </c>
      <c r="B1" s="2"/>
      <c r="C1" s="2"/>
      <c r="D1" s="2"/>
      <c r="E1" s="2"/>
      <c r="F1" s="2"/>
      <c r="G1" s="2"/>
      <c r="H1" s="3"/>
    </row>
    <row r="2" ht="48.0" customHeight="1">
      <c r="A2" s="4" t="s">
        <v>122</v>
      </c>
      <c r="B2" s="2"/>
      <c r="C2" s="2"/>
      <c r="D2" s="2"/>
      <c r="E2" s="2"/>
      <c r="F2" s="2"/>
      <c r="G2" s="2"/>
      <c r="H2" s="3"/>
    </row>
    <row r="3" ht="45.75" customHeight="1">
      <c r="A3" s="6" t="s">
        <v>123</v>
      </c>
    </row>
    <row r="4" ht="30.0" customHeight="1">
      <c r="A4" s="5" t="s">
        <v>124</v>
      </c>
      <c r="C4" s="5" t="s">
        <v>125</v>
      </c>
      <c r="E4" s="5" t="s">
        <v>126</v>
      </c>
    </row>
    <row r="5" ht="43.5" customHeight="1">
      <c r="A5" s="8" t="s">
        <v>128</v>
      </c>
      <c r="B5" s="2"/>
      <c r="C5" s="2"/>
      <c r="D5" s="2"/>
      <c r="E5" s="2"/>
      <c r="F5" s="2"/>
      <c r="G5" s="2"/>
      <c r="H5" s="3"/>
    </row>
    <row r="6" ht="14.25" customHeight="1">
      <c r="A6" s="6"/>
      <c r="B6" s="6"/>
      <c r="C6" s="6"/>
      <c r="D6" s="6"/>
      <c r="E6" s="6"/>
      <c r="F6" s="6"/>
      <c r="G6" s="6"/>
      <c r="H6" s="6"/>
    </row>
    <row r="7" ht="39.75" customHeight="1">
      <c r="A7" s="18" t="s">
        <v>133</v>
      </c>
      <c r="B7" s="18" t="s">
        <v>138</v>
      </c>
      <c r="C7" s="18" t="s">
        <v>141</v>
      </c>
      <c r="D7" s="18" t="s">
        <v>145</v>
      </c>
      <c r="E7" s="18" t="s">
        <v>148</v>
      </c>
      <c r="F7" s="18" t="s">
        <v>152</v>
      </c>
      <c r="G7" s="18" t="s">
        <v>153</v>
      </c>
      <c r="H7" s="18" t="s">
        <v>154</v>
      </c>
    </row>
    <row r="8" ht="96.0" customHeight="1">
      <c r="A8" s="19" t="s">
        <v>161</v>
      </c>
      <c r="B8" s="19" t="s">
        <v>0</v>
      </c>
      <c r="C8" s="19" t="s">
        <v>168</v>
      </c>
      <c r="D8" s="19" t="s">
        <v>169</v>
      </c>
      <c r="E8" s="19" t="s">
        <v>170</v>
      </c>
      <c r="F8" s="19" t="s">
        <v>17</v>
      </c>
      <c r="G8" s="20" t="s">
        <v>171</v>
      </c>
      <c r="H8" s="21" t="s">
        <v>32</v>
      </c>
    </row>
    <row r="9" ht="96.0" customHeight="1">
      <c r="A9" s="19" t="s">
        <v>180</v>
      </c>
      <c r="B9" s="19" t="s">
        <v>1</v>
      </c>
      <c r="C9" s="19" t="s">
        <v>168</v>
      </c>
      <c r="D9" s="19" t="s">
        <v>181</v>
      </c>
      <c r="E9" s="19" t="s">
        <v>182</v>
      </c>
      <c r="F9" s="19" t="s">
        <v>11</v>
      </c>
      <c r="G9" s="20" t="s">
        <v>183</v>
      </c>
      <c r="H9" s="21" t="s">
        <v>184</v>
      </c>
    </row>
    <row r="10" ht="96.0" customHeight="1">
      <c r="A10" s="19" t="s">
        <v>185</v>
      </c>
      <c r="B10" s="19" t="s">
        <v>186</v>
      </c>
      <c r="C10" s="19" t="s">
        <v>168</v>
      </c>
      <c r="D10" s="19" t="s">
        <v>187</v>
      </c>
      <c r="E10" s="19" t="s">
        <v>188</v>
      </c>
      <c r="F10" s="19" t="s">
        <v>189</v>
      </c>
      <c r="G10" s="20" t="s">
        <v>190</v>
      </c>
      <c r="H10" s="21" t="s">
        <v>191</v>
      </c>
    </row>
    <row r="11" ht="96.0" customHeight="1">
      <c r="A11" s="19" t="s">
        <v>192</v>
      </c>
      <c r="B11" s="19" t="s">
        <v>193</v>
      </c>
      <c r="C11" s="19" t="s">
        <v>168</v>
      </c>
      <c r="D11" s="19" t="s">
        <v>194</v>
      </c>
      <c r="E11" s="19" t="s">
        <v>195</v>
      </c>
      <c r="F11" s="19" t="s">
        <v>196</v>
      </c>
      <c r="G11" s="20" t="s">
        <v>197</v>
      </c>
      <c r="H11" s="22" t="s">
        <v>198</v>
      </c>
    </row>
    <row r="12" ht="96.0" customHeight="1">
      <c r="A12" s="19" t="s">
        <v>199</v>
      </c>
      <c r="B12" s="19" t="s">
        <v>200</v>
      </c>
      <c r="C12" s="19" t="s">
        <v>168</v>
      </c>
      <c r="D12" s="19" t="s">
        <v>201</v>
      </c>
      <c r="E12" s="19" t="s">
        <v>202</v>
      </c>
      <c r="F12" s="19" t="s">
        <v>203</v>
      </c>
      <c r="G12" s="20" t="s">
        <v>204</v>
      </c>
      <c r="H12" s="22" t="s">
        <v>205</v>
      </c>
    </row>
    <row r="13" ht="96.0" customHeight="1">
      <c r="A13" s="19" t="s">
        <v>206</v>
      </c>
      <c r="B13" s="19" t="s">
        <v>207</v>
      </c>
      <c r="C13" s="19" t="s">
        <v>208</v>
      </c>
      <c r="D13" s="19" t="s">
        <v>209</v>
      </c>
      <c r="E13" s="19" t="s">
        <v>210</v>
      </c>
      <c r="F13" s="19" t="s">
        <v>211</v>
      </c>
      <c r="G13" s="20" t="s">
        <v>212</v>
      </c>
      <c r="H13" s="22" t="s">
        <v>205</v>
      </c>
    </row>
    <row r="14" ht="96.0" customHeight="1">
      <c r="A14" s="19" t="s">
        <v>214</v>
      </c>
      <c r="B14" s="19" t="s">
        <v>215</v>
      </c>
      <c r="C14" s="19" t="s">
        <v>168</v>
      </c>
      <c r="D14" s="19" t="s">
        <v>216</v>
      </c>
      <c r="E14" s="19" t="s">
        <v>218</v>
      </c>
      <c r="F14" s="19" t="s">
        <v>219</v>
      </c>
      <c r="G14" s="20" t="s">
        <v>220</v>
      </c>
      <c r="H14" s="21" t="s">
        <v>221</v>
      </c>
    </row>
    <row r="15" ht="96.0" customHeight="1">
      <c r="A15" s="19" t="s">
        <v>225</v>
      </c>
      <c r="B15" s="19" t="s">
        <v>226</v>
      </c>
      <c r="C15" s="19" t="s">
        <v>168</v>
      </c>
      <c r="D15" s="19" t="s">
        <v>229</v>
      </c>
      <c r="E15" s="19" t="s">
        <v>232</v>
      </c>
      <c r="F15" s="19" t="s">
        <v>236</v>
      </c>
      <c r="G15" s="20" t="s">
        <v>240</v>
      </c>
      <c r="H15" s="21" t="s">
        <v>244</v>
      </c>
    </row>
    <row r="16" ht="96.0" customHeight="1">
      <c r="A16" s="19" t="s">
        <v>251</v>
      </c>
      <c r="B16" s="19" t="s">
        <v>256</v>
      </c>
      <c r="C16" s="19" t="s">
        <v>168</v>
      </c>
      <c r="D16" s="19" t="s">
        <v>260</v>
      </c>
      <c r="E16" s="19" t="s">
        <v>262</v>
      </c>
      <c r="F16" s="19" t="s">
        <v>263</v>
      </c>
      <c r="G16" s="20" t="s">
        <v>264</v>
      </c>
      <c r="H16" s="21" t="s">
        <v>265</v>
      </c>
    </row>
    <row r="17" ht="96.0" customHeight="1">
      <c r="A17" s="19" t="s">
        <v>268</v>
      </c>
      <c r="B17" s="19" t="s">
        <v>269</v>
      </c>
      <c r="C17" s="19" t="s">
        <v>168</v>
      </c>
      <c r="D17" s="19" t="s">
        <v>271</v>
      </c>
      <c r="E17" s="19" t="s">
        <v>274</v>
      </c>
      <c r="F17" s="19" t="s">
        <v>276</v>
      </c>
      <c r="G17" s="20" t="s">
        <v>279</v>
      </c>
      <c r="H17" s="21" t="s">
        <v>281</v>
      </c>
    </row>
    <row r="18" ht="96.0" customHeight="1">
      <c r="A18" s="19" t="s">
        <v>285</v>
      </c>
      <c r="B18" s="19" t="s">
        <v>287</v>
      </c>
      <c r="C18" s="19" t="s">
        <v>168</v>
      </c>
      <c r="D18" s="19" t="s">
        <v>291</v>
      </c>
      <c r="E18" s="19" t="s">
        <v>294</v>
      </c>
      <c r="F18" s="19" t="s">
        <v>301</v>
      </c>
      <c r="G18" s="20" t="s">
        <v>302</v>
      </c>
      <c r="H18" s="22" t="s">
        <v>303</v>
      </c>
    </row>
    <row r="19" ht="96.0" customHeight="1">
      <c r="A19" s="19" t="s">
        <v>304</v>
      </c>
      <c r="B19" s="19" t="s">
        <v>305</v>
      </c>
      <c r="C19" s="19" t="s">
        <v>306</v>
      </c>
      <c r="D19" s="19" t="s">
        <v>307</v>
      </c>
      <c r="E19" s="19" t="s">
        <v>308</v>
      </c>
      <c r="F19" s="19" t="s">
        <v>309</v>
      </c>
      <c r="G19" s="20" t="s">
        <v>310</v>
      </c>
      <c r="H19" s="22" t="s">
        <v>311</v>
      </c>
    </row>
    <row r="20" ht="96.0" customHeight="1">
      <c r="A20" s="19" t="s">
        <v>312</v>
      </c>
      <c r="B20" s="19" t="s">
        <v>313</v>
      </c>
      <c r="C20" s="19" t="s">
        <v>314</v>
      </c>
      <c r="D20" s="19" t="s">
        <v>315</v>
      </c>
      <c r="E20" s="19" t="s">
        <v>316</v>
      </c>
      <c r="F20" s="19" t="s">
        <v>317</v>
      </c>
      <c r="G20" s="20" t="s">
        <v>318</v>
      </c>
      <c r="H20" s="21" t="s">
        <v>319</v>
      </c>
    </row>
    <row r="21" ht="96.0" customHeight="1">
      <c r="A21" s="19" t="s">
        <v>320</v>
      </c>
      <c r="B21" s="19" t="s">
        <v>321</v>
      </c>
      <c r="C21" s="19" t="s">
        <v>322</v>
      </c>
      <c r="D21" s="19" t="s">
        <v>323</v>
      </c>
      <c r="E21" s="19" t="s">
        <v>324</v>
      </c>
      <c r="F21" s="19" t="s">
        <v>325</v>
      </c>
      <c r="G21" s="20" t="s">
        <v>326</v>
      </c>
      <c r="H21" s="24" t="s">
        <v>327</v>
      </c>
    </row>
    <row r="22" ht="96.0" customHeight="1">
      <c r="A22" s="19" t="s">
        <v>328</v>
      </c>
      <c r="B22" s="19" t="s">
        <v>329</v>
      </c>
      <c r="C22" s="19" t="s">
        <v>322</v>
      </c>
      <c r="D22" s="19" t="s">
        <v>330</v>
      </c>
      <c r="E22" s="19" t="s">
        <v>331</v>
      </c>
      <c r="F22" s="19" t="s">
        <v>332</v>
      </c>
      <c r="G22" s="20" t="s">
        <v>333</v>
      </c>
      <c r="H22" s="24" t="s">
        <v>334</v>
      </c>
    </row>
    <row r="23" ht="96.0" customHeight="1">
      <c r="A23" s="19" t="s">
        <v>335</v>
      </c>
      <c r="B23" s="19" t="s">
        <v>337</v>
      </c>
      <c r="C23" s="19" t="s">
        <v>168</v>
      </c>
      <c r="D23" s="19" t="s">
        <v>338</v>
      </c>
      <c r="E23" s="19" t="s">
        <v>339</v>
      </c>
      <c r="F23" s="19" t="s">
        <v>341</v>
      </c>
      <c r="G23" s="20" t="s">
        <v>342</v>
      </c>
      <c r="H23" s="21" t="s">
        <v>343</v>
      </c>
    </row>
    <row r="24" ht="96.0" customHeight="1">
      <c r="A24" s="19" t="s">
        <v>344</v>
      </c>
      <c r="B24" s="19" t="s">
        <v>345</v>
      </c>
      <c r="C24" s="19" t="s">
        <v>349</v>
      </c>
      <c r="D24" s="19" t="s">
        <v>350</v>
      </c>
      <c r="E24" s="19" t="s">
        <v>352</v>
      </c>
      <c r="F24" s="19" t="s">
        <v>353</v>
      </c>
      <c r="G24" s="20" t="s">
        <v>357</v>
      </c>
      <c r="H24" s="21" t="s">
        <v>360</v>
      </c>
    </row>
    <row r="25" ht="96.0" customHeight="1">
      <c r="A25" s="19" t="s">
        <v>362</v>
      </c>
      <c r="B25" s="19" t="s">
        <v>365</v>
      </c>
      <c r="C25" s="19" t="s">
        <v>368</v>
      </c>
      <c r="D25" s="19" t="s">
        <v>371</v>
      </c>
      <c r="E25" s="19" t="s">
        <v>375</v>
      </c>
      <c r="F25" s="19" t="s">
        <v>378</v>
      </c>
      <c r="G25" s="20" t="s">
        <v>382</v>
      </c>
      <c r="H25" s="21" t="s">
        <v>385</v>
      </c>
    </row>
    <row r="26" ht="96.0" customHeight="1">
      <c r="A26" s="19" t="s">
        <v>387</v>
      </c>
      <c r="B26" s="19" t="s">
        <v>391</v>
      </c>
      <c r="C26" s="19" t="s">
        <v>392</v>
      </c>
      <c r="D26" s="19" t="s">
        <v>393</v>
      </c>
      <c r="E26" s="19" t="s">
        <v>394</v>
      </c>
      <c r="F26" s="19" t="s">
        <v>396</v>
      </c>
      <c r="G26" s="20" t="s">
        <v>397</v>
      </c>
      <c r="H26" s="25" t="s">
        <v>398</v>
      </c>
    </row>
    <row r="27" ht="96.0" customHeight="1">
      <c r="A27" s="19" t="s">
        <v>400</v>
      </c>
      <c r="B27" s="19" t="s">
        <v>401</v>
      </c>
      <c r="C27" s="19" t="s">
        <v>392</v>
      </c>
      <c r="D27" s="19" t="s">
        <v>402</v>
      </c>
      <c r="E27" s="19" t="s">
        <v>403</v>
      </c>
      <c r="F27" s="19" t="s">
        <v>407</v>
      </c>
      <c r="G27" s="20" t="s">
        <v>408</v>
      </c>
      <c r="H27" s="25" t="s">
        <v>398</v>
      </c>
    </row>
    <row r="28" ht="96.0" customHeight="1">
      <c r="A28" s="19" t="s">
        <v>410</v>
      </c>
      <c r="B28" s="19" t="s">
        <v>413</v>
      </c>
      <c r="C28" s="19" t="s">
        <v>322</v>
      </c>
      <c r="D28" s="19" t="s">
        <v>419</v>
      </c>
      <c r="E28" s="19" t="s">
        <v>421</v>
      </c>
      <c r="F28" s="19" t="s">
        <v>424</v>
      </c>
      <c r="G28" s="20" t="s">
        <v>428</v>
      </c>
      <c r="H28" s="24" t="s">
        <v>334</v>
      </c>
    </row>
    <row r="29" ht="96.0" customHeight="1">
      <c r="A29" s="19" t="s">
        <v>436</v>
      </c>
      <c r="B29" s="19" t="s">
        <v>440</v>
      </c>
      <c r="C29" s="19" t="s">
        <v>322</v>
      </c>
      <c r="D29" s="19" t="s">
        <v>444</v>
      </c>
      <c r="E29" s="19" t="s">
        <v>448</v>
      </c>
      <c r="F29" s="19" t="s">
        <v>449</v>
      </c>
      <c r="G29" s="20" t="s">
        <v>450</v>
      </c>
      <c r="H29" s="24" t="s">
        <v>334</v>
      </c>
    </row>
    <row r="30" ht="96.0" customHeight="1">
      <c r="A30" s="19" t="s">
        <v>455</v>
      </c>
      <c r="B30" s="19" t="s">
        <v>456</v>
      </c>
      <c r="C30" s="19" t="s">
        <v>322</v>
      </c>
      <c r="D30" s="19" t="s">
        <v>459</v>
      </c>
      <c r="E30" s="19" t="s">
        <v>460</v>
      </c>
      <c r="F30" s="19" t="s">
        <v>464</v>
      </c>
      <c r="G30" s="20" t="s">
        <v>466</v>
      </c>
      <c r="H30" s="24" t="s">
        <v>334</v>
      </c>
    </row>
    <row r="31" ht="96.0" customHeight="1">
      <c r="A31" s="19" t="s">
        <v>471</v>
      </c>
      <c r="B31" s="19" t="s">
        <v>472</v>
      </c>
      <c r="C31" s="19" t="s">
        <v>322</v>
      </c>
      <c r="D31" s="19" t="s">
        <v>477</v>
      </c>
      <c r="E31" s="19" t="s">
        <v>479</v>
      </c>
      <c r="F31" s="19" t="s">
        <v>482</v>
      </c>
      <c r="G31" s="20" t="s">
        <v>484</v>
      </c>
      <c r="H31" s="24" t="s">
        <v>334</v>
      </c>
    </row>
    <row r="32" ht="96.0" customHeight="1">
      <c r="A32" s="19" t="s">
        <v>489</v>
      </c>
      <c r="B32" s="19" t="s">
        <v>492</v>
      </c>
      <c r="C32" s="19" t="s">
        <v>322</v>
      </c>
      <c r="D32" s="19" t="s">
        <v>498</v>
      </c>
      <c r="E32" s="19" t="s">
        <v>501</v>
      </c>
      <c r="F32" s="19" t="s">
        <v>505</v>
      </c>
      <c r="G32" s="20" t="s">
        <v>508</v>
      </c>
      <c r="H32" s="24" t="s">
        <v>334</v>
      </c>
    </row>
    <row r="33" ht="96.0" customHeight="1">
      <c r="A33" s="19" t="s">
        <v>511</v>
      </c>
      <c r="B33" s="19" t="s">
        <v>512</v>
      </c>
      <c r="C33" s="19" t="s">
        <v>306</v>
      </c>
      <c r="D33" s="19" t="s">
        <v>513</v>
      </c>
      <c r="E33" s="19" t="s">
        <v>514</v>
      </c>
      <c r="F33" s="19" t="s">
        <v>515</v>
      </c>
      <c r="G33" s="20" t="s">
        <v>516</v>
      </c>
      <c r="H33" s="21" t="s">
        <v>517</v>
      </c>
    </row>
    <row r="34" ht="96.0" customHeight="1">
      <c r="A34" s="19" t="s">
        <v>518</v>
      </c>
      <c r="B34" s="19" t="s">
        <v>519</v>
      </c>
      <c r="C34" s="19" t="s">
        <v>520</v>
      </c>
      <c r="D34" s="19" t="s">
        <v>521</v>
      </c>
      <c r="E34" s="19" t="s">
        <v>522</v>
      </c>
      <c r="F34" s="19" t="s">
        <v>523</v>
      </c>
      <c r="G34" s="20" t="s">
        <v>524</v>
      </c>
      <c r="H34" s="21" t="s">
        <v>525</v>
      </c>
    </row>
    <row r="35" ht="96.0" customHeight="1">
      <c r="A35" s="19" t="s">
        <v>526</v>
      </c>
      <c r="B35" s="19" t="s">
        <v>527</v>
      </c>
      <c r="C35" s="19" t="s">
        <v>306</v>
      </c>
      <c r="D35" s="19" t="s">
        <v>528</v>
      </c>
      <c r="E35" s="19" t="s">
        <v>529</v>
      </c>
      <c r="F35" s="19" t="s">
        <v>530</v>
      </c>
      <c r="G35" s="20" t="s">
        <v>531</v>
      </c>
      <c r="H35" s="21" t="s">
        <v>532</v>
      </c>
    </row>
    <row r="36" ht="96.0" customHeight="1">
      <c r="A36" s="19" t="s">
        <v>533</v>
      </c>
      <c r="B36" s="19" t="s">
        <v>534</v>
      </c>
      <c r="C36" s="19" t="s">
        <v>306</v>
      </c>
      <c r="D36" s="19" t="s">
        <v>535</v>
      </c>
      <c r="E36" s="19" t="s">
        <v>536</v>
      </c>
      <c r="F36" s="19" t="s">
        <v>538</v>
      </c>
      <c r="G36" s="20" t="s">
        <v>539</v>
      </c>
      <c r="H36" s="24" t="s">
        <v>540</v>
      </c>
    </row>
    <row r="37" ht="96.0" customHeight="1">
      <c r="A37" s="19" t="s">
        <v>542</v>
      </c>
      <c r="B37" s="19" t="s">
        <v>543</v>
      </c>
      <c r="C37" s="19" t="s">
        <v>520</v>
      </c>
      <c r="D37" s="19" t="s">
        <v>544</v>
      </c>
      <c r="E37" s="19" t="s">
        <v>545</v>
      </c>
      <c r="F37" s="19" t="s">
        <v>546</v>
      </c>
      <c r="G37" s="20" t="s">
        <v>548</v>
      </c>
      <c r="H37" s="21" t="s">
        <v>205</v>
      </c>
    </row>
    <row r="38" ht="96.0" customHeight="1">
      <c r="A38" s="19" t="s">
        <v>550</v>
      </c>
      <c r="B38" s="19" t="s">
        <v>551</v>
      </c>
      <c r="C38" s="19" t="s">
        <v>552</v>
      </c>
      <c r="D38" s="19" t="s">
        <v>553</v>
      </c>
      <c r="E38" s="19" t="s">
        <v>554</v>
      </c>
      <c r="F38" s="19" t="s">
        <v>556</v>
      </c>
      <c r="G38" s="20" t="s">
        <v>559</v>
      </c>
      <c r="H38" s="24" t="s">
        <v>562</v>
      </c>
    </row>
    <row r="39" ht="14.25" customHeight="1">
      <c r="A39" s="6"/>
      <c r="B39" s="6"/>
      <c r="C39" s="6"/>
      <c r="D39" s="6"/>
      <c r="E39" s="6"/>
      <c r="F39" s="6"/>
      <c r="G39" s="6"/>
      <c r="H39" s="6"/>
    </row>
    <row r="40" ht="14.25" customHeight="1">
      <c r="A40" s="6"/>
      <c r="B40" s="6"/>
      <c r="C40" s="6"/>
      <c r="D40" s="6"/>
      <c r="E40" s="6"/>
      <c r="F40" s="6"/>
      <c r="G40" s="6"/>
      <c r="H40" s="6"/>
    </row>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A1:H1"/>
    <mergeCell ref="A2:H2"/>
    <mergeCell ref="A3:H3"/>
    <mergeCell ref="A4:B4"/>
    <mergeCell ref="C4:D4"/>
    <mergeCell ref="E4:H4"/>
    <mergeCell ref="A5:H5"/>
  </mergeCell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F82"/>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37.0"/>
    <col customWidth="1" min="2" max="2" width="23.0"/>
    <col customWidth="1" min="3" max="3" width="28.0"/>
    <col customWidth="1" min="4" max="4" width="60.0"/>
    <col customWidth="1" min="5" max="5" width="54.0"/>
    <col customWidth="1" min="6" max="6" width="16.0"/>
    <col customWidth="1" min="7" max="26" width="8.63"/>
  </cols>
  <sheetData>
    <row r="1" ht="37.5" customHeight="1">
      <c r="A1" s="1" t="s">
        <v>2</v>
      </c>
      <c r="B1" s="2"/>
      <c r="C1" s="2"/>
      <c r="D1" s="2"/>
      <c r="E1" s="2"/>
      <c r="F1" s="3"/>
    </row>
    <row r="2" ht="48.0" customHeight="1">
      <c r="A2" s="4" t="s">
        <v>4</v>
      </c>
      <c r="B2" s="2"/>
      <c r="C2" s="2"/>
      <c r="D2" s="2"/>
      <c r="E2" s="2"/>
      <c r="F2" s="3"/>
    </row>
    <row r="3" ht="14.25" customHeight="1">
      <c r="A3" s="5" t="s">
        <v>6</v>
      </c>
      <c r="B3" s="6"/>
      <c r="C3" s="6"/>
      <c r="D3" s="6"/>
      <c r="E3" s="6"/>
      <c r="F3" s="6"/>
    </row>
    <row r="4" ht="14.25" customHeight="1">
      <c r="A4" s="6"/>
      <c r="B4" s="6"/>
      <c r="C4" s="6"/>
      <c r="D4" s="6"/>
      <c r="E4" s="6"/>
      <c r="F4" s="6"/>
    </row>
    <row r="5" ht="37.5" customHeight="1">
      <c r="A5" s="7" t="s">
        <v>10</v>
      </c>
      <c r="B5" s="7" t="s">
        <v>12</v>
      </c>
      <c r="C5" s="7" t="s">
        <v>13</v>
      </c>
      <c r="D5" s="7" t="s">
        <v>14</v>
      </c>
      <c r="E5" s="7" t="s">
        <v>15</v>
      </c>
      <c r="F5" s="7" t="s">
        <v>16</v>
      </c>
    </row>
    <row r="6" ht="63.75" customHeight="1">
      <c r="A6" s="6" t="s">
        <v>18</v>
      </c>
      <c r="B6" s="9">
        <v>10000.0</v>
      </c>
      <c r="C6" s="6" t="s">
        <v>19</v>
      </c>
      <c r="D6" s="6" t="s">
        <v>20</v>
      </c>
      <c r="E6" s="6" t="s">
        <v>21</v>
      </c>
      <c r="F6" s="6" t="s">
        <v>22</v>
      </c>
    </row>
    <row r="7" ht="63.75" customHeight="1">
      <c r="A7" s="6" t="s">
        <v>23</v>
      </c>
      <c r="B7" s="9">
        <v>0.5</v>
      </c>
      <c r="C7" s="6" t="s">
        <v>24</v>
      </c>
      <c r="D7" s="6" t="s">
        <v>25</v>
      </c>
      <c r="E7" s="6" t="s">
        <v>21</v>
      </c>
      <c r="F7" s="6" t="s">
        <v>22</v>
      </c>
    </row>
    <row r="8" ht="63.75" customHeight="1">
      <c r="A8" s="6" t="s">
        <v>27</v>
      </c>
      <c r="B8" s="9">
        <v>12.0</v>
      </c>
      <c r="C8" s="6" t="s">
        <v>29</v>
      </c>
      <c r="D8" s="6" t="s">
        <v>31</v>
      </c>
      <c r="E8" s="6" t="s">
        <v>21</v>
      </c>
      <c r="F8" s="6" t="s">
        <v>22</v>
      </c>
    </row>
    <row r="9" ht="63.75" customHeight="1">
      <c r="A9" s="6" t="s">
        <v>36</v>
      </c>
      <c r="B9" s="9">
        <v>5.0</v>
      </c>
      <c r="C9" s="6" t="s">
        <v>37</v>
      </c>
      <c r="D9" s="6" t="s">
        <v>39</v>
      </c>
      <c r="E9" s="6" t="s">
        <v>21</v>
      </c>
      <c r="F9" s="6" t="s">
        <v>22</v>
      </c>
    </row>
    <row r="10" ht="63.75" customHeight="1">
      <c r="A10" s="6" t="s">
        <v>40</v>
      </c>
      <c r="B10" s="13">
        <f>B6*B7*B8/1000</f>
        <v>60</v>
      </c>
      <c r="C10" s="6" t="s">
        <v>85</v>
      </c>
      <c r="D10" s="6" t="s">
        <v>88</v>
      </c>
      <c r="E10" s="6" t="s">
        <v>90</v>
      </c>
      <c r="F10" s="6" t="s">
        <v>92</v>
      </c>
    </row>
    <row r="11" ht="63.75" customHeight="1">
      <c r="A11" s="6" t="s">
        <v>96</v>
      </c>
      <c r="B11" s="13">
        <f>B6</f>
        <v>10000</v>
      </c>
      <c r="C11" s="6" t="s">
        <v>100</v>
      </c>
      <c r="D11" s="6" t="s">
        <v>101</v>
      </c>
      <c r="E11" s="6" t="s">
        <v>102</v>
      </c>
      <c r="F11" s="6" t="s">
        <v>92</v>
      </c>
    </row>
    <row r="12" ht="63.75" customHeight="1">
      <c r="A12" s="6" t="s">
        <v>103</v>
      </c>
      <c r="B12" s="13">
        <f>B6*B9</f>
        <v>50000</v>
      </c>
      <c r="C12" s="6" t="s">
        <v>100</v>
      </c>
      <c r="D12" s="6" t="s">
        <v>104</v>
      </c>
      <c r="E12" s="6" t="s">
        <v>105</v>
      </c>
      <c r="F12" s="6" t="s">
        <v>92</v>
      </c>
    </row>
    <row r="13" ht="63.75" customHeight="1">
      <c r="A13" s="6" t="s">
        <v>106</v>
      </c>
      <c r="B13" s="9">
        <v>10.0</v>
      </c>
      <c r="C13" s="6" t="s">
        <v>85</v>
      </c>
      <c r="D13" s="6" t="s">
        <v>107</v>
      </c>
      <c r="E13" s="6" t="s">
        <v>108</v>
      </c>
      <c r="F13" s="6" t="s">
        <v>110</v>
      </c>
    </row>
    <row r="14" ht="63.75" customHeight="1">
      <c r="A14" s="6" t="s">
        <v>111</v>
      </c>
      <c r="B14" s="9">
        <v>0.015</v>
      </c>
      <c r="C14" s="6" t="s">
        <v>112</v>
      </c>
      <c r="D14" s="6" t="s">
        <v>113</v>
      </c>
      <c r="E14" s="6" t="s">
        <v>108</v>
      </c>
      <c r="F14" s="6" t="s">
        <v>110</v>
      </c>
    </row>
    <row r="15" ht="63.75" customHeight="1">
      <c r="A15" s="6" t="s">
        <v>114</v>
      </c>
      <c r="B15" s="9">
        <v>1000000.0</v>
      </c>
      <c r="C15" s="6" t="s">
        <v>115</v>
      </c>
      <c r="D15" s="6" t="s">
        <v>107</v>
      </c>
      <c r="E15" s="6" t="s">
        <v>108</v>
      </c>
      <c r="F15" s="6" t="s">
        <v>110</v>
      </c>
    </row>
    <row r="16" ht="63.75" customHeight="1">
      <c r="A16" s="6" t="s">
        <v>116</v>
      </c>
      <c r="B16" s="9">
        <v>4.5</v>
      </c>
      <c r="C16" s="6" t="s">
        <v>117</v>
      </c>
      <c r="D16" s="6" t="s">
        <v>118</v>
      </c>
      <c r="E16" s="6" t="s">
        <v>108</v>
      </c>
      <c r="F16" s="6" t="s">
        <v>110</v>
      </c>
    </row>
    <row r="17" ht="63.75" customHeight="1">
      <c r="A17" s="6" t="s">
        <v>119</v>
      </c>
      <c r="B17" s="9">
        <v>1.0E7</v>
      </c>
      <c r="C17" s="6" t="s">
        <v>115</v>
      </c>
      <c r="D17" s="6" t="s">
        <v>107</v>
      </c>
      <c r="E17" s="6" t="s">
        <v>108</v>
      </c>
      <c r="F17" s="6" t="s">
        <v>110</v>
      </c>
    </row>
    <row r="18" ht="63.75" customHeight="1">
      <c r="A18" s="6" t="s">
        <v>120</v>
      </c>
      <c r="B18" s="9">
        <v>0.36</v>
      </c>
      <c r="C18" s="6" t="s">
        <v>117</v>
      </c>
      <c r="D18" s="6" t="s">
        <v>118</v>
      </c>
      <c r="E18" s="6" t="s">
        <v>108</v>
      </c>
      <c r="F18" s="6" t="s">
        <v>110</v>
      </c>
    </row>
    <row r="19" ht="63.75" customHeight="1">
      <c r="A19" s="16" t="s">
        <v>121</v>
      </c>
      <c r="B19" s="17">
        <f>ROUNDUP(MAX(0,B10-B13),0)*B14</f>
        <v>0.75</v>
      </c>
      <c r="C19" s="16" t="s">
        <v>127</v>
      </c>
      <c r="D19" s="16" t="s">
        <v>129</v>
      </c>
      <c r="E19" s="16" t="s">
        <v>130</v>
      </c>
      <c r="F19" s="16" t="s">
        <v>131</v>
      </c>
    </row>
    <row r="20" ht="63.75" customHeight="1">
      <c r="A20" s="16" t="s">
        <v>132</v>
      </c>
      <c r="B20" s="17">
        <f>ROUNDUP(MAX(0,B11-B15)/1000000,0)*B16</f>
        <v>0</v>
      </c>
      <c r="C20" s="16" t="s">
        <v>127</v>
      </c>
      <c r="D20" s="16" t="s">
        <v>134</v>
      </c>
      <c r="E20" s="16" t="s">
        <v>130</v>
      </c>
      <c r="F20" s="16" t="s">
        <v>131</v>
      </c>
    </row>
    <row r="21" ht="63.75" customHeight="1">
      <c r="A21" s="16" t="s">
        <v>135</v>
      </c>
      <c r="B21" s="17">
        <f>ROUNDUP(MAX(0,B12-B17)/1000000,0)*B18</f>
        <v>0</v>
      </c>
      <c r="C21" s="16" t="s">
        <v>127</v>
      </c>
      <c r="D21" s="16" t="s">
        <v>136</v>
      </c>
      <c r="E21" s="16" t="s">
        <v>130</v>
      </c>
      <c r="F21" s="16" t="s">
        <v>131</v>
      </c>
    </row>
    <row r="22" ht="63.75" customHeight="1">
      <c r="A22" s="16" t="s">
        <v>137</v>
      </c>
      <c r="B22" s="17">
        <f>SUM(B19:B21)</f>
        <v>0.75</v>
      </c>
      <c r="C22" s="16" t="s">
        <v>127</v>
      </c>
      <c r="D22" s="16" t="s">
        <v>139</v>
      </c>
      <c r="E22" s="16" t="s">
        <v>140</v>
      </c>
      <c r="F22" s="16" t="s">
        <v>131</v>
      </c>
    </row>
    <row r="23" ht="63.75" customHeight="1">
      <c r="A23" s="6" t="s">
        <v>142</v>
      </c>
      <c r="B23" s="9">
        <v>3000.0</v>
      </c>
      <c r="C23" s="6" t="s">
        <v>143</v>
      </c>
      <c r="D23" s="6" t="s">
        <v>144</v>
      </c>
      <c r="E23" s="6" t="s">
        <v>21</v>
      </c>
      <c r="F23" s="6" t="s">
        <v>22</v>
      </c>
    </row>
    <row r="24" ht="63.75" customHeight="1">
      <c r="A24" s="6" t="s">
        <v>146</v>
      </c>
      <c r="B24" s="9">
        <v>0.1</v>
      </c>
      <c r="C24" s="6" t="s">
        <v>147</v>
      </c>
      <c r="D24" s="6" t="s">
        <v>149</v>
      </c>
      <c r="E24" s="6" t="s">
        <v>150</v>
      </c>
      <c r="F24" s="6" t="s">
        <v>110</v>
      </c>
    </row>
    <row r="25" ht="63.75" customHeight="1">
      <c r="A25" s="16" t="s">
        <v>151</v>
      </c>
      <c r="B25" s="17">
        <f>B23/1000*B24</f>
        <v>0.3</v>
      </c>
      <c r="C25" s="16" t="s">
        <v>127</v>
      </c>
      <c r="D25" s="16" t="s">
        <v>155</v>
      </c>
      <c r="E25" s="16" t="s">
        <v>156</v>
      </c>
      <c r="F25" s="16" t="s">
        <v>131</v>
      </c>
    </row>
    <row r="26" ht="63.75" customHeight="1">
      <c r="A26" s="6" t="s">
        <v>157</v>
      </c>
      <c r="B26" s="9">
        <v>12000.0</v>
      </c>
      <c r="C26" s="6" t="s">
        <v>158</v>
      </c>
      <c r="D26" s="6" t="s">
        <v>159</v>
      </c>
      <c r="E26" s="6" t="s">
        <v>21</v>
      </c>
      <c r="F26" s="6" t="s">
        <v>22</v>
      </c>
    </row>
    <row r="27" ht="63.75" customHeight="1">
      <c r="A27" s="6" t="s">
        <v>160</v>
      </c>
      <c r="B27" s="9">
        <v>10000.0</v>
      </c>
      <c r="C27" s="6" t="s">
        <v>158</v>
      </c>
      <c r="D27" s="6" t="s">
        <v>162</v>
      </c>
      <c r="E27" s="6" t="s">
        <v>163</v>
      </c>
      <c r="F27" s="6" t="s">
        <v>110</v>
      </c>
    </row>
    <row r="28" ht="63.75" customHeight="1">
      <c r="A28" s="6" t="s">
        <v>164</v>
      </c>
      <c r="B28" s="9">
        <v>5.0</v>
      </c>
      <c r="C28" s="6" t="s">
        <v>165</v>
      </c>
      <c r="D28" s="6" t="s">
        <v>166</v>
      </c>
      <c r="E28" s="6" t="s">
        <v>163</v>
      </c>
      <c r="F28" s="6" t="s">
        <v>110</v>
      </c>
    </row>
    <row r="29" ht="63.75" customHeight="1">
      <c r="A29" s="16" t="s">
        <v>167</v>
      </c>
      <c r="B29" s="17">
        <f>IF(B26&gt;100000,"Cần bậc giá mới",MAX(0,B26-B27)/1000*B28)</f>
        <v>10</v>
      </c>
      <c r="C29" s="16" t="s">
        <v>127</v>
      </c>
      <c r="D29" s="16" t="s">
        <v>172</v>
      </c>
      <c r="E29" s="16" t="s">
        <v>173</v>
      </c>
      <c r="F29" s="16" t="s">
        <v>131</v>
      </c>
    </row>
    <row r="30" ht="63.75" customHeight="1">
      <c r="A30" s="6" t="s">
        <v>174</v>
      </c>
      <c r="B30" s="6" t="s">
        <v>175</v>
      </c>
      <c r="C30" s="6" t="s">
        <v>176</v>
      </c>
      <c r="D30" s="6" t="s">
        <v>177</v>
      </c>
      <c r="E30" s="6" t="s">
        <v>178</v>
      </c>
      <c r="F30" s="6" t="s">
        <v>179</v>
      </c>
    </row>
    <row r="31" ht="14.25" customHeight="1">
      <c r="A31" s="6"/>
      <c r="B31" s="6"/>
      <c r="C31" s="6"/>
      <c r="D31" s="6"/>
      <c r="E31" s="6"/>
      <c r="F31" s="6"/>
    </row>
    <row r="32" ht="14.25" customHeight="1">
      <c r="A32" s="6"/>
      <c r="B32" s="6"/>
      <c r="C32" s="6"/>
      <c r="D32" s="6"/>
      <c r="E32" s="6"/>
      <c r="F32" s="6"/>
    </row>
    <row r="33" ht="14.25" customHeight="1">
      <c r="A33" s="6"/>
      <c r="B33" s="6"/>
      <c r="C33" s="6"/>
      <c r="D33" s="6"/>
      <c r="E33" s="6"/>
      <c r="F33" s="6"/>
    </row>
    <row r="34" ht="14.25" customHeight="1">
      <c r="A34" s="6"/>
      <c r="B34" s="6"/>
      <c r="C34" s="6"/>
      <c r="D34" s="6"/>
      <c r="E34" s="6"/>
      <c r="F34" s="6"/>
    </row>
    <row r="35" ht="14.25" customHeight="1">
      <c r="A35" s="6"/>
      <c r="B35" s="6"/>
      <c r="C35" s="6"/>
      <c r="D35" s="6"/>
      <c r="E35" s="6"/>
      <c r="F35" s="6"/>
    </row>
    <row r="36" ht="14.25" customHeight="1">
      <c r="A36" s="6"/>
      <c r="B36" s="6"/>
      <c r="C36" s="6"/>
      <c r="D36" s="6"/>
      <c r="E36" s="6"/>
      <c r="F36" s="6"/>
    </row>
    <row r="37" ht="14.25" customHeight="1">
      <c r="A37" s="6"/>
      <c r="B37" s="6"/>
      <c r="C37" s="6"/>
      <c r="D37" s="6"/>
      <c r="E37" s="6"/>
      <c r="F37" s="6"/>
    </row>
    <row r="38" ht="14.25" customHeight="1">
      <c r="A38" s="6"/>
      <c r="B38" s="6"/>
      <c r="C38" s="6"/>
      <c r="D38" s="6"/>
      <c r="E38" s="6"/>
      <c r="F38" s="6"/>
    </row>
    <row r="39" ht="14.25" customHeight="1">
      <c r="A39" s="6"/>
      <c r="B39" s="6"/>
      <c r="C39" s="6"/>
      <c r="D39" s="6"/>
      <c r="E39" s="6"/>
      <c r="F39" s="6"/>
    </row>
    <row r="40" ht="14.25" customHeight="1">
      <c r="A40" s="6"/>
      <c r="B40" s="6"/>
      <c r="C40" s="6"/>
      <c r="D40" s="6"/>
      <c r="E40" s="6"/>
      <c r="F40" s="6"/>
    </row>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F1"/>
    <mergeCell ref="A2:F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F82"/>
    <pageSetUpPr/>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28.0"/>
    <col customWidth="1" min="2" max="4" width="43.0"/>
    <col customWidth="1" min="5" max="26" width="8.63"/>
  </cols>
  <sheetData>
    <row r="1" ht="37.5" customHeight="1">
      <c r="A1" s="1" t="s">
        <v>0</v>
      </c>
      <c r="B1" s="2"/>
      <c r="C1" s="2"/>
      <c r="D1" s="3"/>
    </row>
    <row r="2" ht="48.0" customHeight="1">
      <c r="A2" s="4" t="s">
        <v>3</v>
      </c>
      <c r="B2" s="2"/>
      <c r="C2" s="2"/>
      <c r="D2" s="3"/>
    </row>
    <row r="3" ht="36.0" customHeight="1">
      <c r="A3" s="5" t="s">
        <v>6</v>
      </c>
      <c r="B3" s="6" t="s">
        <v>7</v>
      </c>
    </row>
    <row r="4" ht="49.5" customHeight="1">
      <c r="A4" s="4" t="s">
        <v>9</v>
      </c>
      <c r="B4" s="2"/>
      <c r="C4" s="2"/>
      <c r="D4" s="3"/>
    </row>
    <row r="5" ht="49.5" customHeight="1">
      <c r="A5" s="8" t="s">
        <v>17</v>
      </c>
      <c r="B5" s="2"/>
      <c r="C5" s="2"/>
      <c r="D5" s="3"/>
    </row>
    <row r="6" ht="14.25" customHeight="1">
      <c r="A6" s="6"/>
      <c r="B6" s="6"/>
      <c r="C6" s="6"/>
      <c r="D6" s="6"/>
    </row>
    <row r="7" ht="39.75" customHeight="1">
      <c r="A7" s="7" t="s">
        <v>26</v>
      </c>
      <c r="B7" s="7" t="s">
        <v>32</v>
      </c>
      <c r="C7" s="7" t="s">
        <v>34</v>
      </c>
      <c r="D7" s="7" t="s">
        <v>35</v>
      </c>
    </row>
    <row r="8" ht="27.75" customHeight="1">
      <c r="A8" s="10" t="s">
        <v>38</v>
      </c>
      <c r="B8" s="11">
        <v>0.0</v>
      </c>
      <c r="C8" s="11">
        <v>0.0</v>
      </c>
      <c r="D8" s="11">
        <v>0.0</v>
      </c>
    </row>
    <row r="9" ht="78.0" customHeight="1">
      <c r="A9" s="10" t="s">
        <v>41</v>
      </c>
      <c r="B9" s="6" t="s">
        <v>43</v>
      </c>
      <c r="C9" s="6" t="s">
        <v>43</v>
      </c>
      <c r="D9" s="6" t="s">
        <v>42</v>
      </c>
    </row>
    <row r="10" ht="78.0" customHeight="1">
      <c r="A10" s="10" t="s">
        <v>44</v>
      </c>
      <c r="B10" s="12" t="s">
        <v>45</v>
      </c>
      <c r="C10" s="12" t="s">
        <v>45</v>
      </c>
      <c r="D10" s="12" t="s">
        <v>45</v>
      </c>
    </row>
    <row r="11" ht="78.0" customHeight="1">
      <c r="A11" s="10" t="s">
        <v>46</v>
      </c>
      <c r="B11" s="6" t="s">
        <v>50</v>
      </c>
      <c r="C11" s="6" t="s">
        <v>52</v>
      </c>
      <c r="D11" s="6" t="s">
        <v>54</v>
      </c>
    </row>
    <row r="12" ht="78.0" customHeight="1">
      <c r="A12" s="10" t="s">
        <v>51</v>
      </c>
      <c r="B12" s="12" t="s">
        <v>58</v>
      </c>
      <c r="C12" s="12" t="s">
        <v>60</v>
      </c>
      <c r="D12" s="12" t="s">
        <v>62</v>
      </c>
    </row>
    <row r="13" ht="78.0" customHeight="1">
      <c r="A13" s="10" t="s">
        <v>57</v>
      </c>
      <c r="B13" s="6" t="s">
        <v>66</v>
      </c>
      <c r="C13" s="6" t="s">
        <v>68</v>
      </c>
      <c r="D13" s="6" t="s">
        <v>69</v>
      </c>
    </row>
    <row r="14" ht="78.0" customHeight="1">
      <c r="A14" s="10" t="s">
        <v>64</v>
      </c>
      <c r="B14" s="12" t="s">
        <v>72</v>
      </c>
      <c r="C14" s="12" t="s">
        <v>73</v>
      </c>
      <c r="D14" s="12" t="s">
        <v>75</v>
      </c>
    </row>
    <row r="15" ht="78.0" customHeight="1">
      <c r="A15" s="10" t="s">
        <v>71</v>
      </c>
      <c r="B15" s="6" t="s">
        <v>78</v>
      </c>
      <c r="C15" s="6" t="s">
        <v>79</v>
      </c>
      <c r="D15" s="6" t="s">
        <v>80</v>
      </c>
    </row>
    <row r="16" ht="78.0" customHeight="1">
      <c r="A16" s="10" t="s">
        <v>81</v>
      </c>
      <c r="B16" s="12" t="s">
        <v>82</v>
      </c>
      <c r="C16" s="12" t="s">
        <v>84</v>
      </c>
      <c r="D16" s="12" t="s">
        <v>86</v>
      </c>
    </row>
    <row r="17" ht="99.75" customHeight="1">
      <c r="A17" s="10" t="s">
        <v>91</v>
      </c>
      <c r="B17" s="14" t="s">
        <v>93</v>
      </c>
      <c r="C17" s="14" t="s">
        <v>94</v>
      </c>
      <c r="D17" s="14" t="s">
        <v>97</v>
      </c>
    </row>
    <row r="18" ht="14.25" customHeight="1">
      <c r="A18" s="6"/>
      <c r="B18" s="6"/>
      <c r="C18" s="6"/>
      <c r="D18" s="6"/>
    </row>
    <row r="19" ht="14.25" customHeight="1">
      <c r="A19" s="6"/>
      <c r="B19" s="6"/>
      <c r="C19" s="6"/>
      <c r="D19" s="6"/>
    </row>
    <row r="20" ht="14.25" customHeight="1">
      <c r="A20" s="6"/>
      <c r="B20" s="6"/>
      <c r="C20" s="6"/>
      <c r="D20" s="6"/>
    </row>
    <row r="21" ht="14.25" customHeight="1">
      <c r="A21" s="6"/>
      <c r="B21" s="6"/>
      <c r="C21" s="6"/>
      <c r="D21" s="6"/>
    </row>
    <row r="22" ht="14.25" customHeight="1">
      <c r="A22" s="6"/>
      <c r="B22" s="6"/>
      <c r="C22" s="6"/>
      <c r="D22" s="6"/>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D1"/>
    <mergeCell ref="A2:D2"/>
    <mergeCell ref="B3:D3"/>
    <mergeCell ref="A4:D4"/>
    <mergeCell ref="A5:D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F82"/>
    <pageSetUpPr/>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28.0"/>
    <col customWidth="1" min="2" max="4" width="43.0"/>
    <col customWidth="1" min="5" max="26" width="8.63"/>
  </cols>
  <sheetData>
    <row r="1" ht="37.5" customHeight="1">
      <c r="A1" s="1" t="s">
        <v>1</v>
      </c>
      <c r="B1" s="2"/>
      <c r="C1" s="2"/>
      <c r="D1" s="3"/>
    </row>
    <row r="2" ht="48.0" customHeight="1">
      <c r="A2" s="4" t="s">
        <v>5</v>
      </c>
      <c r="B2" s="2"/>
      <c r="C2" s="2"/>
      <c r="D2" s="3"/>
    </row>
    <row r="3" ht="36.0" customHeight="1">
      <c r="A3" s="5" t="s">
        <v>6</v>
      </c>
      <c r="B3" s="6" t="s">
        <v>7</v>
      </c>
    </row>
    <row r="4" ht="49.5" customHeight="1">
      <c r="A4" s="4" t="s">
        <v>8</v>
      </c>
      <c r="B4" s="2"/>
      <c r="C4" s="2"/>
      <c r="D4" s="3"/>
    </row>
    <row r="5" ht="49.5" customHeight="1">
      <c r="A5" s="8" t="s">
        <v>11</v>
      </c>
      <c r="B5" s="2"/>
      <c r="C5" s="2"/>
      <c r="D5" s="3"/>
    </row>
    <row r="6" ht="14.25" customHeight="1">
      <c r="A6" s="6"/>
      <c r="B6" s="6"/>
      <c r="C6" s="6"/>
      <c r="D6" s="6"/>
    </row>
    <row r="7" ht="39.75" customHeight="1">
      <c r="A7" s="7" t="s">
        <v>26</v>
      </c>
      <c r="B7" s="7" t="s">
        <v>28</v>
      </c>
      <c r="C7" s="7" t="s">
        <v>30</v>
      </c>
      <c r="D7" s="7" t="s">
        <v>33</v>
      </c>
    </row>
    <row r="8" ht="27.75" customHeight="1">
      <c r="A8" s="10" t="s">
        <v>38</v>
      </c>
      <c r="B8" s="11">
        <v>0.0</v>
      </c>
      <c r="C8" s="11">
        <v>0.0</v>
      </c>
      <c r="D8" s="11">
        <v>0.0</v>
      </c>
    </row>
    <row r="9" ht="78.0" customHeight="1">
      <c r="A9" s="10" t="s">
        <v>41</v>
      </c>
      <c r="B9" s="6" t="s">
        <v>42</v>
      </c>
      <c r="C9" s="6" t="s">
        <v>42</v>
      </c>
      <c r="D9" s="6" t="s">
        <v>42</v>
      </c>
    </row>
    <row r="10" ht="78.0" customHeight="1">
      <c r="A10" s="10" t="s">
        <v>44</v>
      </c>
      <c r="B10" s="12" t="s">
        <v>45</v>
      </c>
      <c r="C10" s="12" t="s">
        <v>45</v>
      </c>
      <c r="D10" s="12" t="s">
        <v>45</v>
      </c>
    </row>
    <row r="11" ht="78.0" customHeight="1">
      <c r="A11" s="10" t="s">
        <v>46</v>
      </c>
      <c r="B11" s="6" t="s">
        <v>47</v>
      </c>
      <c r="C11" s="6" t="s">
        <v>48</v>
      </c>
      <c r="D11" s="6" t="s">
        <v>49</v>
      </c>
    </row>
    <row r="12" ht="78.0" customHeight="1">
      <c r="A12" s="10" t="s">
        <v>51</v>
      </c>
      <c r="B12" s="12" t="s">
        <v>53</v>
      </c>
      <c r="C12" s="12" t="s">
        <v>55</v>
      </c>
      <c r="D12" s="12" t="s">
        <v>56</v>
      </c>
    </row>
    <row r="13" ht="78.0" customHeight="1">
      <c r="A13" s="10" t="s">
        <v>57</v>
      </c>
      <c r="B13" s="6" t="s">
        <v>59</v>
      </c>
      <c r="C13" s="6" t="s">
        <v>61</v>
      </c>
      <c r="D13" s="6" t="s">
        <v>63</v>
      </c>
    </row>
    <row r="14" ht="78.0" customHeight="1">
      <c r="A14" s="10" t="s">
        <v>64</v>
      </c>
      <c r="B14" s="12" t="s">
        <v>65</v>
      </c>
      <c r="C14" s="12" t="s">
        <v>67</v>
      </c>
      <c r="D14" s="12" t="s">
        <v>70</v>
      </c>
    </row>
    <row r="15" ht="78.0" customHeight="1">
      <c r="A15" s="10" t="s">
        <v>71</v>
      </c>
      <c r="B15" s="6" t="s">
        <v>74</v>
      </c>
      <c r="C15" s="6" t="s">
        <v>76</v>
      </c>
      <c r="D15" s="6" t="s">
        <v>77</v>
      </c>
    </row>
    <row r="16" ht="78.0" customHeight="1">
      <c r="A16" s="10" t="s">
        <v>81</v>
      </c>
      <c r="B16" s="12" t="s">
        <v>83</v>
      </c>
      <c r="C16" s="12" t="s">
        <v>87</v>
      </c>
      <c r="D16" s="12" t="s">
        <v>89</v>
      </c>
    </row>
    <row r="17" ht="99.75" customHeight="1">
      <c r="A17" s="10" t="s">
        <v>91</v>
      </c>
      <c r="B17" s="14" t="s">
        <v>95</v>
      </c>
      <c r="C17" s="14" t="s">
        <v>98</v>
      </c>
      <c r="D17" s="14" t="s">
        <v>99</v>
      </c>
    </row>
    <row r="18" ht="14.25" customHeight="1">
      <c r="A18" s="6"/>
      <c r="B18" s="6"/>
      <c r="C18" s="6"/>
      <c r="D18" s="6"/>
    </row>
    <row r="19" ht="14.25" customHeight="1">
      <c r="A19" s="6"/>
      <c r="B19" s="6"/>
      <c r="C19" s="6"/>
      <c r="D19" s="6"/>
    </row>
    <row r="20" ht="14.25" customHeight="1">
      <c r="A20" s="6"/>
      <c r="B20" s="6"/>
      <c r="C20" s="6"/>
      <c r="D20" s="6"/>
    </row>
    <row r="21" ht="14.25" customHeight="1">
      <c r="A21" s="6"/>
      <c r="B21" s="6"/>
      <c r="C21" s="6"/>
      <c r="D21" s="6"/>
    </row>
    <row r="22" ht="14.25" customHeight="1">
      <c r="A22" s="6"/>
      <c r="B22" s="6"/>
      <c r="C22" s="6"/>
      <c r="D22" s="6"/>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D1"/>
    <mergeCell ref="A2:D2"/>
    <mergeCell ref="B3:D3"/>
    <mergeCell ref="A4:D4"/>
    <mergeCell ref="A5:D5"/>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F82"/>
    <pageSetUpPr/>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32.13"/>
    <col customWidth="1" min="2" max="4" width="43.0"/>
    <col customWidth="1" min="5" max="26" width="8.63"/>
  </cols>
  <sheetData>
    <row r="1" ht="37.5" customHeight="1">
      <c r="A1" s="1" t="s">
        <v>186</v>
      </c>
      <c r="B1" s="2"/>
      <c r="C1" s="2"/>
      <c r="D1" s="3"/>
    </row>
    <row r="2" ht="48.0" customHeight="1">
      <c r="A2" s="4" t="s">
        <v>213</v>
      </c>
      <c r="B2" s="2"/>
      <c r="C2" s="2"/>
      <c r="D2" s="3"/>
    </row>
    <row r="3" ht="36.0" customHeight="1">
      <c r="A3" s="5" t="s">
        <v>6</v>
      </c>
      <c r="B3" s="6" t="s">
        <v>7</v>
      </c>
    </row>
    <row r="4" ht="49.5" customHeight="1">
      <c r="A4" s="4" t="s">
        <v>217</v>
      </c>
      <c r="B4" s="2"/>
      <c r="C4" s="2"/>
      <c r="D4" s="3"/>
    </row>
    <row r="5" ht="49.5" customHeight="1">
      <c r="A5" s="8" t="s">
        <v>189</v>
      </c>
      <c r="B5" s="2"/>
      <c r="C5" s="2"/>
      <c r="D5" s="3"/>
    </row>
    <row r="6" ht="14.25" customHeight="1">
      <c r="A6" s="6"/>
      <c r="B6" s="6"/>
      <c r="C6" s="6"/>
      <c r="D6" s="6"/>
    </row>
    <row r="7" ht="39.75" customHeight="1">
      <c r="A7" s="7" t="s">
        <v>26</v>
      </c>
      <c r="B7" s="7" t="s">
        <v>223</v>
      </c>
      <c r="C7" s="7" t="s">
        <v>224</v>
      </c>
      <c r="D7" s="7" t="s">
        <v>191</v>
      </c>
    </row>
    <row r="8" ht="27.75" customHeight="1">
      <c r="A8" s="10" t="s">
        <v>38</v>
      </c>
      <c r="B8" s="11">
        <v>0.0</v>
      </c>
      <c r="C8" s="11">
        <v>0.0</v>
      </c>
      <c r="D8" s="11">
        <v>0.0</v>
      </c>
    </row>
    <row r="9" ht="78.0" customHeight="1">
      <c r="A9" s="10" t="s">
        <v>41</v>
      </c>
      <c r="B9" s="6" t="s">
        <v>228</v>
      </c>
      <c r="C9" s="6" t="s">
        <v>42</v>
      </c>
      <c r="D9" s="6" t="s">
        <v>42</v>
      </c>
    </row>
    <row r="10" ht="78.0" customHeight="1">
      <c r="A10" s="10" t="s">
        <v>44</v>
      </c>
      <c r="B10" s="12" t="s">
        <v>45</v>
      </c>
      <c r="C10" s="12" t="s">
        <v>45</v>
      </c>
      <c r="D10" s="12" t="s">
        <v>45</v>
      </c>
    </row>
    <row r="11" ht="78.0" customHeight="1">
      <c r="A11" s="10" t="s">
        <v>46</v>
      </c>
      <c r="B11" s="6" t="s">
        <v>230</v>
      </c>
      <c r="C11" s="6" t="s">
        <v>231</v>
      </c>
      <c r="D11" s="6" t="s">
        <v>233</v>
      </c>
    </row>
    <row r="12" ht="78.0" customHeight="1">
      <c r="A12" s="10" t="s">
        <v>51</v>
      </c>
      <c r="B12" s="12" t="s">
        <v>234</v>
      </c>
      <c r="C12" s="12" t="s">
        <v>235</v>
      </c>
      <c r="D12" s="12" t="s">
        <v>237</v>
      </c>
    </row>
    <row r="13" ht="78.0" customHeight="1">
      <c r="A13" s="10" t="s">
        <v>57</v>
      </c>
      <c r="B13" s="6" t="s">
        <v>238</v>
      </c>
      <c r="C13" s="6" t="s">
        <v>239</v>
      </c>
      <c r="D13" s="6" t="s">
        <v>241</v>
      </c>
    </row>
    <row r="14" ht="78.0" customHeight="1">
      <c r="A14" s="10" t="s">
        <v>64</v>
      </c>
      <c r="B14" s="12" t="s">
        <v>242</v>
      </c>
      <c r="C14" s="12" t="s">
        <v>243</v>
      </c>
      <c r="D14" s="12" t="s">
        <v>245</v>
      </c>
    </row>
    <row r="15" ht="78.0" customHeight="1">
      <c r="A15" s="10" t="s">
        <v>71</v>
      </c>
      <c r="B15" s="6" t="s">
        <v>246</v>
      </c>
      <c r="C15" s="6" t="s">
        <v>248</v>
      </c>
      <c r="D15" s="6" t="s">
        <v>249</v>
      </c>
    </row>
    <row r="16" ht="78.0" customHeight="1">
      <c r="A16" s="10" t="s">
        <v>81</v>
      </c>
      <c r="B16" s="12" t="s">
        <v>253</v>
      </c>
      <c r="C16" s="12" t="s">
        <v>254</v>
      </c>
      <c r="D16" s="12" t="s">
        <v>255</v>
      </c>
    </row>
    <row r="17" ht="99.75" customHeight="1">
      <c r="A17" s="10" t="s">
        <v>91</v>
      </c>
      <c r="B17" s="14" t="s">
        <v>257</v>
      </c>
      <c r="C17" s="14" t="s">
        <v>258</v>
      </c>
      <c r="D17" s="14" t="s">
        <v>259</v>
      </c>
    </row>
    <row r="18" ht="14.25" customHeight="1">
      <c r="A18" s="6"/>
      <c r="B18" s="6"/>
      <c r="C18" s="6"/>
      <c r="D18" s="6"/>
    </row>
    <row r="19" ht="14.25" customHeight="1">
      <c r="A19" s="6"/>
      <c r="B19" s="6"/>
      <c r="C19" s="6"/>
      <c r="D19" s="6"/>
    </row>
    <row r="20" ht="14.25" customHeight="1">
      <c r="A20" s="6"/>
      <c r="B20" s="6"/>
      <c r="C20" s="6"/>
      <c r="D20" s="6"/>
    </row>
    <row r="21" ht="14.25" customHeight="1">
      <c r="A21" s="6"/>
      <c r="B21" s="6"/>
      <c r="C21" s="6"/>
      <c r="D21" s="6"/>
    </row>
    <row r="22" ht="14.25" customHeight="1">
      <c r="A22" s="6"/>
      <c r="B22" s="6"/>
      <c r="C22" s="6"/>
      <c r="D22" s="6"/>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D1"/>
    <mergeCell ref="A2:D2"/>
    <mergeCell ref="B3:D3"/>
    <mergeCell ref="A4:D4"/>
    <mergeCell ref="A5:D5"/>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F82"/>
    <pageSetUpPr/>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28.0"/>
    <col customWidth="1" min="2" max="4" width="43.0"/>
    <col customWidth="1" min="5" max="26" width="8.63"/>
  </cols>
  <sheetData>
    <row r="1" ht="37.5" customHeight="1">
      <c r="A1" s="1" t="s">
        <v>193</v>
      </c>
      <c r="B1" s="2"/>
      <c r="C1" s="2"/>
      <c r="D1" s="3"/>
    </row>
    <row r="2" ht="48.0" customHeight="1">
      <c r="A2" s="4" t="s">
        <v>222</v>
      </c>
      <c r="B2" s="2"/>
      <c r="C2" s="2"/>
      <c r="D2" s="3"/>
    </row>
    <row r="3" ht="36.0" customHeight="1">
      <c r="A3" s="5" t="s">
        <v>6</v>
      </c>
      <c r="B3" s="6" t="s">
        <v>7</v>
      </c>
    </row>
    <row r="4" ht="49.5" customHeight="1">
      <c r="A4" s="4" t="s">
        <v>227</v>
      </c>
      <c r="B4" s="2"/>
      <c r="C4" s="2"/>
      <c r="D4" s="3"/>
    </row>
    <row r="5" ht="49.5" customHeight="1">
      <c r="A5" s="8" t="s">
        <v>196</v>
      </c>
      <c r="B5" s="2"/>
      <c r="C5" s="2"/>
      <c r="D5" s="3"/>
    </row>
    <row r="6" ht="14.25" customHeight="1">
      <c r="A6" s="6"/>
      <c r="B6" s="6"/>
      <c r="C6" s="6"/>
      <c r="D6" s="6"/>
    </row>
    <row r="7" ht="39.75" customHeight="1">
      <c r="A7" s="7" t="s">
        <v>26</v>
      </c>
      <c r="B7" s="7" t="s">
        <v>247</v>
      </c>
      <c r="C7" s="7" t="s">
        <v>250</v>
      </c>
      <c r="D7" s="7" t="s">
        <v>252</v>
      </c>
    </row>
    <row r="8" ht="27.75" customHeight="1">
      <c r="A8" s="10" t="s">
        <v>38</v>
      </c>
      <c r="B8" s="11">
        <v>0.0</v>
      </c>
      <c r="C8" s="11">
        <v>0.0</v>
      </c>
      <c r="D8" s="23" t="s">
        <v>261</v>
      </c>
    </row>
    <row r="9" ht="78.0" customHeight="1">
      <c r="A9" s="10" t="s">
        <v>41</v>
      </c>
      <c r="B9" s="6" t="s">
        <v>43</v>
      </c>
      <c r="C9" s="6" t="s">
        <v>266</v>
      </c>
      <c r="D9" s="6" t="s">
        <v>267</v>
      </c>
    </row>
    <row r="10" ht="78.0" customHeight="1">
      <c r="A10" s="10" t="s">
        <v>44</v>
      </c>
      <c r="B10" s="12" t="s">
        <v>45</v>
      </c>
      <c r="C10" s="12" t="s">
        <v>45</v>
      </c>
      <c r="D10" s="12" t="s">
        <v>270</v>
      </c>
    </row>
    <row r="11" ht="78.0" customHeight="1">
      <c r="A11" s="10" t="s">
        <v>46</v>
      </c>
      <c r="B11" s="6" t="s">
        <v>272</v>
      </c>
      <c r="C11" s="6" t="s">
        <v>273</v>
      </c>
      <c r="D11" s="6" t="s">
        <v>275</v>
      </c>
    </row>
    <row r="12" ht="78.0" customHeight="1">
      <c r="A12" s="10" t="s">
        <v>51</v>
      </c>
      <c r="B12" s="12" t="s">
        <v>277</v>
      </c>
      <c r="C12" s="12" t="s">
        <v>278</v>
      </c>
      <c r="D12" s="12" t="s">
        <v>280</v>
      </c>
    </row>
    <row r="13" ht="78.0" customHeight="1">
      <c r="A13" s="10" t="s">
        <v>57</v>
      </c>
      <c r="B13" s="6" t="s">
        <v>282</v>
      </c>
      <c r="C13" s="6" t="s">
        <v>283</v>
      </c>
      <c r="D13" s="6" t="s">
        <v>284</v>
      </c>
    </row>
    <row r="14" ht="78.0" customHeight="1">
      <c r="A14" s="10" t="s">
        <v>64</v>
      </c>
      <c r="B14" s="12" t="s">
        <v>286</v>
      </c>
      <c r="C14" s="12" t="s">
        <v>288</v>
      </c>
      <c r="D14" s="12" t="s">
        <v>289</v>
      </c>
    </row>
    <row r="15" ht="78.0" customHeight="1">
      <c r="A15" s="10" t="s">
        <v>71</v>
      </c>
      <c r="B15" s="6" t="s">
        <v>290</v>
      </c>
      <c r="C15" s="6" t="s">
        <v>292</v>
      </c>
      <c r="D15" s="6" t="s">
        <v>293</v>
      </c>
    </row>
    <row r="16" ht="78.0" customHeight="1">
      <c r="A16" s="10" t="s">
        <v>81</v>
      </c>
      <c r="B16" s="12" t="s">
        <v>295</v>
      </c>
      <c r="C16" s="12" t="s">
        <v>296</v>
      </c>
      <c r="D16" s="12" t="s">
        <v>297</v>
      </c>
    </row>
    <row r="17" ht="99.75" customHeight="1">
      <c r="A17" s="10" t="s">
        <v>91</v>
      </c>
      <c r="B17" s="14" t="s">
        <v>298</v>
      </c>
      <c r="C17" s="14" t="s">
        <v>299</v>
      </c>
      <c r="D17" s="14" t="s">
        <v>300</v>
      </c>
    </row>
    <row r="18" ht="14.25" customHeight="1">
      <c r="A18" s="6"/>
      <c r="B18" s="6"/>
      <c r="C18" s="6"/>
      <c r="D18" s="6"/>
    </row>
    <row r="19" ht="14.25" customHeight="1">
      <c r="A19" s="6"/>
      <c r="B19" s="6"/>
      <c r="C19" s="6"/>
      <c r="D19" s="6"/>
    </row>
    <row r="20" ht="14.25" customHeight="1">
      <c r="A20" s="6"/>
      <c r="B20" s="6"/>
      <c r="C20" s="6"/>
      <c r="D20" s="6"/>
    </row>
    <row r="21" ht="14.25" customHeight="1">
      <c r="A21" s="6"/>
      <c r="B21" s="6"/>
      <c r="C21" s="6"/>
      <c r="D21" s="6"/>
    </row>
    <row r="22" ht="14.25" customHeight="1">
      <c r="A22" s="6"/>
      <c r="B22" s="6"/>
      <c r="C22" s="6"/>
      <c r="D22" s="6"/>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D1"/>
    <mergeCell ref="A2:D2"/>
    <mergeCell ref="B3:D3"/>
    <mergeCell ref="A4:D4"/>
    <mergeCell ref="A5:D5"/>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F82"/>
    <pageSetUpPr/>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28.0"/>
    <col customWidth="1" min="2" max="4" width="43.0"/>
    <col customWidth="1" min="5" max="26" width="8.63"/>
  </cols>
  <sheetData>
    <row r="1" ht="37.5" customHeight="1">
      <c r="A1" s="1" t="s">
        <v>200</v>
      </c>
      <c r="B1" s="2"/>
      <c r="C1" s="2"/>
      <c r="D1" s="3"/>
    </row>
    <row r="2" ht="48.0" customHeight="1">
      <c r="A2" s="4" t="s">
        <v>336</v>
      </c>
      <c r="B2" s="2"/>
      <c r="C2" s="2"/>
      <c r="D2" s="3"/>
    </row>
    <row r="3" ht="36.0" customHeight="1">
      <c r="A3" s="5" t="s">
        <v>6</v>
      </c>
      <c r="B3" s="6" t="s">
        <v>7</v>
      </c>
    </row>
    <row r="4" ht="49.5" customHeight="1">
      <c r="A4" s="4" t="s">
        <v>340</v>
      </c>
      <c r="B4" s="2"/>
      <c r="C4" s="2"/>
      <c r="D4" s="3"/>
    </row>
    <row r="5" ht="49.5" customHeight="1">
      <c r="A5" s="8" t="s">
        <v>203</v>
      </c>
      <c r="B5" s="2"/>
      <c r="C5" s="2"/>
      <c r="D5" s="3"/>
    </row>
    <row r="6" ht="14.25" customHeight="1">
      <c r="A6" s="6"/>
      <c r="B6" s="6"/>
      <c r="C6" s="6"/>
      <c r="D6" s="6"/>
    </row>
    <row r="7" ht="39.75" customHeight="1">
      <c r="A7" s="7" t="s">
        <v>26</v>
      </c>
      <c r="B7" s="7" t="s">
        <v>346</v>
      </c>
      <c r="C7" s="7" t="s">
        <v>347</v>
      </c>
      <c r="D7" s="7" t="s">
        <v>348</v>
      </c>
    </row>
    <row r="8" ht="27.75" customHeight="1">
      <c r="A8" s="10" t="s">
        <v>38</v>
      </c>
      <c r="B8" s="11">
        <v>25.0</v>
      </c>
      <c r="C8" s="23" t="s">
        <v>351</v>
      </c>
      <c r="D8" s="11">
        <v>0.0</v>
      </c>
    </row>
    <row r="9" ht="78.0" customHeight="1">
      <c r="A9" s="10" t="s">
        <v>41</v>
      </c>
      <c r="B9" s="6" t="s">
        <v>354</v>
      </c>
      <c r="C9" s="6" t="s">
        <v>355</v>
      </c>
      <c r="D9" s="6" t="s">
        <v>356</v>
      </c>
    </row>
    <row r="10" ht="78.0" customHeight="1">
      <c r="A10" s="10" t="s">
        <v>44</v>
      </c>
      <c r="B10" s="12" t="s">
        <v>358</v>
      </c>
      <c r="C10" s="12" t="s">
        <v>359</v>
      </c>
      <c r="D10" s="12" t="s">
        <v>45</v>
      </c>
    </row>
    <row r="11" ht="78.0" customHeight="1">
      <c r="A11" s="10" t="s">
        <v>46</v>
      </c>
      <c r="B11" s="6" t="s">
        <v>361</v>
      </c>
      <c r="C11" s="6" t="s">
        <v>363</v>
      </c>
      <c r="D11" s="6" t="s">
        <v>364</v>
      </c>
    </row>
    <row r="12" ht="78.0" customHeight="1">
      <c r="A12" s="10" t="s">
        <v>51</v>
      </c>
      <c r="B12" s="12" t="s">
        <v>366</v>
      </c>
      <c r="C12" s="12" t="s">
        <v>367</v>
      </c>
      <c r="D12" s="12" t="s">
        <v>369</v>
      </c>
    </row>
    <row r="13" ht="78.0" customHeight="1">
      <c r="A13" s="10" t="s">
        <v>57</v>
      </c>
      <c r="B13" s="6" t="s">
        <v>370</v>
      </c>
      <c r="C13" s="6" t="s">
        <v>372</v>
      </c>
      <c r="D13" s="6" t="s">
        <v>373</v>
      </c>
    </row>
    <row r="14" ht="78.0" customHeight="1">
      <c r="A14" s="10" t="s">
        <v>64</v>
      </c>
      <c r="B14" s="12" t="s">
        <v>374</v>
      </c>
      <c r="C14" s="12" t="s">
        <v>376</v>
      </c>
      <c r="D14" s="12" t="s">
        <v>377</v>
      </c>
    </row>
    <row r="15" ht="78.0" customHeight="1">
      <c r="A15" s="10" t="s">
        <v>71</v>
      </c>
      <c r="B15" s="6" t="s">
        <v>379</v>
      </c>
      <c r="C15" s="6" t="s">
        <v>380</v>
      </c>
      <c r="D15" s="6" t="s">
        <v>381</v>
      </c>
    </row>
    <row r="16" ht="78.0" customHeight="1">
      <c r="A16" s="10" t="s">
        <v>81</v>
      </c>
      <c r="B16" s="12" t="s">
        <v>383</v>
      </c>
      <c r="C16" s="12" t="s">
        <v>384</v>
      </c>
      <c r="D16" s="12" t="s">
        <v>386</v>
      </c>
    </row>
    <row r="17" ht="99.75" customHeight="1">
      <c r="A17" s="10" t="s">
        <v>91</v>
      </c>
      <c r="B17" s="14" t="s">
        <v>388</v>
      </c>
      <c r="C17" s="14" t="s">
        <v>389</v>
      </c>
      <c r="D17" s="14" t="s">
        <v>390</v>
      </c>
    </row>
    <row r="18" ht="14.25" customHeight="1">
      <c r="A18" s="6"/>
      <c r="B18" s="6"/>
      <c r="C18" s="6"/>
      <c r="D18" s="6"/>
    </row>
    <row r="19" ht="14.25" customHeight="1">
      <c r="A19" s="6"/>
      <c r="B19" s="6"/>
      <c r="C19" s="6"/>
      <c r="D19" s="6"/>
    </row>
    <row r="20" ht="14.25" customHeight="1">
      <c r="A20" s="6"/>
      <c r="B20" s="6"/>
      <c r="C20" s="6"/>
      <c r="D20" s="6"/>
    </row>
    <row r="21" ht="14.25" customHeight="1">
      <c r="A21" s="6"/>
      <c r="B21" s="6"/>
      <c r="C21" s="6"/>
      <c r="D21" s="6"/>
    </row>
    <row r="22" ht="14.25" customHeight="1">
      <c r="A22" s="6"/>
      <c r="B22" s="6"/>
      <c r="C22" s="6"/>
      <c r="D22" s="6"/>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D1"/>
    <mergeCell ref="A2:D2"/>
    <mergeCell ref="B3:D3"/>
    <mergeCell ref="A4:D4"/>
    <mergeCell ref="A5:D5"/>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F82"/>
    <pageSetUpPr/>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28.0"/>
    <col customWidth="1" min="2" max="4" width="43.0"/>
    <col customWidth="1" min="5" max="26" width="8.63"/>
  </cols>
  <sheetData>
    <row r="1" ht="37.5" customHeight="1">
      <c r="A1" s="1" t="s">
        <v>207</v>
      </c>
      <c r="B1" s="2"/>
      <c r="C1" s="2"/>
      <c r="D1" s="3"/>
    </row>
    <row r="2" ht="48.0" customHeight="1">
      <c r="A2" s="4" t="s">
        <v>395</v>
      </c>
      <c r="B2" s="2"/>
      <c r="C2" s="2"/>
      <c r="D2" s="3"/>
    </row>
    <row r="3" ht="36.0" customHeight="1">
      <c r="A3" s="5" t="s">
        <v>6</v>
      </c>
      <c r="B3" s="6" t="s">
        <v>7</v>
      </c>
    </row>
    <row r="4" ht="49.5" customHeight="1">
      <c r="A4" s="4" t="s">
        <v>399</v>
      </c>
      <c r="B4" s="2"/>
      <c r="C4" s="2"/>
      <c r="D4" s="3"/>
    </row>
    <row r="5" ht="49.5" customHeight="1">
      <c r="A5" s="8" t="s">
        <v>211</v>
      </c>
      <c r="B5" s="2"/>
      <c r="C5" s="2"/>
      <c r="D5" s="3"/>
    </row>
    <row r="6" ht="14.25" customHeight="1">
      <c r="A6" s="6"/>
      <c r="B6" s="6"/>
      <c r="C6" s="6"/>
      <c r="D6" s="6"/>
    </row>
    <row r="7" ht="39.75" customHeight="1">
      <c r="A7" s="7" t="s">
        <v>26</v>
      </c>
      <c r="B7" s="7" t="s">
        <v>404</v>
      </c>
      <c r="C7" s="7" t="s">
        <v>405</v>
      </c>
      <c r="D7" s="7" t="s">
        <v>406</v>
      </c>
    </row>
    <row r="8" ht="27.75" customHeight="1">
      <c r="A8" s="10" t="s">
        <v>38</v>
      </c>
      <c r="B8" s="11">
        <v>0.0</v>
      </c>
      <c r="C8" s="23" t="s">
        <v>409</v>
      </c>
      <c r="D8" s="11">
        <v>0.0</v>
      </c>
    </row>
    <row r="9" ht="78.0" customHeight="1">
      <c r="A9" s="10" t="s">
        <v>41</v>
      </c>
      <c r="B9" s="6" t="s">
        <v>411</v>
      </c>
      <c r="C9" s="6" t="s">
        <v>412</v>
      </c>
      <c r="D9" s="6" t="s">
        <v>414</v>
      </c>
    </row>
    <row r="10" ht="78.0" customHeight="1">
      <c r="A10" s="10" t="s">
        <v>44</v>
      </c>
      <c r="B10" s="12" t="s">
        <v>415</v>
      </c>
      <c r="C10" s="12" t="s">
        <v>416</v>
      </c>
      <c r="D10" s="12" t="s">
        <v>418</v>
      </c>
    </row>
    <row r="11" ht="78.0" customHeight="1">
      <c r="A11" s="10" t="s">
        <v>46</v>
      </c>
      <c r="B11" s="6" t="s">
        <v>420</v>
      </c>
      <c r="C11" s="6" t="s">
        <v>422</v>
      </c>
      <c r="D11" s="6" t="s">
        <v>423</v>
      </c>
    </row>
    <row r="12" ht="78.0" customHeight="1">
      <c r="A12" s="10" t="s">
        <v>51</v>
      </c>
      <c r="B12" s="12" t="s">
        <v>425</v>
      </c>
      <c r="C12" s="12" t="s">
        <v>426</v>
      </c>
      <c r="D12" s="12" t="s">
        <v>427</v>
      </c>
    </row>
    <row r="13" ht="78.0" customHeight="1">
      <c r="A13" s="10" t="s">
        <v>57</v>
      </c>
      <c r="B13" s="6" t="s">
        <v>429</v>
      </c>
      <c r="C13" s="6" t="s">
        <v>430</v>
      </c>
      <c r="D13" s="6" t="s">
        <v>431</v>
      </c>
    </row>
    <row r="14" ht="78.0" customHeight="1">
      <c r="A14" s="10" t="s">
        <v>64</v>
      </c>
      <c r="B14" s="12" t="s">
        <v>432</v>
      </c>
      <c r="C14" s="12" t="s">
        <v>433</v>
      </c>
      <c r="D14" s="12" t="s">
        <v>434</v>
      </c>
    </row>
    <row r="15" ht="78.0" customHeight="1">
      <c r="A15" s="10" t="s">
        <v>71</v>
      </c>
      <c r="B15" s="6" t="s">
        <v>437</v>
      </c>
      <c r="C15" s="6" t="s">
        <v>438</v>
      </c>
      <c r="D15" s="6" t="s">
        <v>439</v>
      </c>
    </row>
    <row r="16" ht="78.0" customHeight="1">
      <c r="A16" s="10" t="s">
        <v>81</v>
      </c>
      <c r="B16" s="12" t="s">
        <v>441</v>
      </c>
      <c r="C16" s="12" t="s">
        <v>442</v>
      </c>
      <c r="D16" s="12" t="s">
        <v>443</v>
      </c>
    </row>
    <row r="17" ht="99.75" customHeight="1">
      <c r="A17" s="10" t="s">
        <v>91</v>
      </c>
      <c r="B17" s="14" t="s">
        <v>445</v>
      </c>
      <c r="C17" s="14" t="s">
        <v>446</v>
      </c>
      <c r="D17" s="14" t="s">
        <v>447</v>
      </c>
    </row>
    <row r="18" ht="14.25" customHeight="1">
      <c r="A18" s="6"/>
      <c r="B18" s="6"/>
      <c r="C18" s="6"/>
      <c r="D18" s="6"/>
    </row>
    <row r="19" ht="14.25" customHeight="1">
      <c r="A19" s="6"/>
      <c r="B19" s="6"/>
      <c r="C19" s="6"/>
      <c r="D19" s="6"/>
    </row>
    <row r="20" ht="14.25" customHeight="1">
      <c r="A20" s="6"/>
      <c r="B20" s="6"/>
      <c r="C20" s="6"/>
      <c r="D20" s="6"/>
    </row>
    <row r="21" ht="14.25" customHeight="1">
      <c r="A21" s="6"/>
      <c r="B21" s="6"/>
      <c r="C21" s="6"/>
      <c r="D21" s="6"/>
    </row>
    <row r="22" ht="14.25" customHeight="1">
      <c r="A22" s="6"/>
      <c r="B22" s="6"/>
      <c r="C22" s="6"/>
      <c r="D22" s="6"/>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D1"/>
    <mergeCell ref="A2:D2"/>
    <mergeCell ref="B3:D3"/>
    <mergeCell ref="A4:D4"/>
    <mergeCell ref="A5:D5"/>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F82"/>
    <pageSetUpPr/>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28.0"/>
    <col customWidth="1" min="2" max="5" width="43.0"/>
    <col customWidth="1" min="6" max="26" width="8.63"/>
  </cols>
  <sheetData>
    <row r="1" ht="37.5" customHeight="1">
      <c r="A1" s="1" t="s">
        <v>215</v>
      </c>
      <c r="B1" s="2"/>
      <c r="C1" s="2"/>
      <c r="D1" s="2"/>
      <c r="E1" s="3"/>
    </row>
    <row r="2" ht="48.0" customHeight="1">
      <c r="A2" s="4" t="s">
        <v>417</v>
      </c>
      <c r="B2" s="2"/>
      <c r="C2" s="2"/>
      <c r="D2" s="2"/>
      <c r="E2" s="3"/>
    </row>
    <row r="3" ht="36.0" customHeight="1">
      <c r="A3" s="5" t="s">
        <v>6</v>
      </c>
      <c r="B3" s="6" t="s">
        <v>7</v>
      </c>
    </row>
    <row r="4" ht="49.5" customHeight="1">
      <c r="A4" s="4" t="s">
        <v>435</v>
      </c>
      <c r="B4" s="2"/>
      <c r="C4" s="2"/>
      <c r="D4" s="2"/>
      <c r="E4" s="3"/>
    </row>
    <row r="5" ht="49.5" customHeight="1">
      <c r="A5" s="8" t="s">
        <v>219</v>
      </c>
      <c r="B5" s="2"/>
      <c r="C5" s="2"/>
      <c r="D5" s="2"/>
      <c r="E5" s="3"/>
    </row>
    <row r="6" ht="14.25" customHeight="1">
      <c r="A6" s="6"/>
      <c r="B6" s="6"/>
      <c r="C6" s="6"/>
      <c r="D6" s="6"/>
      <c r="E6" s="6"/>
    </row>
    <row r="7" ht="39.75" customHeight="1">
      <c r="A7" s="7" t="s">
        <v>26</v>
      </c>
      <c r="B7" s="7" t="s">
        <v>451</v>
      </c>
      <c r="C7" s="7" t="s">
        <v>452</v>
      </c>
      <c r="D7" s="7" t="s">
        <v>453</v>
      </c>
      <c r="E7" s="7" t="s">
        <v>454</v>
      </c>
    </row>
    <row r="8" ht="27.75" customHeight="1">
      <c r="A8" s="10" t="s">
        <v>38</v>
      </c>
      <c r="B8" s="11">
        <v>5.0</v>
      </c>
      <c r="C8" s="23">
        <v>2.4E-5</v>
      </c>
      <c r="D8" s="23" t="s">
        <v>457</v>
      </c>
      <c r="E8" s="23" t="s">
        <v>458</v>
      </c>
    </row>
    <row r="9" ht="78.0" customHeight="1">
      <c r="A9" s="10" t="s">
        <v>41</v>
      </c>
      <c r="B9" s="6" t="s">
        <v>461</v>
      </c>
      <c r="C9" s="6" t="s">
        <v>462</v>
      </c>
      <c r="D9" s="6" t="s">
        <v>463</v>
      </c>
      <c r="E9" s="6" t="s">
        <v>465</v>
      </c>
    </row>
    <row r="10" ht="78.0" customHeight="1">
      <c r="A10" s="10" t="s">
        <v>44</v>
      </c>
      <c r="B10" s="12" t="s">
        <v>467</v>
      </c>
      <c r="C10" s="12" t="s">
        <v>468</v>
      </c>
      <c r="D10" s="12" t="s">
        <v>469</v>
      </c>
      <c r="E10" s="12" t="s">
        <v>470</v>
      </c>
    </row>
    <row r="11" ht="78.0" customHeight="1">
      <c r="A11" s="10" t="s">
        <v>46</v>
      </c>
      <c r="B11" s="6" t="s">
        <v>473</v>
      </c>
      <c r="C11" s="6" t="s">
        <v>474</v>
      </c>
      <c r="D11" s="6" t="s">
        <v>475</v>
      </c>
      <c r="E11" s="6" t="s">
        <v>476</v>
      </c>
    </row>
    <row r="12" ht="78.0" customHeight="1">
      <c r="A12" s="10" t="s">
        <v>51</v>
      </c>
      <c r="B12" s="12" t="s">
        <v>478</v>
      </c>
      <c r="C12" s="12" t="s">
        <v>480</v>
      </c>
      <c r="D12" s="12" t="s">
        <v>481</v>
      </c>
      <c r="E12" s="12" t="s">
        <v>483</v>
      </c>
    </row>
    <row r="13" ht="78.0" customHeight="1">
      <c r="A13" s="10" t="s">
        <v>57</v>
      </c>
      <c r="B13" s="6" t="s">
        <v>485</v>
      </c>
      <c r="C13" s="6" t="s">
        <v>486</v>
      </c>
      <c r="D13" s="6" t="s">
        <v>487</v>
      </c>
      <c r="E13" s="6" t="s">
        <v>488</v>
      </c>
    </row>
    <row r="14" ht="78.0" customHeight="1">
      <c r="A14" s="10" t="s">
        <v>64</v>
      </c>
      <c r="B14" s="12" t="s">
        <v>490</v>
      </c>
      <c r="C14" s="12" t="s">
        <v>491</v>
      </c>
      <c r="D14" s="12" t="s">
        <v>493</v>
      </c>
      <c r="E14" s="12" t="s">
        <v>494</v>
      </c>
    </row>
    <row r="15" ht="78.0" customHeight="1">
      <c r="A15" s="10" t="s">
        <v>71</v>
      </c>
      <c r="B15" s="6" t="s">
        <v>495</v>
      </c>
      <c r="C15" s="6" t="s">
        <v>496</v>
      </c>
      <c r="D15" s="6" t="s">
        <v>497</v>
      </c>
      <c r="E15" s="6" t="s">
        <v>499</v>
      </c>
    </row>
    <row r="16" ht="78.0" customHeight="1">
      <c r="A16" s="10" t="s">
        <v>81</v>
      </c>
      <c r="B16" s="12" t="s">
        <v>500</v>
      </c>
      <c r="C16" s="12" t="s">
        <v>502</v>
      </c>
      <c r="D16" s="12" t="s">
        <v>503</v>
      </c>
      <c r="E16" s="12" t="s">
        <v>504</v>
      </c>
    </row>
    <row r="17" ht="99.75" customHeight="1">
      <c r="A17" s="10" t="s">
        <v>91</v>
      </c>
      <c r="B17" s="14" t="s">
        <v>506</v>
      </c>
      <c r="C17" s="14" t="s">
        <v>507</v>
      </c>
      <c r="D17" s="14" t="s">
        <v>509</v>
      </c>
      <c r="E17" s="14" t="s">
        <v>510</v>
      </c>
    </row>
    <row r="18" ht="14.25" customHeight="1">
      <c r="A18" s="6"/>
      <c r="B18" s="6"/>
      <c r="C18" s="6"/>
      <c r="D18" s="6"/>
      <c r="E18" s="6"/>
    </row>
    <row r="19" ht="14.25" customHeight="1">
      <c r="A19" s="6"/>
      <c r="B19" s="6"/>
      <c r="C19" s="6"/>
      <c r="D19" s="6"/>
      <c r="E19" s="6"/>
    </row>
    <row r="20" ht="14.25" customHeight="1">
      <c r="A20" s="6"/>
      <c r="B20" s="6"/>
      <c r="C20" s="6"/>
      <c r="D20" s="6"/>
      <c r="E20" s="6"/>
    </row>
    <row r="21" ht="14.25" customHeight="1">
      <c r="A21" s="6"/>
      <c r="B21" s="6"/>
      <c r="C21" s="6"/>
      <c r="D21" s="6"/>
      <c r="E21" s="6"/>
    </row>
    <row r="22" ht="14.25" customHeight="1">
      <c r="A22" s="6"/>
      <c r="B22" s="6"/>
      <c r="C22" s="6"/>
      <c r="D22" s="6"/>
      <c r="E22" s="6"/>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E1"/>
    <mergeCell ref="A2:E2"/>
    <mergeCell ref="B3:E3"/>
    <mergeCell ref="A4:E4"/>
    <mergeCell ref="A5:E5"/>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F82"/>
    <pageSetUpPr/>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28.0"/>
    <col customWidth="1" min="2" max="4" width="43.0"/>
    <col customWidth="1" min="5" max="26" width="8.63"/>
  </cols>
  <sheetData>
    <row r="1" ht="37.5" customHeight="1">
      <c r="A1" s="1" t="s">
        <v>226</v>
      </c>
      <c r="B1" s="2"/>
      <c r="C1" s="2"/>
      <c r="D1" s="3"/>
    </row>
    <row r="2" ht="48.0" customHeight="1">
      <c r="A2" s="4" t="s">
        <v>537</v>
      </c>
      <c r="B2" s="2"/>
      <c r="C2" s="2"/>
      <c r="D2" s="3"/>
    </row>
    <row r="3" ht="36.0" customHeight="1">
      <c r="A3" s="5" t="s">
        <v>6</v>
      </c>
      <c r="B3" s="6" t="s">
        <v>7</v>
      </c>
    </row>
    <row r="4" ht="49.5" customHeight="1">
      <c r="A4" s="4" t="s">
        <v>541</v>
      </c>
      <c r="B4" s="2"/>
      <c r="C4" s="2"/>
      <c r="D4" s="3"/>
    </row>
    <row r="5" ht="49.5" customHeight="1">
      <c r="A5" s="8" t="s">
        <v>236</v>
      </c>
      <c r="B5" s="2"/>
      <c r="C5" s="2"/>
      <c r="D5" s="3"/>
    </row>
    <row r="6" ht="14.25" customHeight="1">
      <c r="A6" s="6"/>
      <c r="B6" s="6"/>
      <c r="C6" s="6"/>
      <c r="D6" s="6"/>
    </row>
    <row r="7" ht="39.75" customHeight="1">
      <c r="A7" s="7" t="s">
        <v>26</v>
      </c>
      <c r="B7" s="7" t="s">
        <v>547</v>
      </c>
      <c r="C7" s="7" t="s">
        <v>244</v>
      </c>
      <c r="D7" s="7" t="s">
        <v>549</v>
      </c>
    </row>
    <row r="8" ht="27.75" customHeight="1">
      <c r="A8" s="10" t="s">
        <v>38</v>
      </c>
      <c r="B8" s="11">
        <v>0.0</v>
      </c>
      <c r="C8" s="11">
        <v>20.0</v>
      </c>
      <c r="D8" s="23" t="s">
        <v>261</v>
      </c>
    </row>
    <row r="9" ht="78.0" customHeight="1">
      <c r="A9" s="10" t="s">
        <v>41</v>
      </c>
      <c r="B9" s="6" t="s">
        <v>555</v>
      </c>
      <c r="C9" s="6" t="s">
        <v>557</v>
      </c>
      <c r="D9" s="6" t="s">
        <v>558</v>
      </c>
    </row>
    <row r="10" ht="78.0" customHeight="1">
      <c r="A10" s="10" t="s">
        <v>44</v>
      </c>
      <c r="B10" s="12" t="s">
        <v>560</v>
      </c>
      <c r="C10" s="12" t="s">
        <v>561</v>
      </c>
      <c r="D10" s="12" t="s">
        <v>563</v>
      </c>
    </row>
    <row r="11" ht="78.0" customHeight="1">
      <c r="A11" s="10" t="s">
        <v>46</v>
      </c>
      <c r="B11" s="6" t="s">
        <v>564</v>
      </c>
      <c r="C11" s="6" t="s">
        <v>565</v>
      </c>
      <c r="D11" s="6" t="s">
        <v>566</v>
      </c>
    </row>
    <row r="12" ht="78.0" customHeight="1">
      <c r="A12" s="10" t="s">
        <v>51</v>
      </c>
      <c r="B12" s="12" t="s">
        <v>567</v>
      </c>
      <c r="C12" s="12" t="s">
        <v>568</v>
      </c>
      <c r="D12" s="12" t="s">
        <v>569</v>
      </c>
    </row>
    <row r="13" ht="78.0" customHeight="1">
      <c r="A13" s="10" t="s">
        <v>57</v>
      </c>
      <c r="B13" s="6" t="s">
        <v>570</v>
      </c>
      <c r="C13" s="6" t="s">
        <v>571</v>
      </c>
      <c r="D13" s="6" t="s">
        <v>572</v>
      </c>
    </row>
    <row r="14" ht="78.0" customHeight="1">
      <c r="A14" s="10" t="s">
        <v>64</v>
      </c>
      <c r="B14" s="12" t="s">
        <v>573</v>
      </c>
      <c r="C14" s="12" t="s">
        <v>574</v>
      </c>
      <c r="D14" s="12" t="s">
        <v>575</v>
      </c>
    </row>
    <row r="15" ht="78.0" customHeight="1">
      <c r="A15" s="10" t="s">
        <v>71</v>
      </c>
      <c r="B15" s="6" t="s">
        <v>576</v>
      </c>
      <c r="C15" s="6" t="s">
        <v>577</v>
      </c>
      <c r="D15" s="6" t="s">
        <v>578</v>
      </c>
    </row>
    <row r="16" ht="78.0" customHeight="1">
      <c r="A16" s="10" t="s">
        <v>81</v>
      </c>
      <c r="B16" s="12" t="s">
        <v>579</v>
      </c>
      <c r="C16" s="12" t="s">
        <v>580</v>
      </c>
      <c r="D16" s="12" t="s">
        <v>581</v>
      </c>
    </row>
    <row r="17" ht="99.75" customHeight="1">
      <c r="A17" s="10" t="s">
        <v>91</v>
      </c>
      <c r="B17" s="14" t="s">
        <v>582</v>
      </c>
      <c r="C17" s="14" t="s">
        <v>583</v>
      </c>
      <c r="D17" s="14" t="s">
        <v>300</v>
      </c>
    </row>
    <row r="18" ht="14.25" customHeight="1">
      <c r="A18" s="6"/>
      <c r="B18" s="6"/>
      <c r="C18" s="6"/>
      <c r="D18" s="6"/>
    </row>
    <row r="19" ht="14.25" customHeight="1">
      <c r="A19" s="6"/>
      <c r="B19" s="6"/>
      <c r="C19" s="6"/>
      <c r="D19" s="6"/>
    </row>
    <row r="20" ht="14.25" customHeight="1">
      <c r="A20" s="6"/>
      <c r="B20" s="6"/>
      <c r="C20" s="6"/>
      <c r="D20" s="6"/>
    </row>
    <row r="21" ht="14.25" customHeight="1">
      <c r="A21" s="6"/>
      <c r="B21" s="6"/>
      <c r="C21" s="6"/>
      <c r="D21" s="6"/>
    </row>
    <row r="22" ht="14.25" customHeight="1">
      <c r="A22" s="6"/>
      <c r="B22" s="6"/>
      <c r="C22" s="6"/>
      <c r="D22" s="6"/>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D1"/>
    <mergeCell ref="A2:D2"/>
    <mergeCell ref="B3:D3"/>
    <mergeCell ref="A4:D4"/>
    <mergeCell ref="A5:D5"/>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F82"/>
    <pageSetUpPr/>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28.0"/>
    <col customWidth="1" min="2" max="5" width="43.0"/>
    <col customWidth="1" min="6" max="26" width="8.63"/>
  </cols>
  <sheetData>
    <row r="1" ht="37.5" customHeight="1">
      <c r="A1" s="1" t="s">
        <v>256</v>
      </c>
      <c r="B1" s="2"/>
      <c r="C1" s="2"/>
      <c r="D1" s="2"/>
      <c r="E1" s="3"/>
    </row>
    <row r="2" ht="48.0" customHeight="1">
      <c r="A2" s="4" t="s">
        <v>584</v>
      </c>
      <c r="B2" s="2"/>
      <c r="C2" s="2"/>
      <c r="D2" s="2"/>
      <c r="E2" s="3"/>
    </row>
    <row r="3" ht="36.0" customHeight="1">
      <c r="A3" s="5" t="s">
        <v>6</v>
      </c>
      <c r="B3" s="6" t="s">
        <v>7</v>
      </c>
    </row>
    <row r="4" ht="49.5" customHeight="1">
      <c r="A4" s="4" t="s">
        <v>585</v>
      </c>
      <c r="B4" s="2"/>
      <c r="C4" s="2"/>
      <c r="D4" s="2"/>
      <c r="E4" s="3"/>
    </row>
    <row r="5" ht="49.5" customHeight="1">
      <c r="A5" s="8" t="s">
        <v>263</v>
      </c>
      <c r="B5" s="2"/>
      <c r="C5" s="2"/>
      <c r="D5" s="2"/>
      <c r="E5" s="3"/>
    </row>
    <row r="6" ht="14.25" customHeight="1">
      <c r="A6" s="6"/>
      <c r="B6" s="6"/>
      <c r="C6" s="6"/>
      <c r="D6" s="6"/>
      <c r="E6" s="6"/>
    </row>
    <row r="7" ht="39.75" customHeight="1">
      <c r="A7" s="7" t="s">
        <v>26</v>
      </c>
      <c r="B7" s="7" t="s">
        <v>586</v>
      </c>
      <c r="C7" s="7" t="s">
        <v>587</v>
      </c>
      <c r="D7" s="7" t="s">
        <v>588</v>
      </c>
      <c r="E7" s="7" t="s">
        <v>589</v>
      </c>
    </row>
    <row r="8" ht="27.75" customHeight="1">
      <c r="A8" s="10" t="s">
        <v>38</v>
      </c>
      <c r="B8" s="23">
        <v>0.015</v>
      </c>
      <c r="C8" s="23" t="s">
        <v>590</v>
      </c>
      <c r="D8" s="11">
        <v>99.0</v>
      </c>
      <c r="E8" s="11">
        <v>25.0</v>
      </c>
    </row>
    <row r="9" ht="78.0" customHeight="1">
      <c r="A9" s="10" t="s">
        <v>41</v>
      </c>
      <c r="B9" s="6" t="s">
        <v>591</v>
      </c>
      <c r="C9" s="6" t="s">
        <v>592</v>
      </c>
      <c r="D9" s="6" t="s">
        <v>593</v>
      </c>
      <c r="E9" s="6" t="s">
        <v>594</v>
      </c>
    </row>
    <row r="10" ht="78.0" customHeight="1">
      <c r="A10" s="10" t="s">
        <v>44</v>
      </c>
      <c r="B10" s="12" t="s">
        <v>595</v>
      </c>
      <c r="C10" s="12" t="s">
        <v>596</v>
      </c>
      <c r="D10" s="12" t="s">
        <v>597</v>
      </c>
      <c r="E10" s="12" t="s">
        <v>598</v>
      </c>
    </row>
    <row r="11" ht="78.0" customHeight="1">
      <c r="A11" s="10" t="s">
        <v>46</v>
      </c>
      <c r="B11" s="6" t="s">
        <v>599</v>
      </c>
      <c r="C11" s="6" t="s">
        <v>600</v>
      </c>
      <c r="D11" s="6" t="s">
        <v>601</v>
      </c>
      <c r="E11" s="6" t="s">
        <v>602</v>
      </c>
    </row>
    <row r="12" ht="78.0" customHeight="1">
      <c r="A12" s="10" t="s">
        <v>51</v>
      </c>
      <c r="B12" s="12" t="s">
        <v>603</v>
      </c>
      <c r="C12" s="12" t="s">
        <v>604</v>
      </c>
      <c r="D12" s="12" t="s">
        <v>605</v>
      </c>
      <c r="E12" s="12" t="s">
        <v>606</v>
      </c>
    </row>
    <row r="13" ht="78.0" customHeight="1">
      <c r="A13" s="10" t="s">
        <v>57</v>
      </c>
      <c r="B13" s="6" t="s">
        <v>608</v>
      </c>
      <c r="C13" s="6" t="s">
        <v>609</v>
      </c>
      <c r="D13" s="6" t="s">
        <v>610</v>
      </c>
      <c r="E13" s="6" t="s">
        <v>611</v>
      </c>
    </row>
    <row r="14" ht="78.0" customHeight="1">
      <c r="A14" s="10" t="s">
        <v>64</v>
      </c>
      <c r="B14" s="12" t="s">
        <v>612</v>
      </c>
      <c r="C14" s="12" t="s">
        <v>613</v>
      </c>
      <c r="D14" s="12" t="s">
        <v>615</v>
      </c>
      <c r="E14" s="12" t="s">
        <v>616</v>
      </c>
    </row>
    <row r="15" ht="78.0" customHeight="1">
      <c r="A15" s="10" t="s">
        <v>71</v>
      </c>
      <c r="B15" s="6" t="s">
        <v>617</v>
      </c>
      <c r="C15" s="6" t="s">
        <v>618</v>
      </c>
      <c r="D15" s="6" t="s">
        <v>619</v>
      </c>
      <c r="E15" s="6" t="s">
        <v>620</v>
      </c>
    </row>
    <row r="16" ht="78.0" customHeight="1">
      <c r="A16" s="10" t="s">
        <v>81</v>
      </c>
      <c r="B16" s="12" t="s">
        <v>621</v>
      </c>
      <c r="C16" s="12" t="s">
        <v>622</v>
      </c>
      <c r="D16" s="12" t="s">
        <v>623</v>
      </c>
      <c r="E16" s="12" t="s">
        <v>624</v>
      </c>
    </row>
    <row r="17" ht="99.75" customHeight="1">
      <c r="A17" s="10" t="s">
        <v>91</v>
      </c>
      <c r="B17" s="14" t="s">
        <v>108</v>
      </c>
      <c r="C17" s="14" t="s">
        <v>627</v>
      </c>
      <c r="D17" s="14" t="s">
        <v>629</v>
      </c>
      <c r="E17" s="14" t="s">
        <v>388</v>
      </c>
    </row>
    <row r="18" ht="14.25" customHeight="1">
      <c r="A18" s="6"/>
      <c r="B18" s="6"/>
      <c r="C18" s="6"/>
      <c r="D18" s="6"/>
      <c r="E18" s="6"/>
    </row>
    <row r="19" ht="14.25" customHeight="1">
      <c r="A19" s="6"/>
      <c r="B19" s="6"/>
      <c r="C19" s="6"/>
      <c r="D19" s="6"/>
      <c r="E19" s="6"/>
    </row>
    <row r="20" ht="14.25" customHeight="1">
      <c r="A20" s="6"/>
      <c r="B20" s="6"/>
      <c r="C20" s="6"/>
      <c r="D20" s="6"/>
      <c r="E20" s="6"/>
    </row>
    <row r="21" ht="14.25" customHeight="1">
      <c r="A21" s="6"/>
      <c r="B21" s="6"/>
      <c r="C21" s="6"/>
      <c r="D21" s="6"/>
      <c r="E21" s="6"/>
    </row>
    <row r="22" ht="14.25" customHeight="1">
      <c r="A22" s="6"/>
      <c r="B22" s="6"/>
      <c r="C22" s="6"/>
      <c r="D22" s="6"/>
      <c r="E22" s="6"/>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E1"/>
    <mergeCell ref="A2:E2"/>
    <mergeCell ref="B3:E3"/>
    <mergeCell ref="A4:E4"/>
    <mergeCell ref="A5:E5"/>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F82"/>
    <pageSetUpPr/>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28.0"/>
    <col customWidth="1" min="2" max="5" width="43.0"/>
    <col customWidth="1" min="6" max="26" width="8.63"/>
  </cols>
  <sheetData>
    <row r="1" ht="37.5" customHeight="1">
      <c r="A1" s="1" t="s">
        <v>269</v>
      </c>
      <c r="B1" s="2"/>
      <c r="C1" s="2"/>
      <c r="D1" s="2"/>
      <c r="E1" s="3"/>
    </row>
    <row r="2" ht="48.0" customHeight="1">
      <c r="A2" s="4" t="s">
        <v>607</v>
      </c>
      <c r="B2" s="2"/>
      <c r="C2" s="2"/>
      <c r="D2" s="2"/>
      <c r="E2" s="3"/>
    </row>
    <row r="3" ht="36.0" customHeight="1">
      <c r="A3" s="5" t="s">
        <v>6</v>
      </c>
      <c r="B3" s="6" t="s">
        <v>7</v>
      </c>
    </row>
    <row r="4" ht="49.5" customHeight="1">
      <c r="A4" s="4" t="s">
        <v>614</v>
      </c>
      <c r="B4" s="2"/>
      <c r="C4" s="2"/>
      <c r="D4" s="2"/>
      <c r="E4" s="3"/>
    </row>
    <row r="5" ht="49.5" customHeight="1">
      <c r="A5" s="8" t="s">
        <v>276</v>
      </c>
      <c r="B5" s="2"/>
      <c r="C5" s="2"/>
      <c r="D5" s="2"/>
      <c r="E5" s="3"/>
    </row>
    <row r="6" ht="14.25" customHeight="1">
      <c r="A6" s="6"/>
      <c r="B6" s="6"/>
      <c r="C6" s="6"/>
      <c r="D6" s="6"/>
      <c r="E6" s="6"/>
    </row>
    <row r="7" ht="39.75" customHeight="1">
      <c r="A7" s="7" t="s">
        <v>26</v>
      </c>
      <c r="B7" s="7" t="s">
        <v>625</v>
      </c>
      <c r="C7" s="7" t="s">
        <v>626</v>
      </c>
      <c r="D7" s="7" t="s">
        <v>628</v>
      </c>
      <c r="E7" s="7" t="s">
        <v>630</v>
      </c>
    </row>
    <row r="8" ht="27.75" customHeight="1">
      <c r="A8" s="10" t="s">
        <v>38</v>
      </c>
      <c r="B8" s="11">
        <v>0.0</v>
      </c>
      <c r="C8" s="23">
        <v>0.0055</v>
      </c>
      <c r="D8" s="23" t="s">
        <v>631</v>
      </c>
      <c r="E8" s="11">
        <v>0.0</v>
      </c>
    </row>
    <row r="9" ht="78.0" customHeight="1">
      <c r="A9" s="10" t="s">
        <v>41</v>
      </c>
      <c r="B9" s="6" t="s">
        <v>632</v>
      </c>
      <c r="C9" s="6" t="s">
        <v>633</v>
      </c>
      <c r="D9" s="6" t="s">
        <v>634</v>
      </c>
      <c r="E9" s="6" t="s">
        <v>635</v>
      </c>
    </row>
    <row r="10" ht="78.0" customHeight="1">
      <c r="A10" s="10" t="s">
        <v>44</v>
      </c>
      <c r="B10" s="12" t="s">
        <v>636</v>
      </c>
      <c r="C10" s="12" t="s">
        <v>637</v>
      </c>
      <c r="D10" s="12" t="s">
        <v>638</v>
      </c>
      <c r="E10" s="12" t="s">
        <v>45</v>
      </c>
    </row>
    <row r="11" ht="78.0" customHeight="1">
      <c r="A11" s="10" t="s">
        <v>46</v>
      </c>
      <c r="B11" s="6" t="s">
        <v>639</v>
      </c>
      <c r="C11" s="6" t="s">
        <v>640</v>
      </c>
      <c r="D11" s="6" t="s">
        <v>641</v>
      </c>
      <c r="E11" s="6" t="s">
        <v>642</v>
      </c>
    </row>
    <row r="12" ht="78.0" customHeight="1">
      <c r="A12" s="10" t="s">
        <v>51</v>
      </c>
      <c r="B12" s="12" t="s">
        <v>643</v>
      </c>
      <c r="C12" s="12" t="s">
        <v>644</v>
      </c>
      <c r="D12" s="12" t="s">
        <v>645</v>
      </c>
      <c r="E12" s="12" t="s">
        <v>646</v>
      </c>
    </row>
    <row r="13" ht="78.0" customHeight="1">
      <c r="A13" s="10" t="s">
        <v>57</v>
      </c>
      <c r="B13" s="6" t="s">
        <v>647</v>
      </c>
      <c r="C13" s="6" t="s">
        <v>648</v>
      </c>
      <c r="D13" s="6" t="s">
        <v>649</v>
      </c>
      <c r="E13" s="6" t="s">
        <v>650</v>
      </c>
    </row>
    <row r="14" ht="78.0" customHeight="1">
      <c r="A14" s="10" t="s">
        <v>64</v>
      </c>
      <c r="B14" s="12" t="s">
        <v>651</v>
      </c>
      <c r="C14" s="12" t="s">
        <v>652</v>
      </c>
      <c r="D14" s="12" t="s">
        <v>653</v>
      </c>
      <c r="E14" s="12" t="s">
        <v>654</v>
      </c>
    </row>
    <row r="15" ht="78.0" customHeight="1">
      <c r="A15" s="10" t="s">
        <v>71</v>
      </c>
      <c r="B15" s="6" t="s">
        <v>655</v>
      </c>
      <c r="C15" s="6" t="s">
        <v>656</v>
      </c>
      <c r="D15" s="6" t="s">
        <v>657</v>
      </c>
      <c r="E15" s="6" t="s">
        <v>658</v>
      </c>
    </row>
    <row r="16" ht="78.0" customHeight="1">
      <c r="A16" s="10" t="s">
        <v>81</v>
      </c>
      <c r="B16" s="12" t="s">
        <v>659</v>
      </c>
      <c r="C16" s="12" t="s">
        <v>660</v>
      </c>
      <c r="D16" s="12" t="s">
        <v>661</v>
      </c>
      <c r="E16" s="12" t="s">
        <v>662</v>
      </c>
    </row>
    <row r="17" ht="99.75" customHeight="1">
      <c r="A17" s="10" t="s">
        <v>91</v>
      </c>
      <c r="B17" s="14" t="s">
        <v>388</v>
      </c>
      <c r="C17" s="14" t="s">
        <v>663</v>
      </c>
      <c r="D17" s="14" t="s">
        <v>664</v>
      </c>
      <c r="E17" s="14" t="s">
        <v>665</v>
      </c>
    </row>
    <row r="18" ht="14.25" customHeight="1">
      <c r="A18" s="6"/>
      <c r="B18" s="6"/>
      <c r="C18" s="6"/>
      <c r="D18" s="6"/>
      <c r="E18" s="6"/>
    </row>
    <row r="19" ht="14.25" customHeight="1">
      <c r="A19" s="6"/>
      <c r="B19" s="6"/>
      <c r="C19" s="6"/>
      <c r="D19" s="6"/>
      <c r="E19" s="6"/>
    </row>
    <row r="20" ht="14.25" customHeight="1">
      <c r="A20" s="6"/>
      <c r="B20" s="6"/>
      <c r="C20" s="6"/>
      <c r="D20" s="6"/>
      <c r="E20" s="6"/>
    </row>
    <row r="21" ht="14.25" customHeight="1">
      <c r="A21" s="6"/>
      <c r="B21" s="6"/>
      <c r="C21" s="6"/>
      <c r="D21" s="6"/>
      <c r="E21" s="6"/>
    </row>
    <row r="22" ht="14.25" customHeight="1">
      <c r="A22" s="6"/>
      <c r="B22" s="6"/>
      <c r="C22" s="6"/>
      <c r="D22" s="6"/>
      <c r="E22" s="6"/>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E1"/>
    <mergeCell ref="A2:E2"/>
    <mergeCell ref="B3:E3"/>
    <mergeCell ref="A4:E4"/>
    <mergeCell ref="A5:E5"/>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F82"/>
    <pageSetUpPr/>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28.0"/>
    <col customWidth="1" min="2" max="4" width="43.0"/>
    <col customWidth="1" min="5" max="26" width="8.63"/>
  </cols>
  <sheetData>
    <row r="1" ht="37.5" customHeight="1">
      <c r="A1" s="1" t="s">
        <v>287</v>
      </c>
      <c r="B1" s="2"/>
      <c r="C1" s="2"/>
      <c r="D1" s="3"/>
    </row>
    <row r="2" ht="48.0" customHeight="1">
      <c r="A2" s="4" t="s">
        <v>666</v>
      </c>
      <c r="B2" s="2"/>
      <c r="C2" s="2"/>
      <c r="D2" s="3"/>
    </row>
    <row r="3" ht="36.0" customHeight="1">
      <c r="A3" s="5" t="s">
        <v>6</v>
      </c>
      <c r="B3" s="6" t="s">
        <v>7</v>
      </c>
    </row>
    <row r="4" ht="49.5" customHeight="1">
      <c r="A4" s="4" t="s">
        <v>667</v>
      </c>
      <c r="B4" s="2"/>
      <c r="C4" s="2"/>
      <c r="D4" s="3"/>
    </row>
    <row r="5" ht="49.5" customHeight="1">
      <c r="A5" s="8" t="s">
        <v>301</v>
      </c>
      <c r="B5" s="2"/>
      <c r="C5" s="2"/>
      <c r="D5" s="3"/>
    </row>
    <row r="6" ht="14.25" customHeight="1">
      <c r="A6" s="6"/>
      <c r="B6" s="6"/>
      <c r="C6" s="6"/>
      <c r="D6" s="6"/>
    </row>
    <row r="7" ht="39.75" customHeight="1">
      <c r="A7" s="7" t="s">
        <v>26</v>
      </c>
      <c r="B7" s="7" t="s">
        <v>668</v>
      </c>
      <c r="C7" s="7" t="s">
        <v>669</v>
      </c>
      <c r="D7" s="7" t="s">
        <v>670</v>
      </c>
    </row>
    <row r="8" ht="27.75" customHeight="1">
      <c r="A8" s="10" t="s">
        <v>38</v>
      </c>
      <c r="B8" s="11">
        <v>0.0</v>
      </c>
      <c r="C8" s="23">
        <v>0.1</v>
      </c>
      <c r="D8" s="23" t="s">
        <v>261</v>
      </c>
    </row>
    <row r="9" ht="78.0" customHeight="1">
      <c r="A9" s="10" t="s">
        <v>41</v>
      </c>
      <c r="B9" s="6" t="s">
        <v>671</v>
      </c>
      <c r="C9" s="6" t="s">
        <v>672</v>
      </c>
      <c r="D9" s="6" t="s">
        <v>673</v>
      </c>
    </row>
    <row r="10" ht="78.0" customHeight="1">
      <c r="A10" s="10" t="s">
        <v>44</v>
      </c>
      <c r="B10" s="12" t="s">
        <v>45</v>
      </c>
      <c r="C10" s="12" t="s">
        <v>674</v>
      </c>
      <c r="D10" s="12" t="s">
        <v>675</v>
      </c>
    </row>
    <row r="11" ht="78.0" customHeight="1">
      <c r="A11" s="10" t="s">
        <v>46</v>
      </c>
      <c r="B11" s="6" t="s">
        <v>676</v>
      </c>
      <c r="C11" s="6" t="s">
        <v>677</v>
      </c>
      <c r="D11" s="6" t="s">
        <v>678</v>
      </c>
    </row>
    <row r="12" ht="78.0" customHeight="1">
      <c r="A12" s="10" t="s">
        <v>51</v>
      </c>
      <c r="B12" s="12" t="s">
        <v>679</v>
      </c>
      <c r="C12" s="12" t="s">
        <v>680</v>
      </c>
      <c r="D12" s="12" t="s">
        <v>681</v>
      </c>
    </row>
    <row r="13" ht="78.0" customHeight="1">
      <c r="A13" s="10" t="s">
        <v>57</v>
      </c>
      <c r="B13" s="6" t="s">
        <v>682</v>
      </c>
      <c r="C13" s="6" t="s">
        <v>683</v>
      </c>
      <c r="D13" s="6" t="s">
        <v>684</v>
      </c>
    </row>
    <row r="14" ht="78.0" customHeight="1">
      <c r="A14" s="10" t="s">
        <v>64</v>
      </c>
      <c r="B14" s="12" t="s">
        <v>685</v>
      </c>
      <c r="C14" s="12" t="s">
        <v>686</v>
      </c>
      <c r="D14" s="12" t="s">
        <v>687</v>
      </c>
    </row>
    <row r="15" ht="78.0" customHeight="1">
      <c r="A15" s="10" t="s">
        <v>71</v>
      </c>
      <c r="B15" s="6" t="s">
        <v>688</v>
      </c>
      <c r="C15" s="6" t="s">
        <v>689</v>
      </c>
      <c r="D15" s="6" t="s">
        <v>690</v>
      </c>
    </row>
    <row r="16" ht="78.0" customHeight="1">
      <c r="A16" s="10" t="s">
        <v>81</v>
      </c>
      <c r="B16" s="12" t="s">
        <v>691</v>
      </c>
      <c r="C16" s="12" t="s">
        <v>692</v>
      </c>
      <c r="D16" s="12" t="s">
        <v>693</v>
      </c>
    </row>
    <row r="17" ht="99.75" customHeight="1">
      <c r="A17" s="10" t="s">
        <v>91</v>
      </c>
      <c r="B17" s="14" t="s">
        <v>694</v>
      </c>
      <c r="C17" s="14" t="s">
        <v>695</v>
      </c>
      <c r="D17" s="14" t="s">
        <v>696</v>
      </c>
    </row>
    <row r="18" ht="14.25" customHeight="1">
      <c r="A18" s="6"/>
      <c r="B18" s="6"/>
      <c r="C18" s="6"/>
      <c r="D18" s="6"/>
    </row>
    <row r="19" ht="14.25" customHeight="1">
      <c r="A19" s="6"/>
      <c r="B19" s="6"/>
      <c r="C19" s="6"/>
      <c r="D19" s="6"/>
    </row>
    <row r="20" ht="14.25" customHeight="1">
      <c r="A20" s="6"/>
      <c r="B20" s="6"/>
      <c r="C20" s="6"/>
      <c r="D20" s="6"/>
    </row>
    <row r="21" ht="14.25" customHeight="1">
      <c r="A21" s="6"/>
      <c r="B21" s="6"/>
      <c r="C21" s="6"/>
      <c r="D21" s="6"/>
    </row>
    <row r="22" ht="14.25" customHeight="1">
      <c r="A22" s="6"/>
      <c r="B22" s="6"/>
      <c r="C22" s="6"/>
      <c r="D22" s="6"/>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D1"/>
    <mergeCell ref="A2:D2"/>
    <mergeCell ref="B3:D3"/>
    <mergeCell ref="A4:D4"/>
    <mergeCell ref="A5:D5"/>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F82"/>
    <pageSetUpPr/>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28.0"/>
    <col customWidth="1" min="2" max="4" width="43.0"/>
    <col customWidth="1" min="5" max="26" width="8.63"/>
  </cols>
  <sheetData>
    <row r="1" ht="37.5" customHeight="1">
      <c r="A1" s="1" t="s">
        <v>305</v>
      </c>
      <c r="B1" s="2"/>
      <c r="C1" s="2"/>
      <c r="D1" s="3"/>
    </row>
    <row r="2" ht="48.0" customHeight="1">
      <c r="A2" s="4" t="s">
        <v>697</v>
      </c>
      <c r="B2" s="2"/>
      <c r="C2" s="2"/>
      <c r="D2" s="3"/>
    </row>
    <row r="3" ht="36.0" customHeight="1">
      <c r="A3" s="5" t="s">
        <v>6</v>
      </c>
      <c r="B3" s="6" t="s">
        <v>7</v>
      </c>
    </row>
    <row r="4" ht="49.5" customHeight="1">
      <c r="A4" s="4" t="s">
        <v>698</v>
      </c>
      <c r="B4" s="2"/>
      <c r="C4" s="2"/>
      <c r="D4" s="3"/>
    </row>
    <row r="5" ht="49.5" customHeight="1">
      <c r="A5" s="8" t="s">
        <v>309</v>
      </c>
      <c r="B5" s="2"/>
      <c r="C5" s="2"/>
      <c r="D5" s="3"/>
    </row>
    <row r="6" ht="14.25" customHeight="1">
      <c r="A6" s="6"/>
      <c r="B6" s="6"/>
      <c r="C6" s="6"/>
      <c r="D6" s="6"/>
    </row>
    <row r="7" ht="39.75" customHeight="1">
      <c r="A7" s="7" t="s">
        <v>26</v>
      </c>
      <c r="B7" s="7" t="s">
        <v>699</v>
      </c>
      <c r="C7" s="7" t="s">
        <v>700</v>
      </c>
      <c r="D7" s="7" t="s">
        <v>701</v>
      </c>
    </row>
    <row r="8" ht="27.75" customHeight="1">
      <c r="A8" s="10" t="s">
        <v>38</v>
      </c>
      <c r="B8" s="11">
        <v>0.0</v>
      </c>
      <c r="C8" s="23" t="s">
        <v>702</v>
      </c>
      <c r="D8" s="11">
        <v>0.0</v>
      </c>
    </row>
    <row r="9" ht="78.0" customHeight="1">
      <c r="A9" s="10" t="s">
        <v>41</v>
      </c>
      <c r="B9" s="6" t="s">
        <v>414</v>
      </c>
      <c r="C9" s="6" t="s">
        <v>703</v>
      </c>
      <c r="D9" s="6" t="s">
        <v>704</v>
      </c>
    </row>
    <row r="10" ht="78.0" customHeight="1">
      <c r="A10" s="10" t="s">
        <v>44</v>
      </c>
      <c r="B10" s="12" t="s">
        <v>705</v>
      </c>
      <c r="C10" s="12" t="s">
        <v>706</v>
      </c>
      <c r="D10" s="12" t="s">
        <v>45</v>
      </c>
    </row>
    <row r="11" ht="78.0" customHeight="1">
      <c r="A11" s="10" t="s">
        <v>46</v>
      </c>
      <c r="B11" s="6" t="s">
        <v>707</v>
      </c>
      <c r="C11" s="6" t="s">
        <v>708</v>
      </c>
      <c r="D11" s="6" t="s">
        <v>709</v>
      </c>
    </row>
    <row r="12" ht="78.0" customHeight="1">
      <c r="A12" s="10" t="s">
        <v>51</v>
      </c>
      <c r="B12" s="12" t="s">
        <v>710</v>
      </c>
      <c r="C12" s="12" t="s">
        <v>711</v>
      </c>
      <c r="D12" s="12" t="s">
        <v>712</v>
      </c>
    </row>
    <row r="13" ht="78.0" customHeight="1">
      <c r="A13" s="10" t="s">
        <v>57</v>
      </c>
      <c r="B13" s="6" t="s">
        <v>713</v>
      </c>
      <c r="C13" s="6" t="s">
        <v>714</v>
      </c>
      <c r="D13" s="6" t="s">
        <v>715</v>
      </c>
    </row>
    <row r="14" ht="78.0" customHeight="1">
      <c r="A14" s="10" t="s">
        <v>64</v>
      </c>
      <c r="B14" s="12" t="s">
        <v>716</v>
      </c>
      <c r="C14" s="12" t="s">
        <v>717</v>
      </c>
      <c r="D14" s="12" t="s">
        <v>718</v>
      </c>
    </row>
    <row r="15" ht="78.0" customHeight="1">
      <c r="A15" s="10" t="s">
        <v>71</v>
      </c>
      <c r="B15" s="6" t="s">
        <v>719</v>
      </c>
      <c r="C15" s="6" t="s">
        <v>720</v>
      </c>
      <c r="D15" s="6" t="s">
        <v>721</v>
      </c>
    </row>
    <row r="16" ht="78.0" customHeight="1">
      <c r="A16" s="10" t="s">
        <v>81</v>
      </c>
      <c r="B16" s="12" t="s">
        <v>722</v>
      </c>
      <c r="C16" s="12" t="s">
        <v>723</v>
      </c>
      <c r="D16" s="12" t="s">
        <v>724</v>
      </c>
    </row>
    <row r="17" ht="99.75" customHeight="1">
      <c r="A17" s="10" t="s">
        <v>91</v>
      </c>
      <c r="B17" s="14" t="s">
        <v>725</v>
      </c>
      <c r="C17" s="14" t="s">
        <v>726</v>
      </c>
      <c r="D17" s="14" t="s">
        <v>727</v>
      </c>
    </row>
    <row r="18" ht="14.25" customHeight="1">
      <c r="A18" s="6"/>
      <c r="B18" s="6"/>
      <c r="C18" s="6"/>
      <c r="D18" s="6"/>
    </row>
    <row r="19" ht="14.25" customHeight="1">
      <c r="A19" s="6"/>
      <c r="B19" s="6"/>
      <c r="C19" s="6"/>
      <c r="D19" s="6"/>
    </row>
    <row r="20" ht="14.25" customHeight="1">
      <c r="A20" s="6"/>
      <c r="B20" s="6"/>
      <c r="C20" s="6"/>
      <c r="D20" s="6"/>
    </row>
    <row r="21" ht="14.25" customHeight="1">
      <c r="A21" s="6"/>
      <c r="B21" s="6"/>
      <c r="C21" s="6"/>
      <c r="D21" s="6"/>
    </row>
    <row r="22" ht="14.25" customHeight="1">
      <c r="A22" s="6"/>
      <c r="B22" s="6"/>
      <c r="C22" s="6"/>
      <c r="D22" s="6"/>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D1"/>
    <mergeCell ref="A2:D2"/>
    <mergeCell ref="B3:D3"/>
    <mergeCell ref="A4:D4"/>
    <mergeCell ref="A5:D5"/>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F82"/>
    <pageSetUpPr/>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28.0"/>
    <col customWidth="1" min="2" max="4" width="43.0"/>
    <col customWidth="1" min="5" max="26" width="8.63"/>
  </cols>
  <sheetData>
    <row r="1" ht="37.5" customHeight="1">
      <c r="A1" s="1" t="s">
        <v>313</v>
      </c>
      <c r="B1" s="2"/>
      <c r="C1" s="2"/>
      <c r="D1" s="3"/>
    </row>
    <row r="2" ht="48.0" customHeight="1">
      <c r="A2" s="4" t="s">
        <v>728</v>
      </c>
      <c r="B2" s="2"/>
      <c r="C2" s="2"/>
      <c r="D2" s="3"/>
    </row>
    <row r="3" ht="36.0" customHeight="1">
      <c r="A3" s="5" t="s">
        <v>6</v>
      </c>
      <c r="B3" s="6" t="s">
        <v>7</v>
      </c>
    </row>
    <row r="4" ht="49.5" customHeight="1">
      <c r="A4" s="4" t="s">
        <v>729</v>
      </c>
      <c r="B4" s="2"/>
      <c r="C4" s="2"/>
      <c r="D4" s="3"/>
    </row>
    <row r="5" ht="49.5" customHeight="1">
      <c r="A5" s="8" t="s">
        <v>317</v>
      </c>
      <c r="B5" s="2"/>
      <c r="C5" s="2"/>
      <c r="D5" s="3"/>
    </row>
    <row r="6" ht="14.25" customHeight="1">
      <c r="A6" s="6"/>
      <c r="B6" s="6"/>
      <c r="C6" s="6"/>
      <c r="D6" s="6"/>
    </row>
    <row r="7" ht="39.75" customHeight="1">
      <c r="A7" s="7" t="s">
        <v>26</v>
      </c>
      <c r="B7" s="7" t="s">
        <v>730</v>
      </c>
      <c r="C7" s="7" t="s">
        <v>731</v>
      </c>
      <c r="D7" s="7" t="s">
        <v>732</v>
      </c>
    </row>
    <row r="8" ht="27.75" customHeight="1">
      <c r="A8" s="10" t="s">
        <v>38</v>
      </c>
      <c r="B8" s="11">
        <v>0.0</v>
      </c>
      <c r="C8" s="11">
        <v>19.0</v>
      </c>
      <c r="D8" s="11">
        <v>0.0</v>
      </c>
    </row>
    <row r="9" ht="78.0" customHeight="1">
      <c r="A9" s="10" t="s">
        <v>41</v>
      </c>
      <c r="B9" s="6" t="s">
        <v>734</v>
      </c>
      <c r="C9" s="6" t="s">
        <v>735</v>
      </c>
      <c r="D9" s="6" t="s">
        <v>414</v>
      </c>
    </row>
    <row r="10" ht="78.0" customHeight="1">
      <c r="A10" s="10" t="s">
        <v>44</v>
      </c>
      <c r="B10" s="12" t="s">
        <v>736</v>
      </c>
      <c r="C10" s="12" t="s">
        <v>737</v>
      </c>
      <c r="D10" s="12" t="s">
        <v>738</v>
      </c>
    </row>
    <row r="11" ht="78.0" customHeight="1">
      <c r="A11" s="10" t="s">
        <v>46</v>
      </c>
      <c r="B11" s="6" t="s">
        <v>740</v>
      </c>
      <c r="C11" s="6" t="s">
        <v>741</v>
      </c>
      <c r="D11" s="6" t="s">
        <v>742</v>
      </c>
    </row>
    <row r="12" ht="78.0" customHeight="1">
      <c r="A12" s="10" t="s">
        <v>51</v>
      </c>
      <c r="B12" s="12" t="s">
        <v>743</v>
      </c>
      <c r="C12" s="12" t="s">
        <v>744</v>
      </c>
      <c r="D12" s="12" t="s">
        <v>745</v>
      </c>
    </row>
    <row r="13" ht="78.0" customHeight="1">
      <c r="A13" s="10" t="s">
        <v>57</v>
      </c>
      <c r="B13" s="6" t="s">
        <v>746</v>
      </c>
      <c r="C13" s="6" t="s">
        <v>747</v>
      </c>
      <c r="D13" s="6" t="s">
        <v>748</v>
      </c>
    </row>
    <row r="14" ht="78.0" customHeight="1">
      <c r="A14" s="10" t="s">
        <v>64</v>
      </c>
      <c r="B14" s="12" t="s">
        <v>751</v>
      </c>
      <c r="C14" s="12" t="s">
        <v>753</v>
      </c>
      <c r="D14" s="12" t="s">
        <v>754</v>
      </c>
    </row>
    <row r="15" ht="78.0" customHeight="1">
      <c r="A15" s="10" t="s">
        <v>71</v>
      </c>
      <c r="B15" s="6" t="s">
        <v>755</v>
      </c>
      <c r="C15" s="6" t="s">
        <v>756</v>
      </c>
      <c r="D15" s="6" t="s">
        <v>757</v>
      </c>
    </row>
    <row r="16" ht="78.0" customHeight="1">
      <c r="A16" s="10" t="s">
        <v>81</v>
      </c>
      <c r="B16" s="12" t="s">
        <v>758</v>
      </c>
      <c r="C16" s="12" t="s">
        <v>760</v>
      </c>
      <c r="D16" s="12" t="s">
        <v>762</v>
      </c>
    </row>
    <row r="17" ht="99.75" customHeight="1">
      <c r="A17" s="10" t="s">
        <v>91</v>
      </c>
      <c r="B17" s="14" t="s">
        <v>300</v>
      </c>
      <c r="C17" s="14" t="s">
        <v>766</v>
      </c>
      <c r="D17" s="14" t="s">
        <v>95</v>
      </c>
    </row>
    <row r="18" ht="14.25" customHeight="1">
      <c r="A18" s="6"/>
      <c r="B18" s="6"/>
      <c r="C18" s="6"/>
      <c r="D18" s="6"/>
    </row>
    <row r="19" ht="14.25" customHeight="1">
      <c r="A19" s="6"/>
      <c r="B19" s="6"/>
      <c r="C19" s="6"/>
      <c r="D19" s="6"/>
    </row>
    <row r="20" ht="14.25" customHeight="1">
      <c r="A20" s="6"/>
      <c r="B20" s="6"/>
      <c r="C20" s="6"/>
      <c r="D20" s="6"/>
    </row>
    <row r="21" ht="14.25" customHeight="1">
      <c r="A21" s="6"/>
      <c r="B21" s="6"/>
      <c r="C21" s="6"/>
      <c r="D21" s="6"/>
    </row>
    <row r="22" ht="14.25" customHeight="1">
      <c r="A22" s="6"/>
      <c r="B22" s="6"/>
      <c r="C22" s="6"/>
      <c r="D22" s="6"/>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D1"/>
    <mergeCell ref="A2:D2"/>
    <mergeCell ref="B3:D3"/>
    <mergeCell ref="A4:D4"/>
    <mergeCell ref="A5:D5"/>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F82"/>
    <pageSetUpPr/>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28.0"/>
    <col customWidth="1" min="2" max="4" width="43.0"/>
    <col customWidth="1" min="5" max="26" width="8.63"/>
  </cols>
  <sheetData>
    <row r="1" ht="37.5" customHeight="1">
      <c r="A1" s="1" t="s">
        <v>321</v>
      </c>
      <c r="B1" s="2"/>
      <c r="C1" s="2"/>
      <c r="D1" s="3"/>
    </row>
    <row r="2" ht="48.0" customHeight="1">
      <c r="A2" s="4" t="s">
        <v>733</v>
      </c>
      <c r="B2" s="2"/>
      <c r="C2" s="2"/>
      <c r="D2" s="3"/>
    </row>
    <row r="3" ht="36.0" customHeight="1">
      <c r="A3" s="5" t="s">
        <v>6</v>
      </c>
      <c r="B3" s="6" t="s">
        <v>7</v>
      </c>
    </row>
    <row r="4" ht="49.5" customHeight="1">
      <c r="A4" s="4" t="s">
        <v>739</v>
      </c>
      <c r="B4" s="2"/>
      <c r="C4" s="2"/>
      <c r="D4" s="3"/>
    </row>
    <row r="5" ht="49.5" customHeight="1">
      <c r="A5" s="8" t="s">
        <v>325</v>
      </c>
      <c r="B5" s="2"/>
      <c r="C5" s="2"/>
      <c r="D5" s="3"/>
    </row>
    <row r="6" ht="14.25" customHeight="1">
      <c r="A6" s="6"/>
      <c r="B6" s="6"/>
      <c r="C6" s="6"/>
      <c r="D6" s="6"/>
    </row>
    <row r="7" ht="39.75" customHeight="1">
      <c r="A7" s="7" t="s">
        <v>26</v>
      </c>
      <c r="B7" s="7" t="s">
        <v>749</v>
      </c>
      <c r="C7" s="7" t="s">
        <v>750</v>
      </c>
      <c r="D7" s="7" t="s">
        <v>752</v>
      </c>
    </row>
    <row r="8" ht="27.75" customHeight="1">
      <c r="A8" s="10" t="s">
        <v>38</v>
      </c>
      <c r="B8" s="11">
        <v>20.0</v>
      </c>
      <c r="C8" s="23">
        <v>0.1</v>
      </c>
      <c r="D8" s="23">
        <v>0.2852</v>
      </c>
    </row>
    <row r="9" ht="78.0" customHeight="1">
      <c r="A9" s="10" t="s">
        <v>41</v>
      </c>
      <c r="B9" s="6" t="s">
        <v>759</v>
      </c>
      <c r="C9" s="6" t="s">
        <v>761</v>
      </c>
      <c r="D9" s="6" t="s">
        <v>763</v>
      </c>
    </row>
    <row r="10" ht="78.0" customHeight="1">
      <c r="A10" s="10" t="s">
        <v>44</v>
      </c>
      <c r="B10" s="12" t="s">
        <v>764</v>
      </c>
      <c r="C10" s="12" t="s">
        <v>765</v>
      </c>
      <c r="D10" s="12" t="s">
        <v>767</v>
      </c>
    </row>
    <row r="11" ht="78.0" customHeight="1">
      <c r="A11" s="10" t="s">
        <v>46</v>
      </c>
      <c r="B11" s="6" t="s">
        <v>768</v>
      </c>
      <c r="C11" s="6" t="s">
        <v>769</v>
      </c>
      <c r="D11" s="6" t="s">
        <v>770</v>
      </c>
    </row>
    <row r="12" ht="78.0" customHeight="1">
      <c r="A12" s="10" t="s">
        <v>51</v>
      </c>
      <c r="B12" s="12" t="s">
        <v>771</v>
      </c>
      <c r="C12" s="12" t="s">
        <v>772</v>
      </c>
      <c r="D12" s="12" t="s">
        <v>773</v>
      </c>
    </row>
    <row r="13" ht="78.0" customHeight="1">
      <c r="A13" s="10" t="s">
        <v>57</v>
      </c>
      <c r="B13" s="6" t="s">
        <v>774</v>
      </c>
      <c r="C13" s="6" t="s">
        <v>775</v>
      </c>
      <c r="D13" s="6" t="s">
        <v>776</v>
      </c>
    </row>
    <row r="14" ht="78.0" customHeight="1">
      <c r="A14" s="10" t="s">
        <v>64</v>
      </c>
      <c r="B14" s="12" t="s">
        <v>777</v>
      </c>
      <c r="C14" s="12" t="s">
        <v>778</v>
      </c>
      <c r="D14" s="12" t="s">
        <v>779</v>
      </c>
    </row>
    <row r="15" ht="78.0" customHeight="1">
      <c r="A15" s="10" t="s">
        <v>71</v>
      </c>
      <c r="B15" s="6" t="s">
        <v>781</v>
      </c>
      <c r="C15" s="6" t="s">
        <v>782</v>
      </c>
      <c r="D15" s="6" t="s">
        <v>783</v>
      </c>
    </row>
    <row r="16" ht="78.0" customHeight="1">
      <c r="A16" s="10" t="s">
        <v>81</v>
      </c>
      <c r="B16" s="12" t="s">
        <v>784</v>
      </c>
      <c r="C16" s="12" t="s">
        <v>785</v>
      </c>
      <c r="D16" s="12" t="s">
        <v>786</v>
      </c>
    </row>
    <row r="17" ht="99.75" customHeight="1">
      <c r="A17" s="10" t="s">
        <v>91</v>
      </c>
      <c r="B17" s="14" t="s">
        <v>787</v>
      </c>
      <c r="C17" s="14" t="s">
        <v>150</v>
      </c>
      <c r="D17" s="14" t="s">
        <v>788</v>
      </c>
    </row>
    <row r="18" ht="14.25" customHeight="1">
      <c r="A18" s="6"/>
      <c r="B18" s="6"/>
      <c r="C18" s="6"/>
      <c r="D18" s="6"/>
    </row>
    <row r="19" ht="14.25" customHeight="1">
      <c r="A19" s="6"/>
      <c r="B19" s="6"/>
      <c r="C19" s="6"/>
      <c r="D19" s="6"/>
    </row>
    <row r="20" ht="14.25" customHeight="1">
      <c r="A20" s="6"/>
      <c r="B20" s="6"/>
      <c r="C20" s="6"/>
      <c r="D20" s="6"/>
    </row>
    <row r="21" ht="14.25" customHeight="1">
      <c r="A21" s="6"/>
      <c r="B21" s="6"/>
      <c r="C21" s="6"/>
      <c r="D21" s="6"/>
    </row>
    <row r="22" ht="14.25" customHeight="1">
      <c r="A22" s="6"/>
      <c r="B22" s="6"/>
      <c r="C22" s="6"/>
      <c r="D22" s="6"/>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D1"/>
    <mergeCell ref="A2:D2"/>
    <mergeCell ref="B3:D3"/>
    <mergeCell ref="A4:D4"/>
    <mergeCell ref="A5:D5"/>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F82"/>
    <pageSetUpPr/>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28.0"/>
    <col customWidth="1" min="2" max="4" width="43.0"/>
    <col customWidth="1" min="5" max="26" width="8.63"/>
  </cols>
  <sheetData>
    <row r="1" ht="37.5" customHeight="1">
      <c r="A1" s="1" t="s">
        <v>329</v>
      </c>
      <c r="B1" s="2"/>
      <c r="C1" s="2"/>
      <c r="D1" s="3"/>
    </row>
    <row r="2" ht="48.0" customHeight="1">
      <c r="A2" s="4" t="s">
        <v>780</v>
      </c>
      <c r="B2" s="2"/>
      <c r="C2" s="2"/>
      <c r="D2" s="3"/>
    </row>
    <row r="3" ht="36.0" customHeight="1">
      <c r="A3" s="5" t="s">
        <v>6</v>
      </c>
      <c r="B3" s="6" t="s">
        <v>7</v>
      </c>
    </row>
    <row r="4" ht="49.5" customHeight="1">
      <c r="A4" s="4" t="s">
        <v>789</v>
      </c>
      <c r="B4" s="2"/>
      <c r="C4" s="2"/>
      <c r="D4" s="3"/>
    </row>
    <row r="5" ht="49.5" customHeight="1">
      <c r="A5" s="8" t="s">
        <v>332</v>
      </c>
      <c r="B5" s="2"/>
      <c r="C5" s="2"/>
      <c r="D5" s="3"/>
    </row>
    <row r="6" ht="14.25" customHeight="1">
      <c r="A6" s="6"/>
      <c r="B6" s="6"/>
      <c r="C6" s="6"/>
      <c r="D6" s="6"/>
    </row>
    <row r="7" ht="39.75" customHeight="1">
      <c r="A7" s="7" t="s">
        <v>26</v>
      </c>
      <c r="B7" s="7" t="s">
        <v>790</v>
      </c>
      <c r="C7" s="7" t="s">
        <v>791</v>
      </c>
      <c r="D7" s="7" t="s">
        <v>792</v>
      </c>
    </row>
    <row r="8" ht="27.75" customHeight="1">
      <c r="A8" s="10" t="s">
        <v>38</v>
      </c>
      <c r="B8" s="23">
        <v>0.2</v>
      </c>
      <c r="C8" s="11">
        <v>0.0</v>
      </c>
      <c r="D8" s="11">
        <v>0.0</v>
      </c>
    </row>
    <row r="9" ht="78.0" customHeight="1">
      <c r="A9" s="10" t="s">
        <v>41</v>
      </c>
      <c r="B9" s="6" t="s">
        <v>793</v>
      </c>
      <c r="C9" s="6" t="s">
        <v>635</v>
      </c>
      <c r="D9" s="6" t="s">
        <v>414</v>
      </c>
    </row>
    <row r="10" ht="78.0" customHeight="1">
      <c r="A10" s="10" t="s">
        <v>44</v>
      </c>
      <c r="B10" s="12" t="s">
        <v>795</v>
      </c>
      <c r="C10" s="12" t="s">
        <v>45</v>
      </c>
      <c r="D10" s="12" t="s">
        <v>797</v>
      </c>
    </row>
    <row r="11" ht="78.0" customHeight="1">
      <c r="A11" s="10" t="s">
        <v>46</v>
      </c>
      <c r="B11" s="6" t="s">
        <v>798</v>
      </c>
      <c r="C11" s="6" t="s">
        <v>799</v>
      </c>
      <c r="D11" s="6" t="s">
        <v>800</v>
      </c>
    </row>
    <row r="12" ht="78.0" customHeight="1">
      <c r="A12" s="10" t="s">
        <v>51</v>
      </c>
      <c r="B12" s="12" t="s">
        <v>801</v>
      </c>
      <c r="C12" s="12" t="s">
        <v>802</v>
      </c>
      <c r="D12" s="12" t="s">
        <v>803</v>
      </c>
    </row>
    <row r="13" ht="78.0" customHeight="1">
      <c r="A13" s="10" t="s">
        <v>57</v>
      </c>
      <c r="B13" s="6" t="s">
        <v>807</v>
      </c>
      <c r="C13" s="6" t="s">
        <v>808</v>
      </c>
      <c r="D13" s="6" t="s">
        <v>809</v>
      </c>
    </row>
    <row r="14" ht="78.0" customHeight="1">
      <c r="A14" s="10" t="s">
        <v>64</v>
      </c>
      <c r="B14" s="12" t="s">
        <v>811</v>
      </c>
      <c r="C14" s="12" t="s">
        <v>812</v>
      </c>
      <c r="D14" s="12" t="s">
        <v>814</v>
      </c>
    </row>
    <row r="15" ht="78.0" customHeight="1">
      <c r="A15" s="10" t="s">
        <v>71</v>
      </c>
      <c r="B15" s="6" t="s">
        <v>817</v>
      </c>
      <c r="C15" s="6" t="s">
        <v>818</v>
      </c>
      <c r="D15" s="6" t="s">
        <v>820</v>
      </c>
    </row>
    <row r="16" ht="78.0" customHeight="1">
      <c r="A16" s="10" t="s">
        <v>81</v>
      </c>
      <c r="B16" s="12" t="s">
        <v>824</v>
      </c>
      <c r="C16" s="12" t="s">
        <v>825</v>
      </c>
      <c r="D16" s="12" t="s">
        <v>828</v>
      </c>
    </row>
    <row r="17" ht="99.75" customHeight="1">
      <c r="A17" s="10" t="s">
        <v>91</v>
      </c>
      <c r="B17" s="14" t="s">
        <v>833</v>
      </c>
      <c r="C17" s="14" t="s">
        <v>835</v>
      </c>
      <c r="D17" s="14" t="s">
        <v>95</v>
      </c>
    </row>
    <row r="18" ht="14.25" customHeight="1">
      <c r="A18" s="6"/>
      <c r="B18" s="6"/>
      <c r="C18" s="6"/>
      <c r="D18" s="6"/>
    </row>
    <row r="19" ht="14.25" customHeight="1">
      <c r="A19" s="6"/>
      <c r="B19" s="6"/>
      <c r="C19" s="6"/>
      <c r="D19" s="6"/>
    </row>
    <row r="20" ht="14.25" customHeight="1">
      <c r="A20" s="6"/>
      <c r="B20" s="6"/>
      <c r="C20" s="6"/>
      <c r="D20" s="6"/>
    </row>
    <row r="21" ht="14.25" customHeight="1">
      <c r="A21" s="6"/>
      <c r="B21" s="6"/>
      <c r="C21" s="6"/>
      <c r="D21" s="6"/>
    </row>
    <row r="22" ht="14.25" customHeight="1">
      <c r="A22" s="6"/>
      <c r="B22" s="6"/>
      <c r="C22" s="6"/>
      <c r="D22" s="6"/>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D1"/>
    <mergeCell ref="A2:D2"/>
    <mergeCell ref="B3:D3"/>
    <mergeCell ref="A4:D4"/>
    <mergeCell ref="A5:D5"/>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F82"/>
    <pageSetUpPr/>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28.0"/>
    <col customWidth="1" min="2" max="4" width="43.0"/>
    <col customWidth="1" min="5" max="26" width="8.63"/>
  </cols>
  <sheetData>
    <row r="1" ht="37.5" customHeight="1">
      <c r="A1" s="1" t="s">
        <v>337</v>
      </c>
      <c r="B1" s="2"/>
      <c r="C1" s="2"/>
      <c r="D1" s="3"/>
    </row>
    <row r="2" ht="48.0" customHeight="1">
      <c r="A2" s="4" t="s">
        <v>794</v>
      </c>
      <c r="B2" s="2"/>
      <c r="C2" s="2"/>
      <c r="D2" s="3"/>
    </row>
    <row r="3" ht="36.0" customHeight="1">
      <c r="A3" s="5" t="s">
        <v>6</v>
      </c>
      <c r="B3" s="6" t="s">
        <v>7</v>
      </c>
    </row>
    <row r="4" ht="49.5" customHeight="1">
      <c r="A4" s="4" t="s">
        <v>796</v>
      </c>
      <c r="B4" s="2"/>
      <c r="C4" s="2"/>
      <c r="D4" s="3"/>
    </row>
    <row r="5" ht="49.5" customHeight="1">
      <c r="A5" s="8" t="s">
        <v>341</v>
      </c>
      <c r="B5" s="2"/>
      <c r="C5" s="2"/>
      <c r="D5" s="3"/>
    </row>
    <row r="6" ht="14.25" customHeight="1">
      <c r="A6" s="6"/>
      <c r="B6" s="6"/>
      <c r="C6" s="6"/>
      <c r="D6" s="6"/>
    </row>
    <row r="7" ht="39.75" customHeight="1">
      <c r="A7" s="7" t="s">
        <v>26</v>
      </c>
      <c r="B7" s="7" t="s">
        <v>804</v>
      </c>
      <c r="C7" s="7" t="s">
        <v>805</v>
      </c>
      <c r="D7" s="7" t="s">
        <v>806</v>
      </c>
    </row>
    <row r="8" ht="27.75" customHeight="1">
      <c r="A8" s="10" t="s">
        <v>38</v>
      </c>
      <c r="B8" s="11">
        <v>0.0</v>
      </c>
      <c r="C8" s="11">
        <v>0.0</v>
      </c>
      <c r="D8" s="23" t="s">
        <v>810</v>
      </c>
    </row>
    <row r="9" ht="78.0" customHeight="1">
      <c r="A9" s="10" t="s">
        <v>41</v>
      </c>
      <c r="B9" s="6" t="s">
        <v>813</v>
      </c>
      <c r="C9" s="6" t="s">
        <v>671</v>
      </c>
      <c r="D9" s="6" t="s">
        <v>815</v>
      </c>
    </row>
    <row r="10" ht="78.0" customHeight="1">
      <c r="A10" s="10" t="s">
        <v>44</v>
      </c>
      <c r="B10" s="12" t="s">
        <v>816</v>
      </c>
      <c r="C10" s="12" t="s">
        <v>45</v>
      </c>
      <c r="D10" s="12" t="s">
        <v>819</v>
      </c>
    </row>
    <row r="11" ht="78.0" customHeight="1">
      <c r="A11" s="10" t="s">
        <v>46</v>
      </c>
      <c r="B11" s="6" t="s">
        <v>821</v>
      </c>
      <c r="C11" s="6" t="s">
        <v>822</v>
      </c>
      <c r="D11" s="6" t="s">
        <v>823</v>
      </c>
    </row>
    <row r="12" ht="78.0" customHeight="1">
      <c r="A12" s="10" t="s">
        <v>51</v>
      </c>
      <c r="B12" s="12" t="s">
        <v>826</v>
      </c>
      <c r="C12" s="12" t="s">
        <v>827</v>
      </c>
      <c r="D12" s="12" t="s">
        <v>829</v>
      </c>
    </row>
    <row r="13" ht="78.0" customHeight="1">
      <c r="A13" s="10" t="s">
        <v>57</v>
      </c>
      <c r="B13" s="6" t="s">
        <v>830</v>
      </c>
      <c r="C13" s="6" t="s">
        <v>831</v>
      </c>
      <c r="D13" s="6" t="s">
        <v>832</v>
      </c>
    </row>
    <row r="14" ht="78.0" customHeight="1">
      <c r="A14" s="10" t="s">
        <v>64</v>
      </c>
      <c r="B14" s="12" t="s">
        <v>834</v>
      </c>
      <c r="C14" s="12" t="s">
        <v>836</v>
      </c>
      <c r="D14" s="12" t="s">
        <v>837</v>
      </c>
    </row>
    <row r="15" ht="78.0" customHeight="1">
      <c r="A15" s="10" t="s">
        <v>71</v>
      </c>
      <c r="B15" s="6" t="s">
        <v>838</v>
      </c>
      <c r="C15" s="6" t="s">
        <v>839</v>
      </c>
      <c r="D15" s="6" t="s">
        <v>840</v>
      </c>
    </row>
    <row r="16" ht="78.0" customHeight="1">
      <c r="A16" s="10" t="s">
        <v>81</v>
      </c>
      <c r="B16" s="12" t="s">
        <v>841</v>
      </c>
      <c r="C16" s="12" t="s">
        <v>842</v>
      </c>
      <c r="D16" s="12" t="s">
        <v>843</v>
      </c>
    </row>
    <row r="17" ht="99.75" customHeight="1">
      <c r="A17" s="10" t="s">
        <v>91</v>
      </c>
      <c r="B17" s="14" t="s">
        <v>844</v>
      </c>
      <c r="C17" s="14" t="s">
        <v>845</v>
      </c>
      <c r="D17" s="14" t="s">
        <v>846</v>
      </c>
    </row>
    <row r="18" ht="14.25" customHeight="1">
      <c r="A18" s="6"/>
      <c r="B18" s="6"/>
      <c r="C18" s="6"/>
      <c r="D18" s="6"/>
    </row>
    <row r="19" ht="14.25" customHeight="1">
      <c r="A19" s="6"/>
      <c r="B19" s="6"/>
      <c r="C19" s="6"/>
      <c r="D19" s="6"/>
    </row>
    <row r="20" ht="14.25" customHeight="1">
      <c r="A20" s="6"/>
      <c r="B20" s="6"/>
      <c r="C20" s="6"/>
      <c r="D20" s="6"/>
    </row>
    <row r="21" ht="14.25" customHeight="1">
      <c r="A21" s="6"/>
      <c r="B21" s="6"/>
      <c r="C21" s="6"/>
      <c r="D21" s="6"/>
    </row>
    <row r="22" ht="14.25" customHeight="1">
      <c r="A22" s="6"/>
      <c r="B22" s="6"/>
      <c r="C22" s="6"/>
      <c r="D22" s="6"/>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D1"/>
    <mergeCell ref="A2:D2"/>
    <mergeCell ref="B3:D3"/>
    <mergeCell ref="A4:D4"/>
    <mergeCell ref="A5:D5"/>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F82"/>
    <pageSetUpPr/>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28.0"/>
    <col customWidth="1" min="2" max="4" width="43.0"/>
    <col customWidth="1" min="5" max="26" width="8.63"/>
  </cols>
  <sheetData>
    <row r="1" ht="37.5" customHeight="1">
      <c r="A1" s="1" t="s">
        <v>345</v>
      </c>
      <c r="B1" s="2"/>
      <c r="C1" s="2"/>
      <c r="D1" s="3"/>
    </row>
    <row r="2" ht="48.0" customHeight="1">
      <c r="A2" s="4" t="s">
        <v>847</v>
      </c>
      <c r="B2" s="2"/>
      <c r="C2" s="2"/>
      <c r="D2" s="3"/>
    </row>
    <row r="3" ht="36.0" customHeight="1">
      <c r="A3" s="5" t="s">
        <v>6</v>
      </c>
      <c r="B3" s="6" t="s">
        <v>7</v>
      </c>
    </row>
    <row r="4" ht="49.5" customHeight="1">
      <c r="A4" s="4" t="s">
        <v>848</v>
      </c>
      <c r="B4" s="2"/>
      <c r="C4" s="2"/>
      <c r="D4" s="3"/>
    </row>
    <row r="5" ht="49.5" customHeight="1">
      <c r="A5" s="8" t="s">
        <v>353</v>
      </c>
      <c r="B5" s="2"/>
      <c r="C5" s="2"/>
      <c r="D5" s="3"/>
    </row>
    <row r="6" ht="14.25" customHeight="1">
      <c r="A6" s="6"/>
      <c r="B6" s="6"/>
      <c r="C6" s="6"/>
      <c r="D6" s="6"/>
    </row>
    <row r="7" ht="39.75" customHeight="1">
      <c r="A7" s="7" t="s">
        <v>26</v>
      </c>
      <c r="B7" s="7" t="s">
        <v>849</v>
      </c>
      <c r="C7" s="7" t="s">
        <v>850</v>
      </c>
      <c r="D7" s="7" t="s">
        <v>851</v>
      </c>
    </row>
    <row r="8" ht="27.75" customHeight="1">
      <c r="A8" s="10" t="s">
        <v>38</v>
      </c>
      <c r="B8" s="11">
        <v>0.0</v>
      </c>
      <c r="C8" s="11">
        <v>0.0</v>
      </c>
      <c r="D8" s="11">
        <v>0.0</v>
      </c>
    </row>
    <row r="9" ht="78.0" customHeight="1">
      <c r="A9" s="10" t="s">
        <v>41</v>
      </c>
      <c r="B9" s="6" t="s">
        <v>671</v>
      </c>
      <c r="C9" s="6" t="s">
        <v>43</v>
      </c>
      <c r="D9" s="6" t="s">
        <v>414</v>
      </c>
    </row>
    <row r="10" ht="78.0" customHeight="1">
      <c r="A10" s="10" t="s">
        <v>44</v>
      </c>
      <c r="B10" s="12" t="s">
        <v>45</v>
      </c>
      <c r="C10" s="12" t="s">
        <v>45</v>
      </c>
      <c r="D10" s="12" t="s">
        <v>852</v>
      </c>
    </row>
    <row r="11" ht="78.0" customHeight="1">
      <c r="A11" s="10" t="s">
        <v>46</v>
      </c>
      <c r="B11" s="6" t="s">
        <v>853</v>
      </c>
      <c r="C11" s="6" t="s">
        <v>854</v>
      </c>
      <c r="D11" s="6" t="s">
        <v>855</v>
      </c>
    </row>
    <row r="12" ht="78.0" customHeight="1">
      <c r="A12" s="10" t="s">
        <v>51</v>
      </c>
      <c r="B12" s="12" t="s">
        <v>856</v>
      </c>
      <c r="C12" s="12" t="s">
        <v>857</v>
      </c>
      <c r="D12" s="12" t="s">
        <v>858</v>
      </c>
    </row>
    <row r="13" ht="78.0" customHeight="1">
      <c r="A13" s="10" t="s">
        <v>57</v>
      </c>
      <c r="B13" s="6" t="s">
        <v>859</v>
      </c>
      <c r="C13" s="6" t="s">
        <v>860</v>
      </c>
      <c r="D13" s="6" t="s">
        <v>861</v>
      </c>
    </row>
    <row r="14" ht="78.0" customHeight="1">
      <c r="A14" s="10" t="s">
        <v>64</v>
      </c>
      <c r="B14" s="12" t="s">
        <v>862</v>
      </c>
      <c r="C14" s="12" t="s">
        <v>863</v>
      </c>
      <c r="D14" s="12" t="s">
        <v>864</v>
      </c>
    </row>
    <row r="15" ht="78.0" customHeight="1">
      <c r="A15" s="10" t="s">
        <v>71</v>
      </c>
      <c r="B15" s="6" t="s">
        <v>865</v>
      </c>
      <c r="C15" s="6" t="s">
        <v>866</v>
      </c>
      <c r="D15" s="6" t="s">
        <v>867</v>
      </c>
    </row>
    <row r="16" ht="78.0" customHeight="1">
      <c r="A16" s="10" t="s">
        <v>81</v>
      </c>
      <c r="B16" s="12" t="s">
        <v>868</v>
      </c>
      <c r="C16" s="12" t="s">
        <v>869</v>
      </c>
      <c r="D16" s="12" t="s">
        <v>871</v>
      </c>
    </row>
    <row r="17" ht="99.75" customHeight="1">
      <c r="A17" s="10" t="s">
        <v>91</v>
      </c>
      <c r="B17" s="14" t="s">
        <v>872</v>
      </c>
      <c r="C17" s="14" t="s">
        <v>873</v>
      </c>
      <c r="D17" s="14" t="s">
        <v>874</v>
      </c>
    </row>
    <row r="18" ht="14.25" customHeight="1">
      <c r="A18" s="6"/>
      <c r="B18" s="6"/>
      <c r="C18" s="6"/>
      <c r="D18" s="6"/>
    </row>
    <row r="19" ht="14.25" customHeight="1">
      <c r="A19" s="6"/>
      <c r="B19" s="6"/>
      <c r="C19" s="6"/>
      <c r="D19" s="6"/>
    </row>
    <row r="20" ht="14.25" customHeight="1">
      <c r="A20" s="6"/>
      <c r="B20" s="6"/>
      <c r="C20" s="6"/>
      <c r="D20" s="6"/>
    </row>
    <row r="21" ht="14.25" customHeight="1">
      <c r="A21" s="6"/>
      <c r="B21" s="6"/>
      <c r="C21" s="6"/>
      <c r="D21" s="6"/>
    </row>
    <row r="22" ht="14.25" customHeight="1">
      <c r="A22" s="6"/>
      <c r="B22" s="6"/>
      <c r="C22" s="6"/>
      <c r="D22" s="6"/>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D1"/>
    <mergeCell ref="A2:D2"/>
    <mergeCell ref="B3:D3"/>
    <mergeCell ref="A4:D4"/>
    <mergeCell ref="A5:D5"/>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F82"/>
    <pageSetUpPr/>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28.0"/>
    <col customWidth="1" min="2" max="4" width="43.0"/>
    <col customWidth="1" min="5" max="26" width="8.63"/>
  </cols>
  <sheetData>
    <row r="1" ht="37.5" customHeight="1">
      <c r="A1" s="1" t="s">
        <v>365</v>
      </c>
      <c r="B1" s="2"/>
      <c r="C1" s="2"/>
      <c r="D1" s="3"/>
    </row>
    <row r="2" ht="48.0" customHeight="1">
      <c r="A2" s="4" t="s">
        <v>870</v>
      </c>
      <c r="B2" s="2"/>
      <c r="C2" s="2"/>
      <c r="D2" s="3"/>
    </row>
    <row r="3" ht="36.0" customHeight="1">
      <c r="A3" s="5" t="s">
        <v>6</v>
      </c>
      <c r="B3" s="6" t="s">
        <v>7</v>
      </c>
    </row>
    <row r="4" ht="49.5" customHeight="1">
      <c r="A4" s="4" t="s">
        <v>875</v>
      </c>
      <c r="B4" s="2"/>
      <c r="C4" s="2"/>
      <c r="D4" s="3"/>
    </row>
    <row r="5" ht="49.5" customHeight="1">
      <c r="A5" s="8" t="s">
        <v>378</v>
      </c>
      <c r="B5" s="2"/>
      <c r="C5" s="2"/>
      <c r="D5" s="3"/>
    </row>
    <row r="6" ht="14.25" customHeight="1">
      <c r="A6" s="6"/>
      <c r="B6" s="6"/>
      <c r="C6" s="6"/>
      <c r="D6" s="6"/>
    </row>
    <row r="7" ht="39.75" customHeight="1">
      <c r="A7" s="7" t="s">
        <v>26</v>
      </c>
      <c r="B7" s="7" t="s">
        <v>876</v>
      </c>
      <c r="C7" s="7" t="s">
        <v>877</v>
      </c>
      <c r="D7" s="7" t="s">
        <v>878</v>
      </c>
    </row>
    <row r="8" ht="27.75" customHeight="1">
      <c r="A8" s="10" t="s">
        <v>38</v>
      </c>
      <c r="B8" s="11">
        <v>0.0</v>
      </c>
      <c r="C8" s="11">
        <v>0.0</v>
      </c>
      <c r="D8" s="23" t="s">
        <v>879</v>
      </c>
    </row>
    <row r="9" ht="78.0" customHeight="1">
      <c r="A9" s="10" t="s">
        <v>41</v>
      </c>
      <c r="B9" s="6" t="s">
        <v>43</v>
      </c>
      <c r="C9" s="6" t="s">
        <v>671</v>
      </c>
      <c r="D9" s="6" t="s">
        <v>880</v>
      </c>
    </row>
    <row r="10" ht="78.0" customHeight="1">
      <c r="A10" s="10" t="s">
        <v>44</v>
      </c>
      <c r="B10" s="12" t="s">
        <v>45</v>
      </c>
      <c r="C10" s="12" t="s">
        <v>45</v>
      </c>
      <c r="D10" s="12" t="s">
        <v>881</v>
      </c>
    </row>
    <row r="11" ht="78.0" customHeight="1">
      <c r="A11" s="10" t="s">
        <v>46</v>
      </c>
      <c r="B11" s="6" t="s">
        <v>882</v>
      </c>
      <c r="C11" s="6" t="s">
        <v>883</v>
      </c>
      <c r="D11" s="6" t="s">
        <v>884</v>
      </c>
    </row>
    <row r="12" ht="78.0" customHeight="1">
      <c r="A12" s="10" t="s">
        <v>51</v>
      </c>
      <c r="B12" s="12" t="s">
        <v>885</v>
      </c>
      <c r="C12" s="12" t="s">
        <v>886</v>
      </c>
      <c r="D12" s="12" t="s">
        <v>887</v>
      </c>
    </row>
    <row r="13" ht="78.0" customHeight="1">
      <c r="A13" s="10" t="s">
        <v>57</v>
      </c>
      <c r="B13" s="6" t="s">
        <v>888</v>
      </c>
      <c r="C13" s="6" t="s">
        <v>889</v>
      </c>
      <c r="D13" s="6" t="s">
        <v>890</v>
      </c>
    </row>
    <row r="14" ht="78.0" customHeight="1">
      <c r="A14" s="10" t="s">
        <v>64</v>
      </c>
      <c r="B14" s="12" t="s">
        <v>891</v>
      </c>
      <c r="C14" s="12" t="s">
        <v>892</v>
      </c>
      <c r="D14" s="12" t="s">
        <v>893</v>
      </c>
    </row>
    <row r="15" ht="78.0" customHeight="1">
      <c r="A15" s="10" t="s">
        <v>71</v>
      </c>
      <c r="B15" s="6" t="s">
        <v>894</v>
      </c>
      <c r="C15" s="6" t="s">
        <v>895</v>
      </c>
      <c r="D15" s="6" t="s">
        <v>896</v>
      </c>
    </row>
    <row r="16" ht="78.0" customHeight="1">
      <c r="A16" s="10" t="s">
        <v>81</v>
      </c>
      <c r="B16" s="12" t="s">
        <v>897</v>
      </c>
      <c r="C16" s="12" t="s">
        <v>898</v>
      </c>
      <c r="D16" s="12" t="s">
        <v>899</v>
      </c>
    </row>
    <row r="17" ht="99.75" customHeight="1">
      <c r="A17" s="10" t="s">
        <v>91</v>
      </c>
      <c r="B17" s="14" t="s">
        <v>900</v>
      </c>
      <c r="C17" s="14" t="s">
        <v>901</v>
      </c>
      <c r="D17" s="14" t="s">
        <v>902</v>
      </c>
    </row>
    <row r="18" ht="14.25" customHeight="1">
      <c r="A18" s="6"/>
      <c r="B18" s="6"/>
      <c r="C18" s="6"/>
      <c r="D18" s="6"/>
    </row>
    <row r="19" ht="14.25" customHeight="1">
      <c r="A19" s="6"/>
      <c r="B19" s="6"/>
      <c r="C19" s="6"/>
      <c r="D19" s="6"/>
    </row>
    <row r="20" ht="14.25" customHeight="1">
      <c r="A20" s="6"/>
      <c r="B20" s="6"/>
      <c r="C20" s="6"/>
      <c r="D20" s="6"/>
    </row>
    <row r="21" ht="14.25" customHeight="1">
      <c r="A21" s="6"/>
      <c r="B21" s="6"/>
      <c r="C21" s="6"/>
      <c r="D21" s="6"/>
    </row>
    <row r="22" ht="14.25" customHeight="1">
      <c r="A22" s="6"/>
      <c r="B22" s="6"/>
      <c r="C22" s="6"/>
      <c r="D22" s="6"/>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D1"/>
    <mergeCell ref="A2:D2"/>
    <mergeCell ref="B3:D3"/>
    <mergeCell ref="A4:D4"/>
    <mergeCell ref="A5:D5"/>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F82"/>
    <pageSetUpPr/>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28.0"/>
    <col customWidth="1" min="2" max="5" width="43.0"/>
    <col customWidth="1" min="6" max="26" width="8.63"/>
  </cols>
  <sheetData>
    <row r="1" ht="37.5" customHeight="1">
      <c r="A1" s="1" t="s">
        <v>391</v>
      </c>
      <c r="B1" s="2"/>
      <c r="C1" s="2"/>
      <c r="D1" s="2"/>
      <c r="E1" s="3"/>
    </row>
    <row r="2" ht="48.0" customHeight="1">
      <c r="A2" s="4" t="s">
        <v>903</v>
      </c>
      <c r="B2" s="2"/>
      <c r="C2" s="2"/>
      <c r="D2" s="2"/>
      <c r="E2" s="3"/>
    </row>
    <row r="3" ht="36.0" customHeight="1">
      <c r="A3" s="5" t="s">
        <v>6</v>
      </c>
      <c r="B3" s="6" t="s">
        <v>7</v>
      </c>
    </row>
    <row r="4" ht="49.5" customHeight="1">
      <c r="A4" s="4" t="s">
        <v>904</v>
      </c>
      <c r="B4" s="2"/>
      <c r="C4" s="2"/>
      <c r="D4" s="2"/>
      <c r="E4" s="3"/>
    </row>
    <row r="5" ht="49.5" customHeight="1">
      <c r="A5" s="8" t="s">
        <v>396</v>
      </c>
      <c r="B5" s="2"/>
      <c r="C5" s="2"/>
      <c r="D5" s="2"/>
      <c r="E5" s="3"/>
    </row>
    <row r="6" ht="14.25" customHeight="1">
      <c r="A6" s="6"/>
      <c r="B6" s="6"/>
      <c r="C6" s="6"/>
      <c r="D6" s="6"/>
      <c r="E6" s="6"/>
    </row>
    <row r="7" ht="39.75" customHeight="1">
      <c r="A7" s="7" t="s">
        <v>26</v>
      </c>
      <c r="B7" s="7" t="s">
        <v>905</v>
      </c>
      <c r="C7" s="7" t="s">
        <v>906</v>
      </c>
      <c r="D7" s="7" t="s">
        <v>907</v>
      </c>
      <c r="E7" s="7" t="s">
        <v>908</v>
      </c>
    </row>
    <row r="8" ht="27.75" customHeight="1">
      <c r="A8" s="10" t="s">
        <v>38</v>
      </c>
      <c r="B8" s="11">
        <v>5.0</v>
      </c>
      <c r="C8" s="11">
        <v>2.0</v>
      </c>
      <c r="D8" s="11">
        <v>50.0</v>
      </c>
      <c r="E8" s="11">
        <v>0.0</v>
      </c>
    </row>
    <row r="9" ht="78.0" customHeight="1">
      <c r="A9" s="10" t="s">
        <v>41</v>
      </c>
      <c r="B9" s="6" t="s">
        <v>909</v>
      </c>
      <c r="C9" s="6" t="s">
        <v>910</v>
      </c>
      <c r="D9" s="6" t="s">
        <v>911</v>
      </c>
      <c r="E9" s="6" t="s">
        <v>912</v>
      </c>
    </row>
    <row r="10" ht="78.0" customHeight="1">
      <c r="A10" s="10" t="s">
        <v>44</v>
      </c>
      <c r="B10" s="12" t="s">
        <v>913</v>
      </c>
      <c r="C10" s="12" t="s">
        <v>914</v>
      </c>
      <c r="D10" s="12" t="s">
        <v>915</v>
      </c>
      <c r="E10" s="12" t="s">
        <v>45</v>
      </c>
    </row>
    <row r="11" ht="78.0" customHeight="1">
      <c r="A11" s="10" t="s">
        <v>46</v>
      </c>
      <c r="B11" s="6" t="s">
        <v>916</v>
      </c>
      <c r="C11" s="6" t="s">
        <v>917</v>
      </c>
      <c r="D11" s="6" t="s">
        <v>918</v>
      </c>
      <c r="E11" s="6" t="s">
        <v>919</v>
      </c>
    </row>
    <row r="12" ht="78.0" customHeight="1">
      <c r="A12" s="10" t="s">
        <v>51</v>
      </c>
      <c r="B12" s="12" t="s">
        <v>920</v>
      </c>
      <c r="C12" s="12" t="s">
        <v>921</v>
      </c>
      <c r="D12" s="12" t="s">
        <v>922</v>
      </c>
      <c r="E12" s="12" t="s">
        <v>923</v>
      </c>
    </row>
    <row r="13" ht="78.0" customHeight="1">
      <c r="A13" s="10" t="s">
        <v>57</v>
      </c>
      <c r="B13" s="6" t="s">
        <v>924</v>
      </c>
      <c r="C13" s="6" t="s">
        <v>925</v>
      </c>
      <c r="D13" s="6" t="s">
        <v>926</v>
      </c>
      <c r="E13" s="6" t="s">
        <v>927</v>
      </c>
    </row>
    <row r="14" ht="78.0" customHeight="1">
      <c r="A14" s="10" t="s">
        <v>64</v>
      </c>
      <c r="B14" s="12" t="s">
        <v>928</v>
      </c>
      <c r="C14" s="12" t="s">
        <v>929</v>
      </c>
      <c r="D14" s="12" t="s">
        <v>930</v>
      </c>
      <c r="E14" s="12" t="s">
        <v>931</v>
      </c>
    </row>
    <row r="15" ht="78.0" customHeight="1">
      <c r="A15" s="10" t="s">
        <v>71</v>
      </c>
      <c r="B15" s="6" t="s">
        <v>932</v>
      </c>
      <c r="C15" s="6" t="s">
        <v>933</v>
      </c>
      <c r="D15" s="6" t="s">
        <v>934</v>
      </c>
      <c r="E15" s="6" t="s">
        <v>935</v>
      </c>
    </row>
    <row r="16" ht="78.0" customHeight="1">
      <c r="A16" s="10" t="s">
        <v>81</v>
      </c>
      <c r="B16" s="12" t="s">
        <v>936</v>
      </c>
      <c r="C16" s="12" t="s">
        <v>937</v>
      </c>
      <c r="D16" s="12" t="s">
        <v>938</v>
      </c>
      <c r="E16" s="12" t="s">
        <v>939</v>
      </c>
    </row>
    <row r="17" ht="99.75" customHeight="1">
      <c r="A17" s="10" t="s">
        <v>91</v>
      </c>
      <c r="B17" s="14" t="s">
        <v>163</v>
      </c>
      <c r="C17" s="14" t="s">
        <v>940</v>
      </c>
      <c r="D17" s="14" t="s">
        <v>941</v>
      </c>
      <c r="E17" s="14" t="s">
        <v>942</v>
      </c>
    </row>
    <row r="18" ht="14.25" customHeight="1">
      <c r="A18" s="6"/>
      <c r="B18" s="6"/>
      <c r="C18" s="6"/>
      <c r="D18" s="6"/>
      <c r="E18" s="6"/>
    </row>
    <row r="19" ht="14.25" customHeight="1">
      <c r="A19" s="6"/>
      <c r="B19" s="6"/>
      <c r="C19" s="6"/>
      <c r="D19" s="6"/>
      <c r="E19" s="6"/>
    </row>
    <row r="20" ht="14.25" customHeight="1">
      <c r="A20" s="6"/>
      <c r="B20" s="6"/>
      <c r="C20" s="6"/>
      <c r="D20" s="6"/>
      <c r="E20" s="6"/>
    </row>
    <row r="21" ht="14.25" customHeight="1">
      <c r="A21" s="6"/>
      <c r="B21" s="6"/>
      <c r="C21" s="6"/>
      <c r="D21" s="6"/>
      <c r="E21" s="6"/>
    </row>
    <row r="22" ht="14.25" customHeight="1">
      <c r="A22" s="6"/>
      <c r="B22" s="6"/>
      <c r="C22" s="6"/>
      <c r="D22" s="6"/>
      <c r="E22" s="6"/>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E1"/>
    <mergeCell ref="A2:E2"/>
    <mergeCell ref="B3:E3"/>
    <mergeCell ref="A4:E4"/>
    <mergeCell ref="A5:E5"/>
  </mergeCell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F82"/>
    <pageSetUpPr/>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28.0"/>
    <col customWidth="1" min="2" max="4" width="43.0"/>
    <col customWidth="1" min="5" max="26" width="8.63"/>
  </cols>
  <sheetData>
    <row r="1" ht="37.5" customHeight="1">
      <c r="A1" s="1" t="s">
        <v>401</v>
      </c>
      <c r="B1" s="2"/>
      <c r="C1" s="2"/>
      <c r="D1" s="3"/>
    </row>
    <row r="2" ht="48.0" customHeight="1">
      <c r="A2" s="4" t="s">
        <v>943</v>
      </c>
      <c r="B2" s="2"/>
      <c r="C2" s="2"/>
      <c r="D2" s="3"/>
    </row>
    <row r="3" ht="36.0" customHeight="1">
      <c r="A3" s="5" t="s">
        <v>6</v>
      </c>
      <c r="B3" s="6" t="s">
        <v>7</v>
      </c>
    </row>
    <row r="4" ht="49.5" customHeight="1">
      <c r="A4" s="4" t="s">
        <v>944</v>
      </c>
      <c r="B4" s="2"/>
      <c r="C4" s="2"/>
      <c r="D4" s="3"/>
    </row>
    <row r="5" ht="49.5" customHeight="1">
      <c r="A5" s="8" t="s">
        <v>407</v>
      </c>
      <c r="B5" s="2"/>
      <c r="C5" s="2"/>
      <c r="D5" s="3"/>
    </row>
    <row r="6" ht="14.25" customHeight="1">
      <c r="A6" s="6"/>
      <c r="B6" s="6"/>
      <c r="C6" s="6"/>
      <c r="D6" s="6"/>
    </row>
    <row r="7" ht="39.75" customHeight="1">
      <c r="A7" s="7" t="s">
        <v>26</v>
      </c>
      <c r="B7" s="7" t="s">
        <v>945</v>
      </c>
      <c r="C7" s="7" t="s">
        <v>946</v>
      </c>
      <c r="D7" s="7" t="s">
        <v>947</v>
      </c>
    </row>
    <row r="8" ht="27.75" customHeight="1">
      <c r="A8" s="10" t="s">
        <v>38</v>
      </c>
      <c r="B8" s="11">
        <v>0.0</v>
      </c>
      <c r="C8" s="11">
        <v>0.0</v>
      </c>
      <c r="D8" s="11">
        <v>10.0</v>
      </c>
    </row>
    <row r="9" ht="78.0" customHeight="1">
      <c r="A9" s="10" t="s">
        <v>41</v>
      </c>
      <c r="B9" s="6" t="s">
        <v>948</v>
      </c>
      <c r="C9" s="6" t="s">
        <v>43</v>
      </c>
      <c r="D9" s="6" t="s">
        <v>949</v>
      </c>
    </row>
    <row r="10" ht="78.0" customHeight="1">
      <c r="A10" s="10" t="s">
        <v>44</v>
      </c>
      <c r="B10" s="12" t="s">
        <v>950</v>
      </c>
      <c r="C10" s="12" t="s">
        <v>45</v>
      </c>
      <c r="D10" s="12" t="s">
        <v>951</v>
      </c>
    </row>
    <row r="11" ht="78.0" customHeight="1">
      <c r="A11" s="10" t="s">
        <v>46</v>
      </c>
      <c r="B11" s="6" t="s">
        <v>952</v>
      </c>
      <c r="C11" s="6" t="s">
        <v>953</v>
      </c>
      <c r="D11" s="6" t="s">
        <v>954</v>
      </c>
    </row>
    <row r="12" ht="78.0" customHeight="1">
      <c r="A12" s="10" t="s">
        <v>51</v>
      </c>
      <c r="B12" s="12" t="s">
        <v>955</v>
      </c>
      <c r="C12" s="12" t="s">
        <v>956</v>
      </c>
      <c r="D12" s="12" t="s">
        <v>957</v>
      </c>
    </row>
    <row r="13" ht="78.0" customHeight="1">
      <c r="A13" s="10" t="s">
        <v>57</v>
      </c>
      <c r="B13" s="6" t="s">
        <v>958</v>
      </c>
      <c r="C13" s="6" t="s">
        <v>959</v>
      </c>
      <c r="D13" s="6" t="s">
        <v>960</v>
      </c>
    </row>
    <row r="14" ht="78.0" customHeight="1">
      <c r="A14" s="10" t="s">
        <v>64</v>
      </c>
      <c r="B14" s="12" t="s">
        <v>961</v>
      </c>
      <c r="C14" s="12" t="s">
        <v>962</v>
      </c>
      <c r="D14" s="12" t="s">
        <v>963</v>
      </c>
    </row>
    <row r="15" ht="78.0" customHeight="1">
      <c r="A15" s="10" t="s">
        <v>71</v>
      </c>
      <c r="B15" s="6" t="s">
        <v>964</v>
      </c>
      <c r="C15" s="6" t="s">
        <v>965</v>
      </c>
      <c r="D15" s="6" t="s">
        <v>966</v>
      </c>
    </row>
    <row r="16" ht="78.0" customHeight="1">
      <c r="A16" s="10" t="s">
        <v>81</v>
      </c>
      <c r="B16" s="12" t="s">
        <v>967</v>
      </c>
      <c r="C16" s="12" t="s">
        <v>968</v>
      </c>
      <c r="D16" s="12" t="s">
        <v>969</v>
      </c>
    </row>
    <row r="17" ht="99.75" customHeight="1">
      <c r="A17" s="10" t="s">
        <v>91</v>
      </c>
      <c r="B17" s="14" t="s">
        <v>970</v>
      </c>
      <c r="C17" s="14" t="s">
        <v>971</v>
      </c>
      <c r="D17" s="14" t="s">
        <v>163</v>
      </c>
    </row>
    <row r="18" ht="14.25" customHeight="1">
      <c r="A18" s="6"/>
      <c r="B18" s="6"/>
      <c r="C18" s="6"/>
      <c r="D18" s="6"/>
    </row>
    <row r="19" ht="14.25" customHeight="1">
      <c r="A19" s="6"/>
      <c r="B19" s="6"/>
      <c r="C19" s="6"/>
      <c r="D19" s="6"/>
    </row>
    <row r="20" ht="14.25" customHeight="1">
      <c r="A20" s="6"/>
      <c r="B20" s="6"/>
      <c r="C20" s="6"/>
      <c r="D20" s="6"/>
    </row>
    <row r="21" ht="14.25" customHeight="1">
      <c r="A21" s="6"/>
      <c r="B21" s="6"/>
      <c r="C21" s="6"/>
      <c r="D21" s="6"/>
    </row>
    <row r="22" ht="14.25" customHeight="1">
      <c r="A22" s="6"/>
      <c r="B22" s="6"/>
      <c r="C22" s="6"/>
      <c r="D22" s="6"/>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D1"/>
    <mergeCell ref="A2:D2"/>
    <mergeCell ref="B3:D3"/>
    <mergeCell ref="A4:D4"/>
    <mergeCell ref="A5:D5"/>
  </mergeCell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F82"/>
    <pageSetUpPr/>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28.0"/>
    <col customWidth="1" min="2" max="4" width="43.0"/>
    <col customWidth="1" min="5" max="26" width="8.63"/>
  </cols>
  <sheetData>
    <row r="1" ht="37.5" customHeight="1">
      <c r="A1" s="1" t="s">
        <v>413</v>
      </c>
      <c r="B1" s="2"/>
      <c r="C1" s="2"/>
      <c r="D1" s="3"/>
    </row>
    <row r="2" ht="48.0" customHeight="1">
      <c r="A2" s="4" t="s">
        <v>972</v>
      </c>
      <c r="B2" s="2"/>
      <c r="C2" s="2"/>
      <c r="D2" s="3"/>
    </row>
    <row r="3" ht="36.0" customHeight="1">
      <c r="A3" s="5" t="s">
        <v>6</v>
      </c>
      <c r="B3" s="6" t="s">
        <v>7</v>
      </c>
    </row>
    <row r="4" ht="49.5" customHeight="1">
      <c r="A4" s="4" t="s">
        <v>973</v>
      </c>
      <c r="B4" s="2"/>
      <c r="C4" s="2"/>
      <c r="D4" s="3"/>
    </row>
    <row r="5" ht="49.5" customHeight="1">
      <c r="A5" s="8" t="s">
        <v>424</v>
      </c>
      <c r="B5" s="2"/>
      <c r="C5" s="2"/>
      <c r="D5" s="3"/>
    </row>
    <row r="6" ht="14.25" customHeight="1">
      <c r="A6" s="6"/>
      <c r="B6" s="6"/>
      <c r="C6" s="6"/>
      <c r="D6" s="6"/>
    </row>
    <row r="7" ht="39.75" customHeight="1">
      <c r="A7" s="7" t="s">
        <v>26</v>
      </c>
      <c r="B7" s="7" t="s">
        <v>974</v>
      </c>
      <c r="C7" s="7" t="s">
        <v>975</v>
      </c>
      <c r="D7" s="7" t="s">
        <v>976</v>
      </c>
    </row>
    <row r="8" ht="27.75" customHeight="1">
      <c r="A8" s="10" t="s">
        <v>38</v>
      </c>
      <c r="B8" s="23">
        <v>1.5</v>
      </c>
      <c r="C8" s="23">
        <v>0.0015</v>
      </c>
      <c r="D8" s="11">
        <v>0.0</v>
      </c>
    </row>
    <row r="9" ht="78.0" customHeight="1">
      <c r="A9" s="10" t="s">
        <v>41</v>
      </c>
      <c r="B9" s="6" t="s">
        <v>978</v>
      </c>
      <c r="C9" s="6" t="s">
        <v>980</v>
      </c>
      <c r="D9" s="6" t="s">
        <v>671</v>
      </c>
    </row>
    <row r="10" ht="78.0" customHeight="1">
      <c r="A10" s="10" t="s">
        <v>44</v>
      </c>
      <c r="B10" s="12" t="s">
        <v>981</v>
      </c>
      <c r="C10" s="12" t="s">
        <v>982</v>
      </c>
      <c r="D10" s="12" t="s">
        <v>45</v>
      </c>
    </row>
    <row r="11" ht="78.0" customHeight="1">
      <c r="A11" s="10" t="s">
        <v>46</v>
      </c>
      <c r="B11" s="6" t="s">
        <v>983</v>
      </c>
      <c r="C11" s="6" t="s">
        <v>984</v>
      </c>
      <c r="D11" s="6" t="s">
        <v>985</v>
      </c>
    </row>
    <row r="12" ht="78.0" customHeight="1">
      <c r="A12" s="10" t="s">
        <v>51</v>
      </c>
      <c r="B12" s="12" t="s">
        <v>986</v>
      </c>
      <c r="C12" s="12" t="s">
        <v>987</v>
      </c>
      <c r="D12" s="12" t="s">
        <v>988</v>
      </c>
    </row>
    <row r="13" ht="78.0" customHeight="1">
      <c r="A13" s="10" t="s">
        <v>57</v>
      </c>
      <c r="B13" s="6" t="s">
        <v>989</v>
      </c>
      <c r="C13" s="6" t="s">
        <v>990</v>
      </c>
      <c r="D13" s="6" t="s">
        <v>992</v>
      </c>
    </row>
    <row r="14" ht="78.0" customHeight="1">
      <c r="A14" s="10" t="s">
        <v>64</v>
      </c>
      <c r="B14" s="12" t="s">
        <v>995</v>
      </c>
      <c r="C14" s="12" t="s">
        <v>996</v>
      </c>
      <c r="D14" s="12" t="s">
        <v>997</v>
      </c>
    </row>
    <row r="15" ht="78.0" customHeight="1">
      <c r="A15" s="10" t="s">
        <v>71</v>
      </c>
      <c r="B15" s="6" t="s">
        <v>998</v>
      </c>
      <c r="C15" s="6" t="s">
        <v>999</v>
      </c>
      <c r="D15" s="6" t="s">
        <v>1000</v>
      </c>
    </row>
    <row r="16" ht="78.0" customHeight="1">
      <c r="A16" s="10" t="s">
        <v>81</v>
      </c>
      <c r="B16" s="12" t="s">
        <v>1002</v>
      </c>
      <c r="C16" s="12" t="s">
        <v>1003</v>
      </c>
      <c r="D16" s="12" t="s">
        <v>1004</v>
      </c>
    </row>
    <row r="17" ht="99.75" customHeight="1">
      <c r="A17" s="10" t="s">
        <v>91</v>
      </c>
      <c r="B17" s="14" t="s">
        <v>1007</v>
      </c>
      <c r="C17" s="14" t="s">
        <v>1009</v>
      </c>
      <c r="D17" s="14" t="s">
        <v>1010</v>
      </c>
    </row>
    <row r="18" ht="14.25" customHeight="1">
      <c r="A18" s="6"/>
      <c r="B18" s="6"/>
      <c r="C18" s="6"/>
      <c r="D18" s="6"/>
    </row>
    <row r="19" ht="14.25" customHeight="1">
      <c r="A19" s="6"/>
      <c r="B19" s="6"/>
      <c r="C19" s="6"/>
      <c r="D19" s="6"/>
    </row>
    <row r="20" ht="14.25" customHeight="1">
      <c r="A20" s="6"/>
      <c r="B20" s="6"/>
      <c r="C20" s="6"/>
      <c r="D20" s="6"/>
    </row>
    <row r="21" ht="14.25" customHeight="1">
      <c r="A21" s="6"/>
      <c r="B21" s="6"/>
      <c r="C21" s="6"/>
      <c r="D21" s="6"/>
    </row>
    <row r="22" ht="14.25" customHeight="1">
      <c r="A22" s="6"/>
      <c r="B22" s="6"/>
      <c r="C22" s="6"/>
      <c r="D22" s="6"/>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D1"/>
    <mergeCell ref="A2:D2"/>
    <mergeCell ref="B3:D3"/>
    <mergeCell ref="A4:D4"/>
    <mergeCell ref="A5:D5"/>
  </mergeCell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F82"/>
    <pageSetUpPr/>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28.0"/>
    <col customWidth="1" min="2" max="4" width="43.0"/>
    <col customWidth="1" min="5" max="26" width="8.63"/>
  </cols>
  <sheetData>
    <row r="1" ht="37.5" customHeight="1">
      <c r="A1" s="1" t="s">
        <v>440</v>
      </c>
      <c r="B1" s="2"/>
      <c r="C1" s="2"/>
      <c r="D1" s="3"/>
    </row>
    <row r="2" ht="48.0" customHeight="1">
      <c r="A2" s="4" t="s">
        <v>977</v>
      </c>
      <c r="B2" s="2"/>
      <c r="C2" s="2"/>
      <c r="D2" s="3"/>
    </row>
    <row r="3" ht="36.0" customHeight="1">
      <c r="A3" s="5" t="s">
        <v>6</v>
      </c>
      <c r="B3" s="6" t="s">
        <v>7</v>
      </c>
    </row>
    <row r="4" ht="49.5" customHeight="1">
      <c r="A4" s="4" t="s">
        <v>979</v>
      </c>
      <c r="B4" s="2"/>
      <c r="C4" s="2"/>
      <c r="D4" s="3"/>
    </row>
    <row r="5" ht="49.5" customHeight="1">
      <c r="A5" s="8" t="s">
        <v>449</v>
      </c>
      <c r="B5" s="2"/>
      <c r="C5" s="2"/>
      <c r="D5" s="3"/>
    </row>
    <row r="6" ht="14.25" customHeight="1">
      <c r="A6" s="6"/>
      <c r="B6" s="6"/>
      <c r="C6" s="6"/>
      <c r="D6" s="6"/>
    </row>
    <row r="7" ht="39.75" customHeight="1">
      <c r="A7" s="7" t="s">
        <v>26</v>
      </c>
      <c r="B7" s="7" t="s">
        <v>991</v>
      </c>
      <c r="C7" s="7" t="s">
        <v>993</v>
      </c>
      <c r="D7" s="7" t="s">
        <v>994</v>
      </c>
    </row>
    <row r="8" ht="27.75" customHeight="1">
      <c r="A8" s="10" t="s">
        <v>38</v>
      </c>
      <c r="B8" s="23">
        <v>0.75</v>
      </c>
      <c r="C8" s="11">
        <v>3.0</v>
      </c>
      <c r="D8" s="23" t="s">
        <v>1001</v>
      </c>
    </row>
    <row r="9" ht="78.0" customHeight="1">
      <c r="A9" s="10" t="s">
        <v>41</v>
      </c>
      <c r="B9" s="6" t="s">
        <v>1005</v>
      </c>
      <c r="C9" s="6" t="s">
        <v>1006</v>
      </c>
      <c r="D9" s="6" t="s">
        <v>1008</v>
      </c>
    </row>
    <row r="10" ht="78.0" customHeight="1">
      <c r="A10" s="10" t="s">
        <v>44</v>
      </c>
      <c r="B10" s="12" t="s">
        <v>1011</v>
      </c>
      <c r="C10" s="12" t="s">
        <v>1012</v>
      </c>
      <c r="D10" s="12" t="s">
        <v>1013</v>
      </c>
    </row>
    <row r="11" ht="78.0" customHeight="1">
      <c r="A11" s="10" t="s">
        <v>46</v>
      </c>
      <c r="B11" s="6" t="s">
        <v>1014</v>
      </c>
      <c r="C11" s="6" t="s">
        <v>1015</v>
      </c>
      <c r="D11" s="6" t="s">
        <v>1016</v>
      </c>
    </row>
    <row r="12" ht="78.0" customHeight="1">
      <c r="A12" s="10" t="s">
        <v>51</v>
      </c>
      <c r="B12" s="12" t="s">
        <v>1017</v>
      </c>
      <c r="C12" s="12" t="s">
        <v>1018</v>
      </c>
      <c r="D12" s="12" t="s">
        <v>1019</v>
      </c>
    </row>
    <row r="13" ht="78.0" customHeight="1">
      <c r="A13" s="10" t="s">
        <v>57</v>
      </c>
      <c r="B13" s="6" t="s">
        <v>1020</v>
      </c>
      <c r="C13" s="6" t="s">
        <v>1021</v>
      </c>
      <c r="D13" s="6" t="s">
        <v>1022</v>
      </c>
    </row>
    <row r="14" ht="78.0" customHeight="1">
      <c r="A14" s="10" t="s">
        <v>64</v>
      </c>
      <c r="B14" s="12" t="s">
        <v>1023</v>
      </c>
      <c r="C14" s="12" t="s">
        <v>1024</v>
      </c>
      <c r="D14" s="12" t="s">
        <v>1025</v>
      </c>
    </row>
    <row r="15" ht="78.0" customHeight="1">
      <c r="A15" s="10" t="s">
        <v>71</v>
      </c>
      <c r="B15" s="6" t="s">
        <v>1026</v>
      </c>
      <c r="C15" s="6" t="s">
        <v>1027</v>
      </c>
      <c r="D15" s="6" t="s">
        <v>1028</v>
      </c>
    </row>
    <row r="16" ht="78.0" customHeight="1">
      <c r="A16" s="10" t="s">
        <v>81</v>
      </c>
      <c r="B16" s="12" t="s">
        <v>1029</v>
      </c>
      <c r="C16" s="12" t="s">
        <v>1030</v>
      </c>
      <c r="D16" s="12" t="s">
        <v>1031</v>
      </c>
    </row>
    <row r="17" ht="99.75" customHeight="1">
      <c r="A17" s="10" t="s">
        <v>91</v>
      </c>
      <c r="B17" s="14" t="s">
        <v>1032</v>
      </c>
      <c r="C17" s="14" t="s">
        <v>1033</v>
      </c>
      <c r="D17" s="14" t="s">
        <v>1034</v>
      </c>
    </row>
    <row r="18" ht="14.25" customHeight="1">
      <c r="A18" s="6"/>
      <c r="B18" s="6"/>
      <c r="C18" s="6"/>
      <c r="D18" s="6"/>
    </row>
    <row r="19" ht="14.25" customHeight="1">
      <c r="A19" s="6"/>
      <c r="B19" s="6"/>
      <c r="C19" s="6"/>
      <c r="D19" s="6"/>
    </row>
    <row r="20" ht="14.25" customHeight="1">
      <c r="A20" s="6"/>
      <c r="B20" s="6"/>
      <c r="C20" s="6"/>
      <c r="D20" s="6"/>
    </row>
    <row r="21" ht="14.25" customHeight="1">
      <c r="A21" s="6"/>
      <c r="B21" s="6"/>
      <c r="C21" s="6"/>
      <c r="D21" s="6"/>
    </row>
    <row r="22" ht="14.25" customHeight="1">
      <c r="A22" s="6"/>
      <c r="B22" s="6"/>
      <c r="C22" s="6"/>
      <c r="D22" s="6"/>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D1"/>
    <mergeCell ref="A2:D2"/>
    <mergeCell ref="B3:D3"/>
    <mergeCell ref="A4:D4"/>
    <mergeCell ref="A5:D5"/>
  </mergeCells>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F82"/>
    <pageSetUpPr/>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28.0"/>
    <col customWidth="1" min="2" max="4" width="43.0"/>
    <col customWidth="1" min="5" max="26" width="8.63"/>
  </cols>
  <sheetData>
    <row r="1" ht="37.5" customHeight="1">
      <c r="A1" s="1" t="s">
        <v>456</v>
      </c>
      <c r="B1" s="2"/>
      <c r="C1" s="2"/>
      <c r="D1" s="3"/>
    </row>
    <row r="2" ht="48.0" customHeight="1">
      <c r="A2" s="4" t="s">
        <v>1035</v>
      </c>
      <c r="B2" s="2"/>
      <c r="C2" s="2"/>
      <c r="D2" s="3"/>
    </row>
    <row r="3" ht="36.0" customHeight="1">
      <c r="A3" s="5" t="s">
        <v>6</v>
      </c>
      <c r="B3" s="6" t="s">
        <v>7</v>
      </c>
    </row>
    <row r="4" ht="49.5" customHeight="1">
      <c r="A4" s="4" t="s">
        <v>1036</v>
      </c>
      <c r="B4" s="2"/>
      <c r="C4" s="2"/>
      <c r="D4" s="3"/>
    </row>
    <row r="5" ht="49.5" customHeight="1">
      <c r="A5" s="8" t="s">
        <v>464</v>
      </c>
      <c r="B5" s="2"/>
      <c r="C5" s="2"/>
      <c r="D5" s="3"/>
    </row>
    <row r="6" ht="14.25" customHeight="1">
      <c r="A6" s="6"/>
      <c r="B6" s="6"/>
      <c r="C6" s="6"/>
      <c r="D6" s="6"/>
    </row>
    <row r="7" ht="39.75" customHeight="1">
      <c r="A7" s="7" t="s">
        <v>26</v>
      </c>
      <c r="B7" s="7" t="s">
        <v>1037</v>
      </c>
      <c r="C7" s="7" t="s">
        <v>1038</v>
      </c>
      <c r="D7" s="7" t="s">
        <v>1039</v>
      </c>
    </row>
    <row r="8" ht="27.75" customHeight="1">
      <c r="A8" s="10" t="s">
        <v>38</v>
      </c>
      <c r="B8" s="23" t="s">
        <v>879</v>
      </c>
      <c r="C8" s="23" t="s">
        <v>1040</v>
      </c>
      <c r="D8" s="23" t="s">
        <v>1001</v>
      </c>
    </row>
    <row r="9" ht="78.0" customHeight="1">
      <c r="A9" s="10" t="s">
        <v>41</v>
      </c>
      <c r="B9" s="6" t="s">
        <v>1041</v>
      </c>
      <c r="C9" s="6" t="s">
        <v>1042</v>
      </c>
      <c r="D9" s="6" t="s">
        <v>1043</v>
      </c>
    </row>
    <row r="10" ht="78.0" customHeight="1">
      <c r="A10" s="10" t="s">
        <v>44</v>
      </c>
      <c r="B10" s="12" t="s">
        <v>1044</v>
      </c>
      <c r="C10" s="12" t="s">
        <v>1045</v>
      </c>
      <c r="D10" s="12" t="s">
        <v>1046</v>
      </c>
    </row>
    <row r="11" ht="78.0" customHeight="1">
      <c r="A11" s="10" t="s">
        <v>46</v>
      </c>
      <c r="B11" s="6" t="s">
        <v>1047</v>
      </c>
      <c r="C11" s="6" t="s">
        <v>1048</v>
      </c>
      <c r="D11" s="6" t="s">
        <v>1049</v>
      </c>
    </row>
    <row r="12" ht="78.0" customHeight="1">
      <c r="A12" s="10" t="s">
        <v>51</v>
      </c>
      <c r="B12" s="12" t="s">
        <v>1050</v>
      </c>
      <c r="C12" s="12" t="s">
        <v>1051</v>
      </c>
      <c r="D12" s="12" t="s">
        <v>1052</v>
      </c>
    </row>
    <row r="13" ht="78.0" customHeight="1">
      <c r="A13" s="10" t="s">
        <v>57</v>
      </c>
      <c r="B13" s="6" t="s">
        <v>1053</v>
      </c>
      <c r="C13" s="6" t="s">
        <v>1054</v>
      </c>
      <c r="D13" s="6" t="s">
        <v>1055</v>
      </c>
    </row>
    <row r="14" ht="78.0" customHeight="1">
      <c r="A14" s="10" t="s">
        <v>64</v>
      </c>
      <c r="B14" s="12" t="s">
        <v>1056</v>
      </c>
      <c r="C14" s="12" t="s">
        <v>1057</v>
      </c>
      <c r="D14" s="12" t="s">
        <v>1058</v>
      </c>
    </row>
    <row r="15" ht="78.0" customHeight="1">
      <c r="A15" s="10" t="s">
        <v>71</v>
      </c>
      <c r="B15" s="6" t="s">
        <v>1059</v>
      </c>
      <c r="C15" s="6" t="s">
        <v>1060</v>
      </c>
      <c r="D15" s="6" t="s">
        <v>1061</v>
      </c>
    </row>
    <row r="16" ht="78.0" customHeight="1">
      <c r="A16" s="10" t="s">
        <v>81</v>
      </c>
      <c r="B16" s="12" t="s">
        <v>1062</v>
      </c>
      <c r="C16" s="12" t="s">
        <v>1063</v>
      </c>
      <c r="D16" s="12" t="s">
        <v>1064</v>
      </c>
    </row>
    <row r="17" ht="99.75" customHeight="1">
      <c r="A17" s="10" t="s">
        <v>91</v>
      </c>
      <c r="B17" s="14" t="s">
        <v>1066</v>
      </c>
      <c r="C17" s="14" t="s">
        <v>1067</v>
      </c>
      <c r="D17" s="14" t="s">
        <v>1068</v>
      </c>
    </row>
    <row r="18" ht="14.25" customHeight="1">
      <c r="A18" s="6"/>
      <c r="B18" s="6"/>
      <c r="C18" s="6"/>
      <c r="D18" s="6"/>
    </row>
    <row r="19" ht="14.25" customHeight="1">
      <c r="A19" s="6"/>
      <c r="B19" s="6"/>
      <c r="C19" s="6"/>
      <c r="D19" s="6"/>
    </row>
    <row r="20" ht="14.25" customHeight="1">
      <c r="A20" s="6"/>
      <c r="B20" s="6"/>
      <c r="C20" s="6"/>
      <c r="D20" s="6"/>
    </row>
    <row r="21" ht="14.25" customHeight="1">
      <c r="A21" s="6"/>
      <c r="B21" s="6"/>
      <c r="C21" s="6"/>
      <c r="D21" s="6"/>
    </row>
    <row r="22" ht="14.25" customHeight="1">
      <c r="A22" s="6"/>
      <c r="B22" s="6"/>
      <c r="C22" s="6"/>
      <c r="D22" s="6"/>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D1"/>
    <mergeCell ref="A2:D2"/>
    <mergeCell ref="B3:D3"/>
    <mergeCell ref="A4:D4"/>
    <mergeCell ref="A5:D5"/>
  </mergeCells>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F82"/>
    <pageSetUpPr/>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28.0"/>
    <col customWidth="1" min="2" max="4" width="43.0"/>
    <col customWidth="1" min="5" max="26" width="8.63"/>
  </cols>
  <sheetData>
    <row r="1" ht="37.5" customHeight="1">
      <c r="A1" s="1" t="s">
        <v>472</v>
      </c>
      <c r="B1" s="2"/>
      <c r="C1" s="2"/>
      <c r="D1" s="3"/>
    </row>
    <row r="2" ht="48.0" customHeight="1">
      <c r="A2" s="4" t="s">
        <v>1065</v>
      </c>
      <c r="B2" s="2"/>
      <c r="C2" s="2"/>
      <c r="D2" s="3"/>
    </row>
    <row r="3" ht="36.0" customHeight="1">
      <c r="A3" s="5" t="s">
        <v>6</v>
      </c>
      <c r="B3" s="6" t="s">
        <v>7</v>
      </c>
    </row>
    <row r="4" ht="49.5" customHeight="1">
      <c r="A4" s="4" t="s">
        <v>1069</v>
      </c>
      <c r="B4" s="2"/>
      <c r="C4" s="2"/>
      <c r="D4" s="3"/>
    </row>
    <row r="5" ht="49.5" customHeight="1">
      <c r="A5" s="8" t="s">
        <v>482</v>
      </c>
      <c r="B5" s="2"/>
      <c r="C5" s="2"/>
      <c r="D5" s="3"/>
    </row>
    <row r="6" ht="14.25" customHeight="1">
      <c r="A6" s="6"/>
      <c r="B6" s="6"/>
      <c r="C6" s="6"/>
      <c r="D6" s="6"/>
    </row>
    <row r="7" ht="39.75" customHeight="1">
      <c r="A7" s="7" t="s">
        <v>26</v>
      </c>
      <c r="B7" s="7" t="s">
        <v>1070</v>
      </c>
      <c r="C7" s="7" t="s">
        <v>1071</v>
      </c>
      <c r="D7" s="7" t="s">
        <v>1072</v>
      </c>
    </row>
    <row r="8" ht="27.75" customHeight="1">
      <c r="A8" s="10" t="s">
        <v>38</v>
      </c>
      <c r="B8" s="11">
        <v>0.0</v>
      </c>
      <c r="C8" s="11">
        <v>0.0</v>
      </c>
      <c r="D8" s="11">
        <v>0.0</v>
      </c>
    </row>
    <row r="9" ht="78.0" customHeight="1">
      <c r="A9" s="10" t="s">
        <v>41</v>
      </c>
      <c r="B9" s="6" t="s">
        <v>1073</v>
      </c>
      <c r="C9" s="6" t="s">
        <v>1074</v>
      </c>
      <c r="D9" s="6" t="s">
        <v>948</v>
      </c>
    </row>
    <row r="10" ht="78.0" customHeight="1">
      <c r="A10" s="10" t="s">
        <v>44</v>
      </c>
      <c r="B10" s="12" t="s">
        <v>45</v>
      </c>
      <c r="C10" s="12" t="s">
        <v>45</v>
      </c>
      <c r="D10" s="12" t="s">
        <v>1075</v>
      </c>
    </row>
    <row r="11" ht="78.0" customHeight="1">
      <c r="A11" s="10" t="s">
        <v>46</v>
      </c>
      <c r="B11" s="6" t="s">
        <v>1076</v>
      </c>
      <c r="C11" s="6" t="s">
        <v>1077</v>
      </c>
      <c r="D11" s="6" t="s">
        <v>1078</v>
      </c>
    </row>
    <row r="12" ht="78.0" customHeight="1">
      <c r="A12" s="10" t="s">
        <v>51</v>
      </c>
      <c r="B12" s="12" t="s">
        <v>1079</v>
      </c>
      <c r="C12" s="12" t="s">
        <v>1080</v>
      </c>
      <c r="D12" s="12" t="s">
        <v>1081</v>
      </c>
    </row>
    <row r="13" ht="78.0" customHeight="1">
      <c r="A13" s="10" t="s">
        <v>57</v>
      </c>
      <c r="B13" s="6" t="s">
        <v>1082</v>
      </c>
      <c r="C13" s="6" t="s">
        <v>1083</v>
      </c>
      <c r="D13" s="6" t="s">
        <v>1084</v>
      </c>
    </row>
    <row r="14" ht="78.0" customHeight="1">
      <c r="A14" s="10" t="s">
        <v>64</v>
      </c>
      <c r="B14" s="12" t="s">
        <v>1085</v>
      </c>
      <c r="C14" s="12" t="s">
        <v>1086</v>
      </c>
      <c r="D14" s="12" t="s">
        <v>1087</v>
      </c>
    </row>
    <row r="15" ht="78.0" customHeight="1">
      <c r="A15" s="10" t="s">
        <v>71</v>
      </c>
      <c r="B15" s="6" t="s">
        <v>1088</v>
      </c>
      <c r="C15" s="6" t="s">
        <v>1089</v>
      </c>
      <c r="D15" s="6" t="s">
        <v>1090</v>
      </c>
    </row>
    <row r="16" ht="78.0" customHeight="1">
      <c r="A16" s="10" t="s">
        <v>81</v>
      </c>
      <c r="B16" s="12" t="s">
        <v>1091</v>
      </c>
      <c r="C16" s="12" t="s">
        <v>1092</v>
      </c>
      <c r="D16" s="12" t="s">
        <v>1093</v>
      </c>
    </row>
    <row r="17" ht="99.75" customHeight="1">
      <c r="A17" s="10" t="s">
        <v>91</v>
      </c>
      <c r="B17" s="14" t="s">
        <v>1095</v>
      </c>
      <c r="C17" s="14" t="s">
        <v>1096</v>
      </c>
      <c r="D17" s="14" t="s">
        <v>1097</v>
      </c>
    </row>
    <row r="18" ht="14.25" customHeight="1">
      <c r="A18" s="6"/>
      <c r="B18" s="6"/>
      <c r="C18" s="6"/>
      <c r="D18" s="6"/>
    </row>
    <row r="19" ht="14.25" customHeight="1">
      <c r="A19" s="6"/>
      <c r="B19" s="6"/>
      <c r="C19" s="6"/>
      <c r="D19" s="6"/>
    </row>
    <row r="20" ht="14.25" customHeight="1">
      <c r="A20" s="6"/>
      <c r="B20" s="6"/>
      <c r="C20" s="6"/>
      <c r="D20" s="6"/>
    </row>
    <row r="21" ht="14.25" customHeight="1">
      <c r="A21" s="6"/>
      <c r="B21" s="6"/>
      <c r="C21" s="6"/>
      <c r="D21" s="6"/>
    </row>
    <row r="22" ht="14.25" customHeight="1">
      <c r="A22" s="6"/>
      <c r="B22" s="6"/>
      <c r="C22" s="6"/>
      <c r="D22" s="6"/>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D1"/>
    <mergeCell ref="A2:D2"/>
    <mergeCell ref="B3:D3"/>
    <mergeCell ref="A4:D4"/>
    <mergeCell ref="A5:D5"/>
  </mergeCells>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F82"/>
    <pageSetUpPr/>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28.0"/>
    <col customWidth="1" min="2" max="4" width="43.0"/>
    <col customWidth="1" min="5" max="26" width="8.63"/>
  </cols>
  <sheetData>
    <row r="1" ht="37.5" customHeight="1">
      <c r="A1" s="1" t="s">
        <v>492</v>
      </c>
      <c r="B1" s="2"/>
      <c r="C1" s="2"/>
      <c r="D1" s="3"/>
    </row>
    <row r="2" ht="48.0" customHeight="1">
      <c r="A2" s="4" t="s">
        <v>1094</v>
      </c>
      <c r="B2" s="2"/>
      <c r="C2" s="2"/>
      <c r="D2" s="3"/>
    </row>
    <row r="3" ht="36.0" customHeight="1">
      <c r="A3" s="5" t="s">
        <v>6</v>
      </c>
      <c r="B3" s="6" t="s">
        <v>7</v>
      </c>
    </row>
    <row r="4" ht="49.5" customHeight="1">
      <c r="A4" s="4" t="s">
        <v>1098</v>
      </c>
      <c r="B4" s="2"/>
      <c r="C4" s="2"/>
      <c r="D4" s="3"/>
    </row>
    <row r="5" ht="49.5" customHeight="1">
      <c r="A5" s="8" t="s">
        <v>505</v>
      </c>
      <c r="B5" s="2"/>
      <c r="C5" s="2"/>
      <c r="D5" s="3"/>
    </row>
    <row r="6" ht="14.25" customHeight="1">
      <c r="A6" s="6"/>
      <c r="B6" s="6"/>
      <c r="C6" s="6"/>
      <c r="D6" s="6"/>
    </row>
    <row r="7" ht="39.75" customHeight="1">
      <c r="A7" s="7" t="s">
        <v>26</v>
      </c>
      <c r="B7" s="7" t="s">
        <v>1100</v>
      </c>
      <c r="C7" s="7" t="s">
        <v>1101</v>
      </c>
      <c r="D7" s="7" t="s">
        <v>1102</v>
      </c>
    </row>
    <row r="8" ht="27.75" customHeight="1">
      <c r="A8" s="10" t="s">
        <v>38</v>
      </c>
      <c r="B8" s="23" t="s">
        <v>261</v>
      </c>
      <c r="C8" s="11">
        <v>0.0</v>
      </c>
      <c r="D8" s="23" t="s">
        <v>1104</v>
      </c>
    </row>
    <row r="9" ht="78.0" customHeight="1">
      <c r="A9" s="10" t="s">
        <v>41</v>
      </c>
      <c r="B9" s="6" t="s">
        <v>1105</v>
      </c>
      <c r="C9" s="6" t="s">
        <v>1106</v>
      </c>
      <c r="D9" s="6" t="s">
        <v>1107</v>
      </c>
    </row>
    <row r="10" ht="78.0" customHeight="1">
      <c r="A10" s="10" t="s">
        <v>44</v>
      </c>
      <c r="B10" s="12" t="s">
        <v>1108</v>
      </c>
      <c r="C10" s="12" t="s">
        <v>1109</v>
      </c>
      <c r="D10" s="12" t="s">
        <v>1110</v>
      </c>
    </row>
    <row r="11" ht="78.0" customHeight="1">
      <c r="A11" s="10" t="s">
        <v>46</v>
      </c>
      <c r="B11" s="6" t="s">
        <v>1111</v>
      </c>
      <c r="C11" s="6" t="s">
        <v>1112</v>
      </c>
      <c r="D11" s="6" t="s">
        <v>1113</v>
      </c>
    </row>
    <row r="12" ht="78.0" customHeight="1">
      <c r="A12" s="10" t="s">
        <v>51</v>
      </c>
      <c r="B12" s="12" t="s">
        <v>1114</v>
      </c>
      <c r="C12" s="12" t="s">
        <v>1115</v>
      </c>
      <c r="D12" s="12" t="s">
        <v>1117</v>
      </c>
    </row>
    <row r="13" ht="78.0" customHeight="1">
      <c r="A13" s="10" t="s">
        <v>57</v>
      </c>
      <c r="B13" s="6" t="s">
        <v>1120</v>
      </c>
      <c r="C13" s="6" t="s">
        <v>1121</v>
      </c>
      <c r="D13" s="6" t="s">
        <v>1122</v>
      </c>
    </row>
    <row r="14" ht="78.0" customHeight="1">
      <c r="A14" s="10" t="s">
        <v>64</v>
      </c>
      <c r="B14" s="12" t="s">
        <v>1123</v>
      </c>
      <c r="C14" s="12" t="s">
        <v>1124</v>
      </c>
      <c r="D14" s="12" t="s">
        <v>1125</v>
      </c>
    </row>
    <row r="15" ht="78.0" customHeight="1">
      <c r="A15" s="10" t="s">
        <v>71</v>
      </c>
      <c r="B15" s="6" t="s">
        <v>1126</v>
      </c>
      <c r="C15" s="6" t="s">
        <v>1128</v>
      </c>
      <c r="D15" s="6" t="s">
        <v>1130</v>
      </c>
    </row>
    <row r="16" ht="78.0" customHeight="1">
      <c r="A16" s="10" t="s">
        <v>81</v>
      </c>
      <c r="B16" s="12" t="s">
        <v>1132</v>
      </c>
      <c r="C16" s="12" t="s">
        <v>1133</v>
      </c>
      <c r="D16" s="12" t="s">
        <v>1135</v>
      </c>
    </row>
    <row r="17" ht="99.75" customHeight="1">
      <c r="A17" s="10" t="s">
        <v>91</v>
      </c>
      <c r="B17" s="14" t="s">
        <v>1138</v>
      </c>
      <c r="C17" s="14" t="s">
        <v>1139</v>
      </c>
      <c r="D17" s="14" t="s">
        <v>1141</v>
      </c>
    </row>
    <row r="18" ht="14.25" customHeight="1">
      <c r="A18" s="6"/>
      <c r="B18" s="6"/>
      <c r="C18" s="6"/>
      <c r="D18" s="6"/>
    </row>
    <row r="19" ht="14.25" customHeight="1">
      <c r="A19" s="6"/>
      <c r="B19" s="6"/>
      <c r="C19" s="6"/>
      <c r="D19" s="6"/>
    </row>
    <row r="20" ht="14.25" customHeight="1">
      <c r="A20" s="6"/>
      <c r="B20" s="6"/>
      <c r="C20" s="6"/>
      <c r="D20" s="6"/>
    </row>
    <row r="21" ht="14.25" customHeight="1">
      <c r="A21" s="6"/>
      <c r="B21" s="6"/>
      <c r="C21" s="6"/>
      <c r="D21" s="6"/>
    </row>
    <row r="22" ht="14.25" customHeight="1">
      <c r="A22" s="6"/>
      <c r="B22" s="6"/>
      <c r="C22" s="6"/>
      <c r="D22" s="6"/>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D1"/>
    <mergeCell ref="A2:D2"/>
    <mergeCell ref="B3:D3"/>
    <mergeCell ref="A4:D4"/>
    <mergeCell ref="A5:D5"/>
  </mergeCells>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F82"/>
    <pageSetUpPr/>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28.0"/>
    <col customWidth="1" min="2" max="4" width="43.0"/>
    <col customWidth="1" min="5" max="26" width="8.63"/>
  </cols>
  <sheetData>
    <row r="1" ht="37.5" customHeight="1">
      <c r="A1" s="1" t="s">
        <v>512</v>
      </c>
      <c r="B1" s="2"/>
      <c r="C1" s="2"/>
      <c r="D1" s="3"/>
    </row>
    <row r="2" ht="48.0" customHeight="1">
      <c r="A2" s="4" t="s">
        <v>1099</v>
      </c>
      <c r="B2" s="2"/>
      <c r="C2" s="2"/>
      <c r="D2" s="3"/>
    </row>
    <row r="3" ht="36.0" customHeight="1">
      <c r="A3" s="5" t="s">
        <v>6</v>
      </c>
      <c r="B3" s="6" t="s">
        <v>7</v>
      </c>
    </row>
    <row r="4" ht="49.5" customHeight="1">
      <c r="A4" s="4" t="s">
        <v>1103</v>
      </c>
      <c r="B4" s="2"/>
      <c r="C4" s="2"/>
      <c r="D4" s="3"/>
    </row>
    <row r="5" ht="49.5" customHeight="1">
      <c r="A5" s="8" t="s">
        <v>515</v>
      </c>
      <c r="B5" s="2"/>
      <c r="C5" s="2"/>
      <c r="D5" s="3"/>
    </row>
    <row r="6" ht="14.25" customHeight="1">
      <c r="A6" s="6"/>
      <c r="B6" s="6"/>
      <c r="C6" s="6"/>
      <c r="D6" s="6"/>
    </row>
    <row r="7" ht="39.75" customHeight="1">
      <c r="A7" s="7" t="s">
        <v>26</v>
      </c>
      <c r="B7" s="7" t="s">
        <v>1116</v>
      </c>
      <c r="C7" s="7" t="s">
        <v>1118</v>
      </c>
      <c r="D7" s="7" t="s">
        <v>1119</v>
      </c>
    </row>
    <row r="8" ht="27.75" customHeight="1">
      <c r="A8" s="10" t="s">
        <v>38</v>
      </c>
      <c r="B8" s="11">
        <v>26.0</v>
      </c>
      <c r="C8" s="11">
        <v>19.0</v>
      </c>
      <c r="D8" s="11">
        <v>0.0</v>
      </c>
    </row>
    <row r="9" ht="78.0" customHeight="1">
      <c r="A9" s="10" t="s">
        <v>41</v>
      </c>
      <c r="B9" s="6" t="s">
        <v>1127</v>
      </c>
      <c r="C9" s="6" t="s">
        <v>1129</v>
      </c>
      <c r="D9" s="6" t="s">
        <v>1131</v>
      </c>
    </row>
    <row r="10" ht="78.0" customHeight="1">
      <c r="A10" s="10" t="s">
        <v>44</v>
      </c>
      <c r="B10" s="12" t="s">
        <v>1134</v>
      </c>
      <c r="C10" s="12" t="s">
        <v>1136</v>
      </c>
      <c r="D10" s="12" t="s">
        <v>1137</v>
      </c>
    </row>
    <row r="11" ht="78.0" customHeight="1">
      <c r="A11" s="10" t="s">
        <v>46</v>
      </c>
      <c r="B11" s="6" t="s">
        <v>1140</v>
      </c>
      <c r="C11" s="6" t="s">
        <v>1142</v>
      </c>
      <c r="D11" s="6" t="s">
        <v>1143</v>
      </c>
    </row>
    <row r="12" ht="78.0" customHeight="1">
      <c r="A12" s="10" t="s">
        <v>51</v>
      </c>
      <c r="B12" s="12" t="s">
        <v>1144</v>
      </c>
      <c r="C12" s="12" t="s">
        <v>1145</v>
      </c>
      <c r="D12" s="12" t="s">
        <v>1146</v>
      </c>
    </row>
    <row r="13" ht="78.0" customHeight="1">
      <c r="A13" s="10" t="s">
        <v>57</v>
      </c>
      <c r="B13" s="6" t="s">
        <v>1147</v>
      </c>
      <c r="C13" s="6" t="s">
        <v>1148</v>
      </c>
      <c r="D13" s="6" t="s">
        <v>1149</v>
      </c>
    </row>
    <row r="14" ht="78.0" customHeight="1">
      <c r="A14" s="10" t="s">
        <v>64</v>
      </c>
      <c r="B14" s="12" t="s">
        <v>1150</v>
      </c>
      <c r="C14" s="12" t="s">
        <v>1151</v>
      </c>
      <c r="D14" s="12" t="s">
        <v>1152</v>
      </c>
    </row>
    <row r="15" ht="78.0" customHeight="1">
      <c r="A15" s="10" t="s">
        <v>71</v>
      </c>
      <c r="B15" s="6" t="s">
        <v>1153</v>
      </c>
      <c r="C15" s="6" t="s">
        <v>1154</v>
      </c>
      <c r="D15" s="6" t="s">
        <v>1155</v>
      </c>
    </row>
    <row r="16" ht="78.0" customHeight="1">
      <c r="A16" s="10" t="s">
        <v>81</v>
      </c>
      <c r="B16" s="12" t="s">
        <v>1156</v>
      </c>
      <c r="C16" s="12" t="s">
        <v>1157</v>
      </c>
      <c r="D16" s="12" t="s">
        <v>1158</v>
      </c>
    </row>
    <row r="17" ht="99.75" customHeight="1">
      <c r="A17" s="10" t="s">
        <v>91</v>
      </c>
      <c r="B17" s="14" t="s">
        <v>1159</v>
      </c>
      <c r="C17" s="14" t="s">
        <v>1160</v>
      </c>
      <c r="D17" s="14" t="s">
        <v>300</v>
      </c>
    </row>
    <row r="18" ht="14.25" customHeight="1">
      <c r="A18" s="6"/>
      <c r="B18" s="6"/>
      <c r="C18" s="6"/>
      <c r="D18" s="6"/>
    </row>
    <row r="19" ht="14.25" customHeight="1">
      <c r="A19" s="6"/>
      <c r="B19" s="6"/>
      <c r="C19" s="6"/>
      <c r="D19" s="6"/>
    </row>
    <row r="20" ht="14.25" customHeight="1">
      <c r="A20" s="6"/>
      <c r="B20" s="6"/>
      <c r="C20" s="6"/>
      <c r="D20" s="6"/>
    </row>
    <row r="21" ht="14.25" customHeight="1">
      <c r="A21" s="6"/>
      <c r="B21" s="6"/>
      <c r="C21" s="6"/>
      <c r="D21" s="6"/>
    </row>
    <row r="22" ht="14.25" customHeight="1">
      <c r="A22" s="6"/>
      <c r="B22" s="6"/>
      <c r="C22" s="6"/>
      <c r="D22" s="6"/>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D1"/>
    <mergeCell ref="A2:D2"/>
    <mergeCell ref="B3:D3"/>
    <mergeCell ref="A4:D4"/>
    <mergeCell ref="A5:D5"/>
  </mergeCells>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F82"/>
    <pageSetUpPr/>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28.0"/>
    <col customWidth="1" min="2" max="4" width="43.0"/>
    <col customWidth="1" min="5" max="26" width="8.63"/>
  </cols>
  <sheetData>
    <row r="1" ht="37.5" customHeight="1">
      <c r="A1" s="1" t="s">
        <v>519</v>
      </c>
      <c r="B1" s="2"/>
      <c r="C1" s="2"/>
      <c r="D1" s="3"/>
    </row>
    <row r="2" ht="48.0" customHeight="1">
      <c r="A2" s="4" t="s">
        <v>1161</v>
      </c>
      <c r="B2" s="2"/>
      <c r="C2" s="2"/>
      <c r="D2" s="3"/>
    </row>
    <row r="3" ht="36.0" customHeight="1">
      <c r="A3" s="5" t="s">
        <v>6</v>
      </c>
      <c r="B3" s="6" t="s">
        <v>7</v>
      </c>
    </row>
    <row r="4" ht="49.5" customHeight="1">
      <c r="A4" s="4" t="s">
        <v>1162</v>
      </c>
      <c r="B4" s="2"/>
      <c r="C4" s="2"/>
      <c r="D4" s="3"/>
    </row>
    <row r="5" ht="49.5" customHeight="1">
      <c r="A5" s="8" t="s">
        <v>523</v>
      </c>
      <c r="B5" s="2"/>
      <c r="C5" s="2"/>
      <c r="D5" s="3"/>
    </row>
    <row r="6" ht="14.25" customHeight="1">
      <c r="A6" s="6"/>
      <c r="B6" s="6"/>
      <c r="C6" s="6"/>
      <c r="D6" s="6"/>
    </row>
    <row r="7" ht="39.75" customHeight="1">
      <c r="A7" s="7" t="s">
        <v>26</v>
      </c>
      <c r="B7" s="7" t="s">
        <v>1163</v>
      </c>
      <c r="C7" s="7" t="s">
        <v>1164</v>
      </c>
      <c r="D7" s="7" t="s">
        <v>1165</v>
      </c>
    </row>
    <row r="8" ht="27.75" customHeight="1">
      <c r="A8" s="10" t="s">
        <v>38</v>
      </c>
      <c r="B8" s="11">
        <v>0.0</v>
      </c>
      <c r="C8" s="23">
        <v>0.4</v>
      </c>
      <c r="D8" s="11">
        <v>0.0</v>
      </c>
    </row>
    <row r="9" ht="78.0" customHeight="1">
      <c r="A9" s="10" t="s">
        <v>41</v>
      </c>
      <c r="B9" s="6" t="s">
        <v>1166</v>
      </c>
      <c r="C9" s="6" t="s">
        <v>1167</v>
      </c>
      <c r="D9" s="6" t="s">
        <v>1168</v>
      </c>
    </row>
    <row r="10" ht="78.0" customHeight="1">
      <c r="A10" s="10" t="s">
        <v>44</v>
      </c>
      <c r="B10" s="12" t="s">
        <v>1169</v>
      </c>
      <c r="C10" s="12" t="s">
        <v>1170</v>
      </c>
      <c r="D10" s="12" t="s">
        <v>1171</v>
      </c>
    </row>
    <row r="11" ht="78.0" customHeight="1">
      <c r="A11" s="10" t="s">
        <v>46</v>
      </c>
      <c r="B11" s="6" t="s">
        <v>1172</v>
      </c>
      <c r="C11" s="6" t="s">
        <v>1173</v>
      </c>
      <c r="D11" s="6" t="s">
        <v>1174</v>
      </c>
    </row>
    <row r="12" ht="78.0" customHeight="1">
      <c r="A12" s="10" t="s">
        <v>51</v>
      </c>
      <c r="B12" s="12" t="s">
        <v>1175</v>
      </c>
      <c r="C12" s="12" t="s">
        <v>1176</v>
      </c>
      <c r="D12" s="12" t="s">
        <v>1177</v>
      </c>
    </row>
    <row r="13" ht="78.0" customHeight="1">
      <c r="A13" s="10" t="s">
        <v>57</v>
      </c>
      <c r="B13" s="6" t="s">
        <v>1178</v>
      </c>
      <c r="C13" s="6" t="s">
        <v>1179</v>
      </c>
      <c r="D13" s="6" t="s">
        <v>1180</v>
      </c>
    </row>
    <row r="14" ht="78.0" customHeight="1">
      <c r="A14" s="10" t="s">
        <v>64</v>
      </c>
      <c r="B14" s="12" t="s">
        <v>1181</v>
      </c>
      <c r="C14" s="12" t="s">
        <v>1182</v>
      </c>
      <c r="D14" s="12" t="s">
        <v>1183</v>
      </c>
    </row>
    <row r="15" ht="78.0" customHeight="1">
      <c r="A15" s="10" t="s">
        <v>71</v>
      </c>
      <c r="B15" s="6" t="s">
        <v>1184</v>
      </c>
      <c r="C15" s="6" t="s">
        <v>1185</v>
      </c>
      <c r="D15" s="6" t="s">
        <v>1186</v>
      </c>
    </row>
    <row r="16" ht="78.0" customHeight="1">
      <c r="A16" s="10" t="s">
        <v>81</v>
      </c>
      <c r="B16" s="12" t="s">
        <v>1187</v>
      </c>
      <c r="C16" s="12" t="s">
        <v>1188</v>
      </c>
      <c r="D16" s="12" t="s">
        <v>1189</v>
      </c>
    </row>
    <row r="17" ht="99.75" customHeight="1">
      <c r="A17" s="10" t="s">
        <v>91</v>
      </c>
      <c r="B17" s="14" t="s">
        <v>1190</v>
      </c>
      <c r="C17" s="14" t="s">
        <v>1191</v>
      </c>
      <c r="D17" s="14" t="s">
        <v>1192</v>
      </c>
    </row>
    <row r="18" ht="14.25" customHeight="1">
      <c r="A18" s="6"/>
      <c r="B18" s="6"/>
      <c r="C18" s="6"/>
      <c r="D18" s="6"/>
    </row>
    <row r="19" ht="14.25" customHeight="1">
      <c r="A19" s="6"/>
      <c r="B19" s="6"/>
      <c r="C19" s="6"/>
      <c r="D19" s="6"/>
    </row>
    <row r="20" ht="14.25" customHeight="1">
      <c r="A20" s="6"/>
      <c r="B20" s="6"/>
      <c r="C20" s="6"/>
      <c r="D20" s="6"/>
    </row>
    <row r="21" ht="14.25" customHeight="1">
      <c r="A21" s="6"/>
      <c r="B21" s="6"/>
      <c r="C21" s="6"/>
      <c r="D21" s="6"/>
    </row>
    <row r="22" ht="14.25" customHeight="1">
      <c r="A22" s="6"/>
      <c r="B22" s="6"/>
      <c r="C22" s="6"/>
      <c r="D22" s="6"/>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D1"/>
    <mergeCell ref="A2:D2"/>
    <mergeCell ref="B3:D3"/>
    <mergeCell ref="A4:D4"/>
    <mergeCell ref="A5:D5"/>
  </mergeCells>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F82"/>
    <pageSetUpPr/>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28.0"/>
    <col customWidth="1" min="2" max="4" width="43.0"/>
    <col customWidth="1" min="5" max="26" width="8.63"/>
  </cols>
  <sheetData>
    <row r="1" ht="37.5" customHeight="1">
      <c r="A1" s="1" t="s">
        <v>527</v>
      </c>
      <c r="B1" s="2"/>
      <c r="C1" s="2"/>
      <c r="D1" s="3"/>
    </row>
    <row r="2" ht="48.0" customHeight="1">
      <c r="A2" s="4" t="s">
        <v>1193</v>
      </c>
      <c r="B2" s="2"/>
      <c r="C2" s="2"/>
      <c r="D2" s="3"/>
    </row>
    <row r="3" ht="36.0" customHeight="1">
      <c r="A3" s="5" t="s">
        <v>6</v>
      </c>
      <c r="B3" s="6" t="s">
        <v>7</v>
      </c>
    </row>
    <row r="4" ht="49.5" customHeight="1">
      <c r="A4" s="4" t="s">
        <v>1194</v>
      </c>
      <c r="B4" s="2"/>
      <c r="C4" s="2"/>
      <c r="D4" s="3"/>
    </row>
    <row r="5" ht="49.5" customHeight="1">
      <c r="A5" s="8" t="s">
        <v>530</v>
      </c>
      <c r="B5" s="2"/>
      <c r="C5" s="2"/>
      <c r="D5" s="3"/>
    </row>
    <row r="6" ht="14.25" customHeight="1">
      <c r="A6" s="6"/>
      <c r="B6" s="6"/>
      <c r="C6" s="6"/>
      <c r="D6" s="6"/>
    </row>
    <row r="7" ht="39.75" customHeight="1">
      <c r="A7" s="7" t="s">
        <v>26</v>
      </c>
      <c r="B7" s="7" t="s">
        <v>1195</v>
      </c>
      <c r="C7" s="7" t="s">
        <v>1196</v>
      </c>
      <c r="D7" s="7" t="s">
        <v>1197</v>
      </c>
    </row>
    <row r="8" ht="27.75" customHeight="1">
      <c r="A8" s="10" t="s">
        <v>38</v>
      </c>
      <c r="B8" s="11">
        <v>0.0</v>
      </c>
      <c r="C8" s="11">
        <v>0.0</v>
      </c>
      <c r="D8" s="23" t="s">
        <v>1198</v>
      </c>
    </row>
    <row r="9" ht="78.0" customHeight="1">
      <c r="A9" s="10" t="s">
        <v>41</v>
      </c>
      <c r="B9" s="6" t="s">
        <v>1199</v>
      </c>
      <c r="C9" s="6" t="s">
        <v>1200</v>
      </c>
      <c r="D9" s="6" t="s">
        <v>1201</v>
      </c>
    </row>
    <row r="10" ht="78.0" customHeight="1">
      <c r="A10" s="10" t="s">
        <v>44</v>
      </c>
      <c r="B10" s="12" t="s">
        <v>1203</v>
      </c>
      <c r="C10" s="12" t="s">
        <v>1204</v>
      </c>
      <c r="D10" s="12" t="s">
        <v>1205</v>
      </c>
    </row>
    <row r="11" ht="78.0" customHeight="1">
      <c r="A11" s="10" t="s">
        <v>46</v>
      </c>
      <c r="B11" s="6" t="s">
        <v>1206</v>
      </c>
      <c r="C11" s="6" t="s">
        <v>1207</v>
      </c>
      <c r="D11" s="6" t="s">
        <v>1208</v>
      </c>
    </row>
    <row r="12" ht="78.0" customHeight="1">
      <c r="A12" s="10" t="s">
        <v>51</v>
      </c>
      <c r="B12" s="12" t="s">
        <v>1210</v>
      </c>
      <c r="C12" s="12" t="s">
        <v>1212</v>
      </c>
      <c r="D12" s="12" t="s">
        <v>1213</v>
      </c>
    </row>
    <row r="13" ht="78.0" customHeight="1">
      <c r="A13" s="10" t="s">
        <v>57</v>
      </c>
      <c r="B13" s="6" t="s">
        <v>1214</v>
      </c>
      <c r="C13" s="6" t="s">
        <v>1215</v>
      </c>
      <c r="D13" s="6" t="s">
        <v>1216</v>
      </c>
    </row>
    <row r="14" ht="78.0" customHeight="1">
      <c r="A14" s="10" t="s">
        <v>64</v>
      </c>
      <c r="B14" s="12" t="s">
        <v>1217</v>
      </c>
      <c r="C14" s="12" t="s">
        <v>1218</v>
      </c>
      <c r="D14" s="12" t="s">
        <v>1219</v>
      </c>
    </row>
    <row r="15" ht="78.0" customHeight="1">
      <c r="A15" s="10" t="s">
        <v>71</v>
      </c>
      <c r="B15" s="6" t="s">
        <v>1220</v>
      </c>
      <c r="C15" s="6" t="s">
        <v>1221</v>
      </c>
      <c r="D15" s="6" t="s">
        <v>1222</v>
      </c>
    </row>
    <row r="16" ht="78.0" customHeight="1">
      <c r="A16" s="10" t="s">
        <v>81</v>
      </c>
      <c r="B16" s="12" t="s">
        <v>1225</v>
      </c>
      <c r="C16" s="12" t="s">
        <v>1227</v>
      </c>
      <c r="D16" s="12" t="s">
        <v>1229</v>
      </c>
    </row>
    <row r="17" ht="99.75" customHeight="1">
      <c r="A17" s="10" t="s">
        <v>91</v>
      </c>
      <c r="B17" s="14" t="s">
        <v>1230</v>
      </c>
      <c r="C17" s="14" t="s">
        <v>1231</v>
      </c>
      <c r="D17" s="14" t="s">
        <v>1232</v>
      </c>
    </row>
    <row r="18" ht="14.25" customHeight="1">
      <c r="A18" s="6"/>
      <c r="B18" s="6"/>
      <c r="C18" s="6"/>
      <c r="D18" s="6"/>
    </row>
    <row r="19" ht="14.25" customHeight="1">
      <c r="A19" s="6"/>
      <c r="B19" s="6"/>
      <c r="C19" s="6"/>
      <c r="D19" s="6"/>
    </row>
    <row r="20" ht="14.25" customHeight="1">
      <c r="A20" s="6"/>
      <c r="B20" s="6"/>
      <c r="C20" s="6"/>
      <c r="D20" s="6"/>
    </row>
    <row r="21" ht="14.25" customHeight="1">
      <c r="A21" s="6"/>
      <c r="B21" s="6"/>
      <c r="C21" s="6"/>
      <c r="D21" s="6"/>
    </row>
    <row r="22" ht="14.25" customHeight="1">
      <c r="A22" s="6"/>
      <c r="B22" s="6"/>
      <c r="C22" s="6"/>
      <c r="D22" s="6"/>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D1"/>
    <mergeCell ref="A2:D2"/>
    <mergeCell ref="B3:D3"/>
    <mergeCell ref="A4:D4"/>
    <mergeCell ref="A5:D5"/>
  </mergeCells>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F82"/>
    <pageSetUpPr/>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28.0"/>
    <col customWidth="1" min="2" max="4" width="43.0"/>
    <col customWidth="1" min="5" max="26" width="8.63"/>
  </cols>
  <sheetData>
    <row r="1" ht="37.5" customHeight="1">
      <c r="A1" s="1" t="s">
        <v>534</v>
      </c>
      <c r="B1" s="2"/>
      <c r="C1" s="2"/>
      <c r="D1" s="3"/>
    </row>
    <row r="2" ht="48.0" customHeight="1">
      <c r="A2" s="4" t="s">
        <v>1202</v>
      </c>
      <c r="B2" s="2"/>
      <c r="C2" s="2"/>
      <c r="D2" s="3"/>
    </row>
    <row r="3" ht="36.0" customHeight="1">
      <c r="A3" s="5" t="s">
        <v>6</v>
      </c>
      <c r="B3" s="6" t="s">
        <v>7</v>
      </c>
    </row>
    <row r="4" ht="49.5" customHeight="1">
      <c r="A4" s="4" t="s">
        <v>1209</v>
      </c>
      <c r="B4" s="2"/>
      <c r="C4" s="2"/>
      <c r="D4" s="3"/>
    </row>
    <row r="5" ht="49.5" customHeight="1">
      <c r="A5" s="8" t="s">
        <v>538</v>
      </c>
      <c r="B5" s="2"/>
      <c r="C5" s="2"/>
      <c r="D5" s="3"/>
    </row>
    <row r="6" ht="14.25" customHeight="1">
      <c r="A6" s="6"/>
      <c r="B6" s="6"/>
      <c r="C6" s="6"/>
      <c r="D6" s="6"/>
    </row>
    <row r="7" ht="39.75" customHeight="1">
      <c r="A7" s="7" t="s">
        <v>26</v>
      </c>
      <c r="B7" s="7" t="s">
        <v>1224</v>
      </c>
      <c r="C7" s="7" t="s">
        <v>1226</v>
      </c>
      <c r="D7" s="7" t="s">
        <v>1228</v>
      </c>
    </row>
    <row r="8" ht="27.75" customHeight="1">
      <c r="A8" s="10" t="s">
        <v>38</v>
      </c>
      <c r="B8" s="11">
        <v>0.0</v>
      </c>
      <c r="C8" s="11">
        <v>0.0</v>
      </c>
      <c r="D8" s="11">
        <v>0.0</v>
      </c>
    </row>
    <row r="9" ht="78.0" customHeight="1">
      <c r="A9" s="10" t="s">
        <v>41</v>
      </c>
      <c r="B9" s="6" t="s">
        <v>671</v>
      </c>
      <c r="C9" s="6" t="s">
        <v>1233</v>
      </c>
      <c r="D9" s="6" t="s">
        <v>1234</v>
      </c>
    </row>
    <row r="10" ht="78.0" customHeight="1">
      <c r="A10" s="10" t="s">
        <v>44</v>
      </c>
      <c r="B10" s="12" t="s">
        <v>45</v>
      </c>
      <c r="C10" s="12" t="s">
        <v>45</v>
      </c>
      <c r="D10" s="12" t="s">
        <v>45</v>
      </c>
    </row>
    <row r="11" ht="78.0" customHeight="1">
      <c r="A11" s="10" t="s">
        <v>46</v>
      </c>
      <c r="B11" s="6" t="s">
        <v>1238</v>
      </c>
      <c r="C11" s="6" t="s">
        <v>1239</v>
      </c>
      <c r="D11" s="6" t="s">
        <v>1240</v>
      </c>
    </row>
    <row r="12" ht="78.0" customHeight="1">
      <c r="A12" s="10" t="s">
        <v>51</v>
      </c>
      <c r="B12" s="12" t="s">
        <v>1241</v>
      </c>
      <c r="C12" s="12" t="s">
        <v>1242</v>
      </c>
      <c r="D12" s="12" t="s">
        <v>1243</v>
      </c>
    </row>
    <row r="13" ht="78.0" customHeight="1">
      <c r="A13" s="10" t="s">
        <v>57</v>
      </c>
      <c r="B13" s="6" t="s">
        <v>1244</v>
      </c>
      <c r="C13" s="6" t="s">
        <v>1245</v>
      </c>
      <c r="D13" s="6" t="s">
        <v>1246</v>
      </c>
    </row>
    <row r="14" ht="78.0" customHeight="1">
      <c r="A14" s="10" t="s">
        <v>64</v>
      </c>
      <c r="B14" s="12" t="s">
        <v>1250</v>
      </c>
      <c r="C14" s="12" t="s">
        <v>1251</v>
      </c>
      <c r="D14" s="12" t="s">
        <v>1252</v>
      </c>
    </row>
    <row r="15" ht="78.0" customHeight="1">
      <c r="A15" s="10" t="s">
        <v>71</v>
      </c>
      <c r="B15" s="6" t="s">
        <v>1255</v>
      </c>
      <c r="C15" s="6" t="s">
        <v>1256</v>
      </c>
      <c r="D15" s="6" t="s">
        <v>1257</v>
      </c>
    </row>
    <row r="16" ht="78.0" customHeight="1">
      <c r="A16" s="10" t="s">
        <v>81</v>
      </c>
      <c r="B16" s="12" t="s">
        <v>1260</v>
      </c>
      <c r="C16" s="12" t="s">
        <v>1262</v>
      </c>
      <c r="D16" s="12" t="s">
        <v>1263</v>
      </c>
    </row>
    <row r="17" ht="99.75" customHeight="1">
      <c r="A17" s="10" t="s">
        <v>91</v>
      </c>
      <c r="B17" s="14" t="s">
        <v>1267</v>
      </c>
      <c r="C17" s="14" t="s">
        <v>1268</v>
      </c>
      <c r="D17" s="14" t="s">
        <v>1270</v>
      </c>
    </row>
    <row r="18" ht="14.25" customHeight="1">
      <c r="A18" s="6"/>
      <c r="B18" s="6"/>
      <c r="C18" s="6"/>
      <c r="D18" s="6"/>
    </row>
    <row r="19" ht="14.25" customHeight="1">
      <c r="A19" s="6"/>
      <c r="B19" s="6"/>
      <c r="C19" s="6"/>
      <c r="D19" s="6"/>
    </row>
    <row r="20" ht="14.25" customHeight="1">
      <c r="A20" s="6"/>
      <c r="B20" s="6"/>
      <c r="C20" s="6"/>
      <c r="D20" s="6"/>
    </row>
    <row r="21" ht="14.25" customHeight="1">
      <c r="A21" s="6"/>
      <c r="B21" s="6"/>
      <c r="C21" s="6"/>
      <c r="D21" s="6"/>
    </row>
    <row r="22" ht="14.25" customHeight="1">
      <c r="A22" s="6"/>
      <c r="B22" s="6"/>
      <c r="C22" s="6"/>
      <c r="D22" s="6"/>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D1"/>
    <mergeCell ref="A2:D2"/>
    <mergeCell ref="B3:D3"/>
    <mergeCell ref="A4:D4"/>
    <mergeCell ref="A5:D5"/>
  </mergeCells>
  <printOptions/>
  <pageMargins bottom="0.75" footer="0.0" header="0.0" left="0.7" right="0.7" top="0.75"/>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F82"/>
    <pageSetUpPr/>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28.0"/>
    <col customWidth="1" min="2" max="4" width="43.0"/>
    <col customWidth="1" min="5" max="26" width="8.63"/>
  </cols>
  <sheetData>
    <row r="1" ht="37.5" customHeight="1">
      <c r="A1" s="1" t="s">
        <v>543</v>
      </c>
      <c r="B1" s="2"/>
      <c r="C1" s="2"/>
      <c r="D1" s="3"/>
    </row>
    <row r="2" ht="48.0" customHeight="1">
      <c r="A2" s="4" t="s">
        <v>1211</v>
      </c>
      <c r="B2" s="2"/>
      <c r="C2" s="2"/>
      <c r="D2" s="3"/>
    </row>
    <row r="3" ht="36.0" customHeight="1">
      <c r="A3" s="5" t="s">
        <v>6</v>
      </c>
      <c r="B3" s="6" t="s">
        <v>7</v>
      </c>
    </row>
    <row r="4" ht="49.5" customHeight="1">
      <c r="A4" s="4" t="s">
        <v>1223</v>
      </c>
      <c r="B4" s="2"/>
      <c r="C4" s="2"/>
      <c r="D4" s="3"/>
    </row>
    <row r="5" ht="49.5" customHeight="1">
      <c r="A5" s="8" t="s">
        <v>546</v>
      </c>
      <c r="B5" s="2"/>
      <c r="C5" s="2"/>
      <c r="D5" s="3"/>
    </row>
    <row r="6" ht="14.25" customHeight="1">
      <c r="A6" s="6"/>
      <c r="B6" s="6"/>
      <c r="C6" s="6"/>
      <c r="D6" s="6"/>
    </row>
    <row r="7" ht="39.75" customHeight="1">
      <c r="A7" s="7" t="s">
        <v>26</v>
      </c>
      <c r="B7" s="7" t="s">
        <v>1235</v>
      </c>
      <c r="C7" s="7" t="s">
        <v>1236</v>
      </c>
      <c r="D7" s="7" t="s">
        <v>1237</v>
      </c>
    </row>
    <row r="8" ht="27.75" customHeight="1">
      <c r="A8" s="10" t="s">
        <v>38</v>
      </c>
      <c r="B8" s="11">
        <v>25.0</v>
      </c>
      <c r="C8" s="23" t="s">
        <v>261</v>
      </c>
      <c r="D8" s="11">
        <v>0.0</v>
      </c>
    </row>
    <row r="9" ht="78.0" customHeight="1">
      <c r="A9" s="10" t="s">
        <v>41</v>
      </c>
      <c r="B9" s="6" t="s">
        <v>1247</v>
      </c>
      <c r="C9" s="6" t="s">
        <v>1248</v>
      </c>
      <c r="D9" s="6" t="s">
        <v>1249</v>
      </c>
    </row>
    <row r="10" ht="78.0" customHeight="1">
      <c r="A10" s="10" t="s">
        <v>44</v>
      </c>
      <c r="B10" s="12" t="s">
        <v>1253</v>
      </c>
      <c r="C10" s="12" t="s">
        <v>1254</v>
      </c>
      <c r="D10" s="12" t="s">
        <v>45</v>
      </c>
    </row>
    <row r="11" ht="78.0" customHeight="1">
      <c r="A11" s="10" t="s">
        <v>46</v>
      </c>
      <c r="B11" s="6" t="s">
        <v>1258</v>
      </c>
      <c r="C11" s="6" t="s">
        <v>1259</v>
      </c>
      <c r="D11" s="6" t="s">
        <v>1261</v>
      </c>
    </row>
    <row r="12" ht="78.0" customHeight="1">
      <c r="A12" s="10" t="s">
        <v>51</v>
      </c>
      <c r="B12" s="12" t="s">
        <v>1264</v>
      </c>
      <c r="C12" s="12" t="s">
        <v>1265</v>
      </c>
      <c r="D12" s="12" t="s">
        <v>1266</v>
      </c>
    </row>
    <row r="13" ht="78.0" customHeight="1">
      <c r="A13" s="10" t="s">
        <v>57</v>
      </c>
      <c r="B13" s="6" t="s">
        <v>1269</v>
      </c>
      <c r="C13" s="6" t="s">
        <v>1271</v>
      </c>
      <c r="D13" s="6" t="s">
        <v>1272</v>
      </c>
    </row>
    <row r="14" ht="78.0" customHeight="1">
      <c r="A14" s="10" t="s">
        <v>64</v>
      </c>
      <c r="B14" s="12" t="s">
        <v>1273</v>
      </c>
      <c r="C14" s="12" t="s">
        <v>1274</v>
      </c>
      <c r="D14" s="12" t="s">
        <v>1275</v>
      </c>
    </row>
    <row r="15" ht="78.0" customHeight="1">
      <c r="A15" s="10" t="s">
        <v>71</v>
      </c>
      <c r="B15" s="6" t="s">
        <v>1276</v>
      </c>
      <c r="C15" s="6" t="s">
        <v>1277</v>
      </c>
      <c r="D15" s="6" t="s">
        <v>1278</v>
      </c>
    </row>
    <row r="16" ht="78.0" customHeight="1">
      <c r="A16" s="10" t="s">
        <v>81</v>
      </c>
      <c r="B16" s="12" t="s">
        <v>1279</v>
      </c>
      <c r="C16" s="12" t="s">
        <v>1280</v>
      </c>
      <c r="D16" s="12" t="s">
        <v>1281</v>
      </c>
    </row>
    <row r="17" ht="99.75" customHeight="1">
      <c r="A17" s="10" t="s">
        <v>91</v>
      </c>
      <c r="B17" s="14" t="s">
        <v>388</v>
      </c>
      <c r="C17" s="14" t="s">
        <v>1282</v>
      </c>
      <c r="D17" s="14" t="s">
        <v>1283</v>
      </c>
    </row>
    <row r="18" ht="14.25" customHeight="1">
      <c r="A18" s="6"/>
      <c r="B18" s="6"/>
      <c r="C18" s="6"/>
      <c r="D18" s="6"/>
    </row>
    <row r="19" ht="14.25" customHeight="1">
      <c r="A19" s="6"/>
      <c r="B19" s="6"/>
      <c r="C19" s="6"/>
      <c r="D19" s="6"/>
    </row>
    <row r="20" ht="14.25" customHeight="1">
      <c r="A20" s="6"/>
      <c r="B20" s="6"/>
      <c r="C20" s="6"/>
      <c r="D20" s="6"/>
    </row>
    <row r="21" ht="14.25" customHeight="1">
      <c r="A21" s="6"/>
      <c r="B21" s="6"/>
      <c r="C21" s="6"/>
      <c r="D21" s="6"/>
    </row>
    <row r="22" ht="14.25" customHeight="1">
      <c r="A22" s="6"/>
      <c r="B22" s="6"/>
      <c r="C22" s="6"/>
      <c r="D22" s="6"/>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D1"/>
    <mergeCell ref="A2:D2"/>
    <mergeCell ref="B3:D3"/>
    <mergeCell ref="A4:D4"/>
    <mergeCell ref="A5:D5"/>
  </mergeCells>
  <printOptions/>
  <pageMargins bottom="0.75" footer="0.0" header="0.0" left="0.7" right="0.7" top="0.75"/>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F82"/>
    <pageSetUpPr/>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28.0"/>
    <col customWidth="1" min="2" max="5" width="43.0"/>
    <col customWidth="1" min="6" max="26" width="8.63"/>
  </cols>
  <sheetData>
    <row r="1" ht="37.5" customHeight="1">
      <c r="A1" s="1" t="s">
        <v>551</v>
      </c>
      <c r="B1" s="2"/>
      <c r="C1" s="2"/>
      <c r="D1" s="2"/>
      <c r="E1" s="3"/>
    </row>
    <row r="2" ht="48.0" customHeight="1">
      <c r="A2" s="4" t="s">
        <v>1284</v>
      </c>
      <c r="B2" s="2"/>
      <c r="C2" s="2"/>
      <c r="D2" s="2"/>
      <c r="E2" s="3"/>
    </row>
    <row r="3" ht="36.0" customHeight="1">
      <c r="A3" s="5" t="s">
        <v>6</v>
      </c>
      <c r="B3" s="6" t="s">
        <v>7</v>
      </c>
    </row>
    <row r="4" ht="49.5" customHeight="1">
      <c r="A4" s="4" t="s">
        <v>1285</v>
      </c>
      <c r="B4" s="2"/>
      <c r="C4" s="2"/>
      <c r="D4" s="2"/>
      <c r="E4" s="3"/>
    </row>
    <row r="5" ht="49.5" customHeight="1">
      <c r="A5" s="8" t="s">
        <v>556</v>
      </c>
      <c r="B5" s="2"/>
      <c r="C5" s="2"/>
      <c r="D5" s="2"/>
      <c r="E5" s="3"/>
    </row>
    <row r="6" ht="14.25" customHeight="1">
      <c r="A6" s="6"/>
      <c r="B6" s="6"/>
      <c r="C6" s="6"/>
      <c r="D6" s="6"/>
      <c r="E6" s="6"/>
    </row>
    <row r="7" ht="39.75" customHeight="1">
      <c r="A7" s="7" t="s">
        <v>26</v>
      </c>
      <c r="B7" s="7" t="s">
        <v>1286</v>
      </c>
      <c r="C7" s="7" t="s">
        <v>1287</v>
      </c>
      <c r="D7" s="7" t="s">
        <v>1288</v>
      </c>
      <c r="E7" s="7" t="s">
        <v>1289</v>
      </c>
    </row>
    <row r="8" ht="27.75" customHeight="1">
      <c r="A8" s="10" t="s">
        <v>38</v>
      </c>
      <c r="B8" s="11">
        <v>0.0</v>
      </c>
      <c r="C8" s="11">
        <v>25.0</v>
      </c>
      <c r="D8" s="11">
        <v>99.0</v>
      </c>
      <c r="E8" s="23" t="s">
        <v>1290</v>
      </c>
    </row>
    <row r="9" ht="78.0" customHeight="1">
      <c r="A9" s="10" t="s">
        <v>41</v>
      </c>
      <c r="B9" s="6" t="s">
        <v>1291</v>
      </c>
      <c r="C9" s="6" t="s">
        <v>1292</v>
      </c>
      <c r="D9" s="6" t="s">
        <v>1293</v>
      </c>
      <c r="E9" s="6" t="s">
        <v>1294</v>
      </c>
    </row>
    <row r="10" ht="78.0" customHeight="1">
      <c r="A10" s="10" t="s">
        <v>44</v>
      </c>
      <c r="B10" s="12" t="s">
        <v>1295</v>
      </c>
      <c r="C10" s="12" t="s">
        <v>1296</v>
      </c>
      <c r="D10" s="12" t="s">
        <v>1297</v>
      </c>
      <c r="E10" s="12" t="s">
        <v>1298</v>
      </c>
    </row>
    <row r="11" ht="78.0" customHeight="1">
      <c r="A11" s="10" t="s">
        <v>46</v>
      </c>
      <c r="B11" s="6" t="s">
        <v>1299</v>
      </c>
      <c r="C11" s="6" t="s">
        <v>1300</v>
      </c>
      <c r="D11" s="6" t="s">
        <v>1301</v>
      </c>
      <c r="E11" s="6" t="s">
        <v>1302</v>
      </c>
    </row>
    <row r="12" ht="78.0" customHeight="1">
      <c r="A12" s="10" t="s">
        <v>51</v>
      </c>
      <c r="B12" s="12" t="s">
        <v>1303</v>
      </c>
      <c r="C12" s="12" t="s">
        <v>1304</v>
      </c>
      <c r="D12" s="12" t="s">
        <v>1305</v>
      </c>
      <c r="E12" s="12" t="s">
        <v>1306</v>
      </c>
    </row>
    <row r="13" ht="78.0" customHeight="1">
      <c r="A13" s="10" t="s">
        <v>57</v>
      </c>
      <c r="B13" s="6" t="s">
        <v>1307</v>
      </c>
      <c r="C13" s="6" t="s">
        <v>1308</v>
      </c>
      <c r="D13" s="6" t="s">
        <v>1309</v>
      </c>
      <c r="E13" s="6" t="s">
        <v>1310</v>
      </c>
    </row>
    <row r="14" ht="78.0" customHeight="1">
      <c r="A14" s="10" t="s">
        <v>64</v>
      </c>
      <c r="B14" s="12" t="s">
        <v>1311</v>
      </c>
      <c r="C14" s="12" t="s">
        <v>1312</v>
      </c>
      <c r="D14" s="12" t="s">
        <v>1313</v>
      </c>
      <c r="E14" s="12" t="s">
        <v>1314</v>
      </c>
    </row>
    <row r="15" ht="78.0" customHeight="1">
      <c r="A15" s="10" t="s">
        <v>71</v>
      </c>
      <c r="B15" s="6" t="s">
        <v>1315</v>
      </c>
      <c r="C15" s="6" t="s">
        <v>1316</v>
      </c>
      <c r="D15" s="6" t="s">
        <v>1317</v>
      </c>
      <c r="E15" s="6" t="s">
        <v>1318</v>
      </c>
    </row>
    <row r="16" ht="78.0" customHeight="1">
      <c r="A16" s="10" t="s">
        <v>81</v>
      </c>
      <c r="B16" s="12" t="s">
        <v>1319</v>
      </c>
      <c r="C16" s="12" t="s">
        <v>1320</v>
      </c>
      <c r="D16" s="12" t="s">
        <v>1321</v>
      </c>
      <c r="E16" s="12" t="s">
        <v>1322</v>
      </c>
    </row>
    <row r="17" ht="99.75" customHeight="1">
      <c r="A17" s="10" t="s">
        <v>91</v>
      </c>
      <c r="B17" s="14" t="s">
        <v>300</v>
      </c>
      <c r="C17" s="14" t="s">
        <v>1323</v>
      </c>
      <c r="D17" s="14" t="s">
        <v>1324</v>
      </c>
      <c r="E17" s="14" t="s">
        <v>1325</v>
      </c>
    </row>
    <row r="18" ht="14.25" customHeight="1">
      <c r="A18" s="6"/>
      <c r="B18" s="6"/>
      <c r="C18" s="6"/>
      <c r="D18" s="6"/>
      <c r="E18" s="6"/>
    </row>
    <row r="19" ht="14.25" customHeight="1">
      <c r="A19" s="6"/>
      <c r="B19" s="6"/>
      <c r="C19" s="6"/>
      <c r="D19" s="6"/>
      <c r="E19" s="6"/>
    </row>
    <row r="20" ht="14.25" customHeight="1">
      <c r="A20" s="6"/>
      <c r="B20" s="6"/>
      <c r="C20" s="6"/>
      <c r="D20" s="6"/>
      <c r="E20" s="6"/>
    </row>
    <row r="21" ht="14.25" customHeight="1">
      <c r="A21" s="6"/>
      <c r="B21" s="6"/>
      <c r="C21" s="6"/>
      <c r="D21" s="6"/>
      <c r="E21" s="6"/>
    </row>
    <row r="22" ht="14.25" customHeight="1">
      <c r="A22" s="6"/>
      <c r="B22" s="6"/>
      <c r="C22" s="6"/>
      <c r="D22" s="6"/>
      <c r="E22" s="6"/>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E1"/>
    <mergeCell ref="A2:E2"/>
    <mergeCell ref="B3:E3"/>
    <mergeCell ref="A4:E4"/>
    <mergeCell ref="A5:E5"/>
  </mergeCells>
  <printOptions/>
  <pageMargins bottom="0.75" footer="0.0" header="0.0" left="0.7" right="0.7" top="0.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F82"/>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9.0"/>
    <col customWidth="1" min="2" max="2" width="30.0"/>
    <col customWidth="1" min="3" max="3" width="42.0"/>
    <col customWidth="1" min="4" max="4" width="48.0"/>
    <col customWidth="1" min="5" max="5" width="52.0"/>
    <col customWidth="1" min="6" max="6" width="48.0"/>
    <col customWidth="1" min="7" max="26" width="8.63"/>
  </cols>
  <sheetData>
    <row r="1" ht="37.5" customHeight="1">
      <c r="A1" s="1" t="s">
        <v>1373</v>
      </c>
      <c r="B1" s="2"/>
      <c r="C1" s="2"/>
      <c r="D1" s="2"/>
      <c r="E1" s="2"/>
      <c r="F1" s="3"/>
    </row>
    <row r="2" ht="48.0" customHeight="1">
      <c r="A2" s="4" t="s">
        <v>1374</v>
      </c>
      <c r="B2" s="2"/>
      <c r="C2" s="2"/>
      <c r="D2" s="2"/>
      <c r="E2" s="2"/>
      <c r="F2" s="3"/>
    </row>
    <row r="3" ht="14.25" customHeight="1">
      <c r="A3" s="5" t="s">
        <v>6</v>
      </c>
      <c r="B3" s="6"/>
      <c r="C3" s="6"/>
      <c r="D3" s="6"/>
      <c r="E3" s="6"/>
      <c r="F3" s="6"/>
    </row>
    <row r="4" ht="14.25" customHeight="1">
      <c r="A4" s="6"/>
      <c r="B4" s="6"/>
      <c r="C4" s="6"/>
      <c r="D4" s="6"/>
      <c r="E4" s="6"/>
      <c r="F4" s="6"/>
    </row>
    <row r="5" ht="39.75" customHeight="1">
      <c r="A5" s="18" t="s">
        <v>133</v>
      </c>
      <c r="B5" s="18" t="s">
        <v>1375</v>
      </c>
      <c r="C5" s="18" t="s">
        <v>1376</v>
      </c>
      <c r="D5" s="18" t="s">
        <v>1377</v>
      </c>
      <c r="E5" s="18" t="s">
        <v>1378</v>
      </c>
      <c r="F5" s="18" t="s">
        <v>1379</v>
      </c>
    </row>
    <row r="6" ht="99.75" customHeight="1">
      <c r="A6" s="19" t="s">
        <v>1380</v>
      </c>
      <c r="B6" s="19" t="s">
        <v>1381</v>
      </c>
      <c r="C6" s="19" t="s">
        <v>1382</v>
      </c>
      <c r="D6" s="19" t="s">
        <v>1383</v>
      </c>
      <c r="E6" s="19" t="s">
        <v>1384</v>
      </c>
      <c r="F6" s="19" t="s">
        <v>1385</v>
      </c>
    </row>
    <row r="7" ht="99.75" customHeight="1">
      <c r="A7" s="19" t="s">
        <v>1386</v>
      </c>
      <c r="B7" s="19" t="s">
        <v>1387</v>
      </c>
      <c r="C7" s="19" t="s">
        <v>1388</v>
      </c>
      <c r="D7" s="19" t="s">
        <v>1389</v>
      </c>
      <c r="E7" s="19" t="s">
        <v>1390</v>
      </c>
      <c r="F7" s="19" t="s">
        <v>1391</v>
      </c>
    </row>
    <row r="8" ht="99.75" customHeight="1">
      <c r="A8" s="19" t="s">
        <v>1392</v>
      </c>
      <c r="B8" s="19" t="s">
        <v>1393</v>
      </c>
      <c r="C8" s="19" t="s">
        <v>1394</v>
      </c>
      <c r="D8" s="19" t="s">
        <v>1395</v>
      </c>
      <c r="E8" s="19" t="s">
        <v>1396</v>
      </c>
      <c r="F8" s="19" t="s">
        <v>1397</v>
      </c>
    </row>
    <row r="9" ht="99.75" customHeight="1">
      <c r="A9" s="19" t="s">
        <v>1398</v>
      </c>
      <c r="B9" s="19" t="s">
        <v>1399</v>
      </c>
      <c r="C9" s="19" t="s">
        <v>1400</v>
      </c>
      <c r="D9" s="19" t="s">
        <v>1401</v>
      </c>
      <c r="E9" s="19" t="s">
        <v>1402</v>
      </c>
      <c r="F9" s="19" t="s">
        <v>1403</v>
      </c>
    </row>
    <row r="10" ht="99.75" customHeight="1">
      <c r="A10" s="19" t="s">
        <v>1404</v>
      </c>
      <c r="B10" s="19" t="s">
        <v>1405</v>
      </c>
      <c r="C10" s="19" t="s">
        <v>1406</v>
      </c>
      <c r="D10" s="19" t="s">
        <v>1407</v>
      </c>
      <c r="E10" s="19" t="s">
        <v>1408</v>
      </c>
      <c r="F10" s="19" t="s">
        <v>1409</v>
      </c>
    </row>
    <row r="11" ht="99.75" customHeight="1">
      <c r="A11" s="19" t="s">
        <v>1410</v>
      </c>
      <c r="B11" s="19" t="s">
        <v>1411</v>
      </c>
      <c r="C11" s="19" t="s">
        <v>1412</v>
      </c>
      <c r="D11" s="19" t="s">
        <v>1413</v>
      </c>
      <c r="E11" s="19" t="s">
        <v>1414</v>
      </c>
      <c r="F11" s="19" t="s">
        <v>1415</v>
      </c>
    </row>
    <row r="12" ht="99.75" customHeight="1">
      <c r="A12" s="19" t="s">
        <v>1416</v>
      </c>
      <c r="B12" s="19" t="s">
        <v>1417</v>
      </c>
      <c r="C12" s="19" t="s">
        <v>1418</v>
      </c>
      <c r="D12" s="19" t="s">
        <v>1419</v>
      </c>
      <c r="E12" s="19" t="s">
        <v>1420</v>
      </c>
      <c r="F12" s="19" t="s">
        <v>1421</v>
      </c>
    </row>
    <row r="13" ht="99.75" customHeight="1">
      <c r="A13" s="19" t="s">
        <v>1422</v>
      </c>
      <c r="B13" s="19" t="s">
        <v>1423</v>
      </c>
      <c r="C13" s="19" t="s">
        <v>1424</v>
      </c>
      <c r="D13" s="19" t="s">
        <v>1425</v>
      </c>
      <c r="E13" s="19" t="s">
        <v>1426</v>
      </c>
      <c r="F13" s="19" t="s">
        <v>1427</v>
      </c>
    </row>
    <row r="14" ht="99.75" customHeight="1">
      <c r="A14" s="19" t="s">
        <v>1428</v>
      </c>
      <c r="B14" s="19" t="s">
        <v>1429</v>
      </c>
      <c r="C14" s="19" t="s">
        <v>1430</v>
      </c>
      <c r="D14" s="19" t="s">
        <v>1431</v>
      </c>
      <c r="E14" s="19" t="s">
        <v>1432</v>
      </c>
      <c r="F14" s="19" t="s">
        <v>1433</v>
      </c>
    </row>
    <row r="15" ht="99.75" customHeight="1">
      <c r="A15" s="19" t="s">
        <v>1434</v>
      </c>
      <c r="B15" s="19" t="s">
        <v>1435</v>
      </c>
      <c r="C15" s="19" t="s">
        <v>1436</v>
      </c>
      <c r="D15" s="19" t="s">
        <v>1437</v>
      </c>
      <c r="E15" s="19" t="s">
        <v>1438</v>
      </c>
      <c r="F15" s="19" t="s">
        <v>1439</v>
      </c>
    </row>
    <row r="16" ht="14.25" customHeight="1">
      <c r="A16" s="6"/>
      <c r="B16" s="6"/>
      <c r="C16" s="6"/>
      <c r="D16" s="6"/>
      <c r="E16" s="6"/>
      <c r="F16" s="6"/>
    </row>
    <row r="17" ht="14.25" customHeight="1">
      <c r="A17" s="6"/>
      <c r="B17" s="6"/>
      <c r="C17" s="6"/>
      <c r="D17" s="6"/>
      <c r="E17" s="6"/>
      <c r="F17" s="6"/>
    </row>
    <row r="18" ht="14.25" customHeight="1">
      <c r="A18" s="6"/>
      <c r="B18" s="6"/>
      <c r="C18" s="6"/>
      <c r="D18" s="6"/>
      <c r="E18" s="6"/>
      <c r="F18" s="6"/>
    </row>
    <row r="19" ht="14.25" customHeight="1">
      <c r="A19" s="6"/>
      <c r="B19" s="6"/>
      <c r="C19" s="6"/>
      <c r="D19" s="6"/>
      <c r="E19" s="6"/>
      <c r="F19" s="6"/>
    </row>
    <row r="20" ht="14.25" customHeight="1">
      <c r="A20" s="6"/>
      <c r="B20" s="6"/>
      <c r="C20" s="6"/>
      <c r="D20" s="6"/>
      <c r="E20" s="6"/>
      <c r="F20" s="6"/>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F1"/>
    <mergeCell ref="A2:F2"/>
  </mergeCells>
  <printOptions/>
  <pageMargins bottom="0.75" footer="0.0" header="0.0" left="0.7" right="0.7" top="0.75"/>
  <pageSetup orientation="landscape"/>
  <drawing r:id="rId1"/>
  <tableParts count="1">
    <tablePart r:id="rId3"/>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F82"/>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31.0"/>
    <col customWidth="1" min="2" max="2" width="99.0"/>
    <col customWidth="1" min="3" max="3" width="90.0"/>
    <col customWidth="1" min="4" max="26" width="8.63"/>
  </cols>
  <sheetData>
    <row r="1" ht="37.5" customHeight="1">
      <c r="A1" s="1" t="s">
        <v>1326</v>
      </c>
      <c r="B1" s="2"/>
      <c r="C1" s="3"/>
    </row>
    <row r="2" ht="48.0" customHeight="1">
      <c r="A2" s="4" t="s">
        <v>1327</v>
      </c>
      <c r="B2" s="2"/>
      <c r="C2" s="3"/>
    </row>
    <row r="3" ht="14.25" customHeight="1">
      <c r="A3" s="5" t="s">
        <v>6</v>
      </c>
      <c r="B3" s="6"/>
      <c r="C3" s="6"/>
    </row>
    <row r="4" ht="14.25" customHeight="1">
      <c r="A4" s="6"/>
      <c r="B4" s="6"/>
      <c r="C4" s="6"/>
    </row>
    <row r="5" ht="36.0" customHeight="1">
      <c r="A5" s="7" t="s">
        <v>1328</v>
      </c>
      <c r="B5" s="7" t="s">
        <v>1329</v>
      </c>
      <c r="C5" s="7" t="s">
        <v>1330</v>
      </c>
    </row>
    <row r="6" ht="90.0" customHeight="1">
      <c r="A6" s="6" t="s">
        <v>1331</v>
      </c>
      <c r="B6" s="6" t="s">
        <v>1332</v>
      </c>
      <c r="C6" s="6" t="s">
        <v>1333</v>
      </c>
    </row>
    <row r="7" ht="90.0" customHeight="1">
      <c r="A7" s="6" t="s">
        <v>1334</v>
      </c>
      <c r="B7" s="6" t="s">
        <v>1335</v>
      </c>
      <c r="C7" s="6" t="s">
        <v>1336</v>
      </c>
    </row>
    <row r="8" ht="90.0" customHeight="1">
      <c r="A8" s="6" t="s">
        <v>1337</v>
      </c>
      <c r="B8" s="6" t="s">
        <v>1338</v>
      </c>
      <c r="C8" s="6" t="s">
        <v>1339</v>
      </c>
    </row>
    <row r="9" ht="90.0" customHeight="1">
      <c r="A9" s="6" t="s">
        <v>1340</v>
      </c>
      <c r="B9" s="6" t="s">
        <v>1341</v>
      </c>
      <c r="C9" s="6" t="s">
        <v>1342</v>
      </c>
    </row>
    <row r="10" ht="90.0" customHeight="1">
      <c r="A10" s="6" t="s">
        <v>1343</v>
      </c>
      <c r="B10" s="6" t="s">
        <v>1344</v>
      </c>
      <c r="C10" s="6" t="s">
        <v>1345</v>
      </c>
    </row>
    <row r="11" ht="90.0" customHeight="1">
      <c r="A11" s="6" t="s">
        <v>1346</v>
      </c>
      <c r="B11" s="6" t="s">
        <v>1347</v>
      </c>
      <c r="C11" s="6" t="s">
        <v>1348</v>
      </c>
    </row>
    <row r="12" ht="90.0" customHeight="1">
      <c r="A12" s="6" t="s">
        <v>1349</v>
      </c>
      <c r="B12" s="6" t="s">
        <v>1350</v>
      </c>
      <c r="C12" s="6" t="s">
        <v>1351</v>
      </c>
    </row>
    <row r="13" ht="90.0" customHeight="1">
      <c r="A13" s="6" t="s">
        <v>1352</v>
      </c>
      <c r="B13" s="6" t="s">
        <v>1353</v>
      </c>
      <c r="C13" s="6" t="s">
        <v>1354</v>
      </c>
    </row>
    <row r="14" ht="90.0" customHeight="1">
      <c r="A14" s="6" t="s">
        <v>1355</v>
      </c>
      <c r="B14" s="6" t="s">
        <v>1356</v>
      </c>
      <c r="C14" s="6" t="s">
        <v>1357</v>
      </c>
    </row>
    <row r="15" ht="90.0" customHeight="1">
      <c r="A15" s="6" t="s">
        <v>1358</v>
      </c>
      <c r="B15" s="6" t="s">
        <v>1359</v>
      </c>
      <c r="C15" s="6" t="s">
        <v>1360</v>
      </c>
    </row>
    <row r="16" ht="90.0" customHeight="1">
      <c r="A16" s="6" t="s">
        <v>1361</v>
      </c>
      <c r="B16" s="6" t="s">
        <v>1362</v>
      </c>
      <c r="C16" s="6" t="s">
        <v>1363</v>
      </c>
    </row>
    <row r="17" ht="90.0" customHeight="1">
      <c r="A17" s="6" t="s">
        <v>1364</v>
      </c>
      <c r="B17" s="6" t="s">
        <v>1365</v>
      </c>
      <c r="C17" s="6" t="s">
        <v>1366</v>
      </c>
    </row>
    <row r="18" ht="90.0" customHeight="1">
      <c r="A18" s="6" t="s">
        <v>1367</v>
      </c>
      <c r="B18" s="6" t="s">
        <v>1368</v>
      </c>
      <c r="C18" s="6" t="s">
        <v>1369</v>
      </c>
    </row>
    <row r="19" ht="90.0" customHeight="1">
      <c r="A19" s="6" t="s">
        <v>1370</v>
      </c>
      <c r="B19" s="6" t="s">
        <v>1371</v>
      </c>
      <c r="C19" s="6" t="s">
        <v>1372</v>
      </c>
    </row>
    <row r="20" ht="14.25" customHeight="1">
      <c r="A20" s="6"/>
      <c r="B20" s="6"/>
      <c r="C20" s="6"/>
    </row>
    <row r="21" ht="14.25" customHeight="1">
      <c r="A21" s="6"/>
      <c r="B21" s="6"/>
      <c r="C21" s="6"/>
    </row>
    <row r="22" ht="14.25" customHeight="1">
      <c r="A22" s="6"/>
      <c r="B22" s="6"/>
      <c r="C22" s="6"/>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C1"/>
    <mergeCell ref="A2:C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