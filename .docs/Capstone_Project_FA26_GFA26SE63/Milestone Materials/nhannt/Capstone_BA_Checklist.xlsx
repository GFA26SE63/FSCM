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Timeline" sheetId="1" state="visible" r:id="rId3"/>
    <sheet name="2. Nhịp tuần &amp; GVHD" sheetId="2" state="visible" r:id="rId4"/>
    <sheet name="3. Scope" sheetId="3" state="visible" r:id="rId5"/>
    <sheet name="4. Feature List" sheetId="4" state="visible" r:id="rId6"/>
    <sheet name="5. User Stories" sheetId="5" state="visible" r:id="rId7"/>
    <sheet name="6. Deliverables" sheetId="6" state="visible" r:id="rId8"/>
    <sheet name="7. Plan B &amp; Rủi ro"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<sst xmlns="http://schemas.openxmlformats.org/spreadsheetml/2006/main" count="2075" uniqueCount="1114">
  <si>
    <t xml:space="preserve">TIMELINE DỰ ÁN CAPSTONE – HỆ THỐNG QUẢN TRỊ CHUỖI CUNG ỨNG FMCG NGẮN HẠN (FEFO)</t>
  </si>
  <si>
    <t xml:space="preserve">4 tuần chạy sớm (04/08 – 31/08/2026) + 15 tuần chính thức (01/09 – 14/12/2026) → HỘI ĐỒNG  |  Khối xám cuối chỉ dùng nếu KHÔNG ĐẠT Hội đồng lần 1  |  ★ mốc bảo vệ · ⚠ cổng quyết định · 🛡 tuần đệm</t>
  </si>
  <si>
    <t xml:space="preserve">Giai đoạn</t>
  </si>
  <si>
    <t xml:space="preserve">#</t>
  </si>
  <si>
    <t xml:space="preserve">Công việc (Task)</t>
  </si>
  <si>
    <t xml:space="preserve">Bắt đầu</t>
  </si>
  <si>
    <t xml:space="preserve">Kết thúc</t>
  </si>
  <si>
    <t xml:space="preserve">Số ngày</t>
  </si>
  <si>
    <t xml:space="preserve">Phụ trách</t>
  </si>
  <si>
    <t xml:space="preserve">Đầu ra (Deliverable)</t>
  </si>
  <si>
    <t xml:space="preserve">T1</t>
  </si>
  <si>
    <t xml:space="preserve">T2</t>
  </si>
  <si>
    <t xml:space="preserve">T3</t>
  </si>
  <si>
    <t xml:space="preserve">T4</t>
  </si>
  <si>
    <t xml:space="preserve">T5</t>
  </si>
  <si>
    <t xml:space="preserve">T6</t>
  </si>
  <si>
    <t xml:space="preserve">T7</t>
  </si>
  <si>
    <t xml:space="preserve">T8</t>
  </si>
  <si>
    <t xml:space="preserve">T9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</si>
  <si>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</si>
  <si>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</si>
  <si>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</si>
  <si>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</si>
  <si>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</si>
  <si>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</si>
  <si>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</si>
  <si>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</si>
  <si>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</si>
  <si>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</si>
  <si>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</si>
  <si>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</si>
  <si>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</si>
  <si>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</si>
  <si>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CB1</t>
  </si>
  <si>
    <t xml:space="preserve">CB2</t>
  </si>
  <si>
    <t xml:space="preserve">CB3</t>
  </si>
  <si>
    <t xml:space="preserve">CB4</t>
  </si>
  <si>
    <t xml:space="preserve">W1</t>
  </si>
  <si>
    <t xml:space="preserve">W2</t>
  </si>
  <si>
    <t xml:space="preserve">W3</t>
  </si>
  <si>
    <t xml:space="preserve">W4</t>
  </si>
  <si>
    <t xml:space="preserve">W5</t>
  </si>
  <si>
    <t xml:space="preserve">W6</t>
  </si>
  <si>
    <t xml:space="preserve">W7</t>
  </si>
  <si>
    <t xml:space="preserve">W8</t>
  </si>
  <si>
    <t xml:space="preserve">W9</t>
  </si>
  <si>
    <t xml:space="preserve">W10</t>
  </si>
  <si>
    <t xml:space="preserve">W11</t>
  </si>
  <si>
    <t xml:space="preserve">W12</t>
  </si>
  <si>
    <t xml:space="preserve">W13</t>
  </si>
  <si>
    <t xml:space="preserve">W14</t>
  </si>
  <si>
    <t xml:space="preserve">W15</t>
  </si>
  <si>
    <t xml:space="preserve">DP1</t>
  </si>
  <si>
    <t xml:space="preserve">DP2</t>
  </si>
  <si>
    <t xml:space="preserve">DP3</t>
  </si>
  <si>
    <t xml:space="preserve">DP4</t>
  </si>
  <si>
    <t xml:space="preserve">04/08</t>
  </si>
  <si>
    <t xml:space="preserve">11/08</t>
  </si>
  <si>
    <t xml:space="preserve">18/08</t>
  </si>
  <si>
    <t xml:space="preserve">25/08</t>
  </si>
  <si>
    <t xml:space="preserve">01/09</t>
  </si>
  <si>
    <t xml:space="preserve">08/09</t>
  </si>
  <si>
    <t xml:space="preserve">15/09</t>
  </si>
  <si>
    <t xml:space="preserve">22/09</t>
  </si>
  <si>
    <t xml:space="preserve">29/09</t>
  </si>
  <si>
    <t xml:space="preserve">06/10</t>
  </si>
  <si>
    <t xml:space="preserve">13/10</t>
  </si>
  <si>
    <t xml:space="preserve">20/10</t>
  </si>
  <si>
    <t xml:space="preserve">27/10</t>
  </si>
  <si>
    <t xml:space="preserve">03/11</t>
  </si>
  <si>
    <t xml:space="preserve">10/11</t>
  </si>
  <si>
    <t xml:space="preserve">17/11</t>
  </si>
  <si>
    <t xml:space="preserve">24/11</t>
  </si>
  <si>
    <t xml:space="preserve">01/12</t>
  </si>
  <si>
    <t xml:space="preserve">08/12</t>
  </si>
  <si>
    <t xml:space="preserve">15/12</t>
  </si>
  <si>
    <t xml:space="preserve">22/12</t>
  </si>
  <si>
    <t xml:space="preserve">29/12</t>
  </si>
  <si>
    <t xml:space="preserve">05/01</t>
  </si>
  <si>
    <t xml:space="preserve">Nhịp lặp hàng tuần</t>
  </si>
  <si>
    <t xml:space="preserve">Họp nhóm đầu tuần: chốt mục tiêu tuần, chia việc, rà việc tuần trước</t>
  </si>
  <si>
    <t xml:space="preserve">Cả nhóm</t>
  </si>
  <si>
    <t xml:space="preserve">Biên bản họp nhóm (nộp kèm báo cáo)</t>
  </si>
  <si>
    <t xml:space="preserve">Báo cáo tiến độ với GVHD (1 buổi/tuần, đến hết Review 3)</t>
  </si>
  <si>
    <t xml:space="preserve">Phiếu theo dõi tiến độ có xác nhận GVHD</t>
  </si>
  <si>
    <t xml:space="preserve">Code review chéo + merge vào nhánh develop</t>
  </si>
  <si>
    <t xml:space="preserve">Pull Request đã được duyệt</t>
  </si>
  <si>
    <t xml:space="preserve">Ghi Nhật ký tiến độ cá nhân (số giờ + việc đã làm + vướng mắc)</t>
  </si>
  <si>
    <t xml:space="preserve">Từng cá nhân</t>
  </si>
  <si>
    <t xml:space="preserve">Nhật ký tiến độ (phụ lục báo cáo)</t>
  </si>
  <si>
    <t xml:space="preserve">Cập nhật tiến độ &amp; bug trên Azure DevOps, đồng bộ Status về file này</t>
  </si>
  <si>
    <t xml:space="preserve">Board Azure phản ánh đúng thực tế</t>
  </si>
  <si>
    <t xml:space="preserve">Viết dần Báo cáo đồ án – mỗi tuần chốt 1 mục nhỏ</t>
  </si>
  <si>
    <t xml:space="preserve">Chương/mục báo cáo tăng dần</t>
  </si>
  <si>
    <t xml:space="preserve">GĐ 0: Chạy sớm (T1-T4 · CB1-CB4)</t>
  </si>
  <si>
    <t xml:space="preserve">Kick-off: thống nhất mục tiêu, quy tắc làm việc, phân công Role</t>
  </si>
  <si>
    <t xml:space="preserve">Team Charter, bảng phân công</t>
  </si>
  <si>
    <t xml:space="preserve">Nghiên cứu domain FMCG ngắn hạn, khảo sát pain point SME</t>
  </si>
  <si>
    <t xml:space="preserve">Nhân, Khiết</t>
  </si>
  <si>
    <t xml:space="preserve">Domain Research Note</t>
  </si>
  <si>
    <t xml:space="preserve">Dựng thử (spike) 3 kỹ thuật rủi ro cao: EF Core RowVersion, sqflite Queue, Redis</t>
  </si>
  <si>
    <t xml:space="preserve">Nhân, Sơn, Khiết</t>
  </si>
  <si>
    <t xml:space="preserve">Repo thử nghiệm + kết luận khả thi</t>
  </si>
  <si>
    <t xml:space="preserve">Bản nháp Scope &amp; bảng MoSCoW</t>
  </si>
  <si>
    <t xml:space="preserve">Scope draft</t>
  </si>
  <si>
    <t xml:space="preserve">Bản nháp BA Document: Business Process, Use Case</t>
  </si>
  <si>
    <t xml:space="preserve">Khiết, Hải</t>
  </si>
  <si>
    <t xml:space="preserve">BA draft</t>
  </si>
  <si>
    <t xml:space="preserve">Bản nháp ERD &amp; sơ đồ kiến trúc</t>
  </si>
  <si>
    <t xml:space="preserve">Nhân</t>
  </si>
  <si>
    <t xml:space="preserve">ERD draft + Architecture draft</t>
  </si>
  <si>
    <t xml:space="preserve">Setup base code: .NET Solution chia project theo module, repo, branch strategy, CI</t>
  </si>
  <si>
    <t xml:space="preserve">Nhân, Sơn</t>
  </si>
  <si>
    <t xml:space="preserve">Solution build được, API hello world chạy</t>
  </si>
  <si>
    <t xml:space="preserve">Wireframe/Mockup Admin Portal &amp; Mobile App</t>
  </si>
  <si>
    <t xml:space="preserve">Hải, Hoàng</t>
  </si>
  <si>
    <t xml:space="preserve">Figma / Wireframe</t>
  </si>
  <si>
    <t xml:space="preserve">Thiết lập project trên Azure DevOps: Board, Area Path theo phân hệ, Iteration theo tuần</t>
  </si>
  <si>
    <t xml:space="preserve">Sơn</t>
  </si>
  <si>
    <t xml:space="preserve">Board sẵn sàng nhận Work Item</t>
  </si>
  <si>
    <t xml:space="preserve">🛡 Đệm GĐ 0: bù trễ phần chạy sớm, không xếp việc mới</t>
  </si>
  <si>
    <t xml:space="preserve">Vào giai đoạn chính thức không nợ việc</t>
  </si>
  <si>
    <t xml:space="preserve">GĐ 1: Chốt thiết kế &amp; Review 1 (CT W1-W3)</t>
  </si>
  <si>
    <t xml:space="preserve">Chốt chính thức Scope &amp; MVP theo MoSCoW</t>
  </si>
  <si>
    <t xml:space="preserve">Scope Statement bản chốt</t>
  </si>
  <si>
    <t xml:space="preserve">Hoàn thiện Sơ đồ hệ thống (Modular Monolith + Clean Architecture)</t>
  </si>
  <si>
    <t xml:space="preserve">Architecture Diagram</t>
  </si>
  <si>
    <t xml:space="preserve">Hoàn thiện ERD &amp; Data Dictionary (Batch/Lot-centric)</t>
  </si>
  <si>
    <t xml:space="preserve">ERD + Data Dictionary</t>
  </si>
  <si>
    <t xml:space="preserve">Hoàn thiện base code + convention commit/branch/CI</t>
  </si>
  <si>
    <t xml:space="preserve">Repo sẵn sàng code tính năng</t>
  </si>
  <si>
    <t xml:space="preserve">Hoàn thiện BA Document v1.0</t>
  </si>
  <si>
    <t xml:space="preserve">BA Document v1.0</t>
  </si>
  <si>
    <t xml:space="preserve">Đặc tả API (OpenAPI/Swagger) cho 4 phân hệ A-B-C-D</t>
  </si>
  <si>
    <t xml:space="preserve">API Spec</t>
  </si>
  <si>
    <t xml:space="preserve">Dựng DB Schema + EF Core Migration trên Azure SQL</t>
  </si>
  <si>
    <t xml:space="preserve">Migration chạy được từ DB rỗng</t>
  </si>
  <si>
    <t xml:space="preserve">🛡 Đệm GĐ 1: chỉnh tài liệu theo góp ý GVHD, không xếp việc mới</t>
  </si>
  <si>
    <t xml:space="preserve">Tài liệu bản chỉnh sửa</t>
  </si>
  <si>
    <t xml:space="preserve">★ REVIEW 1 (CT tuần 3) – Chốt Scope, MVP, Sơ đồ hệ thống, Code base, Phân công Role</t>
  </si>
  <si>
    <t xml:space="preserve">Slide Review 1</t>
  </si>
  <si>
    <t xml:space="preserve">GĐ 2: Core Must-Have (CT W4-W8)</t>
  </si>
  <si>
    <t xml:space="preserve">Auth &amp; RBAC: JWT, middleware phân quyền theo Role</t>
  </si>
  <si>
    <t xml:space="preserve">Khiết</t>
  </si>
  <si>
    <t xml:space="preserve">API Auth + test phân quyền</t>
  </si>
  <si>
    <t xml:space="preserve">Module PIM: CRUD Sản phẩm/SKU, NCC, Kho, Khách hàng</t>
  </si>
  <si>
    <t xml:space="preserve">API PIM</t>
  </si>
  <si>
    <t xml:space="preserve">Admin Portal: layout, auth, màn Phiếu nhập, Tồn kho theo lô, Duyệt đơn</t>
  </si>
  <si>
    <t xml:space="preserve">Hải</t>
  </si>
  <si>
    <t xml:space="preserve">Web UI chạy được</t>
  </si>
  <si>
    <t xml:space="preserve">Mobile App: navigation, auth, đồng bộ master data, luồng lên đơn</t>
  </si>
  <si>
    <t xml:space="preserve">Hoàng</t>
  </si>
  <si>
    <t xml:space="preserve">Mobile UI chạy được</t>
  </si>
  <si>
    <t xml:space="preserve">A1. API Duyệt Phiếu Nhập Kho (Goods Receipt) + đối chiếu số lượng</t>
  </si>
  <si>
    <t xml:space="preserve">API + Unit test</t>
  </si>
  <si>
    <t xml:space="preserve">A2. Auto-gen Batch ID [SKU]-[YYMMDD] + ràng buộc bắt buộc EXP Date</t>
  </si>
  <si>
    <t xml:space="preserve">Hàm sinh mã + validation</t>
  </si>
  <si>
    <t xml:space="preserve">A2. Cronjob Date-tracker: Bình thường → Cận date → Hết hạn (khóa lô)</t>
  </si>
  <si>
    <t xml:space="preserve">Task Scheduler + test case</t>
  </si>
  <si>
    <t xml:space="preserve">B1. Order Lifecycle State Machine + Audit trail (Actor ID, Timestamp)</t>
  </si>
  <si>
    <t xml:space="preserve">API chuyển trạng thái</t>
  </si>
  <si>
    <t xml:space="preserve">B2. Thuật toán FEFO: trừ dồn tồn kho đa Lô theo EXP tăng dần</t>
  </si>
  <si>
    <t xml:space="preserve">Core algorithm + Unit test</t>
  </si>
  <si>
    <t xml:space="preserve">C1. Local sqflite cache Master Data + bảng OfflineQueue</t>
  </si>
  <si>
    <t xml:space="preserve">Local DB module</t>
  </si>
  <si>
    <t xml:space="preserve">⚠ CỔNG QUYẾT ĐỊNH 1 (CT tuần 7): FEFO trừ dồn đã chạy đúng chưa? Nếu chưa → Plan B mức 1</t>
  </si>
  <si>
    <t xml:space="preserve">Quyết định ghi vào Change Log</t>
  </si>
  <si>
    <t xml:space="preserve">B2. Optimistic Locking (RowVersion của EF Core) + fallback sang lô kế tiếp</t>
  </si>
  <si>
    <t xml:space="preserve">Concurrency test</t>
  </si>
  <si>
    <t xml:space="preserve">C1. Network Interceptor + Background Worker flush queue, xử lý conflict</t>
  </si>
  <si>
    <t xml:space="preserve">Sync engine</t>
  </si>
  <si>
    <t xml:space="preserve">Unit test + Integration test toàn bộ luồng Must Have</t>
  </si>
  <si>
    <t xml:space="preserve">Test report</t>
  </si>
  <si>
    <t xml:space="preserve">🛡 Đệm GĐ 2: bù trễ phần rủi ro cao nhất (FEFO + Concurrency + O2O)</t>
  </si>
  <si>
    <t xml:space="preserve">Core ổn định trước Review 2</t>
  </si>
  <si>
    <t xml:space="preserve">★ REVIEW 2 (CT tuần 8) – Thiết kế hệ thống &amp; Code base Core</t>
  </si>
  <si>
    <t xml:space="preserve">Slide + Demo Core</t>
  </si>
  <si>
    <t xml:space="preserve">GĐ 3: Nice-to-have &amp; Kiểm thử (CT W9-W11)</t>
  </si>
  <si>
    <t xml:space="preserve">⚠ CỔNG QUYẾT ĐỊNH 2 (CT tuần 9): chốt Nice-to-have THỰC SỰ làm, chính thức bỏ phần còn lại</t>
  </si>
  <si>
    <t xml:space="preserve">Danh sách chốt + giải trình</t>
  </si>
  <si>
    <t xml:space="preserve">B3. API thống kê (Group By/Sum/Join) + Dashboard tồn kho theo Lô</t>
  </si>
  <si>
    <t xml:space="preserve">Hải, Khiết</t>
  </si>
  <si>
    <t xml:space="preserve">Dashboard + biểu đồ</t>
  </si>
  <si>
    <t xml:space="preserve">C2. Xác nhận giao hàng: chụp POD, nén ảnh, upload Cloud Storage</t>
  </si>
  <si>
    <t xml:space="preserve">Luồng POD khép kín</t>
  </si>
  <si>
    <t xml:space="preserve">D1. Promotion Engine: Docker Redis, Rule JSON Parser, API calculate-cart</t>
  </si>
  <si>
    <t xml:space="preserve">API &lt; 100ms</t>
  </si>
  <si>
    <t xml:space="preserve">A3. AI Dịch thuật nhãn phụ: OCR + LLM → JSON thành phần</t>
  </si>
  <si>
    <t xml:space="preserve">Module AI + form duyệt</t>
  </si>
  <si>
    <t xml:space="preserve">C3. AI Chấm điểm trưng bày: Computer Vision, tính Share of Shelf</t>
  </si>
  <si>
    <t xml:space="preserve">Hoàng, Sơn</t>
  </si>
  <si>
    <t xml:space="preserve">API SoS + màn hình KPI</t>
  </si>
  <si>
    <t xml:space="preserve">Load test JMeter/K6: 100 request đồng thời vào cùng 1 lô hàng</t>
  </si>
  <si>
    <t xml:space="preserve">Performance report</t>
  </si>
  <si>
    <t xml:space="preserve">Regression test toàn hệ thống + fix bug đợt 1</t>
  </si>
  <si>
    <t xml:space="preserve">Bug log trên Azure đã phân loại</t>
  </si>
  <si>
    <t xml:space="preserve">🛡 Đệm GĐ 3: đóng bug chặn, không ghép thêm tính năng mới</t>
  </si>
  <si>
    <t xml:space="preserve">Hệ thống ổn định để bảo vệ thử</t>
  </si>
  <si>
    <t xml:space="preserve">★ REVIEW 3 (CT tuần 11) – Bảo vệ thử (từ đây nhóm tự chủ, không còn mentor quản lý)</t>
  </si>
  <si>
    <t xml:space="preserve">Slide + Demo full</t>
  </si>
  <si>
    <t xml:space="preserve">GĐ 4: Hoàn thiện &amp; Hội đồng (CT W12-W15)</t>
  </si>
  <si>
    <t xml:space="preserve">Phân loại &amp; xử lý feedback từ Review 3</t>
  </si>
  <si>
    <t xml:space="preserve">Action list đã đóng</t>
  </si>
  <si>
    <t xml:space="preserve">Tối ưu performance: index DB, xử lý N+1 query, caching</t>
  </si>
  <si>
    <t xml:space="preserve">Benchmark trước/sau</t>
  </si>
  <si>
    <t xml:space="preserve">Hoàn thiện UI/UX: responsive, empty state, error state, loading</t>
  </si>
  <si>
    <t xml:space="preserve">UI polish</t>
  </si>
  <si>
    <t xml:space="preserve">Hoàn tất Báo cáo đồ án (Thesis) + Tài liệu hướng dẫn sử dụng</t>
  </si>
  <si>
    <t xml:space="preserve">Báo cáo + HDSD</t>
  </si>
  <si>
    <t xml:space="preserve">Seed dữ liệu demo thực tế + xây kịch bản demo end-to-end</t>
  </si>
  <si>
    <t xml:space="preserve">Demo script + seed data</t>
  </si>
  <si>
    <t xml:space="preserve">Deploy lên Azure App Service + Azure SQL, viết Deployment Guide</t>
  </si>
  <si>
    <t xml:space="preserve">URL demo chạy 24/7 + APK Flutter</t>
  </si>
  <si>
    <t xml:space="preserve">Làm slide bảo vệ + dry-run tối thiểu 3 lượt, chuẩn bị Q&amp;A</t>
  </si>
  <si>
    <t xml:space="preserve">Slide + Q&amp;A bank</t>
  </si>
  <si>
    <t xml:space="preserve">🛡 Đệm trước Hội đồng: ĐÓNG BĂNG tính năng, chỉ fix bug &amp; luyện trình bày</t>
  </si>
  <si>
    <t xml:space="preserve">Không còn commit tính năng mới</t>
  </si>
  <si>
    <t xml:space="preserve">★ HỘI ĐỒNG – BẢO VỆ CHÍNH THỨC (CT tuần 15)</t>
  </si>
  <si>
    <t xml:space="preserve">Biên bản hội đồng</t>
  </si>
  <si>
    <t xml:space="preserve">DỰ PHÒNG – chỉ khi KHÔNG ĐẠT Hội đồng lần 1</t>
  </si>
  <si>
    <t xml:space="preserve">Tổng hợp &amp; phân loại feedback hội đồng theo mức ưu tiên</t>
  </si>
  <si>
    <t xml:space="preserve">Feedback matrix</t>
  </si>
  <si>
    <t xml:space="preserve">Fix bug + bổ sung tính năng theo yêu cầu hội đồng</t>
  </si>
  <si>
    <t xml:space="preserve">Release v2.0</t>
  </si>
  <si>
    <t xml:space="preserve">Cập nhật Báo cáo &amp; Slide theo góp ý hội đồng</t>
  </si>
  <si>
    <t xml:space="preserve">Báo cáo v2.0 có changelog</t>
  </si>
  <si>
    <t xml:space="preserve">Kiểm thử hồi quy lần cuối + dry-run + video demo dự phòng</t>
  </si>
  <si>
    <t xml:space="preserve">Final test report</t>
  </si>
  <si>
    <t xml:space="preserve">★ HỘI ĐỒNG LẦN 2 – CHỈ diễn ra nếu KHÔNG ĐẠT lần 1 (điểm ≈ 80% điểm thực tế)</t>
  </si>
  <si>
    <t xml:space="preserve">Điểm chốt</t>
  </si>
  <si>
    <t xml:space="preserve">TỔNG SỐ ĐẦU VIỆC</t>
  </si>
  <si>
    <t xml:space="preserve">SỐ MỐC BẢO VỆ (★)</t>
  </si>
  <si>
    <t xml:space="preserve">CÁCH ĐỌC CỘT TUẦN</t>
  </si>
  <si>
    <t xml:space="preserve">Hàng T1…T23</t>
  </si>
  <si>
    <t xml:space="preserve">Tuần tính từ hôm nay (T1 = tuần 04/08/2026).</t>
  </si>
  <si>
    <t xml:space="preserve">Hàng CB1–CB4 (xanh nhạt)</t>
  </si>
  <si>
    <t xml:space="preserve">4 tuần CHẠY SỚM, trước khi đồng hồ chính thức bắt đầu. Đây là lợi thế nhóm tự tạo ra.</t>
  </si>
  <si>
    <t xml:space="preserve">Hàng W1–W15 (vàng)</t>
  </si>
  <si>
    <t xml:space="preserve">15 tuần CHÍNH THỨC của đồ án, bắt đầu 01/09/2026 và kết thúc bằng buổi Hội đồng.</t>
  </si>
  <si>
    <t xml:space="preserve">Hàng DP1–DP4 (xám)</t>
  </si>
  <si>
    <t xml:space="preserve">4 tuần dự phòng. CHỈ dùng nếu không đạt Hội đồng lần 1 — không nằm trong kế hoạch chính.</t>
  </si>
  <si>
    <t xml:space="preserve">CHÚ GIẢI MỐC BẢO VỆ</t>
  </si>
  <si>
    <t xml:space="preserve">Review 1 · CT tuần 3 · T7 (15–21/09/2026)</t>
  </si>
  <si>
    <t xml:space="preserve">Chốt Scope &amp; MVP · Sơ đồ hệ thống + loại mô hình kiến trúc · Code base · Phân công công việc và Role</t>
  </si>
  <si>
    <t xml:space="preserve">Review 2 · CT tuần 8 · T12 (20–26/10/2026)</t>
  </si>
  <si>
    <t xml:space="preserve">Thiết kế hệ thống chi tiết: ERD, API Spec, Architecture, demo Core FEFO đang chạy</t>
  </si>
  <si>
    <t xml:space="preserve">Review 3 · CT tuần 11 · T15 (10–16/11/2026)</t>
  </si>
  <si>
    <t xml:space="preserve">Bảo vệ thử: trình bày phần đã và đang triển khai. Từ mốc này nhóm tự chủ, không còn mentor quản lý</t>
  </si>
  <si>
    <t xml:space="preserve">HỘI ĐỒNG · CT tuần 15 · T19 (08–14/12/2026)</t>
  </si>
  <si>
    <t xml:space="preserve">Bảo vệ chính thức. Đây là mốc kết thúc của kế hoạch — mọi thứ phải hoàn tất trước ngày này.</t>
  </si>
  <si>
    <t xml:space="preserve">Hội đồng lần 2 · T23 (≈ 05–11/01/2027)</t>
  </si>
  <si>
    <t xml:space="preserve">CHỈ diễn ra nếu KHÔNG ĐẠT lần 1. Cách lần 1 khoảng 1 tháng. Điểm đạt ≈ 80% điểm thực tế.</t>
  </si>
  <si>
    <t xml:space="preserve">CHÚ GIẢI KÝ HIỆU DÒNG</t>
  </si>
  <si>
    <t xml:space="preserve">★ Mốc bảo vệ (nền đỏ nhạt)</t>
  </si>
  <si>
    <t xml:space="preserve">Ngày cố định, không được dời. Mọi việc phải xong TRƯỚC ngày này.</t>
  </si>
  <si>
    <t xml:space="preserve">⚠ Cổng quyết định (nền vàng)</t>
  </si>
  <si>
    <t xml:space="preserve">Điểm dừng để nhóm tự đánh giá: đủ tiến độ thì đi tiếp, không đủ thì cắt scope theo sheet '7. Plan B &amp; Rủi ro'.</t>
  </si>
  <si>
    <t xml:space="preserve">🛡 Tuần đệm dự phòng (nền vàng nhạt)</t>
  </si>
  <si>
    <t xml:space="preserve">Thời gian CỐ TÌNH để trống. Không xếp việc mới vào đây — dùng để bù trễ và luyện trình bày.</t>
  </si>
  <si>
    <t xml:space="preserve">Nhịp lặp hàng tuần (nền xám)</t>
  </si>
  <si>
    <t xml:space="preserve">Việc lặp lại mỗi tuần suốt đồ án. Đây là phần tạo ra hồ sơ minh chứng nộp kèm báo cáo.</t>
  </si>
  <si>
    <t xml:space="preserve">NĂNG LỰC NHÓM (giả định)</t>
  </si>
  <si>
    <t xml:space="preserve">5 thành viên × 25 giờ/tuần ≈ 125 giờ/tuần. Tổng 19 tuần tới Hội đồng ≈ 2.375 giờ, trong đó 500 giờ đến từ 4 tuần chạy sớm.</t>
  </si>
  <si>
    <t xml:space="preserve">CÔNG CỤ THEO DÕI</t>
  </si>
  <si>
    <t xml:space="preserve">Tiến độ task và bug được quản lý trên Azure DevOps. File này là bản kế hoạch gốc — mỗi tuần đồng bộ Status về đây để đối chiếu.</t>
  </si>
  <si>
    <t xml:space="preserve">NHỊP LÀM VIỆC THEO TUẦN &amp; LỊCH BÁO CÁO GIẢNG VIÊN HƯỚNG DẪN</t>
  </si>
  <si>
    <t xml:space="preserve">CB1-CB4 = 4 tuần chạy sớm · W1-W15 = 15 tuần chính thức tới Hội đồng · DP1-DP4 = dự phòng chỉ khi không đạt lần 1.  Mỗi tuần đều phải có đầu ra nhìn thấy được — hết tuần không có đầu ra thì coi như trễ.</t>
  </si>
  <si>
    <t xml:space="preserve">QUY ƯỚC NHỊP TUẦN (áp dụng suốt 19 tuần tới Hội đồng)</t>
  </si>
  <si>
    <t xml:space="preserve">Thứ 2 – Họp nhóm đầu tuần (60–90 phút)</t>
  </si>
  <si>
    <t xml:space="preserve">Rà việc tuần trước, chốt mục tiêu tuần này, chia việc rõ chủ sở hữu. Ra Biên bản họp nhóm.</t>
  </si>
  <si>
    <t xml:space="preserve">Trong tuần – Làm việc &amp; review chéo</t>
  </si>
  <si>
    <t xml:space="preserve">Mỗi Pull Request phải có ít nhất 1 người khác duyệt trước khi merge vào develop.</t>
  </si>
  <si>
    <t xml:space="preserve">Thứ 6 – Báo cáo GVHD (đến hết Review 3 / T15)</t>
  </si>
  <si>
    <t xml:space="preserve">Trình bày đầu ra tuần, nêu vướng mắc, xin định hướng. Ghi vào Phiếu theo dõi tiến độ.</t>
  </si>
  <si>
    <t xml:space="preserve">Chủ nhật – Cập nhật hồ sơ</t>
  </si>
  <si>
    <t xml:space="preserve">Ghi Nhật ký tiến độ cá nhân. Cập nhật task &amp; bug trên Azure DevOps, đồng bộ Status về sheet 4 và 5.</t>
  </si>
  <si>
    <t xml:space="preserve">Từ sau Review 3 (T16) – Nhóm tự chủ</t>
  </si>
  <si>
    <t xml:space="preserve">Không còn mentor quản lý. Giữ nguyên nhịp họp nội bộ, tự đóng vai người phản biện cho nhau.</t>
  </si>
  <si>
    <t xml:space="preserve">Tuần
(từ nay)</t>
  </si>
  <si>
    <t xml:space="preserve">Tuần
chính thức</t>
  </si>
  <si>
    <t xml:space="preserve">Từ ngày</t>
  </si>
  <si>
    <t xml:space="preserve">Đến ngày</t>
  </si>
  <si>
    <t xml:space="preserve">Mục tiêu tuần (chốt trong buổi họp thứ 2)</t>
  </si>
  <si>
    <t xml:space="preserve">Nội dung báo cáo GVHD cuối tuần</t>
  </si>
  <si>
    <t xml:space="preserve">Đầu ra bắt buộc có cuối tuần</t>
  </si>
  <si>
    <t xml:space="preserve">Mốc / Cổng</t>
  </si>
  <si>
    <t xml:space="preserve">Trạng thái</t>
  </si>
  <si>
    <t xml:space="preserve">Ghi chú thực tế (tự điền)</t>
  </si>
  <si>
    <t xml:space="preserve">Kick-off và hiểu đúng bài toán</t>
  </si>
  <si>
    <t xml:space="preserve">Trình bày hướng đề tài và lý do chọn FEFO; xin GVHD xác nhận hướng đi phù hợp</t>
  </si>
  <si>
    <t xml:space="preserve">Team Charter, bảng phân công Role, Domain Research Note</t>
  </si>
  <si>
    <t xml:space="preserve">Chưa tới</t>
  </si>
  <si>
    <t xml:space="preserve">Nghiên cứu domain sâu + bắt đầu dựng thử kỹ thuật rủi ro cao</t>
  </si>
  <si>
    <t xml:space="preserve">Báo cáo kết quả khảo sát pain point SME, đề xuất scope sơ bộ</t>
  </si>
  <si>
    <t xml:space="preserve">Bản nháp Scope &amp; MoSCoW, repo spike đầu tiên</t>
  </si>
  <si>
    <t xml:space="preserve">Kết luận spike 3 kỹ thuật khó, dựng base code và board Azure</t>
  </si>
  <si>
    <t xml:space="preserve">Trình kết luận khả thi: EF Core RowVersion, sqflite Queue, Redis</t>
  </si>
  <si>
    <t xml:space="preserve">Kết luận spike, repo base code, Azure Board sẵn sàng</t>
  </si>
  <si>
    <t xml:space="preserve">Hoàn tất bản nháp tài liệu &amp; wireframe trước khi vào đồng hồ chính thức</t>
  </si>
  <si>
    <t xml:space="preserve">Xin góp ý bản nháp BA Document và ERD</t>
  </si>
  <si>
    <t xml:space="preserve">Bản nháp BA, ERD, sơ đồ kiến trúc, wireframe Web + Mobile</t>
  </si>
  <si>
    <t xml:space="preserve">Chốt chính thức Scope, kiến trúc và ERD</t>
  </si>
  <si>
    <t xml:space="preserve">Trình Scope Statement và Architecture Diagram để GVHD duyệt</t>
  </si>
  <si>
    <t xml:space="preserve">Scope Statement bản chốt, Architecture, ERD + Data Dictionary</t>
  </si>
  <si>
    <t xml:space="preserve">Hoàn thiện API Spec, base code sẵn sàng code tính năng</t>
  </si>
  <si>
    <t xml:space="preserve">Duyệt API Spec, thảo luận ranh giới giữa các module</t>
  </si>
  <si>
    <t xml:space="preserve">API Spec, repo có convention + CI chạy pass</t>
  </si>
  <si>
    <t xml:space="preserve">Hoàn tất BA Document và bảo vệ Review 1</t>
  </si>
  <si>
    <t xml:space="preserve">Duyệt lần cuối slide Review 1, tập trả lời câu hỏi về lựa chọn Modular Monolith</t>
  </si>
  <si>
    <t xml:space="preserve">BA Doc v1.0, DB Schema + Migration, Slide R1</t>
  </si>
  <si>
    <t xml:space="preserve">★ REVIEW 1</t>
  </si>
  <si>
    <t xml:space="preserve">Xong Auth, RBAC và khung của cả Web lẫn Mobile</t>
  </si>
  <si>
    <t xml:space="preserve">Báo cáo schema đã dựng, xin phản biện về mô hình dữ liệu Batch/Lot</t>
  </si>
  <si>
    <t xml:space="preserve">Auth + RBAC chạy, Web và Mobile đăng nhập được</t>
  </si>
  <si>
    <t xml:space="preserve">Xong danh mục PIM, bắt đầu luồng nhập kho</t>
  </si>
  <si>
    <t xml:space="preserve">Demo CRUD danh mục, thảo luận ràng buộc bắt buộc nhập EXP Date</t>
  </si>
  <si>
    <t xml:space="preserve">API PIM đầy đủ, API phiếu nhập bản đầu tiên</t>
  </si>
  <si>
    <t xml:space="preserve">Chốt Batch/Lot + Cronjob, khởi động State Machine và cache offline</t>
  </si>
  <si>
    <t xml:space="preserve">Demo sinh Batch ID tự động và cronjob khóa lô hết hạn</t>
  </si>
  <si>
    <t xml:space="preserve">A1 và A2 đạt Definition of Done, sqflite cache bản đầu</t>
  </si>
  <si>
    <t xml:space="preserve">Ra được FEFO trừ dồn đa lô chạy đúng — tuần quan trọng nhất của đồ án</t>
  </si>
  <si>
    <t xml:space="preserve">Trình bày thuật toán trừ dồn, xin GVHD phản biện các trường hợp biên</t>
  </si>
  <si>
    <t xml:space="preserve">FEFO trừ dồn đúng qua nhiều lô, Order Lifecycle chuyển trạng thái được</t>
  </si>
  <si>
    <t xml:space="preserve">⚠ CỔNG QĐ 1</t>
  </si>
  <si>
    <t xml:space="preserve">Xong Optimistic Locking và đồng bộ offline, bảo vệ Review 2</t>
  </si>
  <si>
    <t xml:space="preserve">Duyệt slide Review 2, tập demo kịch bản 2 request đồng thời</t>
  </si>
  <si>
    <t xml:space="preserve">Concurrency test pass, O2O sync chạy, Test report, Slide R2</t>
  </si>
  <si>
    <t xml:space="preserve">★ REVIEW 2</t>
  </si>
  <si>
    <t xml:space="preserve">Khởi động các tính năng mở rộng đã được chốt lại</t>
  </si>
  <si>
    <t xml:space="preserve">Trình bày kết quả Review 2 và danh sách Nice-to-have thực sự sẽ làm</t>
  </si>
  <si>
    <t xml:space="preserve">Dashboard bản đầu, Promotion Engine trên Redis, luồng POD</t>
  </si>
  <si>
    <t xml:space="preserve">⚠ CỔNG QĐ 2</t>
  </si>
  <si>
    <t xml:space="preserve">Hoàn thiện tính năng mở rộng và bắt đầu đo hiệu năng</t>
  </si>
  <si>
    <t xml:space="preserve">Báo cáo kết quả load test sơ bộ và cách xử lý điểm nghẽn</t>
  </si>
  <si>
    <t xml:space="preserve">Dashboard xong, API calculate-cart dưới 100ms, báo cáo JMeter bản nháp</t>
  </si>
  <si>
    <t xml:space="preserve">Ổn định toàn hệ thống và bảo vệ thử</t>
  </si>
  <si>
    <t xml:space="preserve">Buổi tổng duyệt cuối cùng có GVHD tham gia trước khi nhóm tự chủ</t>
  </si>
  <si>
    <t xml:space="preserve">Regression report, bug log trên Azure đã phân loại, Slide R3, demo full</t>
  </si>
  <si>
    <t xml:space="preserve">★ REVIEW 3</t>
  </si>
  <si>
    <t xml:space="preserve">Xử lý triệt để feedback Review 3 và tăng tốc viết báo cáo</t>
  </si>
  <si>
    <t xml:space="preserve">(Nhóm tự chủ) Có thể xin GVHD đọc giúp phần mở đầu báo cáo</t>
  </si>
  <si>
    <t xml:space="preserve">Action list đã đóng, chương 1–2 của báo cáo</t>
  </si>
  <si>
    <t xml:space="preserve">Tối ưu hiệu năng và dựng môi trường demo ổn định</t>
  </si>
  <si>
    <t xml:space="preserve">(Nhóm tự chủ) Nhóm tự phản biện chéo theo vai hội đồng</t>
  </si>
  <si>
    <t xml:space="preserve">Benchmark trước/sau, seed data, URL demo chạy 24/7</t>
  </si>
  <si>
    <t xml:space="preserve">Hoàn tất báo cáo và tài liệu, dry-run lần 1</t>
  </si>
  <si>
    <t xml:space="preserve">(Nhóm tự chủ) Xin GVHD đọc bản nháp báo cáo đầy đủ nếu còn thời gian</t>
  </si>
  <si>
    <t xml:space="preserve">Báo cáo bản đầy đủ, HDSD, Deployment Guide, dry-run lần 1</t>
  </si>
  <si>
    <t xml:space="preserve">Dry-run lần 2–3 và BẢO VỆ HỘI ĐỒNG</t>
  </si>
  <si>
    <t xml:space="preserve">(Nhóm tự chủ) Chốt phân vai trình bày và canh thời gian</t>
  </si>
  <si>
    <t xml:space="preserve">Slide chính thức, Q&amp;A bank 20 câu, biên bản hội đồng</t>
  </si>
  <si>
    <t xml:space="preserve">★ HỘI ĐỒNG</t>
  </si>
  <si>
    <t xml:space="preserve">[Dự phòng] Phân loại feedback hội đồng và lên kế hoạch sửa</t>
  </si>
  <si>
    <t xml:space="preserve">(Chỉ khi không đạt lần 1) Xin GVHD tư vấn phần nào nên ưu tiên sửa</t>
  </si>
  <si>
    <t xml:space="preserve">Feedback matrix có phân mức ưu tiên và người chịu trách nhiệm</t>
  </si>
  <si>
    <t xml:space="preserve">DỰ PHÒNG</t>
  </si>
  <si>
    <t xml:space="preserve">Không áp dụng</t>
  </si>
  <si>
    <t xml:space="preserve">[Dự phòng] Sửa lỗi và bổ sung tính năng theo yêu cầu hội đồng</t>
  </si>
  <si>
    <t xml:space="preserve">(Chỉ khi không đạt lần 1)</t>
  </si>
  <si>
    <t xml:space="preserve">Đóng toàn bộ bug mức Critical/High trên Azure</t>
  </si>
  <si>
    <t xml:space="preserve">[Dự phòng] Hoàn tất sửa chữa và cập nhật báo cáo, slide</t>
  </si>
  <si>
    <t xml:space="preserve">Release v2.0, Báo cáo v2.0 có changelog phần đã sửa</t>
  </si>
  <si>
    <t xml:space="preserve">[Dự phòng] Kiểm thử hồi quy, dry-run và HỘI ĐỒNG LẦN 2</t>
  </si>
  <si>
    <t xml:space="preserve">Final test report, Slide v2, video demo dự phòng</t>
  </si>
  <si>
    <t xml:space="preserve">★ HỘI ĐỒNG 2</t>
  </si>
  <si>
    <t xml:space="preserve">Số tuần đã hoàn thành</t>
  </si>
  <si>
    <t xml:space="preserve">Số tuần bị trễ đầu ra</t>
  </si>
  <si>
    <t xml:space="preserve">Cảnh báo: 2 tuần Trễ liên tiếp → bắt buộc mở sheet '7. Plan B &amp; Rủi ro'</t>
  </si>
  <si>
    <t xml:space="preserve">SCOPE DỰ ÁN (PROJECT SCOPE STATEMENT)</t>
  </si>
  <si>
    <t xml:space="preserve">Chốt tại Review 1 – Tuần 3. Mọi thay đổi sau mốc này phải qua Change Request và được cả nhóm đồng thuận.</t>
  </si>
  <si>
    <t xml:space="preserve">1. THÔNG TIN CHUNG</t>
  </si>
  <si>
    <t xml:space="preserve">Tên dự án</t>
  </si>
  <si>
    <t xml:space="preserve">Hệ thống Quản trị &amp; Điều phối Chuỗi Cung ứng FMCG Ngắn hạn (Tối ưu hóa FEFO)</t>
  </si>
  <si>
    <t xml:space="preserve">Phân khúc hàng</t>
  </si>
  <si>
    <t xml:space="preserve">Hàng tiêu dùng nhanh có hạn sử dụng ngắn 10–45 ngày: Bánh tươi, Sữa, Đồ mát</t>
  </si>
  <si>
    <t xml:space="preserve">Khách hàng mục tiêu</t>
  </si>
  <si>
    <t xml:space="preserve">Nhà phân phối / Đại lý FMCG vừa và nhỏ (SMEs)</t>
  </si>
  <si>
    <t xml:space="preserve">Thời lượng</t>
  </si>
  <si>
    <t xml:space="preserve">4 tuần chạy sớm (04/08 – 31/08/2026) + 15 tuần chính thức (01/09 – 14/12/2026), kết thúc bằng buổi bảo vệ Hội đồng</t>
  </si>
  <si>
    <t xml:space="preserve">Quy mô nhóm</t>
  </si>
  <si>
    <t xml:space="preserve">5 thành viên: Nhân (Backend Core), Khiết (Backend Integration), Hải (Backend + Admin Portal), Hoàng (Mobile App), Sơn (Mobile O2O + hỗ trợ Web)</t>
  </si>
  <si>
    <t xml:space="preserve">Kiến trúc</t>
  </si>
  <si>
    <t xml:space="preserve">Modular Monolith theo Clean Architecture (ưu tiên ACID cho nghiệp vụ kho, tránh sa lầy DevOps của Microservices)</t>
  </si>
  <si>
    <t xml:space="preserve">Công nghệ đã chốt</t>
  </si>
  <si>
    <t xml:space="preserve">Backend &amp; Web Portal: .NET 8 / ASP.NET Core + EF Core · Database: Azure SQL · Mobile: Flutter + sqflite · Cache: Redis · AI: Cloud AI API</t>
  </si>
  <si>
    <t xml:space="preserve">Thành phần hệ thống</t>
  </si>
  <si>
    <t xml:space="preserve">API/Entry Layer + 5 module nghiệp vụ (Kho &amp; PIM, Order, Identity, Promotion, AI Wrapper) + Internal Event Bus. Module không truy vấn thẳng bảng của module khác</t>
  </si>
  <si>
    <t xml:space="preserve">2. BÀI TOÁN &amp; MỤC TIÊU</t>
  </si>
  <si>
    <t xml:space="preserve">Hạng mục</t>
  </si>
  <si>
    <t xml:space="preserve">Nội dung</t>
  </si>
  <si>
    <t xml:space="preserve">Pain Point</t>
  </si>
  <si>
    <t xml:space="preserve">Phần mềm đại trà cho SME chỉ hỗ trợ FIFO (Nhập trước – Xuất trước). ERP lớn (SAP) có FEFO nhưng chi phí &amp; độ phức tạp vượt khả năng SME. Hệ quả: hàng cận date bị kẹt kho, tỷ lệ hủy hàng (shrinkage) rất cao.</t>
  </si>
  <si>
    <t xml:space="preserve">Giải pháp cốt lõi</t>
  </si>
  <si>
    <t xml:space="preserve">Chuyển từ quản lý phẳng theo SKU sang quản lý sâu theo Lô hàng (Batch/Lot). Ép hệ thống xuất kho theo thuật toán FEFO (First Expired – First Out).</t>
  </si>
  <si>
    <t xml:space="preserve">Mục tiêu nghiệp vụ</t>
  </si>
  <si>
    <t xml:space="preserve">Giảm tỷ lệ hủy hàng do hết hạn; tăng khả năng luân chuyển hàng cận date thông qua cảnh báo và khuyến mãi xả hàng.</t>
  </si>
  <si>
    <t xml:space="preserve">Mục tiêu kỹ thuật</t>
  </si>
  <si>
    <t xml:space="preserve">Chứng minh năng lực xử lý: (1) mô hình dữ liệu đa chiều theo lô, (2) thuật toán FEFO trừ dồn đa lô, (3) xử lý tương tranh bằng Optimistic Locking, (4) kiến trúc Offline-first cho Mobile.</t>
  </si>
  <si>
    <t xml:space="preserve">Mục tiêu học thuật</t>
  </si>
  <si>
    <t xml:space="preserve">Đạt yêu cầu Hội đồng lần 1 và lần 2 với đầy đủ tài liệu BA, thiết kế hệ thống, mã nguồn và bằng chứng kiểm thử.</t>
  </si>
  <si>
    <t xml:space="preserve">3. IN-SCOPE (NẰM TRONG PHẠM VI)</t>
  </si>
  <si>
    <t xml:space="preserve">Phân hệ</t>
  </si>
  <si>
    <t xml:space="preserve">Nội dung nằm trong phạm vi</t>
  </si>
  <si>
    <t xml:space="preserve">Mức ưu tiên</t>
  </si>
  <si>
    <t xml:space="preserve">A. PIM &amp; Nhập kho</t>
  </si>
  <si>
    <t xml:space="preserve">Duyệt phiếu nhập kho, đối chiếu số lượng thực nhận, ghi nhận Master Inventory</t>
  </si>
  <si>
    <t xml:space="preserve">Must Have</t>
  </si>
  <si>
    <t xml:space="preserve">Tự động sinh Batch ID [SKU]-[YYMMDD], ràng buộc EXP Date, Cronjob khóa lô hết hạn</t>
  </si>
  <si>
    <t xml:space="preserve">CRUD danh mục: Sản phẩm/SKU, Nhà cung cấp, Kho, Khách hàng</t>
  </si>
  <si>
    <t xml:space="preserve">AI dịch thuật nhãn phụ bằng OCR + LLM (bao bì ngoại nhập → nhãn tiếng Việt)</t>
  </si>
  <si>
    <t xml:space="preserve">Nice to Have</t>
  </si>
  <si>
    <t xml:space="preserve">B. Đơn hàng &amp; Tồn kho</t>
  </si>
  <si>
    <t xml:space="preserve">Order Lifecycle State Machine: Chờ duyệt → Xác nhận → Xuất kho → Hoàn thành</t>
  </si>
  <si>
    <t xml:space="preserve">Thuật toán FEFO trừ dồn đa lô + Optimistic Locking chống âm kho</t>
  </si>
  <si>
    <t xml:space="preserve">Dashboard tồn kho theo lô: biểu đồ tỷ trọng hàng cận date, datatable, bộ lọc động</t>
  </si>
  <si>
    <t xml:space="preserve">C. Mobile DMS</t>
  </si>
  <si>
    <t xml:space="preserve">Lên đơn trên Mobile hoạt động ở chế độ Offline (sqflite cache + OfflineQueue + Background Worker)</t>
  </si>
  <si>
    <t xml:space="preserve">Xác nhận giao hàng bằng ảnh chứng từ (Proof of Delivery), upload Cloud Storage</t>
  </si>
  <si>
    <t xml:space="preserve">AI chấm điểm trưng bày bằng Computer Vision, tính Share of Shelf</t>
  </si>
  <si>
    <t xml:space="preserve">D. Khuyến mãi</t>
  </si>
  <si>
    <t xml:space="preserve">Promotion Engine: rule JSON cache trên Redis, API calculate-cart độ trễ &lt; 100ms</t>
  </si>
  <si>
    <t xml:space="preserve">Chung</t>
  </si>
  <si>
    <t xml:space="preserve">Auth JWT + phân quyền RBAC theo Role, Audit trail thao tác</t>
  </si>
  <si>
    <t xml:space="preserve">Bộ tài liệu: BA Document, ERD, API Spec, Architecture Diagram, Test report, Báo cáo đồ án</t>
  </si>
  <si>
    <t xml:space="preserve">4. OUT-OF-SCOPE (KHÔNG LÀM TRONG ĐỒ ÁN)</t>
  </si>
  <si>
    <t xml:space="preserve">Hạng mục loại trừ</t>
  </si>
  <si>
    <t xml:space="preserve">Lý do loại trừ</t>
  </si>
  <si>
    <t xml:space="preserve">Kế toán, công nợ, hóa đơn điện tử, tích hợp thuế</t>
  </si>
  <si>
    <t xml:space="preserve">Không thuộc trọng tâm bài toán FEFO, làm phình scope</t>
  </si>
  <si>
    <t xml:space="preserve">Tracking GPS thời gian thực cho đội giao hàng</t>
  </si>
  <si>
    <t xml:space="preserve">Rủi ro kỹ thuật/pháp lý cao. Thay bằng Proof of Delivery bằng ảnh</t>
  </si>
  <si>
    <t xml:space="preserve">Kiến trúc Microservices, Kubernetes, Service Mesh</t>
  </si>
  <si>
    <t xml:space="preserve">Chủ ý chọn Modular Monolith để tập trung vào Business Logic</t>
  </si>
  <si>
    <t xml:space="preserve">Tích hợp ERP/SAP bên thứ ba, EDI với nhà cung cấp</t>
  </si>
  <si>
    <t xml:space="preserve">Vượt nguồn lực và thời lượng 15 tuần</t>
  </si>
  <si>
    <t xml:space="preserve">Cổng thanh toán online, ví điện tử</t>
  </si>
  <si>
    <t xml:space="preserve">Nghiệp vụ SME chủ yếu công nợ/COD, không phải trọng tâm</t>
  </si>
  <si>
    <t xml:space="preserve">Ứng dụng cho người tiêu dùng cuối (B2C)</t>
  </si>
  <si>
    <t xml:space="preserve">Hệ thống hướng B2B: Nhà phân phối – Điểm bán lẻ</t>
  </si>
  <si>
    <t xml:space="preserve">Đa ngôn ngữ (i18n) toàn hệ thống</t>
  </si>
  <si>
    <t xml:space="preserve">Chỉ hỗ trợ tiếng Việt. AI dịch nhãn là tính năng nghiệp vụ, không phải i18n giao diện</t>
  </si>
  <si>
    <t xml:space="preserve">Tự huấn luyện mô hình AI/ML riêng</t>
  </si>
  <si>
    <t xml:space="preserve">Sử dụng Cloud Vision API và LLM API có sẵn</t>
  </si>
  <si>
    <t xml:space="preserve">Đồng bộ 2 chiều Offline (two-way sync, CRDT)</t>
  </si>
  <si>
    <t xml:space="preserve">Chỉ làm One-way Queue theo đúng quyết định kiến trúc</t>
  </si>
  <si>
    <t xml:space="preserve">5. ROLE (4 VAI TRÒ KHÉP KÍN LUỒNG NGHIỆP VỤ)</t>
  </si>
  <si>
    <t xml:space="preserve">Role</t>
  </si>
  <si>
    <t xml:space="preserve">Trách nhiệm chính</t>
  </si>
  <si>
    <t xml:space="preserve">Nền tảng sử dụng</t>
  </si>
  <si>
    <t xml:space="preserve">Thủ kho (Warehouse Staff)</t>
  </si>
  <si>
    <t xml:space="preserve">Khâu đầu vào và đầu ra vật lý: tạo/duyệt phiếu nhập, nhập Hạn sử dụng để hệ thống sinh Batch ID, xác nhận xuất kho sau khi thuật toán FEFO chạy xong</t>
  </si>
  <si>
    <t xml:space="preserve">Web Admin Portal</t>
  </si>
  <si>
    <t xml:space="preserve">Nhân viên Bán hàng (Sales)</t>
  </si>
  <si>
    <t xml:space="preserve">Hoạt động ngoài thị trường: xem danh mục, kiểm tra tồn kho, tạo đơn hàng (hỗ trợ O2O offline), chụp ảnh quầy kệ để AI chấm điểm trưng bày</t>
  </si>
  <si>
    <t xml:space="preserve">Mobile App</t>
  </si>
  <si>
    <t xml:space="preserve">Nhân viên Giao hàng (Delivery)</t>
  </si>
  <si>
    <t xml:space="preserve">Mắt xích cuối: xem danh sách đơn cần giao trong ngày, chụp ảnh chứng từ có chữ ký khách hàng, xác nhận Đã giao</t>
  </si>
  <si>
    <t xml:space="preserve">Quản trị viên / Quản lý (Admin / Manager)</t>
  </si>
  <si>
    <t xml:space="preserve">Điều hành toàn cục: duyệt đơn khi Sales vượt hạn mức, cấu hình luật khuyến mãi xả hàng (đẩy lên Redis), theo dõi Dashboard cảnh báo hàng cận date</t>
  </si>
  <si>
    <t xml:space="preserve">Hệ thống (System / Cronjob)</t>
  </si>
  <si>
    <t xml:space="preserve">Không phải Role người dùng. Tự động cập nhật vòng đời lô hàng lúc 00:00 mỗi ngày</t>
  </si>
  <si>
    <t xml:space="preserve">Backend</t>
  </si>
  <si>
    <t xml:space="preserve">6. GIẢ ĐỊNH &amp; RÀNG BUỘC</t>
  </si>
  <si>
    <t xml:space="preserve">Loại</t>
  </si>
  <si>
    <t xml:space="preserve">Giả định</t>
  </si>
  <si>
    <t xml:space="preserve">Mỗi thành viên dành 20–30 giờ/tuần cho đồ án (đồ án là ưu tiên chính của kỳ này)</t>
  </si>
  <si>
    <t xml:space="preserve">Dữ liệu nghiệp vụ dùng dữ liệu giả lập (seed data) mô phỏng nhà phân phối SME, không có dữ liệu khách hàng thật</t>
  </si>
  <si>
    <t xml:space="preserve">Có tài khoản Cloud (Vision API / LLM API / Object Storage) trong hạn mức miễn phí hoặc chi phí thấp</t>
  </si>
  <si>
    <t xml:space="preserve">Mỗi SKU có nhiều lô; mỗi lô có duy nhất một EXP Date và thuộc duy nhất một kho</t>
  </si>
  <si>
    <t xml:space="preserve">Ràng buộc</t>
  </si>
  <si>
    <t xml:space="preserve">15 tuần chính thức cố định với 3 mốc Review và 1 buổi Hội đồng, không thể gia hạn. Hội đồng lần 2 chỉ diễn ra nếu không đạt lần 1</t>
  </si>
  <si>
    <t xml:space="preserve">Kiến trúc bắt buộc là Modular Monolith, không chuyển sang Microservices</t>
  </si>
  <si>
    <t xml:space="preserve">Ngân sách hạ tầng ~0đ: dùng Azure for Students / free-tier, Redis self-host bằng Docker</t>
  </si>
  <si>
    <t xml:space="preserve">Công cụ</t>
  </si>
  <si>
    <t xml:space="preserve">Task, tiến độ và bug được quản lý trên Azure DevOps. File này là kế hoạch gốc, đồng bộ Status hàng tuần</t>
  </si>
  <si>
    <t xml:space="preserve">Tính năng Nice to Have chỉ được triển khai sau khi 100% Must Have đã đạt Definition of Done</t>
  </si>
  <si>
    <t xml:space="preserve">Rủi ro chính</t>
  </si>
  <si>
    <t xml:space="preserve">Thuật toán FEFO + Optimistic Locking là phần khó nhất, tập trung vào 1 người (Nhân) → cần pair-programming và review chéo</t>
  </si>
  <si>
    <t xml:space="preserve">Tính năng AI phụ thuộc API bên thứ ba → cần phương án dự phòng nhập tay nếu API lỗi</t>
  </si>
  <si>
    <t xml:space="preserve">7. TIÊU CHÍ THÀNH CÔNG (DEFINITION OF SUCCESS)</t>
  </si>
  <si>
    <t xml:space="preserve">Tiêu chí</t>
  </si>
  <si>
    <t xml:space="preserve">Cách đo lường</t>
  </si>
  <si>
    <t xml:space="preserve">1</t>
  </si>
  <si>
    <t xml:space="preserve">100% tính năng Must Have đạt Definition of Done</t>
  </si>
  <si>
    <t xml:space="preserve">Checklist sheet '4. Feature List' – cột Status = Done</t>
  </si>
  <si>
    <t xml:space="preserve">2</t>
  </si>
  <si>
    <t xml:space="preserve">Không xảy ra âm kho (negative inventory) dưới tải</t>
  </si>
  <si>
    <t xml:space="preserve">Load test 100 request đồng thời vào 1 lô: 0 bản ghi tồn kho âm</t>
  </si>
  <si>
    <t xml:space="preserve">3</t>
  </si>
  <si>
    <t xml:space="preserve">Đơn hàng chốt offline không mất dữ liệu</t>
  </si>
  <si>
    <t xml:space="preserve">Test 20 đơn ở chế độ máy bay, sau khi có mạng đồng bộ đủ 20/20</t>
  </si>
  <si>
    <t xml:space="preserve">4</t>
  </si>
  <si>
    <t xml:space="preserve">API calculate-cart trả kết quả &lt; 100ms</t>
  </si>
  <si>
    <t xml:space="preserve">Báo cáo JMeter/K6, đo p95</t>
  </si>
  <si>
    <t xml:space="preserve">5</t>
  </si>
  <si>
    <t xml:space="preserve">Đủ bộ tài liệu nộp cho Hội đồng</t>
  </si>
  <si>
    <t xml:space="preserve">Sheet '6. Deliverables' – tất cả hạng mục bắt buộc = Done</t>
  </si>
  <si>
    <t xml:space="preserve">6</t>
  </si>
  <si>
    <t xml:space="preserve">Hệ thống demo được end-to-end không lỗi chặn</t>
  </si>
  <si>
    <t xml:space="preserve">Dry-run kịch bản demo 3 lượt liên tiếp không gặp blocker</t>
  </si>
  <si>
    <t xml:space="preserve">7</t>
  </si>
  <si>
    <t xml:space="preserve">Đạt ngay ở buổi Hội đồng lần 1</t>
  </si>
  <si>
    <t xml:space="preserve">Không phải dùng tới 4 tuần dự phòng và Hội đồng lần 2</t>
  </si>
  <si>
    <t xml:space="preserve">DANH SÁCH TÍNH NĂNG (FEATURE LIST – MoSCoW)</t>
  </si>
  <si>
    <t xml:space="preserve">Cột Tuần triển khai ghi theo TUẦN CHÍNH THỨC (W1-W15, bắt đầu 01/09/2026). Must Have = bắt buộc xong trước Review 3. Nice to Have = chỉ làm khi toàn bộ Must Have đã Done.</t>
  </si>
  <si>
    <t xml:space="preserve">ID</t>
  </si>
  <si>
    <t xml:space="preserve">Tên tính năng</t>
  </si>
  <si>
    <t xml:space="preserve">Mô tả nghiệp vụ</t>
  </si>
  <si>
    <t xml:space="preserve">MoSCoW</t>
  </si>
  <si>
    <t xml:space="preserve">Definition of Done (Tiêu chí nghiệm thu)</t>
  </si>
  <si>
    <t xml:space="preserve">Độ phức tạp</t>
  </si>
  <si>
    <t xml:space="preserve">Tuần CT</t>
  </si>
  <si>
    <t xml:space="preserve">Phụ thuộc</t>
  </si>
  <si>
    <t xml:space="preserve">Status</t>
  </si>
  <si>
    <t xml:space="preserve">CORE-01</t>
  </si>
  <si>
    <t xml:space="preserve">Auth &amp; RBAC</t>
  </si>
  <si>
    <t xml:space="preserve">Đăng nhập JWT (ASP.NET Core Identity), phân quyền theo 4 Role: Thủ kho, Sales, Giao hàng, Admin/Quản lý.</t>
  </si>
  <si>
    <t xml:space="preserve">Mỗi endpoint chỉ cho phép đúng Role truy cập; test phân quyền pass 100% ma trận Role x Endpoint.</t>
  </si>
  <si>
    <t xml:space="preserve">Trung bình</t>
  </si>
  <si>
    <t xml:space="preserve">W4-W5</t>
  </si>
  <si>
    <t xml:space="preserve">-</t>
  </si>
  <si>
    <t xml:space="preserve">Not Started</t>
  </si>
  <si>
    <t xml:space="preserve">CORE-02</t>
  </si>
  <si>
    <t xml:space="preserve">Danh mục nền (PIM cơ bản)</t>
  </si>
  <si>
    <t xml:space="preserve">CRUD Sản phẩm/SKU, Nhà cung cấp, Kho, Khách hàng/Điểm bán.</t>
  </si>
  <si>
    <t xml:space="preserve">API CRUD đầy đủ, có validation trùng mã, có phân trang và tìm kiếm.</t>
  </si>
  <si>
    <t xml:space="preserve">Thấp</t>
  </si>
  <si>
    <t xml:space="preserve">A1</t>
  </si>
  <si>
    <t xml:space="preserve">Duyệt Phiếu Nhập Kho (Goods Receipt)</t>
  </si>
  <si>
    <t xml:space="preserve">Thủ kho tạo phiếu nhập, đính kèm danh sách SP, hệ thống đối chiếu số lượng thực nhận, thủ kho duyệt để ghi vào Master Inventory.</t>
  </si>
  <si>
    <t xml:space="preserve">API ghi nhận thành công phiếu nhập vào DB. Bảng Master Inventory tăng đúng số lượng tương ứng với từng SKU.</t>
  </si>
  <si>
    <t xml:space="preserve">W5-W6</t>
  </si>
  <si>
    <t xml:space="preserve">A2</t>
  </si>
  <si>
    <t xml:space="preserve">Batch/Lot &amp; Date-tracker</t>
  </si>
  <si>
    <t xml:space="preserve">Bắt buộc nhập EXP Date khi duyệt phiếu; tự sinh Batch ID [SKU]-[YYMMDD]; Cronjob 00:00 cập nhật Bình thường → Cận date → Hết hạn.</t>
  </si>
  <si>
    <t xml:space="preserve">Hệ thống tự động tạo mã Batch ID. Test case giả lập vượt quá HSD tự động cập nhật trạng thái 'Khóa'.</t>
  </si>
  <si>
    <t xml:space="preserve">Cao</t>
  </si>
  <si>
    <t xml:space="preserve">A3</t>
  </si>
  <si>
    <t xml:space="preserve">AI Dịch thuật Nhãn phụ</t>
  </si>
  <si>
    <t xml:space="preserve">Quét ảnh bao bì ngoại nhập bằng OCR, dùng LLM phân tích cấu trúc ngôn ngữ, bóc tách thành phần và sinh nhãn phụ tiếng Việt.</t>
  </si>
  <si>
    <t xml:space="preserve">Module AI xử lý qua OCR và LLM trả về JSON chứa đầy đủ các trường thành phần dinh dưỡng đã dịch chuẩn xác.</t>
  </si>
  <si>
    <t xml:space="preserve">W10-W11</t>
  </si>
  <si>
    <t xml:space="preserve">B1</t>
  </si>
  <si>
    <t xml:space="preserve">Order Lifecycle (State Machine)</t>
  </si>
  <si>
    <t xml:space="preserve">Chờ duyệt → Đã xác nhận → Đã xuất kho → Hoàn thành. Mỗi bước gắn Role được phép thao tác.</t>
  </si>
  <si>
    <t xml:space="preserve">API chuyển đổi trạng thái theo chu trình khép kín, lưu vết Actor ID và Timestamp; chặn mọi chuyển trạng thái không hợp lệ.</t>
  </si>
  <si>
    <t xml:space="preserve">W6-W7</t>
  </si>
  <si>
    <t xml:space="preserve">B2</t>
  </si>
  <si>
    <t xml:space="preserve">Thuật toán FEFO &amp; Concurrency</t>
  </si>
  <si>
    <t xml:space="preserve">Khi đơn được xác nhận, hệ thống truy vấn các lô hợp lệ sắp xếp theo EXP tăng dần, trừ dồn số lượng, chuyển sang lô kế tiếp khi cạn, dùng Optimistic Locking (RowVersion của EF Core) khi update.</t>
  </si>
  <si>
    <t xml:space="preserve">Load test 2 request đồng thời vào cùng 1 lô: 1 thành công, 1 tự động fallback sang lô tiếp theo, không âm kho. Dùng Concurrency Token (RowVersion) của EF Core.</t>
  </si>
  <si>
    <t xml:space="preserve">Rất cao</t>
  </si>
  <si>
    <t xml:space="preserve">W6-W8</t>
  </si>
  <si>
    <t xml:space="preserve">A2, B1</t>
  </si>
  <si>
    <t xml:space="preserve">B3</t>
  </si>
  <si>
    <t xml:space="preserve">Dashboard Tồn kho theo Lô</t>
  </si>
  <si>
    <t xml:space="preserve">Tổng hợp dữ liệu từ bảng phân bổ Batch/Lot, tính tỷ trọng hàng cận date, trực quan bằng Bar Chart + Datatable theo SKU, Batch ID, ngày nhập, HSD.</t>
  </si>
  <si>
    <t xml:space="preserve">Giao diện Web hiển thị biểu đồ tỷ trọng hàng cận date. Bộ lọc theo kho/SKU hoạt động mượt mà.</t>
  </si>
  <si>
    <t xml:space="preserve">W9-W10</t>
  </si>
  <si>
    <t xml:space="preserve">A2, B2</t>
  </si>
  <si>
    <t xml:space="preserve">C1</t>
  </si>
  <si>
    <t xml:space="preserve">Lên đơn Mobile (O2O Sync)</t>
  </si>
  <si>
    <t xml:space="preserve">App Flutter cache Master Data + tồn kho vào sqflite; đặt hàng khi mất mạng lưu vào bảng Queue; Background Worker flush queue khi có mạng.</t>
  </si>
  <si>
    <t xml:space="preserve">App lưu đơn xuống local DB (sqflite) khi mất mạng. Khôi phục mạng, Background Worker tự động đồng bộ hàng đợi lên Server.</t>
  </si>
  <si>
    <t xml:space="preserve">W4-W8</t>
  </si>
  <si>
    <t xml:space="preserve">C2</t>
  </si>
  <si>
    <t xml:space="preserve">Xác nhận Giao hàng (POD)</t>
  </si>
  <si>
    <t xml:space="preserve">Nhân viên giao hàng chụp ảnh chứng từ, app nén ảnh và upload lên Cloud Storage qua API Backend, đơn tự chuyển sang Hoàn thành.</t>
  </si>
  <si>
    <t xml:space="preserve">API upload hình ảnh chứng từ trả về thành công. Trạng thái đơn hàng liên đới tự động cập nhật thành 'Hoàn thành'.</t>
  </si>
  <si>
    <t xml:space="preserve">B1, C1</t>
  </si>
  <si>
    <t xml:space="preserve">C3</t>
  </si>
  <si>
    <t xml:space="preserve">AI Chấm điểm Trưng bày</t>
  </si>
  <si>
    <t xml:space="preserve">Chụp ảnh quầy kệ, gọi Computer Vision nhận diện Bounding Box nhãn hàng, tính Share of Shelf (% diện tích trưng bày).</t>
  </si>
  <si>
    <t xml:space="preserve">Hệ thống nhận diện đúng sản phẩm từ ảnh chụp thực tế và xuất ra % tỷ lệ diện tích trưng bày (Share of Shelf).</t>
  </si>
  <si>
    <t xml:space="preserve">D1</t>
  </si>
  <si>
    <t xml:space="preserve">Promotion Engine (Redis)</t>
  </si>
  <si>
    <t xml:space="preserve">Chuyển rule giảm giá hàng cận date thành JSON, cache trên Redis, API calculate-cart trả đơn giá cuối. SQL là Source of Truth, Redis là Read Model.</t>
  </si>
  <si>
    <t xml:space="preserve">Luật khuyến mãi ánh xạ lên Redis Cache. API tính toán giỏ hàng trả về kết quả định giá chính xác với độ trễ dưới 100ms.</t>
  </si>
  <si>
    <t xml:space="preserve">A2, C1</t>
  </si>
  <si>
    <t xml:space="preserve">NFR-01</t>
  </si>
  <si>
    <t xml:space="preserve">Phi chức năng</t>
  </si>
  <si>
    <t xml:space="preserve">Hiệu năng &amp; Chịu tải</t>
  </si>
  <si>
    <t xml:space="preserve">Hệ thống chịu được 100 request đồng thời vào cùng một lô hàng mà không phát sinh Data Anomaly.</t>
  </si>
  <si>
    <t xml:space="preserve">Báo cáo JMeter/K6: 0 bản ghi tồn kho âm, p95 response time của API xuất kho &lt; 500ms.</t>
  </si>
  <si>
    <t xml:space="preserve">NFR-02</t>
  </si>
  <si>
    <t xml:space="preserve">Audit Trail &amp; Truy vết</t>
  </si>
  <si>
    <t xml:space="preserve">Mọi thay đổi trạng thái đơn hàng và tồn kho đều ghi log Actor ID, hành động, thời điểm, giá trị trước/sau.</t>
  </si>
  <si>
    <t xml:space="preserve">Truy vấn được lịch sử đầy đủ của 1 đơn hàng bất kỳ từ lúc tạo đến lúc hoàn thành.</t>
  </si>
  <si>
    <t xml:space="preserve">NFR-03</t>
  </si>
  <si>
    <t xml:space="preserve">Triển khai &amp; Vận hành</t>
  </si>
  <si>
    <t xml:space="preserve">Deploy backend .NET lên Azure App Service, database dùng Azure SQL, Redis chạy Docker. Có Deployment Guide.</t>
  </si>
  <si>
    <t xml:space="preserve">Người khác dựng lại được hệ thống theo hướng dẫn; URL demo hoạt động ổn định trong thời gian bảo vệ; build APK Flutter cài được trên máy thật.</t>
  </si>
  <si>
    <t xml:space="preserve">W13-W14</t>
  </si>
  <si>
    <t xml:space="preserve">Tổng số tính năng</t>
  </si>
  <si>
    <t xml:space="preserve">Số tính năng Must Have</t>
  </si>
  <si>
    <t xml:space="preserve">Số tính năng Nice to Have</t>
  </si>
  <si>
    <t xml:space="preserve">Tiến độ Must Have (% Done)</t>
  </si>
  <si>
    <t xml:space="preserve">Tiến độ toàn bộ (% Done)</t>
  </si>
  <si>
    <t xml:space="preserve">USER STORIES – TÁCH NHỎ TỪ FEATURE LIST</t>
  </si>
  <si>
    <t xml:space="preserve">Cột Tuần ghi theo TUẦN CHÍNH THỨC (W1-W15). Ước lượng Fibonacci (1,2,3,5,8,13), Sprint 2 tuần, khớp với Iteration trên Azure DevOps. Story chỉ Done khi toàn bộ Acceptance Criteria pass.</t>
  </si>
  <si>
    <t xml:space="preserve">Feature</t>
  </si>
  <si>
    <t xml:space="preserve">Epic / Phân hệ</t>
  </si>
  <si>
    <t xml:space="preserve">Là (As a)</t>
  </si>
  <si>
    <t xml:space="preserve">Tôi muốn (I want)</t>
  </si>
  <si>
    <t xml:space="preserve">Để (So that)</t>
  </si>
  <si>
    <t xml:space="preserve">Acceptance Criteria (Given / When / Then)</t>
  </si>
  <si>
    <t xml:space="preserve">Ưu tiên</t>
  </si>
  <si>
    <t xml:space="preserve">Story Point</t>
  </si>
  <si>
    <t xml:space="preserve">Sprint</t>
  </si>
  <si>
    <t xml:space="preserve">US-01</t>
  </si>
  <si>
    <t xml:space="preserve">Người dùng hệ thống</t>
  </si>
  <si>
    <t xml:space="preserve">đăng nhập bằng tài khoản được cấp và nhận JWT token</t>
  </si>
  <si>
    <t xml:space="preserve">truy cập được các chức năng đúng với quyền hạn của mình</t>
  </si>
  <si>
    <t xml:space="preserve">Given tài khoản hợp lệ, When gửi POST /auth/login, Then nhận access token + refresh token và thông tin Role. Sai mật khẩu 5 lần liên tiếp thì khóa tạm 15 phút.</t>
  </si>
  <si>
    <t xml:space="preserve">Must</t>
  </si>
  <si>
    <t xml:space="preserve">Sprint 1</t>
  </si>
  <si>
    <t xml:space="preserve">US-02</t>
  </si>
  <si>
    <t xml:space="preserve">Admin</t>
  </si>
  <si>
    <t xml:space="preserve">tạo tài khoản và gán Role cho nhân viên</t>
  </si>
  <si>
    <t xml:space="preserve">phân quyền đúng người đúng việc</t>
  </si>
  <si>
    <t xml:space="preserve">Given đang đăng nhập bằng Role Admin, When tạo user và chọn Role, Then user mới đăng nhập được và chỉ thấy menu tương ứng Role.</t>
  </si>
  <si>
    <t xml:space="preserve">US-03</t>
  </si>
  <si>
    <t xml:space="preserve">Hệ thống</t>
  </si>
  <si>
    <t xml:space="preserve">chặn request tới endpoint không đúng Role</t>
  </si>
  <si>
    <t xml:space="preserve">đảm bảo an toàn dữ liệu nghiệp vụ</t>
  </si>
  <si>
    <t xml:space="preserve">Given user Role Sales, When gọi API duyệt phiếu nhập, Then trả về HTTP 403 và ghi log truy cập trái phép.</t>
  </si>
  <si>
    <t xml:space="preserve">US-04</t>
  </si>
  <si>
    <t xml:space="preserve">tạo và quản lý danh mục Sản phẩm/SKU</t>
  </si>
  <si>
    <t xml:space="preserve">có Master Data chuẩn làm nền cho quản lý lô hàng</t>
  </si>
  <si>
    <t xml:space="preserve">Given màn hình Sản phẩm, When tạo SKU mới, Then hệ thống chặn trùng mã SKU và lưu thành công. Danh sách có tìm kiếm và phân trang.</t>
  </si>
  <si>
    <t xml:space="preserve">US-05</t>
  </si>
  <si>
    <t xml:space="preserve">quản lý danh mục Nhà cung cấp, Kho và Điểm bán</t>
  </si>
  <si>
    <t xml:space="preserve">gắn được phiếu nhập và đơn hàng vào đúng đối tượng</t>
  </si>
  <si>
    <t xml:space="preserve">Given danh mục trống, When tạo NCC/Kho/Điểm bán, Then bản ghi hiển thị trong dropdown của phiếu nhập và đơn hàng.</t>
  </si>
  <si>
    <t xml:space="preserve">US-06</t>
  </si>
  <si>
    <t xml:space="preserve">Thủ kho</t>
  </si>
  <si>
    <t xml:space="preserve">tạo phiếu nhập kho và thêm danh sách sản phẩm kèm số lượng</t>
  </si>
  <si>
    <t xml:space="preserve">ghi nhận hàng về kho một cách có chứng từ</t>
  </si>
  <si>
    <t xml:space="preserve">Given đang ở màn Phiếu nhập, When tạo phiếu và thêm dòng SP, Then phiếu lưu ở trạng thái Nháp và chưa tác động tồn kho.</t>
  </si>
  <si>
    <t xml:space="preserve">US-07</t>
  </si>
  <si>
    <t xml:space="preserve">nhập số lượng thực nhận và xem chênh lệch so với số lượng đặt</t>
  </si>
  <si>
    <t xml:space="preserve">phát hiện thiếu/thừa hàng ngay khi nhận</t>
  </si>
  <si>
    <t xml:space="preserve">Given phiếu có dòng SP số lượng đặt 100, When nhập thực nhận 95, Then hệ thống hiển thị chênh lệch -5 và cảnh báo màu đỏ.</t>
  </si>
  <si>
    <t xml:space="preserve">US-08</t>
  </si>
  <si>
    <t xml:space="preserve">duyệt phiếu nhập kho</t>
  </si>
  <si>
    <t xml:space="preserve">cập nhật tồn kho Master Inventory chính xác</t>
  </si>
  <si>
    <t xml:space="preserve">Given phiếu ở trạng thái Nháp đã đủ thông tin, When bấm Duyệt, Then Master Inventory tăng đúng số lượng từng SKU, phiếu chuyển sang Đã duyệt và không sửa được nữa.</t>
  </si>
  <si>
    <t xml:space="preserve">Sprint 2</t>
  </si>
  <si>
    <t xml:space="preserve">US-09</t>
  </si>
  <si>
    <t xml:space="preserve">xem lịch sử phiếu nhập và lọc theo kho/NCC/khoảng ngày</t>
  </si>
  <si>
    <t xml:space="preserve">đối chiếu khi cần kiểm tra</t>
  </si>
  <si>
    <t xml:space="preserve">Given có ≥10 phiếu, When lọc theo kho và khoảng ngày, Then danh sách trả về đúng tập kết quả và hỗ trợ xuất Excel.</t>
  </si>
  <si>
    <t xml:space="preserve">Should</t>
  </si>
  <si>
    <t xml:space="preserve">US-10</t>
  </si>
  <si>
    <t xml:space="preserve">bắt buộc nhập Hạn sử dụng cho mỗi dòng sản phẩm khi duyệt phiếu</t>
  </si>
  <si>
    <t xml:space="preserve">đảm bảo mọi lô hàng đều có mốc thời gian để chạy FEFO</t>
  </si>
  <si>
    <t xml:space="preserve">Given dòng SP chưa có EXP Date, When bấm Duyệt, Then hệ thống chặn và hiển thị lỗi 'Bắt buộc nhập Hạn sử dụng'.</t>
  </si>
  <si>
    <t xml:space="preserve">US-11</t>
  </si>
  <si>
    <t xml:space="preserve">tự động sinh Batch ID theo định dạng [SKU]-[YYMMDD]</t>
  </si>
  <si>
    <t xml:space="preserve">mỗi lô hàng có định danh duy nhất và dễ đọc</t>
  </si>
  <si>
    <t xml:space="preserve">Given SKU 'MILK01' và EXP 2026-09-15, When duyệt phiếu, Then Batch ID sinh ra là 'MILK01-260915'. Trùng Batch ID thì cộng dồn số lượng vào lô hiện có.</t>
  </si>
  <si>
    <t xml:space="preserve">US-12</t>
  </si>
  <si>
    <t xml:space="preserve">Quản lý</t>
  </si>
  <si>
    <t xml:space="preserve">cấu hình ngưỡng cảnh báo cận date theo nhóm sản phẩm</t>
  </si>
  <si>
    <t xml:space="preserve">phù hợp với vòng đời khác nhau của bánh tươi, sữa, đồ mát</t>
  </si>
  <si>
    <t xml:space="preserve">Given nhóm 'Bánh tươi' ngưỡng 3 ngày, When lô còn 3 ngày HSD, Then trạng thái lô chuyển sang 'Cận date'.</t>
  </si>
  <si>
    <t xml:space="preserve">US-13</t>
  </si>
  <si>
    <t xml:space="preserve">chạy Cronjob lúc 00:00 hằng ngày cập nhật vòng đời lô hàng</t>
  </si>
  <si>
    <t xml:space="preserve">tự động khóa hàng hết hạn không cho xuất bán</t>
  </si>
  <si>
    <t xml:space="preserve">Given lô có EXP &lt; ngày hiện tại, When Cronjob chạy, Then trạng thái lô = 'Hết hạn/Khóa' và bị loại khỏi danh sách khả dụng của FEFO. Test case giả lập thời gian pass.</t>
  </si>
  <si>
    <t xml:space="preserve">US-14</t>
  </si>
  <si>
    <t xml:space="preserve">xem danh sách lô hàng theo SKU với trạng thái và số ngày còn lại</t>
  </si>
  <si>
    <t xml:space="preserve">biết hàng nào cần đẩy đi trước</t>
  </si>
  <si>
    <t xml:space="preserve">Given kho có nhiều lô, When mở màn Tồn kho theo lô, Then danh sách sắp xếp theo EXP tăng dần, tô màu theo Bình thường / Cận date / Hết hạn.</t>
  </si>
  <si>
    <t xml:space="preserve">US-15</t>
  </si>
  <si>
    <t xml:space="preserve">Nhân viên Sales</t>
  </si>
  <si>
    <t xml:space="preserve">tạo đơn hàng cho điểm bán ở trạng thái Chờ duyệt</t>
  </si>
  <si>
    <t xml:space="preserve">ghi nhận nhu cầu mua hàng của khách</t>
  </si>
  <si>
    <t xml:space="preserve">Given chọn điểm bán và ≥1 SKU, When lưu đơn, Then đơn có mã tự sinh, trạng thái 'Chờ duyệt' và chưa trừ tồn kho.</t>
  </si>
  <si>
    <t xml:space="preserve">US-16</t>
  </si>
  <si>
    <t xml:space="preserve">duyệt hoặc từ chối đơn hàng</t>
  </si>
  <si>
    <t xml:space="preserve">kiểm soát công nợ và tồn kho trước khi xuất</t>
  </si>
  <si>
    <t xml:space="preserve">Given đơn 'Chờ duyệt', When bấm Xác nhận, Then trạng thái chuyển 'Đã xác nhận' và kích hoạt sự kiện phân bổ FEFO. Bấm Từ chối thì phải nhập lý do.</t>
  </si>
  <si>
    <t xml:space="preserve">US-17</t>
  </si>
  <si>
    <t xml:space="preserve">xác nhận đã xuất kho theo danh sách lô hệ thống phân bổ</t>
  </si>
  <si>
    <t xml:space="preserve">hàng ra khỏi kho khớp với chứng từ</t>
  </si>
  <si>
    <t xml:space="preserve">Given đơn 'Đã xác nhận' có danh sách lô phân bổ, When bấm Xuất kho, Then trạng thái chuyển 'Đã xuất kho' và ghi nhận số lượng trừ theo từng Batch ID.</t>
  </si>
  <si>
    <t xml:space="preserve">US-18</t>
  </si>
  <si>
    <t xml:space="preserve">chặn mọi chuyển trạng thái không hợp lệ theo State Machine</t>
  </si>
  <si>
    <t xml:space="preserve">đảm bảo tính toàn vẹn quy trình nghiệp vụ</t>
  </si>
  <si>
    <t xml:space="preserve">Given đơn 'Chờ duyệt', When gọi API chuyển thẳng sang 'Hoàn thành', Then trả về HTTP 409 kèm thông báo chuyển trạng thái không hợp lệ.</t>
  </si>
  <si>
    <t xml:space="preserve">US-19</t>
  </si>
  <si>
    <t xml:space="preserve">xem lịch sử thao tác của một đơn hàng</t>
  </si>
  <si>
    <t xml:space="preserve">truy vết ai làm gì lúc nào khi có sự cố</t>
  </si>
  <si>
    <t xml:space="preserve">Given đơn đã qua đủ 4 trạng thái, When mở tab Lịch sử, Then hiển thị đủ 4 dòng gồm Actor ID, Role, hành động và Timestamp.</t>
  </si>
  <si>
    <t xml:space="preserve">Sprint 3</t>
  </si>
  <si>
    <t xml:space="preserve">US-20</t>
  </si>
  <si>
    <t xml:space="preserve">truy vấn danh sách lô khả dụng sắp xếp theo EXP tăng dần khi đơn được xác nhận</t>
  </si>
  <si>
    <t xml:space="preserve">luôn ưu tiên xuất hàng sắp hết hạn trước</t>
  </si>
  <si>
    <t xml:space="preserve">Given SKU có 3 lô EXP 10/09, 20/09, 30/09, When phân bổ, Then thứ tự lấy hàng là lô 10/09 → 20/09 → 30/09. Lô trạng thái 'Khóa' bị loại khỏi danh sách.</t>
  </si>
  <si>
    <t xml:space="preserve">US-21</t>
  </si>
  <si>
    <t xml:space="preserve">trừ dồn số lượng qua nhiều lô khi một lô không đủ hàng</t>
  </si>
  <si>
    <t xml:space="preserve">đơn hàng lớn vẫn được đáp ứng đúng nguyên tắc FEFO</t>
  </si>
  <si>
    <t xml:space="preserve">Given đơn cần 150, lô A còn 100 (EXP sớm hơn) và lô B còn 200, When phân bổ, Then lấy 100 từ lô A và 50 từ lô B; lô A về 0, lô B còn 150.</t>
  </si>
  <si>
    <t xml:space="preserve">US-22</t>
  </si>
  <si>
    <t xml:space="preserve">áp dụng Optimistic Locking bằng cột RowVersion của EF Core khi cập nhật tồn kho lô</t>
  </si>
  <si>
    <t xml:space="preserve">không bao giờ để xảy ra âm kho khi nhiều Sales chốt cùng lúc</t>
  </si>
  <si>
    <t xml:space="preserve">Given 2 request đồng thời vào cùng 1 lô, When cả hai cùng update, Then 1 request thành công, request còn lại nhận DbUpdateConcurrencyException và tự retry.</t>
  </si>
  <si>
    <t xml:space="preserve">US-23</t>
  </si>
  <si>
    <t xml:space="preserve">tự động fallback sang lô kế tiếp khi phát hiện version conflict</t>
  </si>
  <si>
    <t xml:space="preserve">người dùng không bị lỗi mà vẫn nhận được hàng</t>
  </si>
  <si>
    <t xml:space="preserve">Given request thua trong tranh chấp lô A, When retry, Then hệ thống tự phân bổ sang lô B kế tiếp theo EXP và đơn vẫn thành công.</t>
  </si>
  <si>
    <t xml:space="preserve">US-24</t>
  </si>
  <si>
    <t xml:space="preserve">từ chối đơn khi tổng tồn kho khả dụng không đủ</t>
  </si>
  <si>
    <t xml:space="preserve">tránh cam kết giao hàng không có thật</t>
  </si>
  <si>
    <t xml:space="preserve">Given tổng tồn khả dụng 80, When đơn yêu cầu 100, Then trả lỗi 'Không đủ tồn kho khả dụng' kèm số lượng còn lại và không thay đổi dữ liệu (rollback transaction).</t>
  </si>
  <si>
    <t xml:space="preserve">US-25</t>
  </si>
  <si>
    <t xml:space="preserve">Nhóm phát triển</t>
  </si>
  <si>
    <t xml:space="preserve">chạy kịch bản JMeter/K6 bắn 100 request đồng thời vào 1 lô hàng</t>
  </si>
  <si>
    <t xml:space="preserve">chứng minh hệ thống không phát sinh Data Anomaly</t>
  </si>
  <si>
    <t xml:space="preserve">Given lô có 100 sản phẩm và 100 request mỗi request 1 sản phẩm, When chạy load test, Then tổng số đơn thành công = 100, tồn kho cuối = 0, không có bản ghi âm. Báo cáo p95 &lt; 500ms.</t>
  </si>
  <si>
    <t xml:space="preserve">Sprint 5</t>
  </si>
  <si>
    <t xml:space="preserve">US-26</t>
  </si>
  <si>
    <t xml:space="preserve">xem biểu đồ tỷ trọng hàng cận date trên tổng tồn kho</t>
  </si>
  <si>
    <t xml:space="preserve">đánh giá hiệu quả thực tế của thuật toán FEFO</t>
  </si>
  <si>
    <t xml:space="preserve">Given có dữ liệu tồn kho, When mở Dashboard, Then hiển thị Bar Chart phân bổ Bình thường / Cận date / Hết hạn kèm số liệu tuyệt đối và phần trăm.</t>
  </si>
  <si>
    <t xml:space="preserve">US-27</t>
  </si>
  <si>
    <t xml:space="preserve">lọc Dashboard theo kho, nhóm sản phẩm, SKU và khoảng thời gian</t>
  </si>
  <si>
    <t xml:space="preserve">khoanh vùng vấn đề đến từng kho hoặc từng mặt hàng</t>
  </si>
  <si>
    <t xml:space="preserve">Given bộ lọc mặc định Tất cả, When chọn kho HCM và nhóm Sữa, Then biểu đồ và datatable cập nhật lại đúng tập dữ liệu trong dưới 2 giây.</t>
  </si>
  <si>
    <t xml:space="preserve">US-28</t>
  </si>
  <si>
    <t xml:space="preserve">xem datatable cảnh báo chi tiết theo SKU, Batch ID, ngày nhập, HSD, số ngày còn lại</t>
  </si>
  <si>
    <t xml:space="preserve">biết chính xác lô nào cần xả gấp</t>
  </si>
  <si>
    <t xml:space="preserve">Given danh sách lô cận date, When mở tab Cảnh báo, Then bảng sắp xếp mặc định theo số ngày còn lại tăng dần và cho xuất Excel.</t>
  </si>
  <si>
    <t xml:space="preserve">US-29</t>
  </si>
  <si>
    <t xml:space="preserve">xây API thống kê chuyên biệt bằng truy vấn Group By/Sum/Join</t>
  </si>
  <si>
    <t xml:space="preserve">tránh tính toán nặng trên Frontend</t>
  </si>
  <si>
    <t xml:space="preserve">Given 10.000 bản ghi lô, When gọi API thống kê, Then trả về dữ liệu đã tổng hợp sẵn trong dưới 1 giây, Frontend chỉ render.</t>
  </si>
  <si>
    <t xml:space="preserve">US-30</t>
  </si>
  <si>
    <t xml:space="preserve">đồng bộ Master Data và tồn kho khả dụng về máy khi có mạng</t>
  </si>
  <si>
    <t xml:space="preserve">làm việc được ở khu vực sóng yếu</t>
  </si>
  <si>
    <t xml:space="preserve">Given app vừa đăng nhập, When bấm Đồng bộ, Then dữ liệu SP, điểm bán, tồn kho được ghi vào sqflite và hiển thị thời điểm đồng bộ gần nhất.</t>
  </si>
  <si>
    <t xml:space="preserve">US-31</t>
  </si>
  <si>
    <t xml:space="preserve">tạo đơn hàng ngay cả khi điện thoại mất mạng</t>
  </si>
  <si>
    <t xml:space="preserve">không bỏ lỡ đơn khi đang ở điểm bán</t>
  </si>
  <si>
    <t xml:space="preserve">Given bật chế độ máy bay, When tạo và lưu đơn, Then đơn được ghi vào bảng OfflineQueue trong sqflite và hiển thị nhãn 'Chờ đồng bộ'.</t>
  </si>
  <si>
    <t xml:space="preserve">US-32</t>
  </si>
  <si>
    <t xml:space="preserve">Hệ thống Mobile</t>
  </si>
  <si>
    <t xml:space="preserve">chặn request API khi mất mạng bằng Dio Interceptor trên Flutter</t>
  </si>
  <si>
    <t xml:space="preserve">tránh lỗi timeout và mất dữ liệu đơn</t>
  </si>
  <si>
    <t xml:space="preserve">Given không có kết nối, When app gọi API tạo đơn, Then Interceptor bắt lại và ghi vào OfflineQueue thay vì báo lỗi cho người dùng.</t>
  </si>
  <si>
    <t xml:space="preserve">US-33</t>
  </si>
  <si>
    <t xml:space="preserve">chạy Background Worker tự động flush hàng đợi khi có mạng trở lại</t>
  </si>
  <si>
    <t xml:space="preserve">đơn offline lên server mà Sales không cần thao tác</t>
  </si>
  <si>
    <t xml:space="preserve">Given có 20 đơn trong queue, When khôi phục mạng, Then Worker gửi tuần tự lên server, 20/20 đơn được ghi nhận và queue được dọn sạch.</t>
  </si>
  <si>
    <t xml:space="preserve">Sprint 4</t>
  </si>
  <si>
    <t xml:space="preserve">US-34</t>
  </si>
  <si>
    <t xml:space="preserve">nhìn thấy trạng thái đồng bộ của từng đơn (Chờ / Đã đồng bộ / Lỗi)</t>
  </si>
  <si>
    <t xml:space="preserve">biết đơn nào đã thực sự lên hệ thống</t>
  </si>
  <si>
    <t xml:space="preserve">Given queue có đơn lỗi do hết tồn kho, When mở màn Đơn của tôi, Then đơn hiển thị trạng thái 'Lỗi' kèm lý do và nút Thử lại.</t>
  </si>
  <si>
    <t xml:space="preserve">US-35</t>
  </si>
  <si>
    <t xml:space="preserve">tra cứu tồn kho khả dụng theo SKU ngay trên app</t>
  </si>
  <si>
    <t xml:space="preserve">tư vấn đúng cho điểm bán</t>
  </si>
  <si>
    <t xml:space="preserve">Given đã đồng bộ dữ liệu, When tìm kiếm SKU, Then hiển thị tồn khả dụng và ghi chú 'Dữ liệu tính đến &lt;thời điểm đồng bộ&gt;'.</t>
  </si>
  <si>
    <t xml:space="preserve">US-36</t>
  </si>
  <si>
    <t xml:space="preserve">xem và chỉnh sửa giỏ hàng trước khi chốt đơn</t>
  </si>
  <si>
    <t xml:space="preserve">giảm sai sót khi nhập liệu tại điểm bán</t>
  </si>
  <si>
    <t xml:space="preserve">Given giỏ có 3 dòng SP, When sửa số lượng hoặc xóa dòng, Then tổng tiền cập nhật tức thì và có xác nhận trước khi gửi đơn.</t>
  </si>
  <si>
    <t xml:space="preserve">US-37</t>
  </si>
  <si>
    <t xml:space="preserve">Nhân viên Giao hàng</t>
  </si>
  <si>
    <t xml:space="preserve">xem danh sách đơn cần giao trong ngày</t>
  </si>
  <si>
    <t xml:space="preserve">lập lộ trình giao hàng hiệu quả</t>
  </si>
  <si>
    <t xml:space="preserve">Given có đơn trạng thái 'Đã xuất kho' gán cho tôi, When mở app, Then danh sách hiển thị theo điểm bán kèm địa chỉ và số điện thoại liên hệ.</t>
  </si>
  <si>
    <t xml:space="preserve">US-38</t>
  </si>
  <si>
    <t xml:space="preserve">chụp ảnh chứng từ giao nhận và upload</t>
  </si>
  <si>
    <t xml:space="preserve">có bằng chứng số cho việc giao hàng thành công</t>
  </si>
  <si>
    <t xml:space="preserve">Given đang ở màn chi tiết đơn, When chụp ảnh và bấm Xác nhận giao, Then ảnh được nén trước khi upload lên Cloud Storage và API trả về thành công.</t>
  </si>
  <si>
    <t xml:space="preserve">US-39</t>
  </si>
  <si>
    <t xml:space="preserve">tự động chuyển đơn sang 'Hoàn thành' sau khi upload chứng từ thành công</t>
  </si>
  <si>
    <t xml:space="preserve">khép kín chu trình đơn hàng</t>
  </si>
  <si>
    <t xml:space="preserve">Given upload ảnh thành công, When API trả 200, Then trạng thái đơn chuyển 'Hoàn thành' và ghi Audit trail kèm URL ảnh.</t>
  </si>
  <si>
    <t xml:space="preserve">US-40</t>
  </si>
  <si>
    <t xml:space="preserve">xem lại ảnh chứng từ của đơn đã giao trên Web</t>
  </si>
  <si>
    <t xml:space="preserve">đối soát khi có khiếu nại từ điểm bán</t>
  </si>
  <si>
    <t xml:space="preserve">Given đơn đã Hoàn thành, When mở chi tiết trên Admin Portal, Then hiển thị ảnh chứng từ, người giao và thời điểm giao.</t>
  </si>
  <si>
    <t xml:space="preserve">US-41</t>
  </si>
  <si>
    <t xml:space="preserve">tạo luật khuyến mãi cho hàng cận date dưới dạng cấu hình có điều kiện</t>
  </si>
  <si>
    <t xml:space="preserve">xả hàng sắp hết hạn thay vì phải hủy</t>
  </si>
  <si>
    <t xml:space="preserve">Given lô còn dưới 5 ngày HSD, When tạo rule giảm 20%, Then rule được lưu dạng JSON trong SQL và đẩy lên Redis Cache khi kích hoạt.</t>
  </si>
  <si>
    <t xml:space="preserve">Could</t>
  </si>
  <si>
    <t xml:space="preserve">US-42</t>
  </si>
  <si>
    <t xml:space="preserve">xây Rule Engine Parser đọc JSON chứa toán tử IF/AND/OR</t>
  </si>
  <si>
    <t xml:space="preserve">hỗ trợ luật khuyến mãi linh hoạt mà không phải sửa code</t>
  </si>
  <si>
    <t xml:space="preserve">Given rule 'IF ngày_còn_lại &lt; 5 AND nhóm = Sữa THEN giảm 20%', When đánh giá giỏ hàng, Then engine trả đúng mức giảm cho từng dòng thỏa điều kiện.</t>
  </si>
  <si>
    <t xml:space="preserve">US-43</t>
  </si>
  <si>
    <t xml:space="preserve">thấy giá đã áp khuyến mãi ngay khi thêm hàng cận date vào giỏ</t>
  </si>
  <si>
    <t xml:space="preserve">chốt đơn nhanh và đúng giá</t>
  </si>
  <si>
    <t xml:space="preserve">Given giỏ có SKU thuộc lô cận date, When gọi API calculate-cart, Then trả về đơn giá cuối cùng chính xác với độ trễ p95 dưới 100ms.</t>
  </si>
  <si>
    <t xml:space="preserve">US-44</t>
  </si>
  <si>
    <t xml:space="preserve">đảm bảo SQL là Source of Truth và Redis chỉ là Read Model</t>
  </si>
  <si>
    <t xml:space="preserve">dữ liệu không sai lệch khi Redis mất cache</t>
  </si>
  <si>
    <t xml:space="preserve">Given xóa toàn bộ cache Redis, When gọi lại API calculate-cart, Then hệ thống nạp lại rule từ SQL và trả kết quả đúng, không lỗi.</t>
  </si>
  <si>
    <t xml:space="preserve">US-45</t>
  </si>
  <si>
    <t xml:space="preserve">tải ảnh bao bì sản phẩm ngoại nhập lên hệ thống</t>
  </si>
  <si>
    <t xml:space="preserve">chuẩn bị dữ liệu để sinh nhãn phụ tiếng Việt</t>
  </si>
  <si>
    <t xml:space="preserve">Given ảnh JPG/PNG dưới 10MB, When upload, Then hệ thống lưu ảnh và tạo bản ghi yêu cầu xử lý ở trạng thái 'Chờ xử lý'.</t>
  </si>
  <si>
    <t xml:space="preserve">Sprint 6</t>
  </si>
  <si>
    <t xml:space="preserve">US-46</t>
  </si>
  <si>
    <t xml:space="preserve">trích xuất văn bản từ ảnh bao bì bằng Cloud Vision API (OCR)</t>
  </si>
  <si>
    <t xml:space="preserve">có dữ liệu thô để LLM phân tích</t>
  </si>
  <si>
    <t xml:space="preserve">Given ảnh bao bì tiếng Nhật, When gọi OCR, Then trả về chuỗi văn bản thô và lưu kèm bản ghi để đối chiếu.</t>
  </si>
  <si>
    <t xml:space="preserve">US-47</t>
  </si>
  <si>
    <t xml:space="preserve">gửi văn bản thô sang LLM để bóc tách và dịch thành phần dinh dưỡng</t>
  </si>
  <si>
    <t xml:space="preserve">tự động hóa khâu soạn nhãn phụ thủ công</t>
  </si>
  <si>
    <t xml:space="preserve">Given văn bản OCR, When gọi LLM với prompt chuẩn, Then nhận JSON đầy đủ các trường: tên SP, thành phần, dinh dưỡng, HSD, NSX đã dịch tiếng Việt.</t>
  </si>
  <si>
    <t xml:space="preserve">US-48</t>
  </si>
  <si>
    <t xml:space="preserve">xem trước, chỉnh sửa và duyệt nhãn phụ do AI sinh ra</t>
  </si>
  <si>
    <t xml:space="preserve">chịu trách nhiệm cuối về tính chính xác pháp lý của nhãn</t>
  </si>
  <si>
    <t xml:space="preserve">Given JSON kết quả AI, When mở form duyệt, Then dữ liệu được binding vào từng trường cho phép sửa; bấm Duyệt thì lưu vào hồ sơ sản phẩm.</t>
  </si>
  <si>
    <t xml:space="preserve">US-49</t>
  </si>
  <si>
    <t xml:space="preserve">chụp ảnh quầy kệ tại điểm bán và gửi lên hệ thống</t>
  </si>
  <si>
    <t xml:space="preserve">làm bằng chứng cho việc kiểm toán trưng bày</t>
  </si>
  <si>
    <t xml:space="preserve">Given đang ở chi tiết điểm bán, When chụp và gửi ảnh quầy kệ, Then ảnh được nén, upload thành công và gắn với điểm bán + thời điểm.</t>
  </si>
  <si>
    <t xml:space="preserve">US-50</t>
  </si>
  <si>
    <t xml:space="preserve">gọi Computer Vision nhận diện Bounding Box các nhãn hàng chỉ định</t>
  </si>
  <si>
    <t xml:space="preserve">xác định vị trí và diện tích sản phẩm trên kệ</t>
  </si>
  <si>
    <t xml:space="preserve">Given ảnh quầy kệ, When gọi API Vision, Then trả về danh sách bounding box kèm nhãn và độ tin cậy.</t>
  </si>
  <si>
    <t xml:space="preserve">US-51</t>
  </si>
  <si>
    <t xml:space="preserve">xem chỉ số Share of Shelf theo từng điểm bán</t>
  </si>
  <si>
    <t xml:space="preserve">đánh giá hiệu quả trưng bày của đội Sales</t>
  </si>
  <si>
    <t xml:space="preserve">Given đã có bounding box, When hệ thống tính toán, Then trả về % diện tích trưng bày của nhãn hàng so với khung hình và hiển thị KPI trên Web.</t>
  </si>
  <si>
    <t xml:space="preserve">US-52</t>
  </si>
  <si>
    <t xml:space="preserve">deploy backend .NET lên Azure App Service kết nối Azure SQL</t>
  </si>
  <si>
    <t xml:space="preserve">dựng lại môi trường nhanh khi demo trước hội đồng</t>
  </si>
  <si>
    <t xml:space="preserve">Given pipeline build thành công, When deploy lên Azure, Then API truy cập được qua HTTPS và kết nối đúng Azure SQL; Redis chạy bằng Docker.</t>
  </si>
  <si>
    <t xml:space="preserve">US-53</t>
  </si>
  <si>
    <t xml:space="preserve">có seed data mô phỏng nhà phân phối SME thực tế</t>
  </si>
  <si>
    <t xml:space="preserve">kịch bản demo thuyết phục và chạy được ngay</t>
  </si>
  <si>
    <t xml:space="preserve">Given DB rỗng, When chạy script seed, Then có sẵn ≥5 SKU, ≥15 lô hàng đủ 3 trạng thái, ≥10 điểm bán và ≥20 đơn hàng mẫu.</t>
  </si>
  <si>
    <t xml:space="preserve">US-54</t>
  </si>
  <si>
    <t xml:space="preserve">Hội đồng / Giảng viên</t>
  </si>
  <si>
    <t xml:space="preserve">truy cập được môi trường demo online ổn định</t>
  </si>
  <si>
    <t xml:space="preserve">đánh giá hệ thống không phụ thuộc máy của nhóm</t>
  </si>
  <si>
    <t xml:space="preserve">Given URL demo được cung cấp, When truy cập trong khung giờ bảo vệ, Then hệ thống phản hồi bình thường với tài khoản demo cho từng Role.</t>
  </si>
  <si>
    <t xml:space="preserve">Sprint 7</t>
  </si>
  <si>
    <t xml:space="preserve">Tổng số User Story</t>
  </si>
  <si>
    <t xml:space="preserve">Tổng Story Point</t>
  </si>
  <si>
    <t xml:space="preserve">Story Point ưu tiên Must</t>
  </si>
  <si>
    <t xml:space="preserve">Story Point Should + Could</t>
  </si>
  <si>
    <t xml:space="preserve">Tiến độ hoàn thành (% SP Done)</t>
  </si>
  <si>
    <t xml:space="preserve">Story Point theo Sprint</t>
  </si>
  <si>
    <t xml:space="preserve">CHECKLIST DELIVERABLES THEO TỪNG MỐC BẢO VỆ</t>
  </si>
  <si>
    <t xml:space="preserve">Cột Tuần ghi theo T (tính từ nay). Kế hoạch kết thúc ở HỘI ĐỒNG tại T19 — khối cuối chỉ dùng nếu không đạt. Hạng mục Bắt buộc = Có phải Done trước ngày bảo vệ.</t>
  </si>
  <si>
    <t xml:space="preserve">Mốc</t>
  </si>
  <si>
    <t xml:space="preserve">Tuần</t>
  </si>
  <si>
    <t xml:space="preserve">Hạn nộp</t>
  </si>
  <si>
    <t xml:space="preserve">Hạng mục cần nộp / trình bày</t>
  </si>
  <si>
    <t xml:space="preserve">Bắt buộc?</t>
  </si>
  <si>
    <t xml:space="preserve">Tiêu chí đạt</t>
  </si>
  <si>
    <t xml:space="preserve">HỒ SƠ LẶP HÀNG TUẦN (T1-T19)</t>
  </si>
  <si>
    <t xml:space="preserve">Biên bản họp nhóm đầu tuần</t>
  </si>
  <si>
    <t xml:space="preserve">Tài liệu</t>
  </si>
  <si>
    <t xml:space="preserve">Có</t>
  </si>
  <si>
    <t xml:space="preserve">Mỗi tuần 1 biên bản: mục tiêu tuần, phân công, người vắng. Nộp làm phụ lục báo cáo</t>
  </si>
  <si>
    <t xml:space="preserve">Phiếu theo dõi tiến độ có xác nhận GVHD (T1-T15)</t>
  </si>
  <si>
    <t xml:space="preserve">Đủ 15 phiếu, mỗi phiếu ghi nội dung báo cáo và góp ý của GVHD</t>
  </si>
  <si>
    <t xml:space="preserve">Nhật ký tiến độ cá nhân (số giờ + việc + vướng mắc)</t>
  </si>
  <si>
    <t xml:space="preserve">Mỗi thành viên có nhật ký liên tục, dùng để chứng minh đóng góp cá nhân khi hội đồng hỏi</t>
  </si>
  <si>
    <t xml:space="preserve">Git log &amp; lịch sử Pull Request</t>
  </si>
  <si>
    <t xml:space="preserve">Mã nguồn</t>
  </si>
  <si>
    <t xml:space="preserve">Commit đều đặn theo tuần, mỗi PR có ít nhất 1 người khác duyệt</t>
  </si>
  <si>
    <t xml:space="preserve">File checklist này được cập nhật Status đúng thực tế</t>
  </si>
  <si>
    <t xml:space="preserve">Không có tình trạng Status đứng yên trong khi công việc đã chạy</t>
  </si>
  <si>
    <t xml:space="preserve">Bản nháp báo cáo tăng dần từ CT tuần 4 (T8)</t>
  </si>
  <si>
    <t xml:space="preserve">Mỗi tuần chốt thêm ít nhất 1 mục nhỏ, tránh dồn vào cuối kỳ</t>
  </si>
  <si>
    <t xml:space="preserve">Board Azure DevOps phản ánh đúng tiến độ và bug</t>
  </si>
  <si>
    <t xml:space="preserve">Không có Work Item đứng yên quá 1 tuần trong khi công việc đã chạy</t>
  </si>
  <si>
    <t xml:space="preserve">REVIEW 1 – Chốt Scope &amp; MVP
(CT tuần 3 · T7)</t>
  </si>
  <si>
    <t xml:space="preserve">Scope Statement + bảng MoSCoW đã chốt</t>
  </si>
  <si>
    <t xml:space="preserve">Xác định rõ In-scope / Out-of-scope, mentor đồng ý không mở rộng thêm</t>
  </si>
  <si>
    <t xml:space="preserve">Định nghĩa MVP: tập tính năng tối thiểu chạy được end-to-end</t>
  </si>
  <si>
    <t xml:space="preserve">Liệt kê đúng các Must Have, có luồng demo dự kiến</t>
  </si>
  <si>
    <t xml:space="preserve">Sơ đồ hệ thống + nêu rõ loại mô hình kiến trúc</t>
  </si>
  <si>
    <t xml:space="preserve">Sơ đồ</t>
  </si>
  <si>
    <t xml:space="preserve">Vẽ Modular Monolith + Clean Architecture, giải thích được lý do chọn thay vì Microservices</t>
  </si>
  <si>
    <t xml:space="preserve">ERD &amp; Data Dictionary (mô hình Batch/Lot-centric)</t>
  </si>
  <si>
    <t xml:space="preserve">Thể hiện rõ quan hệ SKU – Batch – Inventory – Order Line</t>
  </si>
  <si>
    <t xml:space="preserve">Đặc tả API sơ bộ (OpenAPI/Swagger)</t>
  </si>
  <si>
    <t xml:space="preserve">Liệt kê endpoint chính của 4 phân hệ kèm request/response mẫu</t>
  </si>
  <si>
    <t xml:space="preserve">Code base khởi tạo chạy được</t>
  </si>
  <si>
    <t xml:space="preserve">.NET Solution chia project theo module, CI build pass, có convention commit/branch</t>
  </si>
  <si>
    <t xml:space="preserve">Bảng phân công công việc và Role của 5 thành viên</t>
  </si>
  <si>
    <t xml:space="preserve">Mỗi người có phạm vi rõ ràng, không chồng lấn, khớp với Timeline</t>
  </si>
  <si>
    <t xml:space="preserve">Timeline 15 tuần + kế hoạch Sprint</t>
  </si>
  <si>
    <t xml:space="preserve">Có mốc Review 1/2/3 và 2 lần Hội đồng, có ước lượng Story Point</t>
  </si>
  <si>
    <t xml:space="preserve">Wireframe/Mockup Web &amp; Mobile</t>
  </si>
  <si>
    <t xml:space="preserve">Thiết kế</t>
  </si>
  <si>
    <t xml:space="preserve">Không</t>
  </si>
  <si>
    <t xml:space="preserve">Đủ các màn hình chính để hình dung luồng người dùng</t>
  </si>
  <si>
    <t xml:space="preserve">Slide trình bày Review 1</t>
  </si>
  <si>
    <t xml:space="preserve">Slide</t>
  </si>
  <si>
    <t xml:space="preserve">Dưới 15 slide, tập trung vào bài toán – scope – kiến trúc – phân công</t>
  </si>
  <si>
    <t xml:space="preserve">REVIEW 2 – Thiết kế hệ thống
(CT tuần 8 · T12)</t>
  </si>
  <si>
    <t xml:space="preserve">BA Document hoàn chỉnh (Business Process, Use Case, SRS)</t>
  </si>
  <si>
    <t xml:space="preserve">Đủ luồng nghiệp vụ 4 phân hệ, có Activity Diagram cho luồng FEFO</t>
  </si>
  <si>
    <t xml:space="preserve">Thiết kế hệ thống chi tiết: phân rã module, sequence diagram</t>
  </si>
  <si>
    <t xml:space="preserve">Có Sequence Diagram cho luồng Duyệt đơn → Phân bổ FEFO → Trừ kho</t>
  </si>
  <si>
    <t xml:space="preserve">ERD final + script migration</t>
  </si>
  <si>
    <t xml:space="preserve">Migration chạy được từ DB rỗng lên schema đầy đủ</t>
  </si>
  <si>
    <t xml:space="preserve">API Spec final (Swagger UI truy cập được)</t>
  </si>
  <si>
    <t xml:space="preserve">Toàn bộ endpoint Must Have đã implement và test được trên Swagger</t>
  </si>
  <si>
    <t xml:space="preserve">Demo Core: Nhập kho → sinh Batch → Lên đơn → FEFO trừ kho</t>
  </si>
  <si>
    <t xml:space="preserve">Demo</t>
  </si>
  <si>
    <t xml:space="preserve">Chạy end-to-end không lỗi chặn trên môi trường dev</t>
  </si>
  <si>
    <t xml:space="preserve">Bằng chứng xử lý Concurrency (Optimistic Locking)</t>
  </si>
  <si>
    <t xml:space="preserve">Chạy test 2 request đồng thời, cho thấy 1 thành công và 1 fallback, không âm kho</t>
  </si>
  <si>
    <t xml:space="preserve">Demo luồng O2O: tạo đơn offline và tự đồng bộ khi có mạng</t>
  </si>
  <si>
    <t xml:space="preserve">Bật máy bay tạo đơn, tắt máy bay đơn tự lên server</t>
  </si>
  <si>
    <t xml:space="preserve">Sơn, Hoàng</t>
  </si>
  <si>
    <t xml:space="preserve">Báo cáo Unit test + Integration test luồng Must Have</t>
  </si>
  <si>
    <t xml:space="preserve">Có coverage report và danh sách test case đã pass</t>
  </si>
  <si>
    <t xml:space="preserve">Slide trình bày Review 2</t>
  </si>
  <si>
    <t xml:space="preserve">Tập trung vào thiết kế hệ thống và chứng minh phần lõi nghiệp vụ đã chạy</t>
  </si>
  <si>
    <t xml:space="preserve">REVIEW 3 – Bảo vệ thử
(CT tuần 11 · T15)</t>
  </si>
  <si>
    <t xml:space="preserve">Danh sách phần ĐÃ hoàn thành và ĐANG thực hiện</t>
  </si>
  <si>
    <t xml:space="preserve">Bảng đối chiếu Feature List với Status thực tế, trung thực và có bằng chứng</t>
  </si>
  <si>
    <t xml:space="preserve">Toàn bộ tính năng Must Have hoạt động</t>
  </si>
  <si>
    <t xml:space="preserve">100% Must Have đạt Definition of Done trong sheet Feature List</t>
  </si>
  <si>
    <t xml:space="preserve">Các tính năng Nice to Have đã ghép được (Dashboard, Redis, POD, AI)</t>
  </si>
  <si>
    <t xml:space="preserve">Ít nhất 3/5 Nice to Have chạy được ở mức demo</t>
  </si>
  <si>
    <t xml:space="preserve">Báo cáo Load test JMeter/K6</t>
  </si>
  <si>
    <t xml:space="preserve">100 request đồng thời vào 1 lô: 0 bản ghi âm kho, có biểu đồ latency</t>
  </si>
  <si>
    <t xml:space="preserve">Bug log và kế hoạch xử lý</t>
  </si>
  <si>
    <t xml:space="preserve">Phân loại bug theo mức nghiêm trọng, có người chịu trách nhiệm và hạn xử lý</t>
  </si>
  <si>
    <t xml:space="preserve">Bản nháp Báo cáo đồ án</t>
  </si>
  <si>
    <t xml:space="preserve">Đủ khung chương mục, tối thiểu 60% nội dung</t>
  </si>
  <si>
    <t xml:space="preserve">Slide bảo vệ thử + tập dry-run</t>
  </si>
  <si>
    <t xml:space="preserve">Dry-run ít nhất 1 lượt đủ thời lượng, phân vai trình bày rõ ràng</t>
  </si>
  <si>
    <t xml:space="preserve">Lưu ý: từ mốc này nhóm tự chủ, không còn mentor quản lý</t>
  </si>
  <si>
    <t xml:space="preserve">Ghi chú</t>
  </si>
  <si>
    <t xml:space="preserve">Nhóm tự lập kế hoạch và tự kiểm soát chất lượng cho 2 lần Hội đồng</t>
  </si>
  <si>
    <t xml:space="preserve">HỘI ĐỒNG – BẢO VỆ CHÍNH THỨC
(CT tuần 15 · T19)</t>
  </si>
  <si>
    <t xml:space="preserve">Báo cáo đồ án hoàn chỉnh (Thesis)</t>
  </si>
  <si>
    <t xml:space="preserve">Đúng format nhà trường, đủ chương, có tài liệu tham khảo và phụ lục</t>
  </si>
  <si>
    <t xml:space="preserve">Tài liệu hướng dẫn sử dụng (User Manual)</t>
  </si>
  <si>
    <t xml:space="preserve">Hướng dẫn theo từng Role, có ảnh chụp màn hình</t>
  </si>
  <si>
    <t xml:space="preserve">Deployment Guide + môi trường demo online</t>
  </si>
  <si>
    <t xml:space="preserve">Hướng dẫn deploy lên Azure App Service + Azure SQL; URL demo chạy ổn định; APK Flutter cài được</t>
  </si>
  <si>
    <t xml:space="preserve">Mã nguồn bàn giao (repo + hướng dẫn build)</t>
  </si>
  <si>
    <t xml:space="preserve">Repo sạch, không hardcode secret, README đầy đủ</t>
  </si>
  <si>
    <t xml:space="preserve">Seed data + kịch bản demo end-to-end</t>
  </si>
  <si>
    <t xml:space="preserve">Kịch bản demo dài 10–15 phút, dry-run 3 lượt không gặp blocker</t>
  </si>
  <si>
    <t xml:space="preserve">Slide bảo vệ chính thức</t>
  </si>
  <si>
    <t xml:space="preserve">Bám sát tiêu chí chấm điểm, phân vai và canh thời gian chính xác</t>
  </si>
  <si>
    <t xml:space="preserve">Xuất báo cáo tiến độ &amp; bug từ Azure DevOps</t>
  </si>
  <si>
    <t xml:space="preserve">Biểu đồ burndown và thống kê bug làm bằng chứng quá trình làm việc</t>
  </si>
  <si>
    <t xml:space="preserve">Ngân hàng câu hỏi Q&amp;A dự kiến</t>
  </si>
  <si>
    <t xml:space="preserve">Tối thiểu 20 câu hỏi kỹ thuật/nghiệp vụ kèm câu trả lời đã thống nhất</t>
  </si>
  <si>
    <t xml:space="preserve">Báo cáo kiểm thử tổng hợp</t>
  </si>
  <si>
    <t xml:space="preserve">Gồm unit, integration, load test và regression test</t>
  </si>
  <si>
    <t xml:space="preserve">[DỰ PHÒNG] HỘI ĐỒNG LẦN 2
CHỈ khi không đạt lần 1 (T23)</t>
  </si>
  <si>
    <t xml:space="preserve">Bảng đối chiếu feedback Hội đồng và cách xử lý</t>
  </si>
  <si>
    <t xml:space="preserve">Mỗi góp ý có trạng thái: Đã sửa / Không áp dụng kèm lý do</t>
  </si>
  <si>
    <t xml:space="preserve">Release v2.0 đã fix bug và bổ sung tính năng theo yêu cầu</t>
  </si>
  <si>
    <t xml:space="preserve">Toàn bộ bug mức Critical/High đã đóng</t>
  </si>
  <si>
    <t xml:space="preserve">Báo cáo đồ án bản cập nhật</t>
  </si>
  <si>
    <t xml:space="preserve">Đã sửa theo góp ý hội đồng, có changelog nêu rõ phần đã sửa</t>
  </si>
  <si>
    <t xml:space="preserve">Slide cập nhật nhấn mạnh phần cải tiến</t>
  </si>
  <si>
    <t xml:space="preserve">Có slide riêng 'Chúng tôi đã thay đổi gì sau Hội đồng 1'</t>
  </si>
  <si>
    <t xml:space="preserve">Báo cáo kiểm thử hồi quy lần cuối</t>
  </si>
  <si>
    <t xml:space="preserve">Chứng minh việc sửa lỗi không làm hỏng tính năng cũ</t>
  </si>
  <si>
    <t xml:space="preserve">Dry-run bảo vệ lần cuối</t>
  </si>
  <si>
    <t xml:space="preserve">Ít nhất 2 lượt dry-run đủ thời lượng trước ngày bảo vệ</t>
  </si>
  <si>
    <t xml:space="preserve">Ghi chú: khối này CHỈ kích hoạt nếu không đạt Hội đồng lần 1</t>
  </si>
  <si>
    <t xml:space="preserve">Điểm Hội đồng 2 ≈ 80% điểm thực tế. Mục tiêu của nhóm là không bao giờ phải dùng tới khối này</t>
  </si>
  <si>
    <t xml:space="preserve">Tổng số hạng mục</t>
  </si>
  <si>
    <t xml:space="preserve">Số hạng mục bắt buộc</t>
  </si>
  <si>
    <t xml:space="preserve">Tiến độ hạng mục bắt buộc (% Done)</t>
  </si>
  <si>
    <t xml:space="preserve">PLAN B – KỊCH BẢN CẮT SCOPE &amp; SỔ THEO DÕI RỦI RO</t>
  </si>
  <si>
    <t xml:space="preserve">Chỉ có MỘT buổi Hội đồng trong kế hoạch (T19 · CT tuần 15). Hội đồng lần 2 là hệ quả của việc không đạt, không phải mốc để trông chờ. Thà nộp ít tính năng nhưng chạy hoàn chỉnh, còn hơn nhiều tính năng dở dang. Số tuần dưới đây là TUẦN CHÍNH THỨC (W).</t>
  </si>
  <si>
    <t xml:space="preserve">1. NGUYÊN TẮC KHÔNG BAO GIỜ ĐƯỢC CẮT</t>
  </si>
  <si>
    <t xml:space="preserve">Lý do bắt buộc giữ</t>
  </si>
  <si>
    <t xml:space="preserve">A1 – Duyệt phiếu nhập kho</t>
  </si>
  <si>
    <t xml:space="preserve">Không có dữ liệu đầu vào thì không có gì để chạy FEFO</t>
  </si>
  <si>
    <t xml:space="preserve">A2 – Batch/Lot &amp; Date-tracker</t>
  </si>
  <si>
    <t xml:space="preserve">Là điều kiện tiên quyết về mặt dữ liệu để thuật toán FEFO tồn tại</t>
  </si>
  <si>
    <t xml:space="preserve">B1 – Order Lifecycle</t>
  </si>
  <si>
    <t xml:space="preserve">Không có luồng đơn thì không demo được end-to-end trước hội đồng</t>
  </si>
  <si>
    <t xml:space="preserve">B2 – Thuật toán FEFO + Optimistic Locking</t>
  </si>
  <si>
    <t xml:space="preserve">Đây chính là điểm khác biệt học thuật của đồ án. Cắt cái này là cắt mất đề tài</t>
  </si>
  <si>
    <t xml:space="preserve">C1 – Lên đơn Mobile Offline (O2O)</t>
  </si>
  <si>
    <t xml:space="preserve">Là phần chứng minh năng lực kỹ thuật của mảng Mobile trong nhóm</t>
  </si>
  <si>
    <t xml:space="preserve">Báo cáo đồ án + demo end-to-end chạy được</t>
  </si>
  <si>
    <t xml:space="preserve">Hội đồng chấm trên tài liệu và buổi demo, không chấm trên số dòng code</t>
  </si>
  <si>
    <t xml:space="preserve">2. THANG CẮT SCOPE THEO MỨC ĐỘ TRỄ</t>
  </si>
  <si>
    <t xml:space="preserve">Mức</t>
  </si>
  <si>
    <t xml:space="preserve">Điều kiện kích hoạt</t>
  </si>
  <si>
    <t xml:space="preserve">Hành động cụ thể</t>
  </si>
  <si>
    <t xml:space="preserve">Hệ quả với hệ thống</t>
  </si>
  <si>
    <t xml:space="preserve">Cách giải trình trước hội đồng</t>
  </si>
  <si>
    <t xml:space="preserve">Ai quyết định</t>
  </si>
  <si>
    <t xml:space="preserve">Đã kích hoạt?</t>
  </si>
  <si>
    <t xml:space="preserve">Mức 0
An toàn</t>
  </si>
  <si>
    <t xml:space="preserve">Hết CT tuần 7 (T11) thuật toán FEFO trừ dồn đã chạy đúng</t>
  </si>
  <si>
    <t xml:space="preserve">Giữ nguyên toàn bộ phạm vi, tiếp tục theo timeline</t>
  </si>
  <si>
    <t xml:space="preserve">Đủ 5 Must Have + 5 Nice to Have</t>
  </si>
  <si>
    <t xml:space="preserve">Trình bày đầy đủ như đề xuất ban đầu</t>
  </si>
  <si>
    <t xml:space="preserve">Chưa</t>
  </si>
  <si>
    <t xml:space="preserve">Mức 1
Cảnh báo</t>
  </si>
  <si>
    <t xml:space="preserve">Hết CT tuần 7 (T11) mà FEFO chưa trừ dồn đúng qua nhiều lô</t>
  </si>
  <si>
    <t xml:space="preserve">Hoãn A3 (AI nhãn phụ) và C3 (AI trưng bày). Dồn Nhân + Khiết cùng làm B2 theo cặp</t>
  </si>
  <si>
    <t xml:space="preserve">Bỏ 2 tính năng AI, giữ Dashboard và Redis</t>
  </si>
  <si>
    <t xml:space="preserve">Nêu rõ đây là quyết định ưu tiên chiều sâu thuật toán thay vì bề rộng tính năng</t>
  </si>
  <si>
    <t xml:space="preserve">Mức 2
Nguy hiểm</t>
  </si>
  <si>
    <t xml:space="preserve">Hết CT tuần 9 (T13) mà Optimistic Locking chưa pass test tương tranh</t>
  </si>
  <si>
    <t xml:space="preserve">Cắt thêm D1 (Promotion Engine Redis). Giữ Dashboard vì rẻ công và ghi điểm trực quan</t>
  </si>
  <si>
    <t xml:space="preserve">Chỉ còn Must Have + Dashboard + POD</t>
  </si>
  <si>
    <t xml:space="preserve">Trình bày Redis như hướng phát triển tương lai, có thiết kế nhưng chưa triển khai</t>
  </si>
  <si>
    <t xml:space="preserve">Mức 3
Khẩn cấp</t>
  </si>
  <si>
    <t xml:space="preserve">Hết CT tuần 11 (T15) vẫn còn Must Have chưa đạt Definition of Done</t>
  </si>
  <si>
    <t xml:space="preserve">Cắt toàn bộ Nice to Have. Rút Dashboard xuống 1 biểu đồ + 1 bảng. Toàn nhóm dồn vào Must Have</t>
  </si>
  <si>
    <t xml:space="preserve">Chỉ còn đúng 5 Must Have chạy hoàn chỉnh</t>
  </si>
  <si>
    <t xml:space="preserve">Nhấn mạnh chất lượng và độ hoàn thiện của phần lõi, kèm bằng chứng load test</t>
  </si>
  <si>
    <t xml:space="preserve">Mức 4
Đóng băng</t>
  </si>
  <si>
    <t xml:space="preserve">Từ CT tuần 14 (T18) trở đi</t>
  </si>
  <si>
    <t xml:space="preserve">ĐÓNG BĂNG tính năng. Chỉ được fix bug, viết tài liệu, luyện trình bày và chuẩn bị demo dự phòng</t>
  </si>
  <si>
    <t xml:space="preserve">Không thêm dòng code tính năng mới</t>
  </si>
  <si>
    <t xml:space="preserve">Không cần giải trình — đây là kỷ luật chuẩn trước mọi buổi bảo vệ</t>
  </si>
  <si>
    <t xml:space="preserve">3. SỔ THEO DÕI TUẦN ĐỆM (BUFFER REGISTER)</t>
  </si>
  <si>
    <t xml:space="preserve">Tuần đệm</t>
  </si>
  <si>
    <t xml:space="preserve">Nằm ở tuần</t>
  </si>
  <si>
    <t xml:space="preserve">Dùng để bù cho</t>
  </si>
  <si>
    <t xml:space="preserve">Điều kiện được dùng</t>
  </si>
  <si>
    <t xml:space="preserve">Nếu KHÔNG cần dùng thì làm gì</t>
  </si>
  <si>
    <t xml:space="preserve">B0</t>
  </si>
  <si>
    <t xml:space="preserve">Đệm GĐ 0 (chạy sớm)</t>
  </si>
  <si>
    <t xml:space="preserve">T4 · CB4</t>
  </si>
  <si>
    <t xml:space="preserve">Trễ phần chạy sớm: spike kỹ thuật, bản nháp tài liệu, base code</t>
  </si>
  <si>
    <t xml:space="preserve">Chỉ dùng khi bước vào tuần chính thức mà còn nợ việc</t>
  </si>
  <si>
    <t xml:space="preserve">Bắt đầu sớm phần chốt Scope và ERD của CT tuần 1</t>
  </si>
  <si>
    <t xml:space="preserve">Chưa dùng</t>
  </si>
  <si>
    <t xml:space="preserve">Đệm GĐ 1</t>
  </si>
  <si>
    <t xml:space="preserve">T7 · CT W3</t>
  </si>
  <si>
    <t xml:space="preserve">Trễ tài liệu BA, ERD, API Spec hoặc base code</t>
  </si>
  <si>
    <t xml:space="preserve">Chỉ dùng khi có hạng mục bắt buộc của Review 1 chưa xong</t>
  </si>
  <si>
    <t xml:space="preserve">Bắt đầu sớm phần Auth và schema của CT tuần 4</t>
  </si>
  <si>
    <t xml:space="preserve">Đệm GĐ 2</t>
  </si>
  <si>
    <t xml:space="preserve">T12 · CT W8</t>
  </si>
  <si>
    <t xml:space="preserve">Trễ FEFO, Optimistic Locking hoặc đồng bộ O2O</t>
  </si>
  <si>
    <t xml:space="preserve">Chỉ dùng cho 3 hạng mục rủi ro cao nhất, không dùng cho việc khác</t>
  </si>
  <si>
    <t xml:space="preserve">Viết thêm test case và bắt đầu Dashboard sớm</t>
  </si>
  <si>
    <t xml:space="preserve">Đệm GĐ 3</t>
  </si>
  <si>
    <t xml:space="preserve">T15 · CT W11</t>
  </si>
  <si>
    <t xml:space="preserve">Bug chặn phát sinh khi ghép Nice to Have</t>
  </si>
  <si>
    <t xml:space="preserve">Chỉ dùng để đóng bug, tuyệt đối không ghép thêm tính năng mới</t>
  </si>
  <si>
    <t xml:space="preserve">Luyện demo và viết trước chương kiểm thử của báo cáo</t>
  </si>
  <si>
    <t xml:space="preserve">B4</t>
  </si>
  <si>
    <t xml:space="preserve">Đệm trước Hội đồng</t>
  </si>
  <si>
    <t xml:space="preserve">T18–T19 · CT W14–15</t>
  </si>
  <si>
    <t xml:space="preserve">Hoàn thiện báo cáo, slide và xử lý sự cố phút chót</t>
  </si>
  <si>
    <t xml:space="preserve">Mặc định luôn dùng — đây là thời gian đóng băng tính năng</t>
  </si>
  <si>
    <t xml:space="preserve">Tăng số lượt dry-run lên 4–5 lượt</t>
  </si>
  <si>
    <t xml:space="preserve">B5</t>
  </si>
  <si>
    <t xml:space="preserve">[Dự phòng] Đệm trước Hội đồng 2</t>
  </si>
  <si>
    <t xml:space="preserve">T22–T23</t>
  </si>
  <si>
    <t xml:space="preserve">Kiểm thử hồi quy và chuẩn bị demo dự phòng — CHỈ khi không đạt lần 1</t>
  </si>
  <si>
    <t xml:space="preserve">Chỉ kích hoạt khi trượt Hội đồng lần 1</t>
  </si>
  <si>
    <t xml:space="preserve">Không dùng tới — đây là kịch bản nhóm muốn tránh</t>
  </si>
  <si>
    <t xml:space="preserve">4. SỔ RỦI RO (RISK REGISTER)</t>
  </si>
  <si>
    <t xml:space="preserve">Rủi ro</t>
  </si>
  <si>
    <t xml:space="preserve">Khả năng xảy ra</t>
  </si>
  <si>
    <t xml:space="preserve">Mức ảnh hưởng</t>
  </si>
  <si>
    <t xml:space="preserve">Dấu hiệu nhận biết sớm</t>
  </si>
  <si>
    <t xml:space="preserve">Phương án phòng ngừa / xử lý</t>
  </si>
  <si>
    <t xml:space="preserve">Người theo dõi</t>
  </si>
  <si>
    <t xml:space="preserve">R1</t>
  </si>
  <si>
    <t xml:space="preserve">Thuật toán FEFO và Optimistic Locking chỉ một người nắm (Nhân)</t>
  </si>
  <si>
    <t xml:space="preserve">Nhân trễ 2 tuần liên tiếp ở nhóm task B2, hoặc vắng họp</t>
  </si>
  <si>
    <t xml:space="preserve">Pair-programming với Khiết từ CT tuần 6 (T10). Bắt buộc review chéo hàng tuần. Nhân phải viết tài liệu giải thích thuật toán</t>
  </si>
  <si>
    <t xml:space="preserve">R2</t>
  </si>
  <si>
    <t xml:space="preserve">Luồng đồng bộ offline khó test, dễ có bug ẩn gây mất đơn</t>
  </si>
  <si>
    <t xml:space="preserve">Có đơn biến mất sau khi flush queue, hoặc bị đồng bộ trùng</t>
  </si>
  <si>
    <t xml:space="preserve">Viết test tự động cho OfflineQueue ngay từ CT tuần 6 (T10). Log đầy đủ mọi lần sync. Thiết kế API idempotent để chống trùng</t>
  </si>
  <si>
    <t xml:space="preserve">R3</t>
  </si>
  <si>
    <t xml:space="preserve">Hết hạn mức Azure for Students hoặc quota API AI bên thứ ba</t>
  </si>
  <si>
    <t xml:space="preserve">Bị lỗi 429, hoặc kết quả OCR sai nhiều</t>
  </si>
  <si>
    <t xml:space="preserve">Theo dõi hạn mức hàng tuần. Cache sẵn kết quả vài ảnh mẫu để demo. Có phương án dự phòng chạy SQL Server local bằng Docker</t>
  </si>
  <si>
    <t xml:space="preserve">R4</t>
  </si>
  <si>
    <t xml:space="preserve">Thành viên bận đột xuất: ốm, việc gia đình, thực tập</t>
  </si>
  <si>
    <t xml:space="preserve">Vắng 2 buổi họp liên tiếp hoặc không commit trong 1 tuần</t>
  </si>
  <si>
    <t xml:space="preserve">Mỗi module có 1 người backup nắm sơ bộ. Code phải có README. Báo sớm ở họp đầu tuần để chia lại việc</t>
  </si>
  <si>
    <t xml:space="preserve">R5</t>
  </si>
  <si>
    <t xml:space="preserve">Scope creep – tự ý thêm tính năng giữa chừng cho 'đẹp'</t>
  </si>
  <si>
    <t xml:space="preserve">Xuất hiện task không có trong sheet '4. Feature List'</t>
  </si>
  <si>
    <t xml:space="preserve">Mọi thay đổi phải qua Cổng quyết định và ghi vào Change Log. Nguyên tắc: chỉ thêm khi đã cắt bớt thứ khác</t>
  </si>
  <si>
    <t xml:space="preserve">R6</t>
  </si>
  <si>
    <t xml:space="preserve">Báo cáo đồ án bị dồn vào phút chót, chất lượng thấp</t>
  </si>
  <si>
    <t xml:space="preserve">Đến CT tuần 12 (T16) vẫn chưa có chương nào hoàn chỉnh</t>
  </si>
  <si>
    <t xml:space="preserve">Viết song song từ CT tuần 4 (T8), mỗi tuần chốt 1 mục nhỏ (xem dòng 'Viết dần Báo cáo' ở sheet Timeline)</t>
  </si>
  <si>
    <t xml:space="preserve">R7</t>
  </si>
  <si>
    <t xml:space="preserve">Demo hỏng ngay tại buổi bảo vệ (mất mạng, server sập)</t>
  </si>
  <si>
    <t xml:space="preserve">Dry-run gặp lỗi ngẫu nhiên không tái hiện được</t>
  </si>
  <si>
    <t xml:space="preserve">Chuẩn bị video demo dự phòng + môi trường chạy local trên laptop. Luôn có seed data sạch để reset nhanh</t>
  </si>
  <si>
    <t xml:space="preserve">R8</t>
  </si>
  <si>
    <t xml:space="preserve">Mâu thuẫn nội bộ về khối lượng công việc và phân công</t>
  </si>
  <si>
    <t xml:space="preserve">Có task tồn đọng không ai nhận trong 2 tuần liền</t>
  </si>
  <si>
    <t xml:space="preserve">Họp đầu tuần chốt rõ chủ sở hữu từng task. Nhật ký giờ làm giúp nhìn thấy tải thực tế. Nhờ GVHD làm trọng tài nếu cần</t>
  </si>
  <si>
    <t xml:space="preserve">5. CHANGE LOG – GHI LẠI MỌI THAY ĐỔI PHẠM VI</t>
  </si>
  <si>
    <t xml:space="preserve">Ngày</t>
  </si>
  <si>
    <t xml:space="preserve">Thay đổi gì</t>
  </si>
  <si>
    <t xml:space="preserve">Lý do</t>
  </si>
  <si>
    <t xml:space="preserve">Ảnh hưởng tới tính năng nào</t>
  </si>
  <si>
    <t xml:space="preserve">Ai duyệt</t>
  </si>
  <si>
    <t xml:space="preserve">↑ Vùng tô vàng là chỗ nhóm tự điền trong quá trình chạy dự án</t>
  </si>
</sst>
</file>

<file path=xl/styles.xml><?xml version="1.0" encoding="utf-8"?>
<styleSheet xmlns="http://schemas.openxmlformats.org/spreadsheetml/2006/main">
  <numFmts count="4">
    <numFmt numFmtId="164" formatCode="General"/>
    <numFmt numFmtId="165" formatCode="dd\-mmm"/>
    <numFmt numFmtId="166" formatCode="dd/mm/yyyy"/>
    <numFmt numFmtId="167" formatCode="0.0%"/>
  </numFmts>
  <fonts count="26">
    <font>
      <sz val="11"/>
      <color theme="1"/>
      <name val="Calibri"/>
      <family val="2"/>
      <charset val="1"/>
    </font>
    <font>
      <sz val="10"/>
      <name val="Arial"/>
      <family val="0"/>
    </font>
    <font>
      <sz val="10"/>
      <name val="Arial"/>
      <family val="0"/>
    </font>
    <font>
      <sz val="10"/>
      <name val="Arial"/>
      <family val="0"/>
    </font>
    <font>
      <b val="true"/>
      <sz val="15"/>
      <color rgb="FFFFFFFF"/>
      <name val="Arial"/>
      <family val="0"/>
      <charset val="1"/>
    </font>
    <font>
      <i val="true"/>
      <sz val="9"/>
      <color rgb="FF404040"/>
      <name val="Arial"/>
      <family val="0"/>
      <charset val="1"/>
    </font>
    <font>
      <b val="true"/>
      <sz val="10"/>
      <color rgb="FFFFFFFF"/>
      <name val="Arial"/>
      <family val="0"/>
      <charset val="1"/>
    </font>
    <font>
      <b val="true"/>
      <sz val="8"/>
      <color rgb="FF000000"/>
      <name val="Arial"/>
      <family val="0"/>
      <charset val="1"/>
    </font>
    <font>
      <b val="true"/>
      <sz val="9"/>
      <color rgb="FFFFFFFF"/>
      <name val="Arial"/>
      <family val="0"/>
      <charset val="1"/>
    </font>
    <font>
      <sz val="9"/>
      <color rgb="FF000000"/>
      <name val="Arial"/>
      <family val="0"/>
      <charset val="1"/>
    </font>
    <font>
      <i val="true"/>
      <sz val="9"/>
      <color rgb="FF7F6000"/>
      <name val="Arial"/>
      <family val="0"/>
      <charset val="1"/>
    </font>
    <font>
      <b val="true"/>
      <sz val="9"/>
      <color rgb="FFC00000"/>
      <name val="Arial"/>
      <family val="0"/>
      <charset val="1"/>
    </font>
    <font>
      <b val="true"/>
      <sz val="9"/>
      <color rgb="FF7F6000"/>
      <name val="Arial"/>
      <family val="0"/>
      <charset val="1"/>
    </font>
    <font>
      <b val="true"/>
      <sz val="10"/>
      <name val="Arial"/>
      <family val="0"/>
      <charset val="1"/>
    </font>
    <font>
      <b val="true"/>
      <sz val="9"/>
      <color rgb="FF2F5597"/>
      <name val="Arial"/>
      <family val="0"/>
      <charset val="1"/>
    </font>
    <font>
      <sz val="9"/>
      <name val="Arial"/>
      <family val="0"/>
      <charset val="1"/>
    </font>
    <font>
      <b val="true"/>
      <sz val="11"/>
      <color rgb="FFFFFFFF"/>
      <name val="Arial"/>
      <family val="0"/>
      <charset val="1"/>
    </font>
    <font>
      <b val="true"/>
      <sz val="9"/>
      <name val="Arial"/>
      <family val="0"/>
      <charset val="1"/>
    </font>
    <font>
      <b val="true"/>
      <sz val="9"/>
      <color rgb="FF000000"/>
      <name val="Arial"/>
      <family val="0"/>
      <charset val="1"/>
    </font>
    <font>
      <sz val="9"/>
      <color rgb="FFC00000"/>
      <name val="Arial"/>
      <family val="0"/>
      <charset val="1"/>
    </font>
    <font>
      <sz val="9"/>
      <color rgb="FF7F6000"/>
      <name val="Arial"/>
      <family val="0"/>
      <charset val="1"/>
    </font>
    <font>
      <b val="true"/>
      <i val="true"/>
      <sz val="9"/>
      <color rgb="FF595959"/>
      <name val="Arial"/>
      <family val="0"/>
      <charset val="1"/>
    </font>
    <font>
      <i val="true"/>
      <sz val="9"/>
      <color rgb="FF595959"/>
      <name val="Arial"/>
      <family val="0"/>
      <charset val="1"/>
    </font>
    <font>
      <b val="true"/>
      <sz val="10"/>
      <color rgb="FFC00000"/>
      <name val="Arial"/>
      <family val="0"/>
      <charset val="1"/>
    </font>
    <font>
      <i val="true"/>
      <sz val="9"/>
      <color rgb="FFC00000"/>
      <name val="Arial"/>
      <family val="0"/>
      <charset val="1"/>
    </font>
    <font>
      <b val="true"/>
      <sz val="10"/>
      <color rgb="FF2F5597"/>
      <name val="Arial"/>
      <family val="0"/>
      <charset val="1"/>
    </font>
  </fonts>
  <fills count="26">
    <fill>
      <patternFill patternType="none"/>
    </fill>
    <fill>
      <patternFill patternType="gray125"/>
    </fill>
    <fill>
      <patternFill patternType="solid">
        <fgColor rgb="FF1F3864"/>
        <bgColor rgb="FF404040"/>
      </patternFill>
    </fill>
    <fill>
      <patternFill patternType="solid">
        <fgColor rgb="FFF2F2F2"/>
        <bgColor rgb="FFFFF9E6"/>
      </patternFill>
    </fill>
    <fill>
      <patternFill patternType="solid">
        <fgColor rgb="FF2F5597"/>
        <bgColor rgb="FF2E75B6"/>
      </patternFill>
    </fill>
    <fill>
      <patternFill patternType="solid">
        <fgColor rgb="FFBDD7EE"/>
        <bgColor rgb="FFD9D9D9"/>
      </patternFill>
    </fill>
    <fill>
      <patternFill patternType="solid">
        <fgColor rgb="FFFFC000"/>
        <bgColor rgb="FFFFD966"/>
      </patternFill>
    </fill>
    <fill>
      <patternFill patternType="solid">
        <fgColor rgb="FFBFBFBF"/>
        <bgColor rgb="FFB7B7B7"/>
      </patternFill>
    </fill>
    <fill>
      <patternFill patternType="solid">
        <fgColor rgb="FFDDEBF7"/>
        <bgColor rgb="FFE2EFDA"/>
      </patternFill>
    </fill>
    <fill>
      <patternFill patternType="solid">
        <fgColor rgb="FFFFE699"/>
        <bgColor rgb="FFFFE0B2"/>
      </patternFill>
    </fill>
    <fill>
      <patternFill patternType="solid">
        <fgColor rgb="FF7F7F7F"/>
        <bgColor rgb="FF595959"/>
      </patternFill>
    </fill>
    <fill>
      <patternFill patternType="solid">
        <fgColor rgb="FF8FAADC"/>
        <bgColor rgb="FFA6A6A6"/>
      </patternFill>
    </fill>
    <fill>
      <patternFill patternType="solid">
        <fgColor rgb="FFFFF9E6"/>
        <bgColor rgb="FFFFFFFF"/>
      </patternFill>
    </fill>
    <fill>
      <patternFill patternType="solid">
        <fgColor rgb="FFFFD966"/>
        <bgColor rgb="FFFFE699"/>
      </patternFill>
    </fill>
    <fill>
      <patternFill patternType="solid">
        <fgColor rgb="FF2E75B6"/>
        <bgColor rgb="FF2F5597"/>
      </patternFill>
    </fill>
    <fill>
      <patternFill patternType="solid">
        <fgColor rgb="FFFCE4E4"/>
        <bgColor rgb="FFF2F2F2"/>
      </patternFill>
    </fill>
    <fill>
      <patternFill patternType="solid">
        <fgColor rgb="FFC00000"/>
        <bgColor rgb="FF800000"/>
      </patternFill>
    </fill>
    <fill>
      <patternFill patternType="solid">
        <fgColor rgb="FFED7D31"/>
        <bgColor rgb="FFFF8080"/>
      </patternFill>
    </fill>
    <fill>
      <patternFill patternType="solid">
        <fgColor rgb="FFFFF2CC"/>
        <bgColor rgb="FFFFF9E6"/>
      </patternFill>
    </fill>
    <fill>
      <patternFill patternType="solid">
        <fgColor rgb="FFBF8F00"/>
        <bgColor rgb="FFED7D31"/>
      </patternFill>
    </fill>
    <fill>
      <patternFill patternType="solid">
        <fgColor rgb="FF00B050"/>
        <bgColor rgb="FF008080"/>
      </patternFill>
    </fill>
    <fill>
      <patternFill patternType="solid">
        <fgColor rgb="FF7030A0"/>
        <bgColor rgb="FF993366"/>
      </patternFill>
    </fill>
    <fill>
      <patternFill patternType="solid">
        <fgColor rgb="FFA6A6A6"/>
        <bgColor rgb="FFB7B7B7"/>
      </patternFill>
    </fill>
    <fill>
      <patternFill patternType="solid">
        <fgColor rgb="FFD9D9D9"/>
        <bgColor rgb="FFBDD7EE"/>
      </patternFill>
    </fill>
    <fill>
      <patternFill patternType="solid">
        <fgColor rgb="FFE2EFDA"/>
        <bgColor rgb="FFDDEBF7"/>
      </patternFill>
    </fill>
    <fill>
      <patternFill patternType="solid">
        <fgColor rgb="FFFFE0B2"/>
        <bgColor rgb="FFFFE699"/>
      </patternFill>
    </fill>
  </fills>
  <borders count="3">
    <border diagonalUp="false" diagonalDown="false">
      <left/>
      <right/>
      <top/>
      <bottom/>
      <diagonal/>
    </border>
    <border diagonalUp="false" diagonalDown="false">
      <left style="thin">
        <color rgb="FFB7B7B7"/>
      </left>
      <right style="thin">
        <color rgb="FFB7B7B7"/>
      </right>
      <top style="thin">
        <color rgb="FFB7B7B7"/>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8" fillId="10" borderId="2" xfId="0" applyFont="true" applyBorder="true" applyAlignment="true" applyProtection="false">
      <alignment horizontal="center" vertical="center" textRotation="90" wrapText="true" indent="0" shrinkToFit="false"/>
      <protection locked="true" hidden="false"/>
    </xf>
    <xf numFmtId="164" fontId="5" fillId="3" borderId="2" xfId="0" applyFont="true" applyBorder="true" applyAlignment="true" applyProtection="false">
      <alignment horizontal="center" vertical="center" textRotation="0" wrapText="fals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5" fontId="5" fillId="3" borderId="2" xfId="0" applyFont="true" applyBorder="true" applyAlignment="true" applyProtection="false">
      <alignment horizontal="center" vertical="center"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 fillId="11" borderId="2" xfId="0" applyFont="true" applyBorder="true" applyAlignment="true" applyProtection="false">
      <alignment horizontal="center" vertical="center" textRotation="90" wrapText="true" indent="0" shrinkToFit="false"/>
      <protection locked="true" hidden="false"/>
    </xf>
    <xf numFmtId="164" fontId="9" fillId="0" borderId="2"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center" textRotation="0" wrapText="tru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4" fontId="0" fillId="11" borderId="2" xfId="0" applyFont="false" applyBorder="true" applyAlignment="false" applyProtection="false">
      <alignment horizontal="general" vertical="bottom" textRotation="0" wrapText="false" indent="0" shrinkToFit="false"/>
      <protection locked="true" hidden="false"/>
    </xf>
    <xf numFmtId="164" fontId="10" fillId="12" borderId="2" xfId="0" applyFont="true" applyBorder="true" applyAlignment="true" applyProtection="false">
      <alignment horizontal="center" vertical="center" textRotation="0" wrapText="false" indent="0" shrinkToFit="false"/>
      <protection locked="true" hidden="false"/>
    </xf>
    <xf numFmtId="164" fontId="10" fillId="12" borderId="2" xfId="0" applyFont="true" applyBorder="true" applyAlignment="true" applyProtection="false">
      <alignment horizontal="left" vertical="center" textRotation="0" wrapText="true" indent="0" shrinkToFit="false"/>
      <protection locked="true" hidden="false"/>
    </xf>
    <xf numFmtId="165" fontId="10" fillId="12" borderId="2" xfId="0" applyFont="true" applyBorder="true" applyAlignment="true" applyProtection="false">
      <alignment horizontal="center" vertical="center" textRotation="0" wrapText="false" indent="0" shrinkToFit="false"/>
      <protection locked="true" hidden="false"/>
    </xf>
    <xf numFmtId="164" fontId="0" fillId="13" borderId="2" xfId="0" applyFont="false" applyBorder="true" applyAlignment="false" applyProtection="false">
      <alignment horizontal="general" vertical="bottom" textRotation="0" wrapText="false" indent="0" shrinkToFit="false"/>
      <protection locked="true" hidden="false"/>
    </xf>
    <xf numFmtId="164" fontId="8" fillId="14" borderId="2" xfId="0" applyFont="true" applyBorder="true" applyAlignment="true" applyProtection="false">
      <alignment horizontal="center" vertical="center" textRotation="90" wrapText="true" indent="0" shrinkToFit="false"/>
      <protection locked="true" hidden="false"/>
    </xf>
    <xf numFmtId="164" fontId="0" fillId="14" borderId="2" xfId="0" applyFont="false" applyBorder="true" applyAlignment="false" applyProtection="false">
      <alignment horizontal="general" vertical="bottom" textRotation="0" wrapText="false" indent="0" shrinkToFit="false"/>
      <protection locked="true" hidden="false"/>
    </xf>
    <xf numFmtId="164" fontId="11" fillId="15" borderId="2" xfId="0" applyFont="true" applyBorder="true" applyAlignment="true" applyProtection="false">
      <alignment horizontal="center" vertical="center" textRotation="0" wrapText="false" indent="0" shrinkToFit="false"/>
      <protection locked="true" hidden="false"/>
    </xf>
    <xf numFmtId="164" fontId="11" fillId="15" borderId="2" xfId="0" applyFont="true" applyBorder="true" applyAlignment="true" applyProtection="false">
      <alignment horizontal="left" vertical="center" textRotation="0" wrapText="true" indent="0" shrinkToFit="false"/>
      <protection locked="true" hidden="false"/>
    </xf>
    <xf numFmtId="165" fontId="11" fillId="15" borderId="2" xfId="0" applyFont="true" applyBorder="true" applyAlignment="true" applyProtection="false">
      <alignment horizontal="center" vertical="center" textRotation="0" wrapText="false" indent="0" shrinkToFit="false"/>
      <protection locked="true" hidden="false"/>
    </xf>
    <xf numFmtId="164" fontId="0" fillId="16" borderId="2" xfId="0" applyFont="false" applyBorder="true" applyAlignment="false" applyProtection="false">
      <alignment horizontal="general" vertical="bottom" textRotation="0" wrapText="false" indent="0" shrinkToFit="false"/>
      <protection locked="true" hidden="false"/>
    </xf>
    <xf numFmtId="164" fontId="8" fillId="17" borderId="2" xfId="0" applyFont="true" applyBorder="true" applyAlignment="true" applyProtection="false">
      <alignment horizontal="center" vertical="center" textRotation="90" wrapText="true" indent="0" shrinkToFit="false"/>
      <protection locked="true" hidden="false"/>
    </xf>
    <xf numFmtId="164" fontId="0" fillId="17" borderId="2" xfId="0" applyFont="false" applyBorder="true" applyAlignment="false" applyProtection="false">
      <alignment horizontal="general" vertical="bottom" textRotation="0" wrapText="false" indent="0" shrinkToFit="false"/>
      <protection locked="true" hidden="false"/>
    </xf>
    <xf numFmtId="164" fontId="12" fillId="18" borderId="2" xfId="0" applyFont="true" applyBorder="true" applyAlignment="true" applyProtection="false">
      <alignment horizontal="center" vertical="center" textRotation="0" wrapText="false" indent="0" shrinkToFit="false"/>
      <protection locked="true" hidden="false"/>
    </xf>
    <xf numFmtId="164" fontId="12" fillId="18" borderId="2" xfId="0" applyFont="true" applyBorder="true" applyAlignment="true" applyProtection="false">
      <alignment horizontal="left" vertical="center" textRotation="0" wrapText="true" indent="0" shrinkToFit="false"/>
      <protection locked="true" hidden="false"/>
    </xf>
    <xf numFmtId="165" fontId="12" fillId="18" borderId="2" xfId="0" applyFont="true" applyBorder="true" applyAlignment="true" applyProtection="false">
      <alignment horizontal="center" vertical="center" textRotation="0" wrapText="false" indent="0" shrinkToFit="false"/>
      <protection locked="true" hidden="false"/>
    </xf>
    <xf numFmtId="164" fontId="0" fillId="19" borderId="2" xfId="0" applyFont="false" applyBorder="true" applyAlignment="false" applyProtection="false">
      <alignment horizontal="general" vertical="bottom" textRotation="0" wrapText="false" indent="0" shrinkToFit="false"/>
      <protection locked="true" hidden="false"/>
    </xf>
    <xf numFmtId="164" fontId="8" fillId="20" borderId="2" xfId="0" applyFont="true" applyBorder="true" applyAlignment="true" applyProtection="false">
      <alignment horizontal="center" vertical="center" textRotation="90" wrapText="true" indent="0" shrinkToFit="false"/>
      <protection locked="true" hidden="false"/>
    </xf>
    <xf numFmtId="164" fontId="0" fillId="20" borderId="2" xfId="0" applyFont="false" applyBorder="true" applyAlignment="false" applyProtection="false">
      <alignment horizontal="general" vertical="bottom" textRotation="0" wrapText="false" indent="0" shrinkToFit="false"/>
      <protection locked="true" hidden="false"/>
    </xf>
    <xf numFmtId="164" fontId="8" fillId="21" borderId="2" xfId="0" applyFont="true" applyBorder="true" applyAlignment="true" applyProtection="false">
      <alignment horizontal="center" vertical="center" textRotation="90" wrapText="true" indent="0" shrinkToFit="false"/>
      <protection locked="true" hidden="false"/>
    </xf>
    <xf numFmtId="164" fontId="0" fillId="21" borderId="2" xfId="0" applyFont="false" applyBorder="true" applyAlignment="false" applyProtection="false">
      <alignment horizontal="general" vertical="bottom" textRotation="0" wrapText="false" indent="0" shrinkToFit="false"/>
      <protection locked="true" hidden="false"/>
    </xf>
    <xf numFmtId="164" fontId="8" fillId="22" borderId="2" xfId="0" applyFont="true" applyBorder="true" applyAlignment="true" applyProtection="false">
      <alignment horizontal="center" vertical="center" textRotation="90" wrapText="true" indent="0" shrinkToFit="false"/>
      <protection locked="true" hidden="false"/>
    </xf>
    <xf numFmtId="164" fontId="0" fillId="22" borderId="2"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4" borderId="0" xfId="0" applyFont="true" applyBorder="true" applyAlignment="true" applyProtection="false">
      <alignment horizontal="left" vertical="center" textRotation="0" wrapText="false" indent="1" shrinkToFit="false"/>
      <protection locked="true" hidden="false"/>
    </xf>
    <xf numFmtId="164" fontId="17" fillId="0" borderId="2" xfId="0" applyFont="true" applyBorder="true" applyAlignment="true" applyProtection="false">
      <alignment horizontal="left" vertical="center" textRotation="0" wrapText="true" indent="1" shrinkToFit="false"/>
      <protection locked="true" hidden="false"/>
    </xf>
    <xf numFmtId="164" fontId="15" fillId="0" borderId="2" xfId="0" applyFont="true" applyBorder="true" applyAlignment="true" applyProtection="false">
      <alignment horizontal="left" vertical="center" textRotation="0" wrapText="true" indent="1" shrinkToFit="false"/>
      <protection locked="true" hidden="false"/>
    </xf>
    <xf numFmtId="164" fontId="6" fillId="4" borderId="2" xfId="0" applyFont="true" applyBorder="true" applyAlignment="true" applyProtection="false">
      <alignment horizontal="center" vertical="center" textRotation="0" wrapText="true" indent="0" shrinkToFit="false"/>
      <protection locked="true" hidden="false"/>
    </xf>
    <xf numFmtId="164" fontId="18" fillId="8" borderId="2" xfId="0" applyFont="true" applyBorder="true" applyAlignment="true" applyProtection="false">
      <alignment horizontal="center" vertical="top" textRotation="0" wrapText="true" indent="0" shrinkToFit="false"/>
      <protection locked="true" hidden="false"/>
    </xf>
    <xf numFmtId="166" fontId="9" fillId="8" borderId="2" xfId="0" applyFont="true" applyBorder="true" applyAlignment="true" applyProtection="false">
      <alignment horizontal="center" vertical="top" textRotation="0" wrapText="true" indent="0" shrinkToFit="false"/>
      <protection locked="true" hidden="false"/>
    </xf>
    <xf numFmtId="164" fontId="9" fillId="8" borderId="2" xfId="0" applyFont="true" applyBorder="true" applyAlignment="true" applyProtection="false">
      <alignment horizontal="left" vertical="top" textRotation="0" wrapText="true" indent="0" shrinkToFit="false"/>
      <protection locked="true" hidden="false"/>
    </xf>
    <xf numFmtId="164" fontId="9" fillId="8" borderId="2" xfId="0" applyFont="true" applyBorder="true" applyAlignment="true" applyProtection="false">
      <alignment horizontal="center" vertical="top" textRotation="0" wrapText="true" indent="0" shrinkToFit="false"/>
      <protection locked="true" hidden="false"/>
    </xf>
    <xf numFmtId="164" fontId="18" fillId="0" borderId="2" xfId="0" applyFont="true" applyBorder="true" applyAlignment="true" applyProtection="false">
      <alignment horizontal="center" vertical="top" textRotation="0" wrapText="true" indent="0" shrinkToFit="false"/>
      <protection locked="true" hidden="false"/>
    </xf>
    <xf numFmtId="164" fontId="18" fillId="18" borderId="2" xfId="0" applyFont="true" applyBorder="true" applyAlignment="true" applyProtection="false">
      <alignment horizontal="center" vertical="top" textRotation="0" wrapText="true" indent="0" shrinkToFit="false"/>
      <protection locked="true" hidden="false"/>
    </xf>
    <xf numFmtId="166" fontId="9" fillId="0" borderId="2" xfId="0" applyFont="true" applyBorder="true" applyAlignment="true" applyProtection="false">
      <alignment horizontal="center"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center" vertical="top" textRotation="0" wrapText="true" indent="0" shrinkToFit="false"/>
      <protection locked="true" hidden="false"/>
    </xf>
    <xf numFmtId="164" fontId="11" fillId="15" borderId="2" xfId="0" applyFont="true" applyBorder="true" applyAlignment="true" applyProtection="false">
      <alignment horizontal="center" vertical="top" textRotation="0" wrapText="true" indent="0" shrinkToFit="false"/>
      <protection locked="true" hidden="false"/>
    </xf>
    <xf numFmtId="166" fontId="19" fillId="15" borderId="2" xfId="0" applyFont="true" applyBorder="true" applyAlignment="true" applyProtection="false">
      <alignment horizontal="center" vertical="top" textRotation="0" wrapText="true" indent="0" shrinkToFit="false"/>
      <protection locked="true" hidden="false"/>
    </xf>
    <xf numFmtId="164" fontId="19" fillId="15" borderId="2" xfId="0" applyFont="true" applyBorder="true" applyAlignment="true" applyProtection="false">
      <alignment horizontal="left" vertical="top" textRotation="0" wrapText="true" indent="0" shrinkToFit="false"/>
      <protection locked="true" hidden="false"/>
    </xf>
    <xf numFmtId="164" fontId="19" fillId="15" borderId="2" xfId="0" applyFont="true" applyBorder="true" applyAlignment="true" applyProtection="false">
      <alignment horizontal="center" vertical="top" textRotation="0" wrapText="true" indent="0" shrinkToFit="false"/>
      <protection locked="true" hidden="false"/>
    </xf>
    <xf numFmtId="164" fontId="12" fillId="18" borderId="2" xfId="0" applyFont="true" applyBorder="true" applyAlignment="true" applyProtection="false">
      <alignment horizontal="center" vertical="top" textRotation="0" wrapText="true" indent="0" shrinkToFit="false"/>
      <protection locked="true" hidden="false"/>
    </xf>
    <xf numFmtId="166" fontId="20" fillId="18" borderId="2" xfId="0" applyFont="true" applyBorder="true" applyAlignment="true" applyProtection="false">
      <alignment horizontal="center" vertical="top" textRotation="0" wrapText="true" indent="0" shrinkToFit="false"/>
      <protection locked="true" hidden="false"/>
    </xf>
    <xf numFmtId="164" fontId="20" fillId="18" borderId="2" xfId="0" applyFont="true" applyBorder="true" applyAlignment="true" applyProtection="false">
      <alignment horizontal="left" vertical="top" textRotation="0" wrapText="true" indent="0" shrinkToFit="false"/>
      <protection locked="true" hidden="false"/>
    </xf>
    <xf numFmtId="164" fontId="20" fillId="18" borderId="2" xfId="0" applyFont="true" applyBorder="true" applyAlignment="true" applyProtection="false">
      <alignment horizontal="center" vertical="top" textRotation="0" wrapText="true" indent="0" shrinkToFit="false"/>
      <protection locked="true" hidden="false"/>
    </xf>
    <xf numFmtId="164" fontId="21" fillId="23" borderId="2" xfId="0" applyFont="true" applyBorder="true" applyAlignment="true" applyProtection="false">
      <alignment horizontal="center" vertical="top" textRotation="0" wrapText="true" indent="0" shrinkToFit="false"/>
      <protection locked="true" hidden="false"/>
    </xf>
    <xf numFmtId="166" fontId="22" fillId="23" borderId="2" xfId="0" applyFont="true" applyBorder="true" applyAlignment="true" applyProtection="false">
      <alignment horizontal="center" vertical="top" textRotation="0" wrapText="true" indent="0" shrinkToFit="false"/>
      <protection locked="true" hidden="false"/>
    </xf>
    <xf numFmtId="164" fontId="22" fillId="23" borderId="2" xfId="0" applyFont="true" applyBorder="true" applyAlignment="true" applyProtection="false">
      <alignment horizontal="left" vertical="top" textRotation="0" wrapText="true" indent="0" shrinkToFit="false"/>
      <protection locked="true" hidden="false"/>
    </xf>
    <xf numFmtId="164" fontId="22" fillId="23" borderId="2" xfId="0" applyFont="true" applyBorder="true" applyAlignment="true" applyProtection="false">
      <alignment horizontal="center" vertical="top" textRotation="0" wrapText="true" indent="0" shrinkToFit="false"/>
      <protection locked="true" hidden="false"/>
    </xf>
    <xf numFmtId="164" fontId="23" fillId="0"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left" vertical="top" textRotation="0" wrapText="true" indent="0" shrinkToFit="false"/>
      <protection locked="true" hidden="false"/>
    </xf>
    <xf numFmtId="164" fontId="18" fillId="23" borderId="2"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center" vertical="top" textRotation="0" wrapText="true" indent="0" shrinkToFit="false"/>
      <protection locked="true" hidden="false"/>
    </xf>
    <xf numFmtId="164" fontId="17" fillId="15" borderId="2" xfId="0" applyFont="true" applyBorder="true" applyAlignment="true" applyProtection="false">
      <alignment horizontal="center" vertical="top" textRotation="0" wrapText="true" indent="0" shrinkToFit="false"/>
      <protection locked="true" hidden="false"/>
    </xf>
    <xf numFmtId="164" fontId="15" fillId="0" borderId="2" xfId="0" applyFont="true" applyBorder="true" applyAlignment="true" applyProtection="false">
      <alignment horizontal="center" vertical="top" textRotation="0" wrapText="true" indent="0" shrinkToFit="false"/>
      <protection locked="true" hidden="false"/>
    </xf>
    <xf numFmtId="164" fontId="17" fillId="18" borderId="2" xfId="0" applyFont="true" applyBorder="true" applyAlignment="true" applyProtection="false">
      <alignment horizontal="center" vertical="top" textRotation="0" wrapText="tru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17" fillId="8" borderId="2" xfId="0" applyFont="true" applyBorder="true" applyAlignment="true" applyProtection="false">
      <alignment horizontal="center" vertical="top" textRotation="0" wrapText="true" indent="0" shrinkToFit="false"/>
      <protection locked="true" hidden="false"/>
    </xf>
    <xf numFmtId="167" fontId="13" fillId="0"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4" fontId="6" fillId="10" borderId="2" xfId="0" applyFont="true" applyBorder="true" applyAlignment="true" applyProtection="false">
      <alignment horizontal="center" vertical="center" textRotation="0" wrapText="true" indent="0" shrinkToFit="false"/>
      <protection locked="true" hidden="false"/>
    </xf>
    <xf numFmtId="166" fontId="15" fillId="0" borderId="2" xfId="0" applyFont="true" applyBorder="true" applyAlignment="true" applyProtection="false">
      <alignment horizontal="center" vertical="top" textRotation="0" wrapText="true" indent="0" shrinkToFit="false"/>
      <protection locked="true" hidden="false"/>
    </xf>
    <xf numFmtId="164" fontId="6" fillId="14" borderId="2" xfId="0" applyFont="true" applyBorder="true" applyAlignment="true" applyProtection="false">
      <alignment horizontal="center" vertical="center" textRotation="0" wrapText="true" indent="0" shrinkToFit="false"/>
      <protection locked="true" hidden="false"/>
    </xf>
    <xf numFmtId="164" fontId="15" fillId="24" borderId="2" xfId="0" applyFont="true" applyBorder="true" applyAlignment="true" applyProtection="false">
      <alignment horizontal="center" vertical="top" textRotation="0" wrapText="true" indent="0" shrinkToFit="false"/>
      <protection locked="true" hidden="false"/>
    </xf>
    <xf numFmtId="164" fontId="6" fillId="17" borderId="2" xfId="0" applyFont="true" applyBorder="true" applyAlignment="true" applyProtection="false">
      <alignment horizontal="center" vertical="center" textRotation="0" wrapText="true" indent="0" shrinkToFit="false"/>
      <protection locked="true" hidden="false"/>
    </xf>
    <xf numFmtId="164" fontId="6" fillId="20" borderId="2" xfId="0" applyFont="true" applyBorder="true" applyAlignment="true" applyProtection="false">
      <alignment horizontal="center" vertical="center" textRotation="0" wrapText="true" indent="0" shrinkToFit="false"/>
      <protection locked="true" hidden="false"/>
    </xf>
    <xf numFmtId="164" fontId="6" fillId="21" borderId="2" xfId="0" applyFont="true" applyBorder="true" applyAlignment="true" applyProtection="false">
      <alignment horizontal="center" vertical="center" textRotation="0" wrapText="true" indent="0" shrinkToFit="false"/>
      <protection locked="true" hidden="false"/>
    </xf>
    <xf numFmtId="164" fontId="6" fillId="22" borderId="2" xfId="0" applyFont="true" applyBorder="true" applyAlignment="true" applyProtection="false">
      <alignment horizontal="center" vertical="center" textRotation="0" wrapText="true" indent="0" shrinkToFit="false"/>
      <protection locked="true" hidden="false"/>
    </xf>
    <xf numFmtId="164" fontId="17" fillId="24" borderId="2" xfId="0" applyFont="true" applyBorder="true" applyAlignment="true" applyProtection="false">
      <alignment horizontal="center" vertical="top" textRotation="0" wrapText="true" indent="0" shrinkToFit="false"/>
      <protection locked="true" hidden="false"/>
    </xf>
    <xf numFmtId="164" fontId="17" fillId="25" borderId="2" xfId="0" applyFont="true" applyBorder="true" applyAlignment="true" applyProtection="false">
      <alignment horizontal="center" vertical="top" textRotation="0" wrapText="true" indent="0" shrinkToFit="false"/>
      <protection locked="true" hidden="false"/>
    </xf>
    <xf numFmtId="164" fontId="17" fillId="23" borderId="2" xfId="0" applyFont="true" applyBorder="true" applyAlignment="true" applyProtection="false">
      <alignment horizontal="center" vertical="top" textRotation="0" wrapText="true" indent="0" shrinkToFit="false"/>
      <protection locked="true" hidden="false"/>
    </xf>
    <xf numFmtId="164" fontId="15" fillId="0" borderId="2" xfId="0" applyFont="true" applyBorder="true" applyAlignment="true" applyProtection="false">
      <alignment horizontal="center" vertical="center" textRotation="0" wrapText="true" indent="0" shrinkToFit="false"/>
      <protection locked="true" hidden="false"/>
    </xf>
    <xf numFmtId="164" fontId="15" fillId="18" borderId="2" xfId="0" applyFont="true" applyBorder="true" applyAlignment="true" applyProtection="false">
      <alignment horizontal="center" vertical="center" textRotation="0" wrapText="true" indent="0" shrinkToFit="false"/>
      <protection locked="true" hidden="false"/>
    </xf>
    <xf numFmtId="164" fontId="15" fillId="18" borderId="2"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D966"/>
      <rgbColor rgb="FFFF00FF"/>
      <rgbColor rgb="FF00FFFF"/>
      <rgbColor rgb="FF800000"/>
      <rgbColor rgb="FF008000"/>
      <rgbColor rgb="FF000080"/>
      <rgbColor rgb="FF7F6000"/>
      <rgbColor rgb="FF800080"/>
      <rgbColor rgb="FF008080"/>
      <rgbColor rgb="FFBFBFBF"/>
      <rgbColor rgb="FF7F7F7F"/>
      <rgbColor rgb="FF8FAADC"/>
      <rgbColor rgb="FF7030A0"/>
      <rgbColor rgb="FFFFF9E6"/>
      <rgbColor rgb="FFDDEBF7"/>
      <rgbColor rgb="FF660066"/>
      <rgbColor rgb="FFFF8080"/>
      <rgbColor rgb="FF0066CC"/>
      <rgbColor rgb="FFBDD7EE"/>
      <rgbColor rgb="FF000080"/>
      <rgbColor rgb="FFFF00FF"/>
      <rgbColor rgb="FFFFF2CC"/>
      <rgbColor rgb="FF00FFFF"/>
      <rgbColor rgb="FF800080"/>
      <rgbColor rgb="FF800000"/>
      <rgbColor rgb="FF008080"/>
      <rgbColor rgb="FF0000FF"/>
      <rgbColor rgb="FF00CCFF"/>
      <rgbColor rgb="FFF2F2F2"/>
      <rgbColor rgb="FFE2EFDA"/>
      <rgbColor rgb="FFFFE699"/>
      <rgbColor rgb="FFB7B7B7"/>
      <rgbColor rgb="FFFCE4E4"/>
      <rgbColor rgb="FFD9D9D9"/>
      <rgbColor rgb="FFFFE0B2"/>
      <rgbColor rgb="FF2E75B6"/>
      <rgbColor rgb="FF33CCCC"/>
      <rgbColor rgb="FF99CC00"/>
      <rgbColor rgb="FFFFC000"/>
      <rgbColor rgb="FFBF8F00"/>
      <rgbColor rgb="FFED7D31"/>
      <rgbColor rgb="FF595959"/>
      <rgbColor rgb="FFA6A6A6"/>
      <rgbColor rgb="FF1F3864"/>
      <rgbColor rgb="FF00B050"/>
      <rgbColor rgb="FF003300"/>
      <rgbColor rgb="FF333300"/>
      <rgbColor rgb="FF993300"/>
      <rgbColor rgb="FF993366"/>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AE9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5" topLeftCell="I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
    <col collapsed="false" customWidth="true" hidden="false" outlineLevel="0" max="3" min="3" style="0" width="52"/>
    <col collapsed="false" customWidth="true" hidden="false" outlineLevel="0" max="5" min="4" style="0" width="10"/>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31" min="9" style="0" width="4.2"/>
  </cols>
  <sheetData>
    <row r="1" customFormat="false" ht="30"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ustomFormat="false" ht="19.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row>
    <row r="3" customFormat="false" ht="15.75" hidden="false" customHeight="true" outlineLevel="0" collapsed="false">
      <c r="A3" s="3" t="s">
        <v>2</v>
      </c>
      <c r="B3" s="3" t="s">
        <v>3</v>
      </c>
      <c r="C3" s="3" t="s">
        <v>4</v>
      </c>
      <c r="D3" s="3" t="s">
        <v>5</v>
      </c>
      <c r="E3" s="3" t="s">
        <v>6</v>
      </c>
      <c r="F3" s="3" t="s">
        <v>7</v>
      </c>
      <c r="G3" s="3" t="s">
        <v>8</v>
      </c>
      <c r="H3" s="3" t="s">
        <v>9</v>
      </c>
      <c r="I3" s="4" t="s">
        <v>10</v>
      </c>
      <c r="J3" s="4" t="s">
        <v>11</v>
      </c>
      <c r="K3" s="4" t="s">
        <v>12</v>
      </c>
      <c r="L3" s="4"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c r="AB3" s="6" t="s">
        <v>29</v>
      </c>
      <c r="AC3" s="6" t="s">
        <v>30</v>
      </c>
      <c r="AD3" s="6" t="s">
        <v>31</v>
      </c>
      <c r="AE3" s="6" t="s">
        <v>32</v>
      </c>
    </row>
    <row r="4" customFormat="false" ht="15.75" hidden="false" customHeight="true" outlineLevel="0" collapsed="false">
      <c r="A4" s="3"/>
      <c r="B4" s="3"/>
      <c r="C4" s="3"/>
      <c r="D4" s="3"/>
      <c r="E4" s="3"/>
      <c r="F4" s="3"/>
      <c r="G4" s="3"/>
      <c r="H4" s="3"/>
      <c r="I4" s="7" t="s">
        <v>33</v>
      </c>
      <c r="J4" s="7" t="s">
        <v>34</v>
      </c>
      <c r="K4" s="7" t="s">
        <v>35</v>
      </c>
      <c r="L4" s="7" t="s">
        <v>36</v>
      </c>
      <c r="M4" s="8" t="s">
        <v>37</v>
      </c>
      <c r="N4" s="8" t="s">
        <v>38</v>
      </c>
      <c r="O4" s="8" t="s">
        <v>39</v>
      </c>
      <c r="P4" s="8" t="s">
        <v>40</v>
      </c>
      <c r="Q4" s="8" t="s">
        <v>41</v>
      </c>
      <c r="R4" s="8" t="s">
        <v>42</v>
      </c>
      <c r="S4" s="8" t="s">
        <v>43</v>
      </c>
      <c r="T4" s="8" t="s">
        <v>44</v>
      </c>
      <c r="U4" s="8" t="s">
        <v>45</v>
      </c>
      <c r="V4" s="8" t="s">
        <v>46</v>
      </c>
      <c r="W4" s="8" t="s">
        <v>47</v>
      </c>
      <c r="X4" s="8" t="s">
        <v>48</v>
      </c>
      <c r="Y4" s="8" t="s">
        <v>49</v>
      </c>
      <c r="Z4" s="8" t="s">
        <v>50</v>
      </c>
      <c r="AA4" s="8" t="s">
        <v>51</v>
      </c>
      <c r="AB4" s="9" t="s">
        <v>52</v>
      </c>
      <c r="AC4" s="9" t="s">
        <v>53</v>
      </c>
      <c r="AD4" s="9" t="s">
        <v>54</v>
      </c>
      <c r="AE4" s="9" t="s">
        <v>55</v>
      </c>
    </row>
    <row r="5" customFormat="false" ht="15.75" hidden="false" customHeight="true" outlineLevel="0" collapsed="false">
      <c r="A5" s="3"/>
      <c r="B5" s="3"/>
      <c r="C5" s="3"/>
      <c r="D5" s="3"/>
      <c r="E5" s="3"/>
      <c r="F5" s="3"/>
      <c r="G5" s="3"/>
      <c r="H5" s="3"/>
      <c r="I5" s="7" t="s">
        <v>56</v>
      </c>
      <c r="J5" s="7" t="s">
        <v>57</v>
      </c>
      <c r="K5" s="7" t="s">
        <v>58</v>
      </c>
      <c r="L5" s="7" t="s">
        <v>59</v>
      </c>
      <c r="M5" s="8" t="s">
        <v>60</v>
      </c>
      <c r="N5" s="8" t="s">
        <v>61</v>
      </c>
      <c r="O5" s="8" t="s">
        <v>62</v>
      </c>
      <c r="P5" s="8" t="s">
        <v>63</v>
      </c>
      <c r="Q5" s="8" t="s">
        <v>64</v>
      </c>
      <c r="R5" s="8" t="s">
        <v>65</v>
      </c>
      <c r="S5" s="8" t="s">
        <v>66</v>
      </c>
      <c r="T5" s="8" t="s">
        <v>67</v>
      </c>
      <c r="U5" s="8" t="s">
        <v>68</v>
      </c>
      <c r="V5" s="8" t="s">
        <v>69</v>
      </c>
      <c r="W5" s="8" t="s">
        <v>70</v>
      </c>
      <c r="X5" s="8" t="s">
        <v>71</v>
      </c>
      <c r="Y5" s="8" t="s">
        <v>72</v>
      </c>
      <c r="Z5" s="8" t="s">
        <v>73</v>
      </c>
      <c r="AA5" s="8" t="s">
        <v>74</v>
      </c>
      <c r="AB5" s="9" t="s">
        <v>75</v>
      </c>
      <c r="AC5" s="9" t="s">
        <v>76</v>
      </c>
      <c r="AD5" s="9" t="s">
        <v>77</v>
      </c>
      <c r="AE5" s="9" t="s">
        <v>78</v>
      </c>
    </row>
    <row r="6" customFormat="false" ht="24" hidden="false" customHeight="true" outlineLevel="0" collapsed="false">
      <c r="A6" s="10" t="s">
        <v>79</v>
      </c>
      <c r="B6" s="11" t="n">
        <v>1</v>
      </c>
      <c r="C6" s="12" t="s">
        <v>80</v>
      </c>
      <c r="D6" s="13" t="n">
        <v>46238</v>
      </c>
      <c r="E6" s="13" t="n">
        <v>46370</v>
      </c>
      <c r="F6" s="11" t="n">
        <f aca="false">E6-D6+1</f>
        <v>133</v>
      </c>
      <c r="G6" s="11" t="s">
        <v>81</v>
      </c>
      <c r="H6" s="12" t="s">
        <v>82</v>
      </c>
      <c r="I6" s="14"/>
      <c r="J6" s="14"/>
      <c r="K6" s="14"/>
      <c r="L6" s="14"/>
      <c r="M6" s="14"/>
      <c r="N6" s="14"/>
      <c r="O6" s="14"/>
      <c r="P6" s="14"/>
      <c r="Q6" s="14"/>
      <c r="R6" s="14"/>
      <c r="S6" s="14"/>
      <c r="T6" s="14"/>
      <c r="U6" s="14"/>
      <c r="V6" s="14"/>
      <c r="W6" s="14"/>
      <c r="X6" s="14"/>
      <c r="Y6" s="14"/>
      <c r="Z6" s="14"/>
      <c r="AA6" s="14"/>
      <c r="AB6" s="15"/>
      <c r="AC6" s="15"/>
      <c r="AD6" s="15"/>
      <c r="AE6" s="15"/>
    </row>
    <row r="7" customFormat="false" ht="24" hidden="false" customHeight="true" outlineLevel="0" collapsed="false">
      <c r="A7" s="10"/>
      <c r="B7" s="11" t="n">
        <v>2</v>
      </c>
      <c r="C7" s="12" t="s">
        <v>83</v>
      </c>
      <c r="D7" s="13" t="n">
        <v>46238</v>
      </c>
      <c r="E7" s="13" t="n">
        <v>46342</v>
      </c>
      <c r="F7" s="11" t="n">
        <f aca="false">E7-D7+1</f>
        <v>105</v>
      </c>
      <c r="G7" s="11" t="s">
        <v>81</v>
      </c>
      <c r="H7" s="12" t="s">
        <v>84</v>
      </c>
      <c r="I7" s="14"/>
      <c r="J7" s="14"/>
      <c r="K7" s="14"/>
      <c r="L7" s="14"/>
      <c r="M7" s="14"/>
      <c r="N7" s="14"/>
      <c r="O7" s="14"/>
      <c r="P7" s="14"/>
      <c r="Q7" s="14"/>
      <c r="R7" s="14"/>
      <c r="S7" s="14"/>
      <c r="T7" s="14"/>
      <c r="U7" s="14"/>
      <c r="V7" s="14"/>
      <c r="W7" s="14"/>
      <c r="X7" s="16"/>
      <c r="Y7" s="16"/>
      <c r="Z7" s="16"/>
      <c r="AA7" s="16"/>
      <c r="AB7" s="15"/>
      <c r="AC7" s="15"/>
      <c r="AD7" s="15"/>
      <c r="AE7" s="15"/>
    </row>
    <row r="8" customFormat="false" ht="24" hidden="false" customHeight="true" outlineLevel="0" collapsed="false">
      <c r="A8" s="10"/>
      <c r="B8" s="11" t="n">
        <v>3</v>
      </c>
      <c r="C8" s="12" t="s">
        <v>85</v>
      </c>
      <c r="D8" s="13" t="n">
        <v>46252</v>
      </c>
      <c r="E8" s="13" t="n">
        <v>46370</v>
      </c>
      <c r="F8" s="11" t="n">
        <f aca="false">E8-D8+1</f>
        <v>119</v>
      </c>
      <c r="G8" s="11" t="s">
        <v>81</v>
      </c>
      <c r="H8" s="12" t="s">
        <v>86</v>
      </c>
      <c r="I8" s="16"/>
      <c r="J8" s="16"/>
      <c r="K8" s="14"/>
      <c r="L8" s="14"/>
      <c r="M8" s="14"/>
      <c r="N8" s="14"/>
      <c r="O8" s="14"/>
      <c r="P8" s="14"/>
      <c r="Q8" s="14"/>
      <c r="R8" s="14"/>
      <c r="S8" s="14"/>
      <c r="T8" s="14"/>
      <c r="U8" s="14"/>
      <c r="V8" s="14"/>
      <c r="W8" s="14"/>
      <c r="X8" s="14"/>
      <c r="Y8" s="14"/>
      <c r="Z8" s="14"/>
      <c r="AA8" s="14"/>
      <c r="AB8" s="15"/>
      <c r="AC8" s="15"/>
      <c r="AD8" s="15"/>
      <c r="AE8" s="15"/>
    </row>
    <row r="9" customFormat="false" ht="24" hidden="false" customHeight="true" outlineLevel="0" collapsed="false">
      <c r="A9" s="10"/>
      <c r="B9" s="11" t="n">
        <v>4</v>
      </c>
      <c r="C9" s="12" t="s">
        <v>87</v>
      </c>
      <c r="D9" s="13" t="n">
        <v>46238</v>
      </c>
      <c r="E9" s="13" t="n">
        <v>46370</v>
      </c>
      <c r="F9" s="11" t="n">
        <f aca="false">E9-D9+1</f>
        <v>133</v>
      </c>
      <c r="G9" s="11" t="s">
        <v>88</v>
      </c>
      <c r="H9" s="12" t="s">
        <v>89</v>
      </c>
      <c r="I9" s="14"/>
      <c r="J9" s="14"/>
      <c r="K9" s="14"/>
      <c r="L9" s="14"/>
      <c r="M9" s="14"/>
      <c r="N9" s="14"/>
      <c r="O9" s="14"/>
      <c r="P9" s="14"/>
      <c r="Q9" s="14"/>
      <c r="R9" s="14"/>
      <c r="S9" s="14"/>
      <c r="T9" s="14"/>
      <c r="U9" s="14"/>
      <c r="V9" s="14"/>
      <c r="W9" s="14"/>
      <c r="X9" s="14"/>
      <c r="Y9" s="14"/>
      <c r="Z9" s="14"/>
      <c r="AA9" s="14"/>
      <c r="AB9" s="15"/>
      <c r="AC9" s="15"/>
      <c r="AD9" s="15"/>
      <c r="AE9" s="15"/>
    </row>
    <row r="10" customFormat="false" ht="24" hidden="false" customHeight="true" outlineLevel="0" collapsed="false">
      <c r="A10" s="10"/>
      <c r="B10" s="11" t="n">
        <v>5</v>
      </c>
      <c r="C10" s="12" t="s">
        <v>90</v>
      </c>
      <c r="D10" s="13" t="n">
        <v>46238</v>
      </c>
      <c r="E10" s="13" t="n">
        <v>46370</v>
      </c>
      <c r="F10" s="11" t="n">
        <f aca="false">E10-D10+1</f>
        <v>133</v>
      </c>
      <c r="G10" s="11" t="s">
        <v>81</v>
      </c>
      <c r="H10" s="12" t="s">
        <v>91</v>
      </c>
      <c r="I10" s="14"/>
      <c r="J10" s="14"/>
      <c r="K10" s="14"/>
      <c r="L10" s="14"/>
      <c r="M10" s="14"/>
      <c r="N10" s="14"/>
      <c r="O10" s="14"/>
      <c r="P10" s="14"/>
      <c r="Q10" s="14"/>
      <c r="R10" s="14"/>
      <c r="S10" s="14"/>
      <c r="T10" s="14"/>
      <c r="U10" s="14"/>
      <c r="V10" s="14"/>
      <c r="W10" s="14"/>
      <c r="X10" s="14"/>
      <c r="Y10" s="14"/>
      <c r="Z10" s="14"/>
      <c r="AA10" s="14"/>
      <c r="AB10" s="15"/>
      <c r="AC10" s="15"/>
      <c r="AD10" s="15"/>
      <c r="AE10" s="15"/>
    </row>
    <row r="11" customFormat="false" ht="24" hidden="false" customHeight="true" outlineLevel="0" collapsed="false">
      <c r="A11" s="10"/>
      <c r="B11" s="11" t="n">
        <v>6</v>
      </c>
      <c r="C11" s="12" t="s">
        <v>92</v>
      </c>
      <c r="D11" s="13" t="n">
        <v>46287</v>
      </c>
      <c r="E11" s="13" t="n">
        <v>46370</v>
      </c>
      <c r="F11" s="11" t="n">
        <f aca="false">E11-D11+1</f>
        <v>84</v>
      </c>
      <c r="G11" s="11" t="s">
        <v>81</v>
      </c>
      <c r="H11" s="12" t="s">
        <v>93</v>
      </c>
      <c r="I11" s="16"/>
      <c r="J11" s="16"/>
      <c r="K11" s="16"/>
      <c r="L11" s="16"/>
      <c r="M11" s="16"/>
      <c r="N11" s="16"/>
      <c r="O11" s="16"/>
      <c r="P11" s="14"/>
      <c r="Q11" s="14"/>
      <c r="R11" s="14"/>
      <c r="S11" s="14"/>
      <c r="T11" s="14"/>
      <c r="U11" s="14"/>
      <c r="V11" s="14"/>
      <c r="W11" s="14"/>
      <c r="X11" s="14"/>
      <c r="Y11" s="14"/>
      <c r="Z11" s="14"/>
      <c r="AA11" s="14"/>
      <c r="AB11" s="15"/>
      <c r="AC11" s="15"/>
      <c r="AD11" s="15"/>
      <c r="AE11" s="15"/>
    </row>
    <row r="12" customFormat="false" ht="24" hidden="false" customHeight="true" outlineLevel="0" collapsed="false">
      <c r="A12" s="17" t="s">
        <v>94</v>
      </c>
      <c r="B12" s="18" t="n">
        <v>7</v>
      </c>
      <c r="C12" s="19" t="s">
        <v>95</v>
      </c>
      <c r="D12" s="20" t="n">
        <v>46238</v>
      </c>
      <c r="E12" s="20" t="n">
        <v>46244</v>
      </c>
      <c r="F12" s="18" t="n">
        <f aca="false">E12-D12+1</f>
        <v>7</v>
      </c>
      <c r="G12" s="18" t="s">
        <v>81</v>
      </c>
      <c r="H12" s="19" t="s">
        <v>96</v>
      </c>
      <c r="I12" s="21"/>
      <c r="J12" s="16"/>
      <c r="K12" s="16"/>
      <c r="L12" s="16"/>
      <c r="M12" s="16"/>
      <c r="N12" s="16"/>
      <c r="O12" s="16"/>
      <c r="P12" s="16"/>
      <c r="Q12" s="16"/>
      <c r="R12" s="16"/>
      <c r="S12" s="16"/>
      <c r="T12" s="16"/>
      <c r="U12" s="16"/>
      <c r="V12" s="16"/>
      <c r="W12" s="16"/>
      <c r="X12" s="16"/>
      <c r="Y12" s="16"/>
      <c r="Z12" s="16"/>
      <c r="AA12" s="16"/>
      <c r="AB12" s="15"/>
      <c r="AC12" s="15"/>
      <c r="AD12" s="15"/>
      <c r="AE12" s="15"/>
    </row>
    <row r="13" customFormat="false" ht="24" hidden="false" customHeight="true" outlineLevel="0" collapsed="false">
      <c r="A13" s="17"/>
      <c r="B13" s="18" t="n">
        <v>8</v>
      </c>
      <c r="C13" s="19" t="s">
        <v>97</v>
      </c>
      <c r="D13" s="20" t="n">
        <v>46238</v>
      </c>
      <c r="E13" s="20" t="n">
        <v>46251</v>
      </c>
      <c r="F13" s="18" t="n">
        <f aca="false">E13-D13+1</f>
        <v>14</v>
      </c>
      <c r="G13" s="18" t="s">
        <v>98</v>
      </c>
      <c r="H13" s="19" t="s">
        <v>99</v>
      </c>
      <c r="I13" s="21"/>
      <c r="J13" s="21"/>
      <c r="K13" s="16"/>
      <c r="L13" s="16"/>
      <c r="M13" s="16"/>
      <c r="N13" s="16"/>
      <c r="O13" s="16"/>
      <c r="P13" s="16"/>
      <c r="Q13" s="16"/>
      <c r="R13" s="16"/>
      <c r="S13" s="16"/>
      <c r="T13" s="16"/>
      <c r="U13" s="16"/>
      <c r="V13" s="16"/>
      <c r="W13" s="16"/>
      <c r="X13" s="16"/>
      <c r="Y13" s="16"/>
      <c r="Z13" s="16"/>
      <c r="AA13" s="16"/>
      <c r="AB13" s="15"/>
      <c r="AC13" s="15"/>
      <c r="AD13" s="15"/>
      <c r="AE13" s="15"/>
    </row>
    <row r="14" customFormat="false" ht="24" hidden="false" customHeight="true" outlineLevel="0" collapsed="false">
      <c r="A14" s="17"/>
      <c r="B14" s="18" t="n">
        <v>9</v>
      </c>
      <c r="C14" s="19" t="s">
        <v>100</v>
      </c>
      <c r="D14" s="20" t="n">
        <v>46238</v>
      </c>
      <c r="E14" s="20" t="n">
        <v>46258</v>
      </c>
      <c r="F14" s="18" t="n">
        <f aca="false">E14-D14+1</f>
        <v>21</v>
      </c>
      <c r="G14" s="18" t="s">
        <v>101</v>
      </c>
      <c r="H14" s="19" t="s">
        <v>102</v>
      </c>
      <c r="I14" s="21"/>
      <c r="J14" s="21"/>
      <c r="K14" s="21"/>
      <c r="L14" s="16"/>
      <c r="M14" s="16"/>
      <c r="N14" s="16"/>
      <c r="O14" s="16"/>
      <c r="P14" s="16"/>
      <c r="Q14" s="16"/>
      <c r="R14" s="16"/>
      <c r="S14" s="16"/>
      <c r="T14" s="16"/>
      <c r="U14" s="16"/>
      <c r="V14" s="16"/>
      <c r="W14" s="16"/>
      <c r="X14" s="16"/>
      <c r="Y14" s="16"/>
      <c r="Z14" s="16"/>
      <c r="AA14" s="16"/>
      <c r="AB14" s="15"/>
      <c r="AC14" s="15"/>
      <c r="AD14" s="15"/>
      <c r="AE14" s="15"/>
    </row>
    <row r="15" customFormat="false" ht="24" hidden="false" customHeight="true" outlineLevel="0" collapsed="false">
      <c r="A15" s="17"/>
      <c r="B15" s="18" t="n">
        <v>10</v>
      </c>
      <c r="C15" s="19" t="s">
        <v>103</v>
      </c>
      <c r="D15" s="20" t="n">
        <v>46245</v>
      </c>
      <c r="E15" s="20" t="n">
        <v>46258</v>
      </c>
      <c r="F15" s="18" t="n">
        <f aca="false">E15-D15+1</f>
        <v>14</v>
      </c>
      <c r="G15" s="18" t="s">
        <v>81</v>
      </c>
      <c r="H15" s="19" t="s">
        <v>104</v>
      </c>
      <c r="I15" s="16"/>
      <c r="J15" s="21"/>
      <c r="K15" s="21"/>
      <c r="L15" s="16"/>
      <c r="M15" s="16"/>
      <c r="N15" s="16"/>
      <c r="O15" s="16"/>
      <c r="P15" s="16"/>
      <c r="Q15" s="16"/>
      <c r="R15" s="16"/>
      <c r="S15" s="16"/>
      <c r="T15" s="16"/>
      <c r="U15" s="16"/>
      <c r="V15" s="16"/>
      <c r="W15" s="16"/>
      <c r="X15" s="16"/>
      <c r="Y15" s="16"/>
      <c r="Z15" s="16"/>
      <c r="AA15" s="16"/>
      <c r="AB15" s="15"/>
      <c r="AC15" s="15"/>
      <c r="AD15" s="15"/>
      <c r="AE15" s="15"/>
    </row>
    <row r="16" customFormat="false" ht="24" hidden="false" customHeight="true" outlineLevel="0" collapsed="false">
      <c r="A16" s="17"/>
      <c r="B16" s="18" t="n">
        <v>11</v>
      </c>
      <c r="C16" s="19" t="s">
        <v>105</v>
      </c>
      <c r="D16" s="20" t="n">
        <v>46245</v>
      </c>
      <c r="E16" s="20" t="n">
        <v>46265</v>
      </c>
      <c r="F16" s="18" t="n">
        <f aca="false">E16-D16+1</f>
        <v>21</v>
      </c>
      <c r="G16" s="18" t="s">
        <v>106</v>
      </c>
      <c r="H16" s="19" t="s">
        <v>107</v>
      </c>
      <c r="I16" s="16"/>
      <c r="J16" s="21"/>
      <c r="K16" s="21"/>
      <c r="L16" s="21"/>
      <c r="M16" s="16"/>
      <c r="N16" s="16"/>
      <c r="O16" s="16"/>
      <c r="P16" s="16"/>
      <c r="Q16" s="16"/>
      <c r="R16" s="16"/>
      <c r="S16" s="16"/>
      <c r="T16" s="16"/>
      <c r="U16" s="16"/>
      <c r="V16" s="16"/>
      <c r="W16" s="16"/>
      <c r="X16" s="16"/>
      <c r="Y16" s="16"/>
      <c r="Z16" s="16"/>
      <c r="AA16" s="16"/>
      <c r="AB16" s="15"/>
      <c r="AC16" s="15"/>
      <c r="AD16" s="15"/>
      <c r="AE16" s="15"/>
    </row>
    <row r="17" customFormat="false" ht="24" hidden="false" customHeight="true" outlineLevel="0" collapsed="false">
      <c r="A17" s="17"/>
      <c r="B17" s="18" t="n">
        <v>12</v>
      </c>
      <c r="C17" s="19" t="s">
        <v>108</v>
      </c>
      <c r="D17" s="20" t="n">
        <v>46245</v>
      </c>
      <c r="E17" s="20" t="n">
        <v>46265</v>
      </c>
      <c r="F17" s="18" t="n">
        <f aca="false">E17-D17+1</f>
        <v>21</v>
      </c>
      <c r="G17" s="18" t="s">
        <v>109</v>
      </c>
      <c r="H17" s="19" t="s">
        <v>110</v>
      </c>
      <c r="I17" s="16"/>
      <c r="J17" s="21"/>
      <c r="K17" s="21"/>
      <c r="L17" s="21"/>
      <c r="M17" s="16"/>
      <c r="N17" s="16"/>
      <c r="O17" s="16"/>
      <c r="P17" s="16"/>
      <c r="Q17" s="16"/>
      <c r="R17" s="16"/>
      <c r="S17" s="16"/>
      <c r="T17" s="16"/>
      <c r="U17" s="16"/>
      <c r="V17" s="16"/>
      <c r="W17" s="16"/>
      <c r="X17" s="16"/>
      <c r="Y17" s="16"/>
      <c r="Z17" s="16"/>
      <c r="AA17" s="16"/>
      <c r="AB17" s="15"/>
      <c r="AC17" s="15"/>
      <c r="AD17" s="15"/>
      <c r="AE17" s="15"/>
    </row>
    <row r="18" customFormat="false" ht="24" hidden="false" customHeight="true" outlineLevel="0" collapsed="false">
      <c r="A18" s="17"/>
      <c r="B18" s="18" t="n">
        <v>13</v>
      </c>
      <c r="C18" s="19" t="s">
        <v>111</v>
      </c>
      <c r="D18" s="20" t="n">
        <v>46252</v>
      </c>
      <c r="E18" s="20" t="n">
        <v>46265</v>
      </c>
      <c r="F18" s="18" t="n">
        <f aca="false">E18-D18+1</f>
        <v>14</v>
      </c>
      <c r="G18" s="18" t="s">
        <v>112</v>
      </c>
      <c r="H18" s="19" t="s">
        <v>113</v>
      </c>
      <c r="I18" s="16"/>
      <c r="J18" s="16"/>
      <c r="K18" s="21"/>
      <c r="L18" s="21"/>
      <c r="M18" s="16"/>
      <c r="N18" s="16"/>
      <c r="O18" s="16"/>
      <c r="P18" s="16"/>
      <c r="Q18" s="16"/>
      <c r="R18" s="16"/>
      <c r="S18" s="16"/>
      <c r="T18" s="16"/>
      <c r="U18" s="16"/>
      <c r="V18" s="16"/>
      <c r="W18" s="16"/>
      <c r="X18" s="16"/>
      <c r="Y18" s="16"/>
      <c r="Z18" s="16"/>
      <c r="AA18" s="16"/>
      <c r="AB18" s="15"/>
      <c r="AC18" s="15"/>
      <c r="AD18" s="15"/>
      <c r="AE18" s="15"/>
    </row>
    <row r="19" customFormat="false" ht="24" hidden="false" customHeight="true" outlineLevel="0" collapsed="false">
      <c r="A19" s="17"/>
      <c r="B19" s="18" t="n">
        <v>14</v>
      </c>
      <c r="C19" s="19" t="s">
        <v>114</v>
      </c>
      <c r="D19" s="20" t="n">
        <v>46252</v>
      </c>
      <c r="E19" s="20" t="n">
        <v>46265</v>
      </c>
      <c r="F19" s="18" t="n">
        <f aca="false">E19-D19+1</f>
        <v>14</v>
      </c>
      <c r="G19" s="18" t="s">
        <v>115</v>
      </c>
      <c r="H19" s="19" t="s">
        <v>116</v>
      </c>
      <c r="I19" s="16"/>
      <c r="J19" s="16"/>
      <c r="K19" s="21"/>
      <c r="L19" s="21"/>
      <c r="M19" s="16"/>
      <c r="N19" s="16"/>
      <c r="O19" s="16"/>
      <c r="P19" s="16"/>
      <c r="Q19" s="16"/>
      <c r="R19" s="16"/>
      <c r="S19" s="16"/>
      <c r="T19" s="16"/>
      <c r="U19" s="16"/>
      <c r="V19" s="16"/>
      <c r="W19" s="16"/>
      <c r="X19" s="16"/>
      <c r="Y19" s="16"/>
      <c r="Z19" s="16"/>
      <c r="AA19" s="16"/>
      <c r="AB19" s="15"/>
      <c r="AC19" s="15"/>
      <c r="AD19" s="15"/>
      <c r="AE19" s="15"/>
    </row>
    <row r="20" customFormat="false" ht="24" hidden="false" customHeight="true" outlineLevel="0" collapsed="false">
      <c r="A20" s="17"/>
      <c r="B20" s="18" t="n">
        <v>15</v>
      </c>
      <c r="C20" s="19" t="s">
        <v>117</v>
      </c>
      <c r="D20" s="20" t="n">
        <v>46252</v>
      </c>
      <c r="E20" s="20" t="n">
        <v>46265</v>
      </c>
      <c r="F20" s="18" t="n">
        <f aca="false">E20-D20+1</f>
        <v>14</v>
      </c>
      <c r="G20" s="18" t="s">
        <v>118</v>
      </c>
      <c r="H20" s="19" t="s">
        <v>119</v>
      </c>
      <c r="I20" s="16"/>
      <c r="J20" s="16"/>
      <c r="K20" s="21"/>
      <c r="L20" s="21"/>
      <c r="M20" s="16"/>
      <c r="N20" s="16"/>
      <c r="O20" s="16"/>
      <c r="P20" s="16"/>
      <c r="Q20" s="16"/>
      <c r="R20" s="16"/>
      <c r="S20" s="16"/>
      <c r="T20" s="16"/>
      <c r="U20" s="16"/>
      <c r="V20" s="16"/>
      <c r="W20" s="16"/>
      <c r="X20" s="16"/>
      <c r="Y20" s="16"/>
      <c r="Z20" s="16"/>
      <c r="AA20" s="16"/>
      <c r="AB20" s="15"/>
      <c r="AC20" s="15"/>
      <c r="AD20" s="15"/>
      <c r="AE20" s="15"/>
    </row>
    <row r="21" customFormat="false" ht="24" hidden="false" customHeight="true" outlineLevel="0" collapsed="false">
      <c r="A21" s="17"/>
      <c r="B21" s="22" t="n">
        <v>16</v>
      </c>
      <c r="C21" s="23" t="s">
        <v>120</v>
      </c>
      <c r="D21" s="24" t="n">
        <v>46259</v>
      </c>
      <c r="E21" s="24" t="n">
        <v>46265</v>
      </c>
      <c r="F21" s="22" t="n">
        <f aca="false">E21-D21+1</f>
        <v>7</v>
      </c>
      <c r="G21" s="22" t="s">
        <v>81</v>
      </c>
      <c r="H21" s="23" t="s">
        <v>121</v>
      </c>
      <c r="I21" s="16"/>
      <c r="J21" s="16"/>
      <c r="K21" s="16"/>
      <c r="L21" s="25"/>
      <c r="M21" s="16"/>
      <c r="N21" s="16"/>
      <c r="O21" s="16"/>
      <c r="P21" s="16"/>
      <c r="Q21" s="16"/>
      <c r="R21" s="16"/>
      <c r="S21" s="16"/>
      <c r="T21" s="16"/>
      <c r="U21" s="16"/>
      <c r="V21" s="16"/>
      <c r="W21" s="16"/>
      <c r="X21" s="16"/>
      <c r="Y21" s="16"/>
      <c r="Z21" s="16"/>
      <c r="AA21" s="16"/>
      <c r="AB21" s="15"/>
      <c r="AC21" s="15"/>
      <c r="AD21" s="15"/>
      <c r="AE21" s="15"/>
    </row>
    <row r="22" customFormat="false" ht="24" hidden="false" customHeight="true" outlineLevel="0" collapsed="false">
      <c r="A22" s="26" t="s">
        <v>122</v>
      </c>
      <c r="B22" s="18" t="n">
        <v>17</v>
      </c>
      <c r="C22" s="19" t="s">
        <v>123</v>
      </c>
      <c r="D22" s="20" t="n">
        <v>46266</v>
      </c>
      <c r="E22" s="20" t="n">
        <v>46279</v>
      </c>
      <c r="F22" s="18" t="n">
        <f aca="false">E22-D22+1</f>
        <v>14</v>
      </c>
      <c r="G22" s="18" t="s">
        <v>81</v>
      </c>
      <c r="H22" s="19" t="s">
        <v>124</v>
      </c>
      <c r="I22" s="16"/>
      <c r="J22" s="16"/>
      <c r="K22" s="16"/>
      <c r="L22" s="16"/>
      <c r="M22" s="27"/>
      <c r="N22" s="27"/>
      <c r="O22" s="16"/>
      <c r="P22" s="16"/>
      <c r="Q22" s="16"/>
      <c r="R22" s="16"/>
      <c r="S22" s="16"/>
      <c r="T22" s="16"/>
      <c r="U22" s="16"/>
      <c r="V22" s="16"/>
      <c r="W22" s="16"/>
      <c r="X22" s="16"/>
      <c r="Y22" s="16"/>
      <c r="Z22" s="16"/>
      <c r="AA22" s="16"/>
      <c r="AB22" s="15"/>
      <c r="AC22" s="15"/>
      <c r="AD22" s="15"/>
      <c r="AE22" s="15"/>
    </row>
    <row r="23" customFormat="false" ht="24" hidden="false" customHeight="true" outlineLevel="0" collapsed="false">
      <c r="A23" s="26"/>
      <c r="B23" s="18" t="n">
        <v>18</v>
      </c>
      <c r="C23" s="19" t="s">
        <v>125</v>
      </c>
      <c r="D23" s="20" t="n">
        <v>46266</v>
      </c>
      <c r="E23" s="20" t="n">
        <v>46279</v>
      </c>
      <c r="F23" s="18" t="n">
        <f aca="false">E23-D23+1</f>
        <v>14</v>
      </c>
      <c r="G23" s="18" t="s">
        <v>109</v>
      </c>
      <c r="H23" s="19" t="s">
        <v>126</v>
      </c>
      <c r="I23" s="16"/>
      <c r="J23" s="16"/>
      <c r="K23" s="16"/>
      <c r="L23" s="16"/>
      <c r="M23" s="27"/>
      <c r="N23" s="27"/>
      <c r="O23" s="16"/>
      <c r="P23" s="16"/>
      <c r="Q23" s="16"/>
      <c r="R23" s="16"/>
      <c r="S23" s="16"/>
      <c r="T23" s="16"/>
      <c r="U23" s="16"/>
      <c r="V23" s="16"/>
      <c r="W23" s="16"/>
      <c r="X23" s="16"/>
      <c r="Y23" s="16"/>
      <c r="Z23" s="16"/>
      <c r="AA23" s="16"/>
      <c r="AB23" s="15"/>
      <c r="AC23" s="15"/>
      <c r="AD23" s="15"/>
      <c r="AE23" s="15"/>
    </row>
    <row r="24" customFormat="false" ht="24" hidden="false" customHeight="true" outlineLevel="0" collapsed="false">
      <c r="A24" s="26"/>
      <c r="B24" s="18" t="n">
        <v>19</v>
      </c>
      <c r="C24" s="19" t="s">
        <v>127</v>
      </c>
      <c r="D24" s="20" t="n">
        <v>46266</v>
      </c>
      <c r="E24" s="20" t="n">
        <v>46279</v>
      </c>
      <c r="F24" s="18" t="n">
        <f aca="false">E24-D24+1</f>
        <v>14</v>
      </c>
      <c r="G24" s="18" t="s">
        <v>109</v>
      </c>
      <c r="H24" s="19" t="s">
        <v>128</v>
      </c>
      <c r="I24" s="16"/>
      <c r="J24" s="16"/>
      <c r="K24" s="16"/>
      <c r="L24" s="16"/>
      <c r="M24" s="27"/>
      <c r="N24" s="27"/>
      <c r="O24" s="16"/>
      <c r="P24" s="16"/>
      <c r="Q24" s="16"/>
      <c r="R24" s="16"/>
      <c r="S24" s="16"/>
      <c r="T24" s="16"/>
      <c r="U24" s="16"/>
      <c r="V24" s="16"/>
      <c r="W24" s="16"/>
      <c r="X24" s="16"/>
      <c r="Y24" s="16"/>
      <c r="Z24" s="16"/>
      <c r="AA24" s="16"/>
      <c r="AB24" s="15"/>
      <c r="AC24" s="15"/>
      <c r="AD24" s="15"/>
      <c r="AE24" s="15"/>
    </row>
    <row r="25" customFormat="false" ht="24" hidden="false" customHeight="true" outlineLevel="0" collapsed="false">
      <c r="A25" s="26"/>
      <c r="B25" s="18" t="n">
        <v>20</v>
      </c>
      <c r="C25" s="19" t="s">
        <v>129</v>
      </c>
      <c r="D25" s="20" t="n">
        <v>46266</v>
      </c>
      <c r="E25" s="20" t="n">
        <v>46279</v>
      </c>
      <c r="F25" s="18" t="n">
        <f aca="false">E25-D25+1</f>
        <v>14</v>
      </c>
      <c r="G25" s="18" t="s">
        <v>112</v>
      </c>
      <c r="H25" s="19" t="s">
        <v>130</v>
      </c>
      <c r="I25" s="16"/>
      <c r="J25" s="16"/>
      <c r="K25" s="16"/>
      <c r="L25" s="16"/>
      <c r="M25" s="27"/>
      <c r="N25" s="27"/>
      <c r="O25" s="16"/>
      <c r="P25" s="16"/>
      <c r="Q25" s="16"/>
      <c r="R25" s="16"/>
      <c r="S25" s="16"/>
      <c r="T25" s="16"/>
      <c r="U25" s="16"/>
      <c r="V25" s="16"/>
      <c r="W25" s="16"/>
      <c r="X25" s="16"/>
      <c r="Y25" s="16"/>
      <c r="Z25" s="16"/>
      <c r="AA25" s="16"/>
      <c r="AB25" s="15"/>
      <c r="AC25" s="15"/>
      <c r="AD25" s="15"/>
      <c r="AE25" s="15"/>
    </row>
    <row r="26" customFormat="false" ht="24" hidden="false" customHeight="true" outlineLevel="0" collapsed="false">
      <c r="A26" s="26"/>
      <c r="B26" s="18" t="n">
        <v>21</v>
      </c>
      <c r="C26" s="19" t="s">
        <v>131</v>
      </c>
      <c r="D26" s="20" t="n">
        <v>46266</v>
      </c>
      <c r="E26" s="20" t="n">
        <v>46286</v>
      </c>
      <c r="F26" s="18" t="n">
        <f aca="false">E26-D26+1</f>
        <v>21</v>
      </c>
      <c r="G26" s="18" t="s">
        <v>106</v>
      </c>
      <c r="H26" s="19" t="s">
        <v>132</v>
      </c>
      <c r="I26" s="16"/>
      <c r="J26" s="16"/>
      <c r="K26" s="16"/>
      <c r="L26" s="16"/>
      <c r="M26" s="27"/>
      <c r="N26" s="27"/>
      <c r="O26" s="27"/>
      <c r="P26" s="16"/>
      <c r="Q26" s="16"/>
      <c r="R26" s="16"/>
      <c r="S26" s="16"/>
      <c r="T26" s="16"/>
      <c r="U26" s="16"/>
      <c r="V26" s="16"/>
      <c r="W26" s="16"/>
      <c r="X26" s="16"/>
      <c r="Y26" s="16"/>
      <c r="Z26" s="16"/>
      <c r="AA26" s="16"/>
      <c r="AB26" s="15"/>
      <c r="AC26" s="15"/>
      <c r="AD26" s="15"/>
      <c r="AE26" s="15"/>
    </row>
    <row r="27" customFormat="false" ht="24" hidden="false" customHeight="true" outlineLevel="0" collapsed="false">
      <c r="A27" s="26"/>
      <c r="B27" s="18" t="n">
        <v>22</v>
      </c>
      <c r="C27" s="19" t="s">
        <v>133</v>
      </c>
      <c r="D27" s="20" t="n">
        <v>46273</v>
      </c>
      <c r="E27" s="20" t="n">
        <v>46286</v>
      </c>
      <c r="F27" s="18" t="n">
        <f aca="false">E27-D27+1</f>
        <v>14</v>
      </c>
      <c r="G27" s="18" t="s">
        <v>98</v>
      </c>
      <c r="H27" s="19" t="s">
        <v>134</v>
      </c>
      <c r="I27" s="16"/>
      <c r="J27" s="16"/>
      <c r="K27" s="16"/>
      <c r="L27" s="16"/>
      <c r="M27" s="16"/>
      <c r="N27" s="27"/>
      <c r="O27" s="27"/>
      <c r="P27" s="16"/>
      <c r="Q27" s="16"/>
      <c r="R27" s="16"/>
      <c r="S27" s="16"/>
      <c r="T27" s="16"/>
      <c r="U27" s="16"/>
      <c r="V27" s="16"/>
      <c r="W27" s="16"/>
      <c r="X27" s="16"/>
      <c r="Y27" s="16"/>
      <c r="Z27" s="16"/>
      <c r="AA27" s="16"/>
      <c r="AB27" s="15"/>
      <c r="AC27" s="15"/>
      <c r="AD27" s="15"/>
      <c r="AE27" s="15"/>
    </row>
    <row r="28" customFormat="false" ht="24" hidden="false" customHeight="true" outlineLevel="0" collapsed="false">
      <c r="A28" s="26"/>
      <c r="B28" s="18" t="n">
        <v>23</v>
      </c>
      <c r="C28" s="19" t="s">
        <v>135</v>
      </c>
      <c r="D28" s="20" t="n">
        <v>46273</v>
      </c>
      <c r="E28" s="20" t="n">
        <v>46286</v>
      </c>
      <c r="F28" s="18" t="n">
        <f aca="false">E28-D28+1</f>
        <v>14</v>
      </c>
      <c r="G28" s="18" t="s">
        <v>109</v>
      </c>
      <c r="H28" s="19" t="s">
        <v>136</v>
      </c>
      <c r="I28" s="16"/>
      <c r="J28" s="16"/>
      <c r="K28" s="16"/>
      <c r="L28" s="16"/>
      <c r="M28" s="16"/>
      <c r="N28" s="27"/>
      <c r="O28" s="27"/>
      <c r="P28" s="16"/>
      <c r="Q28" s="16"/>
      <c r="R28" s="16"/>
      <c r="S28" s="16"/>
      <c r="T28" s="16"/>
      <c r="U28" s="16"/>
      <c r="V28" s="16"/>
      <c r="W28" s="16"/>
      <c r="X28" s="16"/>
      <c r="Y28" s="16"/>
      <c r="Z28" s="16"/>
      <c r="AA28" s="16"/>
      <c r="AB28" s="15"/>
      <c r="AC28" s="15"/>
      <c r="AD28" s="15"/>
      <c r="AE28" s="15"/>
    </row>
    <row r="29" customFormat="false" ht="24" hidden="false" customHeight="true" outlineLevel="0" collapsed="false">
      <c r="A29" s="26"/>
      <c r="B29" s="22" t="n">
        <v>24</v>
      </c>
      <c r="C29" s="23" t="s">
        <v>137</v>
      </c>
      <c r="D29" s="24" t="n">
        <v>46280</v>
      </c>
      <c r="E29" s="24" t="n">
        <v>46286</v>
      </c>
      <c r="F29" s="22" t="n">
        <f aca="false">E29-D29+1</f>
        <v>7</v>
      </c>
      <c r="G29" s="22" t="s">
        <v>81</v>
      </c>
      <c r="H29" s="23" t="s">
        <v>138</v>
      </c>
      <c r="I29" s="16"/>
      <c r="J29" s="16"/>
      <c r="K29" s="16"/>
      <c r="L29" s="16"/>
      <c r="M29" s="16"/>
      <c r="N29" s="16"/>
      <c r="O29" s="25"/>
      <c r="P29" s="16"/>
      <c r="Q29" s="16"/>
      <c r="R29" s="16"/>
      <c r="S29" s="16"/>
      <c r="T29" s="16"/>
      <c r="U29" s="16"/>
      <c r="V29" s="16"/>
      <c r="W29" s="16"/>
      <c r="X29" s="16"/>
      <c r="Y29" s="16"/>
      <c r="Z29" s="16"/>
      <c r="AA29" s="16"/>
      <c r="AB29" s="15"/>
      <c r="AC29" s="15"/>
      <c r="AD29" s="15"/>
      <c r="AE29" s="15"/>
    </row>
    <row r="30" customFormat="false" ht="24" hidden="false" customHeight="true" outlineLevel="0" collapsed="false">
      <c r="A30" s="26"/>
      <c r="B30" s="28" t="n">
        <v>25</v>
      </c>
      <c r="C30" s="29" t="s">
        <v>139</v>
      </c>
      <c r="D30" s="30" t="n">
        <v>46280</v>
      </c>
      <c r="E30" s="30" t="n">
        <v>46286</v>
      </c>
      <c r="F30" s="28" t="n">
        <f aca="false">E30-D30+1</f>
        <v>7</v>
      </c>
      <c r="G30" s="28" t="s">
        <v>81</v>
      </c>
      <c r="H30" s="29" t="s">
        <v>140</v>
      </c>
      <c r="I30" s="16"/>
      <c r="J30" s="16"/>
      <c r="K30" s="16"/>
      <c r="L30" s="16"/>
      <c r="M30" s="16"/>
      <c r="N30" s="16"/>
      <c r="O30" s="31"/>
      <c r="P30" s="16"/>
      <c r="Q30" s="16"/>
      <c r="R30" s="16"/>
      <c r="S30" s="16"/>
      <c r="T30" s="16"/>
      <c r="U30" s="16"/>
      <c r="V30" s="16"/>
      <c r="W30" s="16"/>
      <c r="X30" s="16"/>
      <c r="Y30" s="16"/>
      <c r="Z30" s="16"/>
      <c r="AA30" s="16"/>
      <c r="AB30" s="15"/>
      <c r="AC30" s="15"/>
      <c r="AD30" s="15"/>
      <c r="AE30" s="15"/>
    </row>
    <row r="31" customFormat="false" ht="24" hidden="false" customHeight="true" outlineLevel="0" collapsed="false">
      <c r="A31" s="32" t="s">
        <v>141</v>
      </c>
      <c r="B31" s="18" t="n">
        <v>26</v>
      </c>
      <c r="C31" s="19" t="s">
        <v>142</v>
      </c>
      <c r="D31" s="20" t="n">
        <v>46287</v>
      </c>
      <c r="E31" s="20" t="n">
        <v>46300</v>
      </c>
      <c r="F31" s="18" t="n">
        <f aca="false">E31-D31+1</f>
        <v>14</v>
      </c>
      <c r="G31" s="18" t="s">
        <v>143</v>
      </c>
      <c r="H31" s="19" t="s">
        <v>144</v>
      </c>
      <c r="I31" s="16"/>
      <c r="J31" s="16"/>
      <c r="K31" s="16"/>
      <c r="L31" s="16"/>
      <c r="M31" s="16"/>
      <c r="N31" s="16"/>
      <c r="O31" s="16"/>
      <c r="P31" s="33"/>
      <c r="Q31" s="33"/>
      <c r="R31" s="16"/>
      <c r="S31" s="16"/>
      <c r="T31" s="16"/>
      <c r="U31" s="16"/>
      <c r="V31" s="16"/>
      <c r="W31" s="16"/>
      <c r="X31" s="16"/>
      <c r="Y31" s="16"/>
      <c r="Z31" s="16"/>
      <c r="AA31" s="16"/>
      <c r="AB31" s="15"/>
      <c r="AC31" s="15"/>
      <c r="AD31" s="15"/>
      <c r="AE31" s="15"/>
    </row>
    <row r="32" customFormat="false" ht="24" hidden="false" customHeight="true" outlineLevel="0" collapsed="false">
      <c r="A32" s="32"/>
      <c r="B32" s="18" t="n">
        <v>27</v>
      </c>
      <c r="C32" s="19" t="s">
        <v>145</v>
      </c>
      <c r="D32" s="20" t="n">
        <v>46287</v>
      </c>
      <c r="E32" s="20" t="n">
        <v>46300</v>
      </c>
      <c r="F32" s="18" t="n">
        <f aca="false">E32-D32+1</f>
        <v>14</v>
      </c>
      <c r="G32" s="18" t="s">
        <v>143</v>
      </c>
      <c r="H32" s="19" t="s">
        <v>146</v>
      </c>
      <c r="I32" s="16"/>
      <c r="J32" s="16"/>
      <c r="K32" s="16"/>
      <c r="L32" s="16"/>
      <c r="M32" s="16"/>
      <c r="N32" s="16"/>
      <c r="O32" s="16"/>
      <c r="P32" s="33"/>
      <c r="Q32" s="33"/>
      <c r="R32" s="16"/>
      <c r="S32" s="16"/>
      <c r="T32" s="16"/>
      <c r="U32" s="16"/>
      <c r="V32" s="16"/>
      <c r="W32" s="16"/>
      <c r="X32" s="16"/>
      <c r="Y32" s="16"/>
      <c r="Z32" s="16"/>
      <c r="AA32" s="16"/>
      <c r="AB32" s="15"/>
      <c r="AC32" s="15"/>
      <c r="AD32" s="15"/>
      <c r="AE32" s="15"/>
    </row>
    <row r="33" customFormat="false" ht="24" hidden="false" customHeight="true" outlineLevel="0" collapsed="false">
      <c r="A33" s="32"/>
      <c r="B33" s="18" t="n">
        <v>28</v>
      </c>
      <c r="C33" s="19" t="s">
        <v>147</v>
      </c>
      <c r="D33" s="20" t="n">
        <v>46287</v>
      </c>
      <c r="E33" s="20" t="n">
        <v>46321</v>
      </c>
      <c r="F33" s="18" t="n">
        <f aca="false">E33-D33+1</f>
        <v>35</v>
      </c>
      <c r="G33" s="18" t="s">
        <v>148</v>
      </c>
      <c r="H33" s="19" t="s">
        <v>149</v>
      </c>
      <c r="I33" s="16"/>
      <c r="J33" s="16"/>
      <c r="K33" s="16"/>
      <c r="L33" s="16"/>
      <c r="M33" s="16"/>
      <c r="N33" s="16"/>
      <c r="O33" s="16"/>
      <c r="P33" s="33"/>
      <c r="Q33" s="33"/>
      <c r="R33" s="33"/>
      <c r="S33" s="33"/>
      <c r="T33" s="33"/>
      <c r="U33" s="16"/>
      <c r="V33" s="16"/>
      <c r="W33" s="16"/>
      <c r="X33" s="16"/>
      <c r="Y33" s="16"/>
      <c r="Z33" s="16"/>
      <c r="AA33" s="16"/>
      <c r="AB33" s="15"/>
      <c r="AC33" s="15"/>
      <c r="AD33" s="15"/>
      <c r="AE33" s="15"/>
    </row>
    <row r="34" customFormat="false" ht="24" hidden="false" customHeight="true" outlineLevel="0" collapsed="false">
      <c r="A34" s="32"/>
      <c r="B34" s="18" t="n">
        <v>29</v>
      </c>
      <c r="C34" s="19" t="s">
        <v>150</v>
      </c>
      <c r="D34" s="20" t="n">
        <v>46287</v>
      </c>
      <c r="E34" s="20" t="n">
        <v>46321</v>
      </c>
      <c r="F34" s="18" t="n">
        <f aca="false">E34-D34+1</f>
        <v>35</v>
      </c>
      <c r="G34" s="18" t="s">
        <v>151</v>
      </c>
      <c r="H34" s="19" t="s">
        <v>152</v>
      </c>
      <c r="I34" s="16"/>
      <c r="J34" s="16"/>
      <c r="K34" s="16"/>
      <c r="L34" s="16"/>
      <c r="M34" s="16"/>
      <c r="N34" s="16"/>
      <c r="O34" s="16"/>
      <c r="P34" s="33"/>
      <c r="Q34" s="33"/>
      <c r="R34" s="33"/>
      <c r="S34" s="33"/>
      <c r="T34" s="33"/>
      <c r="U34" s="16"/>
      <c r="V34" s="16"/>
      <c r="W34" s="16"/>
      <c r="X34" s="16"/>
      <c r="Y34" s="16"/>
      <c r="Z34" s="16"/>
      <c r="AA34" s="16"/>
      <c r="AB34" s="15"/>
      <c r="AC34" s="15"/>
      <c r="AD34" s="15"/>
      <c r="AE34" s="15"/>
    </row>
    <row r="35" customFormat="false" ht="24" hidden="false" customHeight="true" outlineLevel="0" collapsed="false">
      <c r="A35" s="32"/>
      <c r="B35" s="18" t="n">
        <v>30</v>
      </c>
      <c r="C35" s="19" t="s">
        <v>153</v>
      </c>
      <c r="D35" s="20" t="n">
        <v>46294</v>
      </c>
      <c r="E35" s="20" t="n">
        <v>46307</v>
      </c>
      <c r="F35" s="18" t="n">
        <f aca="false">E35-D35+1</f>
        <v>14</v>
      </c>
      <c r="G35" s="18" t="s">
        <v>109</v>
      </c>
      <c r="H35" s="19" t="s">
        <v>154</v>
      </c>
      <c r="I35" s="16"/>
      <c r="J35" s="16"/>
      <c r="K35" s="16"/>
      <c r="L35" s="16"/>
      <c r="M35" s="16"/>
      <c r="N35" s="16"/>
      <c r="O35" s="16"/>
      <c r="P35" s="16"/>
      <c r="Q35" s="33"/>
      <c r="R35" s="33"/>
      <c r="S35" s="16"/>
      <c r="T35" s="16"/>
      <c r="U35" s="16"/>
      <c r="V35" s="16"/>
      <c r="W35" s="16"/>
      <c r="X35" s="16"/>
      <c r="Y35" s="16"/>
      <c r="Z35" s="16"/>
      <c r="AA35" s="16"/>
      <c r="AB35" s="15"/>
      <c r="AC35" s="15"/>
      <c r="AD35" s="15"/>
      <c r="AE35" s="15"/>
    </row>
    <row r="36" customFormat="false" ht="24" hidden="false" customHeight="true" outlineLevel="0" collapsed="false">
      <c r="A36" s="32"/>
      <c r="B36" s="18" t="n">
        <v>31</v>
      </c>
      <c r="C36" s="19" t="s">
        <v>155</v>
      </c>
      <c r="D36" s="20" t="n">
        <v>46294</v>
      </c>
      <c r="E36" s="20" t="n">
        <v>46307</v>
      </c>
      <c r="F36" s="18" t="n">
        <f aca="false">E36-D36+1</f>
        <v>14</v>
      </c>
      <c r="G36" s="18" t="s">
        <v>109</v>
      </c>
      <c r="H36" s="19" t="s">
        <v>156</v>
      </c>
      <c r="I36" s="16"/>
      <c r="J36" s="16"/>
      <c r="K36" s="16"/>
      <c r="L36" s="16"/>
      <c r="M36" s="16"/>
      <c r="N36" s="16"/>
      <c r="O36" s="16"/>
      <c r="P36" s="16"/>
      <c r="Q36" s="33"/>
      <c r="R36" s="33"/>
      <c r="S36" s="16"/>
      <c r="T36" s="16"/>
      <c r="U36" s="16"/>
      <c r="V36" s="16"/>
      <c r="W36" s="16"/>
      <c r="X36" s="16"/>
      <c r="Y36" s="16"/>
      <c r="Z36" s="16"/>
      <c r="AA36" s="16"/>
      <c r="AB36" s="15"/>
      <c r="AC36" s="15"/>
      <c r="AD36" s="15"/>
      <c r="AE36" s="15"/>
    </row>
    <row r="37" customFormat="false" ht="24" hidden="false" customHeight="true" outlineLevel="0" collapsed="false">
      <c r="A37" s="32"/>
      <c r="B37" s="18" t="n">
        <v>32</v>
      </c>
      <c r="C37" s="19" t="s">
        <v>157</v>
      </c>
      <c r="D37" s="20" t="n">
        <v>46301</v>
      </c>
      <c r="E37" s="20" t="n">
        <v>46307</v>
      </c>
      <c r="F37" s="18" t="n">
        <f aca="false">E37-D37+1</f>
        <v>7</v>
      </c>
      <c r="G37" s="18" t="s">
        <v>109</v>
      </c>
      <c r="H37" s="19" t="s">
        <v>158</v>
      </c>
      <c r="I37" s="16"/>
      <c r="J37" s="16"/>
      <c r="K37" s="16"/>
      <c r="L37" s="16"/>
      <c r="M37" s="16"/>
      <c r="N37" s="16"/>
      <c r="O37" s="16"/>
      <c r="P37" s="16"/>
      <c r="Q37" s="16"/>
      <c r="R37" s="33"/>
      <c r="S37" s="16"/>
      <c r="T37" s="16"/>
      <c r="U37" s="16"/>
      <c r="V37" s="16"/>
      <c r="W37" s="16"/>
      <c r="X37" s="16"/>
      <c r="Y37" s="16"/>
      <c r="Z37" s="16"/>
      <c r="AA37" s="16"/>
      <c r="AB37" s="15"/>
      <c r="AC37" s="15"/>
      <c r="AD37" s="15"/>
      <c r="AE37" s="15"/>
    </row>
    <row r="38" customFormat="false" ht="24" hidden="false" customHeight="true" outlineLevel="0" collapsed="false">
      <c r="A38" s="32"/>
      <c r="B38" s="18" t="n">
        <v>33</v>
      </c>
      <c r="C38" s="19" t="s">
        <v>159</v>
      </c>
      <c r="D38" s="20" t="n">
        <v>46301</v>
      </c>
      <c r="E38" s="20" t="n">
        <v>46314</v>
      </c>
      <c r="F38" s="18" t="n">
        <f aca="false">E38-D38+1</f>
        <v>14</v>
      </c>
      <c r="G38" s="18" t="s">
        <v>143</v>
      </c>
      <c r="H38" s="19" t="s">
        <v>160</v>
      </c>
      <c r="I38" s="16"/>
      <c r="J38" s="16"/>
      <c r="K38" s="16"/>
      <c r="L38" s="16"/>
      <c r="M38" s="16"/>
      <c r="N38" s="16"/>
      <c r="O38" s="16"/>
      <c r="P38" s="16"/>
      <c r="Q38" s="16"/>
      <c r="R38" s="33"/>
      <c r="S38" s="33"/>
      <c r="T38" s="16"/>
      <c r="U38" s="16"/>
      <c r="V38" s="16"/>
      <c r="W38" s="16"/>
      <c r="X38" s="16"/>
      <c r="Y38" s="16"/>
      <c r="Z38" s="16"/>
      <c r="AA38" s="16"/>
      <c r="AB38" s="15"/>
      <c r="AC38" s="15"/>
      <c r="AD38" s="15"/>
      <c r="AE38" s="15"/>
    </row>
    <row r="39" customFormat="false" ht="24" hidden="false" customHeight="true" outlineLevel="0" collapsed="false">
      <c r="A39" s="32"/>
      <c r="B39" s="18" t="n">
        <v>34</v>
      </c>
      <c r="C39" s="19" t="s">
        <v>161</v>
      </c>
      <c r="D39" s="20" t="n">
        <v>46301</v>
      </c>
      <c r="E39" s="20" t="n">
        <v>46314</v>
      </c>
      <c r="F39" s="18" t="n">
        <f aca="false">E39-D39+1</f>
        <v>14</v>
      </c>
      <c r="G39" s="18" t="s">
        <v>109</v>
      </c>
      <c r="H39" s="19" t="s">
        <v>162</v>
      </c>
      <c r="I39" s="16"/>
      <c r="J39" s="16"/>
      <c r="K39" s="16"/>
      <c r="L39" s="16"/>
      <c r="M39" s="16"/>
      <c r="N39" s="16"/>
      <c r="O39" s="16"/>
      <c r="P39" s="16"/>
      <c r="Q39" s="16"/>
      <c r="R39" s="33"/>
      <c r="S39" s="33"/>
      <c r="T39" s="16"/>
      <c r="U39" s="16"/>
      <c r="V39" s="16"/>
      <c r="W39" s="16"/>
      <c r="X39" s="16"/>
      <c r="Y39" s="16"/>
      <c r="Z39" s="16"/>
      <c r="AA39" s="16"/>
      <c r="AB39" s="15"/>
      <c r="AC39" s="15"/>
      <c r="AD39" s="15"/>
      <c r="AE39" s="15"/>
    </row>
    <row r="40" customFormat="false" ht="24" hidden="false" customHeight="true" outlineLevel="0" collapsed="false">
      <c r="A40" s="32"/>
      <c r="B40" s="18" t="n">
        <v>35</v>
      </c>
      <c r="C40" s="19" t="s">
        <v>163</v>
      </c>
      <c r="D40" s="20" t="n">
        <v>46301</v>
      </c>
      <c r="E40" s="20" t="n">
        <v>46314</v>
      </c>
      <c r="F40" s="18" t="n">
        <f aca="false">E40-D40+1</f>
        <v>14</v>
      </c>
      <c r="G40" s="18" t="s">
        <v>118</v>
      </c>
      <c r="H40" s="19" t="s">
        <v>164</v>
      </c>
      <c r="I40" s="16"/>
      <c r="J40" s="16"/>
      <c r="K40" s="16"/>
      <c r="L40" s="16"/>
      <c r="M40" s="16"/>
      <c r="N40" s="16"/>
      <c r="O40" s="16"/>
      <c r="P40" s="16"/>
      <c r="Q40" s="16"/>
      <c r="R40" s="33"/>
      <c r="S40" s="33"/>
      <c r="T40" s="16"/>
      <c r="U40" s="16"/>
      <c r="V40" s="16"/>
      <c r="W40" s="16"/>
      <c r="X40" s="16"/>
      <c r="Y40" s="16"/>
      <c r="Z40" s="16"/>
      <c r="AA40" s="16"/>
      <c r="AB40" s="15"/>
      <c r="AC40" s="15"/>
      <c r="AD40" s="15"/>
      <c r="AE40" s="15"/>
    </row>
    <row r="41" customFormat="false" ht="24" hidden="false" customHeight="true" outlineLevel="0" collapsed="false">
      <c r="A41" s="32"/>
      <c r="B41" s="34" t="n">
        <v>36</v>
      </c>
      <c r="C41" s="35" t="s">
        <v>165</v>
      </c>
      <c r="D41" s="36" t="n">
        <v>46308</v>
      </c>
      <c r="E41" s="36" t="n">
        <v>46314</v>
      </c>
      <c r="F41" s="34" t="n">
        <f aca="false">E41-D41+1</f>
        <v>7</v>
      </c>
      <c r="G41" s="34" t="s">
        <v>81</v>
      </c>
      <c r="H41" s="35" t="s">
        <v>166</v>
      </c>
      <c r="I41" s="16"/>
      <c r="J41" s="16"/>
      <c r="K41" s="16"/>
      <c r="L41" s="16"/>
      <c r="M41" s="16"/>
      <c r="N41" s="16"/>
      <c r="O41" s="16"/>
      <c r="P41" s="16"/>
      <c r="Q41" s="16"/>
      <c r="R41" s="16"/>
      <c r="S41" s="37"/>
      <c r="T41" s="16"/>
      <c r="U41" s="16"/>
      <c r="V41" s="16"/>
      <c r="W41" s="16"/>
      <c r="X41" s="16"/>
      <c r="Y41" s="16"/>
      <c r="Z41" s="16"/>
      <c r="AA41" s="16"/>
      <c r="AB41" s="15"/>
      <c r="AC41" s="15"/>
      <c r="AD41" s="15"/>
      <c r="AE41" s="15"/>
    </row>
    <row r="42" customFormat="false" ht="24" hidden="false" customHeight="true" outlineLevel="0" collapsed="false">
      <c r="A42" s="32"/>
      <c r="B42" s="18" t="n">
        <v>37</v>
      </c>
      <c r="C42" s="19" t="s">
        <v>167</v>
      </c>
      <c r="D42" s="20" t="n">
        <v>46308</v>
      </c>
      <c r="E42" s="20" t="n">
        <v>46321</v>
      </c>
      <c r="F42" s="18" t="n">
        <f aca="false">E42-D42+1</f>
        <v>14</v>
      </c>
      <c r="G42" s="18" t="s">
        <v>109</v>
      </c>
      <c r="H42" s="19" t="s">
        <v>168</v>
      </c>
      <c r="I42" s="16"/>
      <c r="J42" s="16"/>
      <c r="K42" s="16"/>
      <c r="L42" s="16"/>
      <c r="M42" s="16"/>
      <c r="N42" s="16"/>
      <c r="O42" s="16"/>
      <c r="P42" s="16"/>
      <c r="Q42" s="16"/>
      <c r="R42" s="16"/>
      <c r="S42" s="33"/>
      <c r="T42" s="33"/>
      <c r="U42" s="16"/>
      <c r="V42" s="16"/>
      <c r="W42" s="16"/>
      <c r="X42" s="16"/>
      <c r="Y42" s="16"/>
      <c r="Z42" s="16"/>
      <c r="AA42" s="16"/>
      <c r="AB42" s="15"/>
      <c r="AC42" s="15"/>
      <c r="AD42" s="15"/>
      <c r="AE42" s="15"/>
    </row>
    <row r="43" customFormat="false" ht="24" hidden="false" customHeight="true" outlineLevel="0" collapsed="false">
      <c r="A43" s="32"/>
      <c r="B43" s="18" t="n">
        <v>38</v>
      </c>
      <c r="C43" s="19" t="s">
        <v>169</v>
      </c>
      <c r="D43" s="20" t="n">
        <v>46308</v>
      </c>
      <c r="E43" s="20" t="n">
        <v>46321</v>
      </c>
      <c r="F43" s="18" t="n">
        <f aca="false">E43-D43+1</f>
        <v>14</v>
      </c>
      <c r="G43" s="18" t="s">
        <v>118</v>
      </c>
      <c r="H43" s="19" t="s">
        <v>170</v>
      </c>
      <c r="I43" s="16"/>
      <c r="J43" s="16"/>
      <c r="K43" s="16"/>
      <c r="L43" s="16"/>
      <c r="M43" s="16"/>
      <c r="N43" s="16"/>
      <c r="O43" s="16"/>
      <c r="P43" s="16"/>
      <c r="Q43" s="16"/>
      <c r="R43" s="16"/>
      <c r="S43" s="33"/>
      <c r="T43" s="33"/>
      <c r="U43" s="16"/>
      <c r="V43" s="16"/>
      <c r="W43" s="16"/>
      <c r="X43" s="16"/>
      <c r="Y43" s="16"/>
      <c r="Z43" s="16"/>
      <c r="AA43" s="16"/>
      <c r="AB43" s="15"/>
      <c r="AC43" s="15"/>
      <c r="AD43" s="15"/>
      <c r="AE43" s="15"/>
    </row>
    <row r="44" customFormat="false" ht="24" hidden="false" customHeight="true" outlineLevel="0" collapsed="false">
      <c r="A44" s="32"/>
      <c r="B44" s="18" t="n">
        <v>39</v>
      </c>
      <c r="C44" s="19" t="s">
        <v>171</v>
      </c>
      <c r="D44" s="20" t="n">
        <v>46315</v>
      </c>
      <c r="E44" s="20" t="n">
        <v>46321</v>
      </c>
      <c r="F44" s="18" t="n">
        <f aca="false">E44-D44+1</f>
        <v>7</v>
      </c>
      <c r="G44" s="18" t="s">
        <v>81</v>
      </c>
      <c r="H44" s="19" t="s">
        <v>172</v>
      </c>
      <c r="I44" s="16"/>
      <c r="J44" s="16"/>
      <c r="K44" s="16"/>
      <c r="L44" s="16"/>
      <c r="M44" s="16"/>
      <c r="N44" s="16"/>
      <c r="O44" s="16"/>
      <c r="P44" s="16"/>
      <c r="Q44" s="16"/>
      <c r="R44" s="16"/>
      <c r="S44" s="16"/>
      <c r="T44" s="33"/>
      <c r="U44" s="16"/>
      <c r="V44" s="16"/>
      <c r="W44" s="16"/>
      <c r="X44" s="16"/>
      <c r="Y44" s="16"/>
      <c r="Z44" s="16"/>
      <c r="AA44" s="16"/>
      <c r="AB44" s="15"/>
      <c r="AC44" s="15"/>
      <c r="AD44" s="15"/>
      <c r="AE44" s="15"/>
    </row>
    <row r="45" customFormat="false" ht="24" hidden="false" customHeight="true" outlineLevel="0" collapsed="false">
      <c r="A45" s="32"/>
      <c r="B45" s="22" t="n">
        <v>40</v>
      </c>
      <c r="C45" s="23" t="s">
        <v>173</v>
      </c>
      <c r="D45" s="24" t="n">
        <v>46315</v>
      </c>
      <c r="E45" s="24" t="n">
        <v>46321</v>
      </c>
      <c r="F45" s="22" t="n">
        <f aca="false">E45-D45+1</f>
        <v>7</v>
      </c>
      <c r="G45" s="22" t="s">
        <v>112</v>
      </c>
      <c r="H45" s="23" t="s">
        <v>174</v>
      </c>
      <c r="I45" s="16"/>
      <c r="J45" s="16"/>
      <c r="K45" s="16"/>
      <c r="L45" s="16"/>
      <c r="M45" s="16"/>
      <c r="N45" s="16"/>
      <c r="O45" s="16"/>
      <c r="P45" s="16"/>
      <c r="Q45" s="16"/>
      <c r="R45" s="16"/>
      <c r="S45" s="16"/>
      <c r="T45" s="25"/>
      <c r="U45" s="16"/>
      <c r="V45" s="16"/>
      <c r="W45" s="16"/>
      <c r="X45" s="16"/>
      <c r="Y45" s="16"/>
      <c r="Z45" s="16"/>
      <c r="AA45" s="16"/>
      <c r="AB45" s="15"/>
      <c r="AC45" s="15"/>
      <c r="AD45" s="15"/>
      <c r="AE45" s="15"/>
    </row>
    <row r="46" customFormat="false" ht="24" hidden="false" customHeight="true" outlineLevel="0" collapsed="false">
      <c r="A46" s="32"/>
      <c r="B46" s="28" t="n">
        <v>41</v>
      </c>
      <c r="C46" s="29" t="s">
        <v>175</v>
      </c>
      <c r="D46" s="30" t="n">
        <v>46315</v>
      </c>
      <c r="E46" s="30" t="n">
        <v>46321</v>
      </c>
      <c r="F46" s="28" t="n">
        <f aca="false">E46-D46+1</f>
        <v>7</v>
      </c>
      <c r="G46" s="28" t="s">
        <v>81</v>
      </c>
      <c r="H46" s="29" t="s">
        <v>176</v>
      </c>
      <c r="I46" s="16"/>
      <c r="J46" s="16"/>
      <c r="K46" s="16"/>
      <c r="L46" s="16"/>
      <c r="M46" s="16"/>
      <c r="N46" s="16"/>
      <c r="O46" s="16"/>
      <c r="P46" s="16"/>
      <c r="Q46" s="16"/>
      <c r="R46" s="16"/>
      <c r="S46" s="16"/>
      <c r="T46" s="31"/>
      <c r="U46" s="16"/>
      <c r="V46" s="16"/>
      <c r="W46" s="16"/>
      <c r="X46" s="16"/>
      <c r="Y46" s="16"/>
      <c r="Z46" s="16"/>
      <c r="AA46" s="16"/>
      <c r="AB46" s="15"/>
      <c r="AC46" s="15"/>
      <c r="AD46" s="15"/>
      <c r="AE46" s="15"/>
    </row>
    <row r="47" customFormat="false" ht="24" hidden="false" customHeight="true" outlineLevel="0" collapsed="false">
      <c r="A47" s="38" t="s">
        <v>177</v>
      </c>
      <c r="B47" s="34" t="n">
        <v>42</v>
      </c>
      <c r="C47" s="35" t="s">
        <v>178</v>
      </c>
      <c r="D47" s="36" t="n">
        <v>46322</v>
      </c>
      <c r="E47" s="36" t="n">
        <v>46328</v>
      </c>
      <c r="F47" s="34" t="n">
        <f aca="false">E47-D47+1</f>
        <v>7</v>
      </c>
      <c r="G47" s="34" t="s">
        <v>81</v>
      </c>
      <c r="H47" s="35" t="s">
        <v>179</v>
      </c>
      <c r="I47" s="16"/>
      <c r="J47" s="16"/>
      <c r="K47" s="16"/>
      <c r="L47" s="16"/>
      <c r="M47" s="16"/>
      <c r="N47" s="16"/>
      <c r="O47" s="16"/>
      <c r="P47" s="16"/>
      <c r="Q47" s="16"/>
      <c r="R47" s="16"/>
      <c r="S47" s="16"/>
      <c r="T47" s="16"/>
      <c r="U47" s="37"/>
      <c r="V47" s="16"/>
      <c r="W47" s="16"/>
      <c r="X47" s="16"/>
      <c r="Y47" s="16"/>
      <c r="Z47" s="16"/>
      <c r="AA47" s="16"/>
      <c r="AB47" s="15"/>
      <c r="AC47" s="15"/>
      <c r="AD47" s="15"/>
      <c r="AE47" s="15"/>
    </row>
    <row r="48" customFormat="false" ht="24" hidden="false" customHeight="true" outlineLevel="0" collapsed="false">
      <c r="A48" s="38"/>
      <c r="B48" s="18" t="n">
        <v>43</v>
      </c>
      <c r="C48" s="19" t="s">
        <v>180</v>
      </c>
      <c r="D48" s="20" t="n">
        <v>46322</v>
      </c>
      <c r="E48" s="20" t="n">
        <v>46335</v>
      </c>
      <c r="F48" s="18" t="n">
        <f aca="false">E48-D48+1</f>
        <v>14</v>
      </c>
      <c r="G48" s="18" t="s">
        <v>181</v>
      </c>
      <c r="H48" s="19" t="s">
        <v>182</v>
      </c>
      <c r="I48" s="16"/>
      <c r="J48" s="16"/>
      <c r="K48" s="16"/>
      <c r="L48" s="16"/>
      <c r="M48" s="16"/>
      <c r="N48" s="16"/>
      <c r="O48" s="16"/>
      <c r="P48" s="16"/>
      <c r="Q48" s="16"/>
      <c r="R48" s="16"/>
      <c r="S48" s="16"/>
      <c r="T48" s="16"/>
      <c r="U48" s="39"/>
      <c r="V48" s="39"/>
      <c r="W48" s="16"/>
      <c r="X48" s="16"/>
      <c r="Y48" s="16"/>
      <c r="Z48" s="16"/>
      <c r="AA48" s="16"/>
      <c r="AB48" s="15"/>
      <c r="AC48" s="15"/>
      <c r="AD48" s="15"/>
      <c r="AE48" s="15"/>
    </row>
    <row r="49" customFormat="false" ht="24" hidden="false" customHeight="true" outlineLevel="0" collapsed="false">
      <c r="A49" s="38"/>
      <c r="B49" s="18" t="n">
        <v>44</v>
      </c>
      <c r="C49" s="19" t="s">
        <v>183</v>
      </c>
      <c r="D49" s="20" t="n">
        <v>46322</v>
      </c>
      <c r="E49" s="20" t="n">
        <v>46335</v>
      </c>
      <c r="F49" s="18" t="n">
        <f aca="false">E49-D49+1</f>
        <v>14</v>
      </c>
      <c r="G49" s="18" t="s">
        <v>151</v>
      </c>
      <c r="H49" s="19" t="s">
        <v>184</v>
      </c>
      <c r="I49" s="16"/>
      <c r="J49" s="16"/>
      <c r="K49" s="16"/>
      <c r="L49" s="16"/>
      <c r="M49" s="16"/>
      <c r="N49" s="16"/>
      <c r="O49" s="16"/>
      <c r="P49" s="16"/>
      <c r="Q49" s="16"/>
      <c r="R49" s="16"/>
      <c r="S49" s="16"/>
      <c r="T49" s="16"/>
      <c r="U49" s="39"/>
      <c r="V49" s="39"/>
      <c r="W49" s="16"/>
      <c r="X49" s="16"/>
      <c r="Y49" s="16"/>
      <c r="Z49" s="16"/>
      <c r="AA49" s="16"/>
      <c r="AB49" s="15"/>
      <c r="AC49" s="15"/>
      <c r="AD49" s="15"/>
      <c r="AE49" s="15"/>
    </row>
    <row r="50" customFormat="false" ht="24" hidden="false" customHeight="true" outlineLevel="0" collapsed="false">
      <c r="A50" s="38"/>
      <c r="B50" s="18" t="n">
        <v>45</v>
      </c>
      <c r="C50" s="19" t="s">
        <v>185</v>
      </c>
      <c r="D50" s="20" t="n">
        <v>46322</v>
      </c>
      <c r="E50" s="20" t="n">
        <v>46335</v>
      </c>
      <c r="F50" s="18" t="n">
        <f aca="false">E50-D50+1</f>
        <v>14</v>
      </c>
      <c r="G50" s="18" t="s">
        <v>143</v>
      </c>
      <c r="H50" s="19" t="s">
        <v>186</v>
      </c>
      <c r="I50" s="16"/>
      <c r="J50" s="16"/>
      <c r="K50" s="16"/>
      <c r="L50" s="16"/>
      <c r="M50" s="16"/>
      <c r="N50" s="16"/>
      <c r="O50" s="16"/>
      <c r="P50" s="16"/>
      <c r="Q50" s="16"/>
      <c r="R50" s="16"/>
      <c r="S50" s="16"/>
      <c r="T50" s="16"/>
      <c r="U50" s="39"/>
      <c r="V50" s="39"/>
      <c r="W50" s="16"/>
      <c r="X50" s="16"/>
      <c r="Y50" s="16"/>
      <c r="Z50" s="16"/>
      <c r="AA50" s="16"/>
      <c r="AB50" s="15"/>
      <c r="AC50" s="15"/>
      <c r="AD50" s="15"/>
      <c r="AE50" s="15"/>
    </row>
    <row r="51" customFormat="false" ht="24" hidden="false" customHeight="true" outlineLevel="0" collapsed="false">
      <c r="A51" s="38"/>
      <c r="B51" s="18" t="n">
        <v>46</v>
      </c>
      <c r="C51" s="19" t="s">
        <v>187</v>
      </c>
      <c r="D51" s="20" t="n">
        <v>46329</v>
      </c>
      <c r="E51" s="20" t="n">
        <v>46342</v>
      </c>
      <c r="F51" s="18" t="n">
        <f aca="false">E51-D51+1</f>
        <v>14</v>
      </c>
      <c r="G51" s="18" t="s">
        <v>98</v>
      </c>
      <c r="H51" s="19" t="s">
        <v>188</v>
      </c>
      <c r="I51" s="16"/>
      <c r="J51" s="16"/>
      <c r="K51" s="16"/>
      <c r="L51" s="16"/>
      <c r="M51" s="16"/>
      <c r="N51" s="16"/>
      <c r="O51" s="16"/>
      <c r="P51" s="16"/>
      <c r="Q51" s="16"/>
      <c r="R51" s="16"/>
      <c r="S51" s="16"/>
      <c r="T51" s="16"/>
      <c r="U51" s="16"/>
      <c r="V51" s="39"/>
      <c r="W51" s="39"/>
      <c r="X51" s="16"/>
      <c r="Y51" s="16"/>
      <c r="Z51" s="16"/>
      <c r="AA51" s="16"/>
      <c r="AB51" s="15"/>
      <c r="AC51" s="15"/>
      <c r="AD51" s="15"/>
      <c r="AE51" s="15"/>
    </row>
    <row r="52" customFormat="false" ht="24" hidden="false" customHeight="true" outlineLevel="0" collapsed="false">
      <c r="A52" s="38"/>
      <c r="B52" s="18" t="n">
        <v>47</v>
      </c>
      <c r="C52" s="19" t="s">
        <v>189</v>
      </c>
      <c r="D52" s="20" t="n">
        <v>46329</v>
      </c>
      <c r="E52" s="20" t="n">
        <v>46342</v>
      </c>
      <c r="F52" s="18" t="n">
        <f aca="false">E52-D52+1</f>
        <v>14</v>
      </c>
      <c r="G52" s="18" t="s">
        <v>190</v>
      </c>
      <c r="H52" s="19" t="s">
        <v>191</v>
      </c>
      <c r="I52" s="16"/>
      <c r="J52" s="16"/>
      <c r="K52" s="16"/>
      <c r="L52" s="16"/>
      <c r="M52" s="16"/>
      <c r="N52" s="16"/>
      <c r="O52" s="16"/>
      <c r="P52" s="16"/>
      <c r="Q52" s="16"/>
      <c r="R52" s="16"/>
      <c r="S52" s="16"/>
      <c r="T52" s="16"/>
      <c r="U52" s="16"/>
      <c r="V52" s="39"/>
      <c r="W52" s="39"/>
      <c r="X52" s="16"/>
      <c r="Y52" s="16"/>
      <c r="Z52" s="16"/>
      <c r="AA52" s="16"/>
      <c r="AB52" s="15"/>
      <c r="AC52" s="15"/>
      <c r="AD52" s="15"/>
      <c r="AE52" s="15"/>
    </row>
    <row r="53" customFormat="false" ht="24" hidden="false" customHeight="true" outlineLevel="0" collapsed="false">
      <c r="A53" s="38"/>
      <c r="B53" s="18" t="n">
        <v>48</v>
      </c>
      <c r="C53" s="19" t="s">
        <v>192</v>
      </c>
      <c r="D53" s="20" t="n">
        <v>46329</v>
      </c>
      <c r="E53" s="20" t="n">
        <v>46342</v>
      </c>
      <c r="F53" s="18" t="n">
        <f aca="false">E53-D53+1</f>
        <v>14</v>
      </c>
      <c r="G53" s="18" t="s">
        <v>109</v>
      </c>
      <c r="H53" s="19" t="s">
        <v>193</v>
      </c>
      <c r="I53" s="16"/>
      <c r="J53" s="16"/>
      <c r="K53" s="16"/>
      <c r="L53" s="16"/>
      <c r="M53" s="16"/>
      <c r="N53" s="16"/>
      <c r="O53" s="16"/>
      <c r="P53" s="16"/>
      <c r="Q53" s="16"/>
      <c r="R53" s="16"/>
      <c r="S53" s="16"/>
      <c r="T53" s="16"/>
      <c r="U53" s="16"/>
      <c r="V53" s="39"/>
      <c r="W53" s="39"/>
      <c r="X53" s="16"/>
      <c r="Y53" s="16"/>
      <c r="Z53" s="16"/>
      <c r="AA53" s="16"/>
      <c r="AB53" s="15"/>
      <c r="AC53" s="15"/>
      <c r="AD53" s="15"/>
      <c r="AE53" s="15"/>
    </row>
    <row r="54" customFormat="false" ht="24" hidden="false" customHeight="true" outlineLevel="0" collapsed="false">
      <c r="A54" s="38"/>
      <c r="B54" s="18" t="n">
        <v>49</v>
      </c>
      <c r="C54" s="19" t="s">
        <v>194</v>
      </c>
      <c r="D54" s="20" t="n">
        <v>46336</v>
      </c>
      <c r="E54" s="20" t="n">
        <v>46342</v>
      </c>
      <c r="F54" s="18" t="n">
        <f aca="false">E54-D54+1</f>
        <v>7</v>
      </c>
      <c r="G54" s="18" t="s">
        <v>81</v>
      </c>
      <c r="H54" s="19" t="s">
        <v>195</v>
      </c>
      <c r="I54" s="16"/>
      <c r="J54" s="16"/>
      <c r="K54" s="16"/>
      <c r="L54" s="16"/>
      <c r="M54" s="16"/>
      <c r="N54" s="16"/>
      <c r="O54" s="16"/>
      <c r="P54" s="16"/>
      <c r="Q54" s="16"/>
      <c r="R54" s="16"/>
      <c r="S54" s="16"/>
      <c r="T54" s="16"/>
      <c r="U54" s="16"/>
      <c r="V54" s="16"/>
      <c r="W54" s="39"/>
      <c r="X54" s="16"/>
      <c r="Y54" s="16"/>
      <c r="Z54" s="16"/>
      <c r="AA54" s="16"/>
      <c r="AB54" s="15"/>
      <c r="AC54" s="15"/>
      <c r="AD54" s="15"/>
      <c r="AE54" s="15"/>
    </row>
    <row r="55" customFormat="false" ht="24" hidden="false" customHeight="true" outlineLevel="0" collapsed="false">
      <c r="A55" s="38"/>
      <c r="B55" s="22" t="n">
        <v>50</v>
      </c>
      <c r="C55" s="23" t="s">
        <v>196</v>
      </c>
      <c r="D55" s="24" t="n">
        <v>46336</v>
      </c>
      <c r="E55" s="24" t="n">
        <v>46342</v>
      </c>
      <c r="F55" s="22" t="n">
        <f aca="false">E55-D55+1</f>
        <v>7</v>
      </c>
      <c r="G55" s="22" t="s">
        <v>81</v>
      </c>
      <c r="H55" s="23" t="s">
        <v>197</v>
      </c>
      <c r="I55" s="16"/>
      <c r="J55" s="16"/>
      <c r="K55" s="16"/>
      <c r="L55" s="16"/>
      <c r="M55" s="16"/>
      <c r="N55" s="16"/>
      <c r="O55" s="16"/>
      <c r="P55" s="16"/>
      <c r="Q55" s="16"/>
      <c r="R55" s="16"/>
      <c r="S55" s="16"/>
      <c r="T55" s="16"/>
      <c r="U55" s="16"/>
      <c r="V55" s="16"/>
      <c r="W55" s="25"/>
      <c r="X55" s="16"/>
      <c r="Y55" s="16"/>
      <c r="Z55" s="16"/>
      <c r="AA55" s="16"/>
      <c r="AB55" s="15"/>
      <c r="AC55" s="15"/>
      <c r="AD55" s="15"/>
      <c r="AE55" s="15"/>
    </row>
    <row r="56" customFormat="false" ht="24" hidden="false" customHeight="true" outlineLevel="0" collapsed="false">
      <c r="A56" s="38"/>
      <c r="B56" s="28" t="n">
        <v>51</v>
      </c>
      <c r="C56" s="29" t="s">
        <v>198</v>
      </c>
      <c r="D56" s="30" t="n">
        <v>46336</v>
      </c>
      <c r="E56" s="30" t="n">
        <v>46342</v>
      </c>
      <c r="F56" s="28" t="n">
        <f aca="false">E56-D56+1</f>
        <v>7</v>
      </c>
      <c r="G56" s="28" t="s">
        <v>81</v>
      </c>
      <c r="H56" s="29" t="s">
        <v>199</v>
      </c>
      <c r="I56" s="16"/>
      <c r="J56" s="16"/>
      <c r="K56" s="16"/>
      <c r="L56" s="16"/>
      <c r="M56" s="16"/>
      <c r="N56" s="16"/>
      <c r="O56" s="16"/>
      <c r="P56" s="16"/>
      <c r="Q56" s="16"/>
      <c r="R56" s="16"/>
      <c r="S56" s="16"/>
      <c r="T56" s="16"/>
      <c r="U56" s="16"/>
      <c r="V56" s="16"/>
      <c r="W56" s="31"/>
      <c r="X56" s="16"/>
      <c r="Y56" s="16"/>
      <c r="Z56" s="16"/>
      <c r="AA56" s="16"/>
      <c r="AB56" s="15"/>
      <c r="AC56" s="15"/>
      <c r="AD56" s="15"/>
      <c r="AE56" s="15"/>
    </row>
    <row r="57" customFormat="false" ht="24" hidden="false" customHeight="true" outlineLevel="0" collapsed="false">
      <c r="A57" s="40" t="s">
        <v>200</v>
      </c>
      <c r="B57" s="18" t="n">
        <v>52</v>
      </c>
      <c r="C57" s="19" t="s">
        <v>201</v>
      </c>
      <c r="D57" s="20" t="n">
        <v>46343</v>
      </c>
      <c r="E57" s="20" t="n">
        <v>46349</v>
      </c>
      <c r="F57" s="18" t="n">
        <f aca="false">E57-D57+1</f>
        <v>7</v>
      </c>
      <c r="G57" s="18" t="s">
        <v>81</v>
      </c>
      <c r="H57" s="19" t="s">
        <v>202</v>
      </c>
      <c r="I57" s="16"/>
      <c r="J57" s="16"/>
      <c r="K57" s="16"/>
      <c r="L57" s="16"/>
      <c r="M57" s="16"/>
      <c r="N57" s="16"/>
      <c r="O57" s="16"/>
      <c r="P57" s="16"/>
      <c r="Q57" s="16"/>
      <c r="R57" s="16"/>
      <c r="S57" s="16"/>
      <c r="T57" s="16"/>
      <c r="U57" s="16"/>
      <c r="V57" s="16"/>
      <c r="W57" s="16"/>
      <c r="X57" s="41"/>
      <c r="Y57" s="16"/>
      <c r="Z57" s="16"/>
      <c r="AA57" s="16"/>
      <c r="AB57" s="15"/>
      <c r="AC57" s="15"/>
      <c r="AD57" s="15"/>
      <c r="AE57" s="15"/>
    </row>
    <row r="58" customFormat="false" ht="24" hidden="false" customHeight="true" outlineLevel="0" collapsed="false">
      <c r="A58" s="40"/>
      <c r="B58" s="18" t="n">
        <v>53</v>
      </c>
      <c r="C58" s="19" t="s">
        <v>203</v>
      </c>
      <c r="D58" s="20" t="n">
        <v>46343</v>
      </c>
      <c r="E58" s="20" t="n">
        <v>46356</v>
      </c>
      <c r="F58" s="18" t="n">
        <f aca="false">E58-D58+1</f>
        <v>14</v>
      </c>
      <c r="G58" s="18" t="s">
        <v>98</v>
      </c>
      <c r="H58" s="19" t="s">
        <v>204</v>
      </c>
      <c r="I58" s="16"/>
      <c r="J58" s="16"/>
      <c r="K58" s="16"/>
      <c r="L58" s="16"/>
      <c r="M58" s="16"/>
      <c r="N58" s="16"/>
      <c r="O58" s="16"/>
      <c r="P58" s="16"/>
      <c r="Q58" s="16"/>
      <c r="R58" s="16"/>
      <c r="S58" s="16"/>
      <c r="T58" s="16"/>
      <c r="U58" s="16"/>
      <c r="V58" s="16"/>
      <c r="W58" s="16"/>
      <c r="X58" s="41"/>
      <c r="Y58" s="41"/>
      <c r="Z58" s="16"/>
      <c r="AA58" s="16"/>
      <c r="AB58" s="15"/>
      <c r="AC58" s="15"/>
      <c r="AD58" s="15"/>
      <c r="AE58" s="15"/>
    </row>
    <row r="59" customFormat="false" ht="24" hidden="false" customHeight="true" outlineLevel="0" collapsed="false">
      <c r="A59" s="40"/>
      <c r="B59" s="18" t="n">
        <v>54</v>
      </c>
      <c r="C59" s="19" t="s">
        <v>205</v>
      </c>
      <c r="D59" s="20" t="n">
        <v>46343</v>
      </c>
      <c r="E59" s="20" t="n">
        <v>46356</v>
      </c>
      <c r="F59" s="18" t="n">
        <f aca="false">E59-D59+1</f>
        <v>14</v>
      </c>
      <c r="G59" s="18" t="s">
        <v>115</v>
      </c>
      <c r="H59" s="19" t="s">
        <v>206</v>
      </c>
      <c r="I59" s="16"/>
      <c r="J59" s="16"/>
      <c r="K59" s="16"/>
      <c r="L59" s="16"/>
      <c r="M59" s="16"/>
      <c r="N59" s="16"/>
      <c r="O59" s="16"/>
      <c r="P59" s="16"/>
      <c r="Q59" s="16"/>
      <c r="R59" s="16"/>
      <c r="S59" s="16"/>
      <c r="T59" s="16"/>
      <c r="U59" s="16"/>
      <c r="V59" s="16"/>
      <c r="W59" s="16"/>
      <c r="X59" s="41"/>
      <c r="Y59" s="41"/>
      <c r="Z59" s="16"/>
      <c r="AA59" s="16"/>
      <c r="AB59" s="15"/>
      <c r="AC59" s="15"/>
      <c r="AD59" s="15"/>
      <c r="AE59" s="15"/>
    </row>
    <row r="60" customFormat="false" ht="24" hidden="false" customHeight="true" outlineLevel="0" collapsed="false">
      <c r="A60" s="40"/>
      <c r="B60" s="18" t="n">
        <v>55</v>
      </c>
      <c r="C60" s="19" t="s">
        <v>207</v>
      </c>
      <c r="D60" s="20" t="n">
        <v>46343</v>
      </c>
      <c r="E60" s="20" t="n">
        <v>46363</v>
      </c>
      <c r="F60" s="18" t="n">
        <f aca="false">E60-D60+1</f>
        <v>21</v>
      </c>
      <c r="G60" s="18" t="s">
        <v>81</v>
      </c>
      <c r="H60" s="19" t="s">
        <v>208</v>
      </c>
      <c r="I60" s="16"/>
      <c r="J60" s="16"/>
      <c r="K60" s="16"/>
      <c r="L60" s="16"/>
      <c r="M60" s="16"/>
      <c r="N60" s="16"/>
      <c r="O60" s="16"/>
      <c r="P60" s="16"/>
      <c r="Q60" s="16"/>
      <c r="R60" s="16"/>
      <c r="S60" s="16"/>
      <c r="T60" s="16"/>
      <c r="U60" s="16"/>
      <c r="V60" s="16"/>
      <c r="W60" s="16"/>
      <c r="X60" s="41"/>
      <c r="Y60" s="41"/>
      <c r="Z60" s="41"/>
      <c r="AA60" s="16"/>
      <c r="AB60" s="15"/>
      <c r="AC60" s="15"/>
      <c r="AD60" s="15"/>
      <c r="AE60" s="15"/>
    </row>
    <row r="61" customFormat="false" ht="24" hidden="false" customHeight="true" outlineLevel="0" collapsed="false">
      <c r="A61" s="40"/>
      <c r="B61" s="18" t="n">
        <v>56</v>
      </c>
      <c r="C61" s="19" t="s">
        <v>209</v>
      </c>
      <c r="D61" s="20" t="n">
        <v>46350</v>
      </c>
      <c r="E61" s="20" t="n">
        <v>46356</v>
      </c>
      <c r="F61" s="18" t="n">
        <f aca="false">E61-D61+1</f>
        <v>7</v>
      </c>
      <c r="G61" s="18" t="s">
        <v>118</v>
      </c>
      <c r="H61" s="19" t="s">
        <v>210</v>
      </c>
      <c r="I61" s="16"/>
      <c r="J61" s="16"/>
      <c r="K61" s="16"/>
      <c r="L61" s="16"/>
      <c r="M61" s="16"/>
      <c r="N61" s="16"/>
      <c r="O61" s="16"/>
      <c r="P61" s="16"/>
      <c r="Q61" s="16"/>
      <c r="R61" s="16"/>
      <c r="S61" s="16"/>
      <c r="T61" s="16"/>
      <c r="U61" s="16"/>
      <c r="V61" s="16"/>
      <c r="W61" s="16"/>
      <c r="X61" s="16"/>
      <c r="Y61" s="41"/>
      <c r="Z61" s="16"/>
      <c r="AA61" s="16"/>
      <c r="AB61" s="15"/>
      <c r="AC61" s="15"/>
      <c r="AD61" s="15"/>
      <c r="AE61" s="15"/>
    </row>
    <row r="62" customFormat="false" ht="24" hidden="false" customHeight="true" outlineLevel="0" collapsed="false">
      <c r="A62" s="40"/>
      <c r="B62" s="18" t="n">
        <v>57</v>
      </c>
      <c r="C62" s="19" t="s">
        <v>211</v>
      </c>
      <c r="D62" s="20" t="n">
        <v>46350</v>
      </c>
      <c r="E62" s="20" t="n">
        <v>46363</v>
      </c>
      <c r="F62" s="18" t="n">
        <f aca="false">E62-D62+1</f>
        <v>14</v>
      </c>
      <c r="G62" s="18" t="s">
        <v>112</v>
      </c>
      <c r="H62" s="19" t="s">
        <v>212</v>
      </c>
      <c r="I62" s="16"/>
      <c r="J62" s="16"/>
      <c r="K62" s="16"/>
      <c r="L62" s="16"/>
      <c r="M62" s="16"/>
      <c r="N62" s="16"/>
      <c r="O62" s="16"/>
      <c r="P62" s="16"/>
      <c r="Q62" s="16"/>
      <c r="R62" s="16"/>
      <c r="S62" s="16"/>
      <c r="T62" s="16"/>
      <c r="U62" s="16"/>
      <c r="V62" s="16"/>
      <c r="W62" s="16"/>
      <c r="X62" s="16"/>
      <c r="Y62" s="41"/>
      <c r="Z62" s="41"/>
      <c r="AA62" s="16"/>
      <c r="AB62" s="15"/>
      <c r="AC62" s="15"/>
      <c r="AD62" s="15"/>
      <c r="AE62" s="15"/>
    </row>
    <row r="63" customFormat="false" ht="24" hidden="false" customHeight="true" outlineLevel="0" collapsed="false">
      <c r="A63" s="40"/>
      <c r="B63" s="18" t="n">
        <v>58</v>
      </c>
      <c r="C63" s="19" t="s">
        <v>213</v>
      </c>
      <c r="D63" s="20" t="n">
        <v>46357</v>
      </c>
      <c r="E63" s="20" t="n">
        <v>46370</v>
      </c>
      <c r="F63" s="18" t="n">
        <f aca="false">E63-D63+1</f>
        <v>14</v>
      </c>
      <c r="G63" s="18" t="s">
        <v>81</v>
      </c>
      <c r="H63" s="19" t="s">
        <v>214</v>
      </c>
      <c r="I63" s="16"/>
      <c r="J63" s="16"/>
      <c r="K63" s="16"/>
      <c r="L63" s="16"/>
      <c r="M63" s="16"/>
      <c r="N63" s="16"/>
      <c r="O63" s="16"/>
      <c r="P63" s="16"/>
      <c r="Q63" s="16"/>
      <c r="R63" s="16"/>
      <c r="S63" s="16"/>
      <c r="T63" s="16"/>
      <c r="U63" s="16"/>
      <c r="V63" s="16"/>
      <c r="W63" s="16"/>
      <c r="X63" s="16"/>
      <c r="Y63" s="16"/>
      <c r="Z63" s="41"/>
      <c r="AA63" s="41"/>
      <c r="AB63" s="15"/>
      <c r="AC63" s="15"/>
      <c r="AD63" s="15"/>
      <c r="AE63" s="15"/>
    </row>
    <row r="64" customFormat="false" ht="24" hidden="false" customHeight="true" outlineLevel="0" collapsed="false">
      <c r="A64" s="40"/>
      <c r="B64" s="22" t="n">
        <v>59</v>
      </c>
      <c r="C64" s="23" t="s">
        <v>215</v>
      </c>
      <c r="D64" s="24" t="n">
        <v>46357</v>
      </c>
      <c r="E64" s="24" t="n">
        <v>46370</v>
      </c>
      <c r="F64" s="22" t="n">
        <f aca="false">E64-D64+1</f>
        <v>14</v>
      </c>
      <c r="G64" s="22" t="s">
        <v>81</v>
      </c>
      <c r="H64" s="23" t="s">
        <v>216</v>
      </c>
      <c r="I64" s="16"/>
      <c r="J64" s="16"/>
      <c r="K64" s="16"/>
      <c r="L64" s="16"/>
      <c r="M64" s="16"/>
      <c r="N64" s="16"/>
      <c r="O64" s="16"/>
      <c r="P64" s="16"/>
      <c r="Q64" s="16"/>
      <c r="R64" s="16"/>
      <c r="S64" s="16"/>
      <c r="T64" s="16"/>
      <c r="U64" s="16"/>
      <c r="V64" s="16"/>
      <c r="W64" s="16"/>
      <c r="X64" s="16"/>
      <c r="Y64" s="16"/>
      <c r="Z64" s="25"/>
      <c r="AA64" s="25"/>
      <c r="AB64" s="15"/>
      <c r="AC64" s="15"/>
      <c r="AD64" s="15"/>
      <c r="AE64" s="15"/>
    </row>
    <row r="65" customFormat="false" ht="24" hidden="false" customHeight="true" outlineLevel="0" collapsed="false">
      <c r="A65" s="40"/>
      <c r="B65" s="28" t="n">
        <v>60</v>
      </c>
      <c r="C65" s="29" t="s">
        <v>217</v>
      </c>
      <c r="D65" s="30" t="n">
        <v>46364</v>
      </c>
      <c r="E65" s="30" t="n">
        <v>46370</v>
      </c>
      <c r="F65" s="28" t="n">
        <f aca="false">E65-D65+1</f>
        <v>7</v>
      </c>
      <c r="G65" s="28" t="s">
        <v>81</v>
      </c>
      <c r="H65" s="29" t="s">
        <v>218</v>
      </c>
      <c r="I65" s="16"/>
      <c r="J65" s="16"/>
      <c r="K65" s="16"/>
      <c r="L65" s="16"/>
      <c r="M65" s="16"/>
      <c r="N65" s="16"/>
      <c r="O65" s="16"/>
      <c r="P65" s="16"/>
      <c r="Q65" s="16"/>
      <c r="R65" s="16"/>
      <c r="S65" s="16"/>
      <c r="T65" s="16"/>
      <c r="U65" s="16"/>
      <c r="V65" s="16"/>
      <c r="W65" s="16"/>
      <c r="X65" s="16"/>
      <c r="Y65" s="16"/>
      <c r="Z65" s="16"/>
      <c r="AA65" s="31"/>
      <c r="AB65" s="15"/>
      <c r="AC65" s="15"/>
      <c r="AD65" s="15"/>
      <c r="AE65" s="15"/>
    </row>
    <row r="66" customFormat="false" ht="24" hidden="false" customHeight="true" outlineLevel="0" collapsed="false">
      <c r="A66" s="42" t="s">
        <v>219</v>
      </c>
      <c r="B66" s="18" t="n">
        <v>61</v>
      </c>
      <c r="C66" s="19" t="s">
        <v>220</v>
      </c>
      <c r="D66" s="20" t="n">
        <v>46371</v>
      </c>
      <c r="E66" s="20" t="n">
        <v>46377</v>
      </c>
      <c r="F66" s="18" t="n">
        <f aca="false">E66-D66+1</f>
        <v>7</v>
      </c>
      <c r="G66" s="18" t="s">
        <v>81</v>
      </c>
      <c r="H66" s="19" t="s">
        <v>221</v>
      </c>
      <c r="I66" s="16"/>
      <c r="J66" s="16"/>
      <c r="K66" s="16"/>
      <c r="L66" s="16"/>
      <c r="M66" s="16"/>
      <c r="N66" s="16"/>
      <c r="O66" s="16"/>
      <c r="P66" s="16"/>
      <c r="Q66" s="16"/>
      <c r="R66" s="16"/>
      <c r="S66" s="16"/>
      <c r="T66" s="16"/>
      <c r="U66" s="16"/>
      <c r="V66" s="16"/>
      <c r="W66" s="16"/>
      <c r="X66" s="16"/>
      <c r="Y66" s="16"/>
      <c r="Z66" s="16"/>
      <c r="AA66" s="16"/>
      <c r="AB66" s="43"/>
      <c r="AC66" s="15"/>
      <c r="AD66" s="15"/>
      <c r="AE66" s="15"/>
    </row>
    <row r="67" customFormat="false" ht="24" hidden="false" customHeight="true" outlineLevel="0" collapsed="false">
      <c r="A67" s="42"/>
      <c r="B67" s="18" t="n">
        <v>62</v>
      </c>
      <c r="C67" s="19" t="s">
        <v>222</v>
      </c>
      <c r="D67" s="20" t="n">
        <v>46371</v>
      </c>
      <c r="E67" s="20" t="n">
        <v>46391</v>
      </c>
      <c r="F67" s="18" t="n">
        <f aca="false">E67-D67+1</f>
        <v>21</v>
      </c>
      <c r="G67" s="18" t="s">
        <v>81</v>
      </c>
      <c r="H67" s="19" t="s">
        <v>223</v>
      </c>
      <c r="I67" s="16"/>
      <c r="J67" s="16"/>
      <c r="K67" s="16"/>
      <c r="L67" s="16"/>
      <c r="M67" s="16"/>
      <c r="N67" s="16"/>
      <c r="O67" s="16"/>
      <c r="P67" s="16"/>
      <c r="Q67" s="16"/>
      <c r="R67" s="16"/>
      <c r="S67" s="16"/>
      <c r="T67" s="16"/>
      <c r="U67" s="16"/>
      <c r="V67" s="16"/>
      <c r="W67" s="16"/>
      <c r="X67" s="16"/>
      <c r="Y67" s="16"/>
      <c r="Z67" s="16"/>
      <c r="AA67" s="16"/>
      <c r="AB67" s="43"/>
      <c r="AC67" s="43"/>
      <c r="AD67" s="43"/>
      <c r="AE67" s="15"/>
    </row>
    <row r="68" customFormat="false" ht="24" hidden="false" customHeight="true" outlineLevel="0" collapsed="false">
      <c r="A68" s="42"/>
      <c r="B68" s="18" t="n">
        <v>63</v>
      </c>
      <c r="C68" s="19" t="s">
        <v>224</v>
      </c>
      <c r="D68" s="20" t="n">
        <v>46378</v>
      </c>
      <c r="E68" s="20" t="n">
        <v>46391</v>
      </c>
      <c r="F68" s="18" t="n">
        <f aca="false">E68-D68+1</f>
        <v>14</v>
      </c>
      <c r="G68" s="18" t="s">
        <v>81</v>
      </c>
      <c r="H68" s="19" t="s">
        <v>225</v>
      </c>
      <c r="I68" s="16"/>
      <c r="J68" s="16"/>
      <c r="K68" s="16"/>
      <c r="L68" s="16"/>
      <c r="M68" s="16"/>
      <c r="N68" s="16"/>
      <c r="O68" s="16"/>
      <c r="P68" s="16"/>
      <c r="Q68" s="16"/>
      <c r="R68" s="16"/>
      <c r="S68" s="16"/>
      <c r="T68" s="16"/>
      <c r="U68" s="16"/>
      <c r="V68" s="16"/>
      <c r="W68" s="16"/>
      <c r="X68" s="16"/>
      <c r="Y68" s="16"/>
      <c r="Z68" s="16"/>
      <c r="AA68" s="16"/>
      <c r="AB68" s="15"/>
      <c r="AC68" s="43"/>
      <c r="AD68" s="43"/>
      <c r="AE68" s="15"/>
    </row>
    <row r="69" customFormat="false" ht="24" hidden="false" customHeight="true" outlineLevel="0" collapsed="false">
      <c r="A69" s="42"/>
      <c r="B69" s="18" t="n">
        <v>64</v>
      </c>
      <c r="C69" s="19" t="s">
        <v>226</v>
      </c>
      <c r="D69" s="20" t="n">
        <v>46385</v>
      </c>
      <c r="E69" s="20" t="n">
        <v>46398</v>
      </c>
      <c r="F69" s="18" t="n">
        <f aca="false">E69-D69+1</f>
        <v>14</v>
      </c>
      <c r="G69" s="18" t="s">
        <v>81</v>
      </c>
      <c r="H69" s="19" t="s">
        <v>227</v>
      </c>
      <c r="I69" s="16"/>
      <c r="J69" s="16"/>
      <c r="K69" s="16"/>
      <c r="L69" s="16"/>
      <c r="M69" s="16"/>
      <c r="N69" s="16"/>
      <c r="O69" s="16"/>
      <c r="P69" s="16"/>
      <c r="Q69" s="16"/>
      <c r="R69" s="16"/>
      <c r="S69" s="16"/>
      <c r="T69" s="16"/>
      <c r="U69" s="16"/>
      <c r="V69" s="16"/>
      <c r="W69" s="16"/>
      <c r="X69" s="16"/>
      <c r="Y69" s="16"/>
      <c r="Z69" s="16"/>
      <c r="AA69" s="16"/>
      <c r="AB69" s="15"/>
      <c r="AC69" s="15"/>
      <c r="AD69" s="43"/>
      <c r="AE69" s="43"/>
    </row>
    <row r="70" customFormat="false" ht="24" hidden="false" customHeight="true" outlineLevel="0" collapsed="false">
      <c r="A70" s="42"/>
      <c r="B70" s="28" t="n">
        <v>65</v>
      </c>
      <c r="C70" s="29" t="s">
        <v>228</v>
      </c>
      <c r="D70" s="30" t="n">
        <v>46392</v>
      </c>
      <c r="E70" s="30" t="n">
        <v>46398</v>
      </c>
      <c r="F70" s="28" t="n">
        <f aca="false">E70-D70+1</f>
        <v>7</v>
      </c>
      <c r="G70" s="28" t="s">
        <v>81</v>
      </c>
      <c r="H70" s="29" t="s">
        <v>229</v>
      </c>
      <c r="I70" s="16"/>
      <c r="J70" s="16"/>
      <c r="K70" s="16"/>
      <c r="L70" s="16"/>
      <c r="M70" s="16"/>
      <c r="N70" s="16"/>
      <c r="O70" s="16"/>
      <c r="P70" s="16"/>
      <c r="Q70" s="16"/>
      <c r="R70" s="16"/>
      <c r="S70" s="16"/>
      <c r="T70" s="16"/>
      <c r="U70" s="16"/>
      <c r="V70" s="16"/>
      <c r="W70" s="16"/>
      <c r="X70" s="16"/>
      <c r="Y70" s="16"/>
      <c r="Z70" s="16"/>
      <c r="AA70" s="16"/>
      <c r="AB70" s="15"/>
      <c r="AC70" s="15"/>
      <c r="AD70" s="15"/>
      <c r="AE70" s="31"/>
    </row>
    <row r="72" customFormat="false" ht="15" hidden="false" customHeight="false" outlineLevel="0" collapsed="false">
      <c r="C72" s="44" t="s">
        <v>230</v>
      </c>
      <c r="F72" s="45" t="n">
        <f aca="false">COUNT(B6:B70)</f>
        <v>65</v>
      </c>
    </row>
    <row r="73" customFormat="false" ht="15" hidden="false" customHeight="false" outlineLevel="0" collapsed="false">
      <c r="C73" s="44" t="s">
        <v>231</v>
      </c>
      <c r="F73" s="45" t="n">
        <f aca="false">COUNTIF(C6:C70,"★*")</f>
        <v>5</v>
      </c>
    </row>
    <row r="75" customFormat="false" ht="15" hidden="false" customHeight="false" outlineLevel="0" collapsed="false">
      <c r="C75" s="46" t="s">
        <v>232</v>
      </c>
      <c r="D75" s="47"/>
    </row>
    <row r="76" customFormat="false" ht="15" hidden="false" customHeight="false" outlineLevel="0" collapsed="false">
      <c r="C76" s="48" t="s">
        <v>233</v>
      </c>
      <c r="D76" s="47" t="s">
        <v>234</v>
      </c>
    </row>
    <row r="77" customFormat="false" ht="15" hidden="false" customHeight="false" outlineLevel="0" collapsed="false">
      <c r="C77" s="48" t="s">
        <v>235</v>
      </c>
      <c r="D77" s="47" t="s">
        <v>236</v>
      </c>
    </row>
    <row r="78" customFormat="false" ht="15" hidden="false" customHeight="false" outlineLevel="0" collapsed="false">
      <c r="C78" s="48" t="s">
        <v>237</v>
      </c>
      <c r="D78" s="47" t="s">
        <v>238</v>
      </c>
    </row>
    <row r="79" customFormat="false" ht="15" hidden="false" customHeight="false" outlineLevel="0" collapsed="false">
      <c r="C79" s="48" t="s">
        <v>239</v>
      </c>
      <c r="D79" s="47" t="s">
        <v>240</v>
      </c>
    </row>
    <row r="80" customFormat="false" ht="15" hidden="false" customHeight="false" outlineLevel="0" collapsed="false">
      <c r="C80" s="48"/>
      <c r="D80" s="47"/>
    </row>
    <row r="81" customFormat="false" ht="15" hidden="false" customHeight="false" outlineLevel="0" collapsed="false">
      <c r="C81" s="49" t="s">
        <v>241</v>
      </c>
      <c r="D81" s="47"/>
    </row>
    <row r="82" customFormat="false" ht="15" hidden="false" customHeight="false" outlineLevel="0" collapsed="false">
      <c r="C82" s="48" t="s">
        <v>242</v>
      </c>
      <c r="D82" s="47" t="s">
        <v>243</v>
      </c>
    </row>
    <row r="83" customFormat="false" ht="15" hidden="false" customHeight="false" outlineLevel="0" collapsed="false">
      <c r="C83" s="48" t="s">
        <v>244</v>
      </c>
      <c r="D83" s="47" t="s">
        <v>245</v>
      </c>
    </row>
    <row r="84" customFormat="false" ht="15" hidden="false" customHeight="false" outlineLevel="0" collapsed="false">
      <c r="C84" s="48" t="s">
        <v>246</v>
      </c>
      <c r="D84" s="47" t="s">
        <v>247</v>
      </c>
    </row>
    <row r="85" customFormat="false" ht="15" hidden="false" customHeight="false" outlineLevel="0" collapsed="false">
      <c r="C85" s="48" t="s">
        <v>248</v>
      </c>
      <c r="D85" s="47" t="s">
        <v>249</v>
      </c>
    </row>
    <row r="86" customFormat="false" ht="15" hidden="false" customHeight="false" outlineLevel="0" collapsed="false">
      <c r="C86" s="48" t="s">
        <v>250</v>
      </c>
      <c r="D86" s="47" t="s">
        <v>251</v>
      </c>
    </row>
    <row r="87" customFormat="false" ht="15" hidden="false" customHeight="false" outlineLevel="0" collapsed="false">
      <c r="C87" s="48"/>
      <c r="D87" s="47"/>
    </row>
    <row r="88" customFormat="false" ht="15" hidden="false" customHeight="false" outlineLevel="0" collapsed="false">
      <c r="C88" s="46" t="s">
        <v>252</v>
      </c>
      <c r="D88" s="47"/>
    </row>
    <row r="89" customFormat="false" ht="15" hidden="false" customHeight="false" outlineLevel="0" collapsed="false">
      <c r="C89" s="48" t="s">
        <v>253</v>
      </c>
      <c r="D89" s="47" t="s">
        <v>254</v>
      </c>
    </row>
    <row r="90" customFormat="false" ht="15" hidden="false" customHeight="false" outlineLevel="0" collapsed="false">
      <c r="C90" s="48" t="s">
        <v>255</v>
      </c>
      <c r="D90" s="47" t="s">
        <v>256</v>
      </c>
    </row>
    <row r="91" customFormat="false" ht="15" hidden="false" customHeight="false" outlineLevel="0" collapsed="false">
      <c r="C91" s="48" t="s">
        <v>257</v>
      </c>
      <c r="D91" s="47" t="s">
        <v>258</v>
      </c>
    </row>
    <row r="92" customFormat="false" ht="15" hidden="false" customHeight="false" outlineLevel="0" collapsed="false">
      <c r="C92" s="48" t="s">
        <v>259</v>
      </c>
      <c r="D92" s="47" t="s">
        <v>260</v>
      </c>
    </row>
    <row r="93" customFormat="false" ht="15" hidden="false" customHeight="false" outlineLevel="0" collapsed="false">
      <c r="C93" s="48"/>
      <c r="D93" s="47"/>
    </row>
    <row r="94" customFormat="false" ht="15" hidden="false" customHeight="false" outlineLevel="0" collapsed="false">
      <c r="C94" s="46" t="s">
        <v>261</v>
      </c>
      <c r="D94" s="47" t="s">
        <v>262</v>
      </c>
    </row>
    <row r="95" customFormat="false" ht="15" hidden="false" customHeight="false" outlineLevel="0" collapsed="false">
      <c r="C95" s="46" t="s">
        <v>263</v>
      </c>
      <c r="D95" s="47" t="s">
        <v>264</v>
      </c>
    </row>
  </sheetData>
  <mergeCells count="17">
    <mergeCell ref="A1:AE1"/>
    <mergeCell ref="A2:AE2"/>
    <mergeCell ref="A3:A5"/>
    <mergeCell ref="B3:B5"/>
    <mergeCell ref="C3:C5"/>
    <mergeCell ref="D3:D5"/>
    <mergeCell ref="E3:E5"/>
    <mergeCell ref="F3:F5"/>
    <mergeCell ref="G3:G5"/>
    <mergeCell ref="H3:H5"/>
    <mergeCell ref="A6:A11"/>
    <mergeCell ref="A12:A21"/>
    <mergeCell ref="A22:A30"/>
    <mergeCell ref="A31:A46"/>
    <mergeCell ref="A47:A56"/>
    <mergeCell ref="A57:A65"/>
    <mergeCell ref="A66:A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3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0"/>
    <col collapsed="false" customWidth="true" hidden="false" outlineLevel="0" max="4" min="3" style="0" width="12"/>
    <col collapsed="false" customWidth="true" hidden="false" outlineLevel="0" max="7" min="5" style="0" width="42"/>
    <col collapsed="false" customWidth="true" hidden="false" outlineLevel="0" max="8" min="8" style="0" width="14"/>
    <col collapsed="false" customWidth="true" hidden="false" outlineLevel="0" max="9" min="9" style="0" width="13"/>
    <col collapsed="false" customWidth="true" hidden="false" outlineLevel="0" max="10" min="10" style="0" width="24"/>
  </cols>
  <sheetData>
    <row r="1" customFormat="false" ht="30" hidden="false" customHeight="true" outlineLevel="0" collapsed="false">
      <c r="A1" s="1" t="s">
        <v>265</v>
      </c>
      <c r="B1" s="1"/>
      <c r="C1" s="1"/>
      <c r="D1" s="1"/>
      <c r="E1" s="1"/>
      <c r="F1" s="1"/>
      <c r="G1" s="1"/>
      <c r="H1" s="1"/>
      <c r="I1" s="1"/>
      <c r="J1" s="1"/>
    </row>
    <row r="2" customFormat="false" ht="19.5" hidden="false" customHeight="true" outlineLevel="0" collapsed="false">
      <c r="A2" s="2" t="s">
        <v>266</v>
      </c>
      <c r="B2" s="2"/>
      <c r="C2" s="2"/>
      <c r="D2" s="2"/>
      <c r="E2" s="2"/>
      <c r="F2" s="2"/>
      <c r="G2" s="2"/>
      <c r="H2" s="2"/>
      <c r="I2" s="2"/>
      <c r="J2" s="2"/>
    </row>
    <row r="4" customFormat="false" ht="24" hidden="false" customHeight="true" outlineLevel="0" collapsed="false">
      <c r="A4" s="50" t="s">
        <v>267</v>
      </c>
      <c r="B4" s="50"/>
      <c r="C4" s="50"/>
      <c r="D4" s="50"/>
      <c r="E4" s="50"/>
      <c r="F4" s="50"/>
      <c r="G4" s="50"/>
      <c r="H4" s="50"/>
      <c r="I4" s="50"/>
      <c r="J4" s="50"/>
    </row>
    <row r="5" customFormat="false" ht="21.75" hidden="false" customHeight="true" outlineLevel="0" collapsed="false">
      <c r="A5" s="51" t="s">
        <v>268</v>
      </c>
      <c r="B5" s="51"/>
      <c r="C5" s="51"/>
      <c r="D5" s="51"/>
      <c r="E5" s="52" t="s">
        <v>269</v>
      </c>
      <c r="F5" s="52"/>
      <c r="G5" s="52"/>
      <c r="H5" s="52"/>
      <c r="I5" s="52"/>
      <c r="J5" s="52"/>
    </row>
    <row r="6" customFormat="false" ht="21.75" hidden="false" customHeight="true" outlineLevel="0" collapsed="false">
      <c r="A6" s="51" t="s">
        <v>270</v>
      </c>
      <c r="B6" s="51"/>
      <c r="C6" s="51"/>
      <c r="D6" s="51"/>
      <c r="E6" s="52" t="s">
        <v>271</v>
      </c>
      <c r="F6" s="52"/>
      <c r="G6" s="52"/>
      <c r="H6" s="52"/>
      <c r="I6" s="52"/>
      <c r="J6" s="52"/>
    </row>
    <row r="7" customFormat="false" ht="21.75" hidden="false" customHeight="true" outlineLevel="0" collapsed="false">
      <c r="A7" s="51" t="s">
        <v>272</v>
      </c>
      <c r="B7" s="51"/>
      <c r="C7" s="51"/>
      <c r="D7" s="51"/>
      <c r="E7" s="52" t="s">
        <v>273</v>
      </c>
      <c r="F7" s="52"/>
      <c r="G7" s="52"/>
      <c r="H7" s="52"/>
      <c r="I7" s="52"/>
      <c r="J7" s="52"/>
    </row>
    <row r="8" customFormat="false" ht="21.75" hidden="false" customHeight="true" outlineLevel="0" collapsed="false">
      <c r="A8" s="51" t="s">
        <v>274</v>
      </c>
      <c r="B8" s="51"/>
      <c r="C8" s="51"/>
      <c r="D8" s="51"/>
      <c r="E8" s="52" t="s">
        <v>275</v>
      </c>
      <c r="F8" s="52"/>
      <c r="G8" s="52"/>
      <c r="H8" s="52"/>
      <c r="I8" s="52"/>
      <c r="J8" s="52"/>
    </row>
    <row r="9" customFormat="false" ht="21.75" hidden="false" customHeight="true" outlineLevel="0" collapsed="false">
      <c r="A9" s="51" t="s">
        <v>276</v>
      </c>
      <c r="B9" s="51"/>
      <c r="C9" s="51"/>
      <c r="D9" s="51"/>
      <c r="E9" s="52" t="s">
        <v>277</v>
      </c>
      <c r="F9" s="52"/>
      <c r="G9" s="52"/>
      <c r="H9" s="52"/>
      <c r="I9" s="52"/>
      <c r="J9" s="52"/>
    </row>
    <row r="11" customFormat="false" ht="31.5" hidden="false" customHeight="true" outlineLevel="0" collapsed="false">
      <c r="A11" s="53" t="s">
        <v>278</v>
      </c>
      <c r="B11" s="53" t="s">
        <v>279</v>
      </c>
      <c r="C11" s="53" t="s">
        <v>280</v>
      </c>
      <c r="D11" s="53" t="s">
        <v>281</v>
      </c>
      <c r="E11" s="53" t="s">
        <v>282</v>
      </c>
      <c r="F11" s="53" t="s">
        <v>283</v>
      </c>
      <c r="G11" s="53" t="s">
        <v>284</v>
      </c>
      <c r="H11" s="53" t="s">
        <v>285</v>
      </c>
      <c r="I11" s="53" t="s">
        <v>286</v>
      </c>
      <c r="J11" s="53" t="s">
        <v>287</v>
      </c>
    </row>
    <row r="12" customFormat="false" ht="43.5" hidden="false" customHeight="true" outlineLevel="0" collapsed="false">
      <c r="A12" s="54" t="s">
        <v>10</v>
      </c>
      <c r="B12" s="54" t="s">
        <v>33</v>
      </c>
      <c r="C12" s="55" t="n">
        <v>46238</v>
      </c>
      <c r="D12" s="55" t="n">
        <v>46244</v>
      </c>
      <c r="E12" s="56" t="s">
        <v>288</v>
      </c>
      <c r="F12" s="56" t="s">
        <v>289</v>
      </c>
      <c r="G12" s="56" t="s">
        <v>290</v>
      </c>
      <c r="H12" s="57"/>
      <c r="I12" s="57" t="s">
        <v>291</v>
      </c>
      <c r="J12" s="56"/>
    </row>
    <row r="13" customFormat="false" ht="43.5" hidden="false" customHeight="true" outlineLevel="0" collapsed="false">
      <c r="A13" s="54" t="s">
        <v>11</v>
      </c>
      <c r="B13" s="54" t="s">
        <v>34</v>
      </c>
      <c r="C13" s="55" t="n">
        <v>46245</v>
      </c>
      <c r="D13" s="55" t="n">
        <v>46251</v>
      </c>
      <c r="E13" s="56" t="s">
        <v>292</v>
      </c>
      <c r="F13" s="56" t="s">
        <v>293</v>
      </c>
      <c r="G13" s="56" t="s">
        <v>294</v>
      </c>
      <c r="H13" s="57"/>
      <c r="I13" s="57" t="s">
        <v>291</v>
      </c>
      <c r="J13" s="56"/>
    </row>
    <row r="14" customFormat="false" ht="43.5" hidden="false" customHeight="true" outlineLevel="0" collapsed="false">
      <c r="A14" s="54" t="s">
        <v>12</v>
      </c>
      <c r="B14" s="54" t="s">
        <v>35</v>
      </c>
      <c r="C14" s="55" t="n">
        <v>46252</v>
      </c>
      <c r="D14" s="55" t="n">
        <v>46258</v>
      </c>
      <c r="E14" s="56" t="s">
        <v>295</v>
      </c>
      <c r="F14" s="56" t="s">
        <v>296</v>
      </c>
      <c r="G14" s="56" t="s">
        <v>297</v>
      </c>
      <c r="H14" s="57"/>
      <c r="I14" s="57" t="s">
        <v>291</v>
      </c>
      <c r="J14" s="56"/>
    </row>
    <row r="15" customFormat="false" ht="43.5" hidden="false" customHeight="true" outlineLevel="0" collapsed="false">
      <c r="A15" s="54" t="s">
        <v>13</v>
      </c>
      <c r="B15" s="54" t="s">
        <v>36</v>
      </c>
      <c r="C15" s="55" t="n">
        <v>46259</v>
      </c>
      <c r="D15" s="55" t="n">
        <v>46265</v>
      </c>
      <c r="E15" s="56" t="s">
        <v>298</v>
      </c>
      <c r="F15" s="56" t="s">
        <v>299</v>
      </c>
      <c r="G15" s="56" t="s">
        <v>300</v>
      </c>
      <c r="H15" s="57"/>
      <c r="I15" s="57" t="s">
        <v>291</v>
      </c>
      <c r="J15" s="56"/>
    </row>
    <row r="16" customFormat="false" ht="43.5" hidden="false" customHeight="true" outlineLevel="0" collapsed="false">
      <c r="A16" s="58" t="s">
        <v>14</v>
      </c>
      <c r="B16" s="59" t="s">
        <v>37</v>
      </c>
      <c r="C16" s="60" t="n">
        <v>46266</v>
      </c>
      <c r="D16" s="60" t="n">
        <v>46272</v>
      </c>
      <c r="E16" s="61" t="s">
        <v>301</v>
      </c>
      <c r="F16" s="61" t="s">
        <v>302</v>
      </c>
      <c r="G16" s="61" t="s">
        <v>303</v>
      </c>
      <c r="H16" s="62"/>
      <c r="I16" s="62" t="s">
        <v>291</v>
      </c>
      <c r="J16" s="61"/>
    </row>
    <row r="17" customFormat="false" ht="43.5" hidden="false" customHeight="true" outlineLevel="0" collapsed="false">
      <c r="A17" s="58" t="s">
        <v>15</v>
      </c>
      <c r="B17" s="59" t="s">
        <v>38</v>
      </c>
      <c r="C17" s="60" t="n">
        <v>46273</v>
      </c>
      <c r="D17" s="60" t="n">
        <v>46279</v>
      </c>
      <c r="E17" s="61" t="s">
        <v>304</v>
      </c>
      <c r="F17" s="61" t="s">
        <v>305</v>
      </c>
      <c r="G17" s="61" t="s">
        <v>306</v>
      </c>
      <c r="H17" s="62"/>
      <c r="I17" s="62" t="s">
        <v>291</v>
      </c>
      <c r="J17" s="61"/>
    </row>
    <row r="18" customFormat="false" ht="43.5" hidden="false" customHeight="true" outlineLevel="0" collapsed="false">
      <c r="A18" s="63" t="s">
        <v>16</v>
      </c>
      <c r="B18" s="63" t="s">
        <v>39</v>
      </c>
      <c r="C18" s="64" t="n">
        <v>46280</v>
      </c>
      <c r="D18" s="64" t="n">
        <v>46286</v>
      </c>
      <c r="E18" s="65" t="s">
        <v>307</v>
      </c>
      <c r="F18" s="65" t="s">
        <v>308</v>
      </c>
      <c r="G18" s="65" t="s">
        <v>309</v>
      </c>
      <c r="H18" s="63" t="s">
        <v>310</v>
      </c>
      <c r="I18" s="66" t="s">
        <v>291</v>
      </c>
      <c r="J18" s="65"/>
    </row>
    <row r="19" customFormat="false" ht="43.5" hidden="false" customHeight="true" outlineLevel="0" collapsed="false">
      <c r="A19" s="58" t="s">
        <v>17</v>
      </c>
      <c r="B19" s="59" t="s">
        <v>40</v>
      </c>
      <c r="C19" s="60" t="n">
        <v>46287</v>
      </c>
      <c r="D19" s="60" t="n">
        <v>46293</v>
      </c>
      <c r="E19" s="61" t="s">
        <v>311</v>
      </c>
      <c r="F19" s="61" t="s">
        <v>312</v>
      </c>
      <c r="G19" s="61" t="s">
        <v>313</v>
      </c>
      <c r="H19" s="62"/>
      <c r="I19" s="62" t="s">
        <v>291</v>
      </c>
      <c r="J19" s="61"/>
    </row>
    <row r="20" customFormat="false" ht="43.5" hidden="false" customHeight="true" outlineLevel="0" collapsed="false">
      <c r="A20" s="58" t="s">
        <v>18</v>
      </c>
      <c r="B20" s="59" t="s">
        <v>41</v>
      </c>
      <c r="C20" s="60" t="n">
        <v>46294</v>
      </c>
      <c r="D20" s="60" t="n">
        <v>46300</v>
      </c>
      <c r="E20" s="61" t="s">
        <v>314</v>
      </c>
      <c r="F20" s="61" t="s">
        <v>315</v>
      </c>
      <c r="G20" s="61" t="s">
        <v>316</v>
      </c>
      <c r="H20" s="62"/>
      <c r="I20" s="62" t="s">
        <v>291</v>
      </c>
      <c r="J20" s="61"/>
    </row>
    <row r="21" customFormat="false" ht="43.5" hidden="false" customHeight="true" outlineLevel="0" collapsed="false">
      <c r="A21" s="58" t="s">
        <v>19</v>
      </c>
      <c r="B21" s="59" t="s">
        <v>42</v>
      </c>
      <c r="C21" s="60" t="n">
        <v>46301</v>
      </c>
      <c r="D21" s="60" t="n">
        <v>46307</v>
      </c>
      <c r="E21" s="61" t="s">
        <v>317</v>
      </c>
      <c r="F21" s="61" t="s">
        <v>318</v>
      </c>
      <c r="G21" s="61" t="s">
        <v>319</v>
      </c>
      <c r="H21" s="62"/>
      <c r="I21" s="62" t="s">
        <v>291</v>
      </c>
      <c r="J21" s="61"/>
    </row>
    <row r="22" customFormat="false" ht="43.5" hidden="false" customHeight="true" outlineLevel="0" collapsed="false">
      <c r="A22" s="67" t="s">
        <v>20</v>
      </c>
      <c r="B22" s="67" t="s">
        <v>43</v>
      </c>
      <c r="C22" s="68" t="n">
        <v>46308</v>
      </c>
      <c r="D22" s="68" t="n">
        <v>46314</v>
      </c>
      <c r="E22" s="69" t="s">
        <v>320</v>
      </c>
      <c r="F22" s="69" t="s">
        <v>321</v>
      </c>
      <c r="G22" s="69" t="s">
        <v>322</v>
      </c>
      <c r="H22" s="67" t="s">
        <v>323</v>
      </c>
      <c r="I22" s="70" t="s">
        <v>291</v>
      </c>
      <c r="J22" s="69"/>
    </row>
    <row r="23" customFormat="false" ht="43.5" hidden="false" customHeight="true" outlineLevel="0" collapsed="false">
      <c r="A23" s="63" t="s">
        <v>21</v>
      </c>
      <c r="B23" s="63" t="s">
        <v>44</v>
      </c>
      <c r="C23" s="64" t="n">
        <v>46315</v>
      </c>
      <c r="D23" s="64" t="n">
        <v>46321</v>
      </c>
      <c r="E23" s="65" t="s">
        <v>324</v>
      </c>
      <c r="F23" s="65" t="s">
        <v>325</v>
      </c>
      <c r="G23" s="65" t="s">
        <v>326</v>
      </c>
      <c r="H23" s="63" t="s">
        <v>327</v>
      </c>
      <c r="I23" s="66" t="s">
        <v>291</v>
      </c>
      <c r="J23" s="65"/>
    </row>
    <row r="24" customFormat="false" ht="43.5" hidden="false" customHeight="true" outlineLevel="0" collapsed="false">
      <c r="A24" s="67" t="s">
        <v>22</v>
      </c>
      <c r="B24" s="67" t="s">
        <v>45</v>
      </c>
      <c r="C24" s="68" t="n">
        <v>46322</v>
      </c>
      <c r="D24" s="68" t="n">
        <v>46328</v>
      </c>
      <c r="E24" s="69" t="s">
        <v>328</v>
      </c>
      <c r="F24" s="69" t="s">
        <v>329</v>
      </c>
      <c r="G24" s="69" t="s">
        <v>330</v>
      </c>
      <c r="H24" s="67" t="s">
        <v>331</v>
      </c>
      <c r="I24" s="70" t="s">
        <v>291</v>
      </c>
      <c r="J24" s="69"/>
    </row>
    <row r="25" customFormat="false" ht="43.5" hidden="false" customHeight="true" outlineLevel="0" collapsed="false">
      <c r="A25" s="58" t="s">
        <v>23</v>
      </c>
      <c r="B25" s="59" t="s">
        <v>46</v>
      </c>
      <c r="C25" s="60" t="n">
        <v>46329</v>
      </c>
      <c r="D25" s="60" t="n">
        <v>46335</v>
      </c>
      <c r="E25" s="61" t="s">
        <v>332</v>
      </c>
      <c r="F25" s="61" t="s">
        <v>333</v>
      </c>
      <c r="G25" s="61" t="s">
        <v>334</v>
      </c>
      <c r="H25" s="62"/>
      <c r="I25" s="62" t="s">
        <v>291</v>
      </c>
      <c r="J25" s="61"/>
    </row>
    <row r="26" customFormat="false" ht="43.5" hidden="false" customHeight="true" outlineLevel="0" collapsed="false">
      <c r="A26" s="63" t="s">
        <v>24</v>
      </c>
      <c r="B26" s="63" t="s">
        <v>47</v>
      </c>
      <c r="C26" s="64" t="n">
        <v>46336</v>
      </c>
      <c r="D26" s="64" t="n">
        <v>46342</v>
      </c>
      <c r="E26" s="65" t="s">
        <v>335</v>
      </c>
      <c r="F26" s="65" t="s">
        <v>336</v>
      </c>
      <c r="G26" s="65" t="s">
        <v>337</v>
      </c>
      <c r="H26" s="63" t="s">
        <v>338</v>
      </c>
      <c r="I26" s="66" t="s">
        <v>291</v>
      </c>
      <c r="J26" s="65"/>
    </row>
    <row r="27" customFormat="false" ht="43.5" hidden="false" customHeight="true" outlineLevel="0" collapsed="false">
      <c r="A27" s="58" t="s">
        <v>25</v>
      </c>
      <c r="B27" s="59" t="s">
        <v>48</v>
      </c>
      <c r="C27" s="60" t="n">
        <v>46343</v>
      </c>
      <c r="D27" s="60" t="n">
        <v>46349</v>
      </c>
      <c r="E27" s="61" t="s">
        <v>339</v>
      </c>
      <c r="F27" s="61" t="s">
        <v>340</v>
      </c>
      <c r="G27" s="61" t="s">
        <v>341</v>
      </c>
      <c r="H27" s="62"/>
      <c r="I27" s="62" t="s">
        <v>291</v>
      </c>
      <c r="J27" s="61"/>
    </row>
    <row r="28" customFormat="false" ht="43.5" hidden="false" customHeight="true" outlineLevel="0" collapsed="false">
      <c r="A28" s="58" t="s">
        <v>26</v>
      </c>
      <c r="B28" s="59" t="s">
        <v>49</v>
      </c>
      <c r="C28" s="60" t="n">
        <v>46350</v>
      </c>
      <c r="D28" s="60" t="n">
        <v>46356</v>
      </c>
      <c r="E28" s="61" t="s">
        <v>342</v>
      </c>
      <c r="F28" s="61" t="s">
        <v>343</v>
      </c>
      <c r="G28" s="61" t="s">
        <v>344</v>
      </c>
      <c r="H28" s="62"/>
      <c r="I28" s="62" t="s">
        <v>291</v>
      </c>
      <c r="J28" s="61"/>
    </row>
    <row r="29" customFormat="false" ht="43.5" hidden="false" customHeight="true" outlineLevel="0" collapsed="false">
      <c r="A29" s="58" t="s">
        <v>27</v>
      </c>
      <c r="B29" s="59" t="s">
        <v>50</v>
      </c>
      <c r="C29" s="60" t="n">
        <v>46357</v>
      </c>
      <c r="D29" s="60" t="n">
        <v>46363</v>
      </c>
      <c r="E29" s="61" t="s">
        <v>345</v>
      </c>
      <c r="F29" s="61" t="s">
        <v>346</v>
      </c>
      <c r="G29" s="61" t="s">
        <v>347</v>
      </c>
      <c r="H29" s="62"/>
      <c r="I29" s="62" t="s">
        <v>291</v>
      </c>
      <c r="J29" s="61"/>
    </row>
    <row r="30" customFormat="false" ht="43.5" hidden="false" customHeight="true" outlineLevel="0" collapsed="false">
      <c r="A30" s="63" t="s">
        <v>28</v>
      </c>
      <c r="B30" s="63" t="s">
        <v>51</v>
      </c>
      <c r="C30" s="64" t="n">
        <v>46364</v>
      </c>
      <c r="D30" s="64" t="n">
        <v>46370</v>
      </c>
      <c r="E30" s="65" t="s">
        <v>348</v>
      </c>
      <c r="F30" s="65" t="s">
        <v>349</v>
      </c>
      <c r="G30" s="65" t="s">
        <v>350</v>
      </c>
      <c r="H30" s="63" t="s">
        <v>351</v>
      </c>
      <c r="I30" s="66" t="s">
        <v>291</v>
      </c>
      <c r="J30" s="65"/>
    </row>
    <row r="31" customFormat="false" ht="43.5" hidden="false" customHeight="true" outlineLevel="0" collapsed="false">
      <c r="A31" s="71" t="s">
        <v>29</v>
      </c>
      <c r="B31" s="71" t="s">
        <v>52</v>
      </c>
      <c r="C31" s="72" t="n">
        <v>46371</v>
      </c>
      <c r="D31" s="72" t="n">
        <v>46377</v>
      </c>
      <c r="E31" s="73" t="s">
        <v>352</v>
      </c>
      <c r="F31" s="73" t="s">
        <v>353</v>
      </c>
      <c r="G31" s="73" t="s">
        <v>354</v>
      </c>
      <c r="H31" s="71" t="s">
        <v>355</v>
      </c>
      <c r="I31" s="74" t="s">
        <v>356</v>
      </c>
      <c r="J31" s="73"/>
    </row>
    <row r="32" customFormat="false" ht="43.5" hidden="false" customHeight="true" outlineLevel="0" collapsed="false">
      <c r="A32" s="71" t="s">
        <v>30</v>
      </c>
      <c r="B32" s="71" t="s">
        <v>53</v>
      </c>
      <c r="C32" s="72" t="n">
        <v>46378</v>
      </c>
      <c r="D32" s="72" t="n">
        <v>46384</v>
      </c>
      <c r="E32" s="73" t="s">
        <v>357</v>
      </c>
      <c r="F32" s="73" t="s">
        <v>358</v>
      </c>
      <c r="G32" s="73" t="s">
        <v>359</v>
      </c>
      <c r="H32" s="71" t="s">
        <v>355</v>
      </c>
      <c r="I32" s="74" t="s">
        <v>356</v>
      </c>
      <c r="J32" s="73"/>
    </row>
    <row r="33" customFormat="false" ht="43.5" hidden="false" customHeight="true" outlineLevel="0" collapsed="false">
      <c r="A33" s="71" t="s">
        <v>31</v>
      </c>
      <c r="B33" s="71" t="s">
        <v>54</v>
      </c>
      <c r="C33" s="72" t="n">
        <v>46385</v>
      </c>
      <c r="D33" s="72" t="n">
        <v>46391</v>
      </c>
      <c r="E33" s="73" t="s">
        <v>360</v>
      </c>
      <c r="F33" s="73" t="s">
        <v>358</v>
      </c>
      <c r="G33" s="73" t="s">
        <v>361</v>
      </c>
      <c r="H33" s="71" t="s">
        <v>355</v>
      </c>
      <c r="I33" s="74" t="s">
        <v>356</v>
      </c>
      <c r="J33" s="73"/>
    </row>
    <row r="34" customFormat="false" ht="43.5" hidden="false" customHeight="true" outlineLevel="0" collapsed="false">
      <c r="A34" s="71" t="s">
        <v>32</v>
      </c>
      <c r="B34" s="71" t="s">
        <v>55</v>
      </c>
      <c r="C34" s="72" t="n">
        <v>46392</v>
      </c>
      <c r="D34" s="72" t="n">
        <v>46398</v>
      </c>
      <c r="E34" s="73" t="s">
        <v>362</v>
      </c>
      <c r="F34" s="73" t="s">
        <v>358</v>
      </c>
      <c r="G34" s="73" t="s">
        <v>363</v>
      </c>
      <c r="H34" s="71" t="s">
        <v>364</v>
      </c>
      <c r="I34" s="74" t="s">
        <v>356</v>
      </c>
      <c r="J34" s="73"/>
    </row>
    <row r="36" customFormat="false" ht="15" hidden="false" customHeight="false" outlineLevel="0" collapsed="false">
      <c r="E36" s="44" t="s">
        <v>365</v>
      </c>
      <c r="I36" s="45" t="n">
        <f aca="false">COUNTIF(I12:I34,"Đạt")</f>
        <v>0</v>
      </c>
    </row>
    <row r="37" customFormat="false" ht="15" hidden="false" customHeight="false" outlineLevel="0" collapsed="false">
      <c r="E37" s="44" t="s">
        <v>366</v>
      </c>
      <c r="I37" s="75" t="n">
        <f aca="false">COUNTIF(I12:I34,"Trễ")</f>
        <v>0</v>
      </c>
    </row>
    <row r="38" customFormat="false" ht="15" hidden="false" customHeight="false" outlineLevel="0" collapsed="false">
      <c r="E38" s="76" t="s">
        <v>367</v>
      </c>
    </row>
  </sheetData>
  <mergeCells count="13">
    <mergeCell ref="A1:J1"/>
    <mergeCell ref="A2:J2"/>
    <mergeCell ref="A4:J4"/>
    <mergeCell ref="A5:D5"/>
    <mergeCell ref="E5:J5"/>
    <mergeCell ref="A6:D6"/>
    <mergeCell ref="E6:J6"/>
    <mergeCell ref="A7:D7"/>
    <mergeCell ref="E7:J7"/>
    <mergeCell ref="A8:D8"/>
    <mergeCell ref="E8:J8"/>
    <mergeCell ref="A9:D9"/>
    <mergeCell ref="E9:J9"/>
  </mergeCells>
  <dataValidations count="1">
    <dataValidation allowBlank="true" errorStyle="stop" operator="between" showDropDown="false" showErrorMessage="false" showInputMessage="false" sqref="I12:I34" type="list">
      <formula1>"Chưa tới,Đang làm,Đạt,Trễ,Không áp dụng"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72"/>
    <col collapsed="false" customWidth="true" hidden="false" outlineLevel="0" max="3" min="3" style="0" width="20"/>
    <col collapsed="false" customWidth="true" hidden="false" outlineLevel="0" max="5" min="4" style="0" width="18"/>
  </cols>
  <sheetData>
    <row r="1" customFormat="false" ht="30" hidden="false" customHeight="true" outlineLevel="0" collapsed="false">
      <c r="A1" s="1" t="s">
        <v>368</v>
      </c>
      <c r="B1" s="1"/>
      <c r="C1" s="1"/>
      <c r="D1" s="1"/>
      <c r="E1" s="1"/>
    </row>
    <row r="2" customFormat="false" ht="19.5" hidden="false" customHeight="true" outlineLevel="0" collapsed="false">
      <c r="A2" s="2" t="s">
        <v>369</v>
      </c>
      <c r="B2" s="2"/>
      <c r="C2" s="2"/>
      <c r="D2" s="2"/>
      <c r="E2" s="2"/>
    </row>
    <row r="4" customFormat="false" ht="24" hidden="false" customHeight="true" outlineLevel="0" collapsed="false">
      <c r="A4" s="50" t="s">
        <v>370</v>
      </c>
      <c r="B4" s="50"/>
      <c r="C4" s="50"/>
      <c r="D4" s="50"/>
      <c r="E4" s="50"/>
    </row>
    <row r="5" customFormat="false" ht="27.75" hidden="false" customHeight="true" outlineLevel="0" collapsed="false">
      <c r="A5" s="77" t="s">
        <v>371</v>
      </c>
      <c r="B5" s="77" t="s">
        <v>372</v>
      </c>
      <c r="C5" s="16"/>
      <c r="D5" s="16"/>
      <c r="E5" s="16"/>
    </row>
    <row r="6" customFormat="false" ht="27.75" hidden="false" customHeight="true" outlineLevel="0" collapsed="false">
      <c r="A6" s="77" t="s">
        <v>373</v>
      </c>
      <c r="B6" s="77" t="s">
        <v>374</v>
      </c>
      <c r="C6" s="16"/>
      <c r="D6" s="16"/>
      <c r="E6" s="16"/>
    </row>
    <row r="7" customFormat="false" ht="27.75" hidden="false" customHeight="true" outlineLevel="0" collapsed="false">
      <c r="A7" s="77" t="s">
        <v>375</v>
      </c>
      <c r="B7" s="77" t="s">
        <v>376</v>
      </c>
      <c r="C7" s="16"/>
      <c r="D7" s="16"/>
      <c r="E7" s="16"/>
    </row>
    <row r="8" customFormat="false" ht="27.75" hidden="false" customHeight="true" outlineLevel="0" collapsed="false">
      <c r="A8" s="77" t="s">
        <v>377</v>
      </c>
      <c r="B8" s="77" t="s">
        <v>378</v>
      </c>
      <c r="C8" s="16"/>
      <c r="D8" s="16"/>
      <c r="E8" s="16"/>
    </row>
    <row r="9" customFormat="false" ht="27.75" hidden="false" customHeight="true" outlineLevel="0" collapsed="false">
      <c r="A9" s="77" t="s">
        <v>379</v>
      </c>
      <c r="B9" s="77" t="s">
        <v>380</v>
      </c>
      <c r="C9" s="16"/>
      <c r="D9" s="16"/>
      <c r="E9" s="16"/>
    </row>
    <row r="10" customFormat="false" ht="27.75" hidden="false" customHeight="true" outlineLevel="0" collapsed="false">
      <c r="A10" s="77" t="s">
        <v>381</v>
      </c>
      <c r="B10" s="77" t="s">
        <v>382</v>
      </c>
      <c r="C10" s="16"/>
      <c r="D10" s="16"/>
      <c r="E10" s="16"/>
    </row>
    <row r="11" customFormat="false" ht="27.75" hidden="false" customHeight="true" outlineLevel="0" collapsed="false">
      <c r="A11" s="77" t="s">
        <v>383</v>
      </c>
      <c r="B11" s="77" t="s">
        <v>384</v>
      </c>
      <c r="C11" s="16"/>
      <c r="D11" s="16"/>
      <c r="E11" s="16"/>
    </row>
    <row r="12" customFormat="false" ht="27.75" hidden="false" customHeight="true" outlineLevel="0" collapsed="false">
      <c r="A12" s="77" t="s">
        <v>385</v>
      </c>
      <c r="B12" s="77" t="s">
        <v>386</v>
      </c>
      <c r="C12" s="16"/>
      <c r="D12" s="16"/>
      <c r="E12" s="16"/>
    </row>
    <row r="14" customFormat="false" ht="24" hidden="false" customHeight="true" outlineLevel="0" collapsed="false">
      <c r="A14" s="50" t="s">
        <v>387</v>
      </c>
      <c r="B14" s="50"/>
      <c r="C14" s="50"/>
      <c r="D14" s="50"/>
      <c r="E14" s="50"/>
    </row>
    <row r="15" customFormat="false" ht="19.5" hidden="false" customHeight="true" outlineLevel="0" collapsed="false">
      <c r="A15" s="78" t="s">
        <v>388</v>
      </c>
      <c r="B15" s="78" t="s">
        <v>389</v>
      </c>
    </row>
    <row r="16" customFormat="false" ht="27.75" hidden="false" customHeight="true" outlineLevel="0" collapsed="false">
      <c r="A16" s="77" t="s">
        <v>390</v>
      </c>
      <c r="B16" s="77" t="s">
        <v>391</v>
      </c>
      <c r="C16" s="16"/>
      <c r="D16" s="16"/>
      <c r="E16" s="16"/>
    </row>
    <row r="17" customFormat="false" ht="27.75" hidden="false" customHeight="true" outlineLevel="0" collapsed="false">
      <c r="A17" s="77" t="s">
        <v>392</v>
      </c>
      <c r="B17" s="77" t="s">
        <v>393</v>
      </c>
      <c r="C17" s="16"/>
      <c r="D17" s="16"/>
      <c r="E17" s="16"/>
    </row>
    <row r="18" customFormat="false" ht="27.75" hidden="false" customHeight="true" outlineLevel="0" collapsed="false">
      <c r="A18" s="77" t="s">
        <v>394</v>
      </c>
      <c r="B18" s="77" t="s">
        <v>395</v>
      </c>
      <c r="C18" s="16"/>
      <c r="D18" s="16"/>
      <c r="E18" s="16"/>
    </row>
    <row r="19" customFormat="false" ht="27.75" hidden="false" customHeight="true" outlineLevel="0" collapsed="false">
      <c r="A19" s="77" t="s">
        <v>396</v>
      </c>
      <c r="B19" s="77" t="s">
        <v>397</v>
      </c>
      <c r="C19" s="16"/>
      <c r="D19" s="16"/>
      <c r="E19" s="16"/>
    </row>
    <row r="20" customFormat="false" ht="27.75" hidden="false" customHeight="true" outlineLevel="0" collapsed="false">
      <c r="A20" s="77" t="s">
        <v>398</v>
      </c>
      <c r="B20" s="77" t="s">
        <v>399</v>
      </c>
      <c r="C20" s="16"/>
      <c r="D20" s="16"/>
      <c r="E20" s="16"/>
    </row>
    <row r="22" customFormat="false" ht="24" hidden="false" customHeight="true" outlineLevel="0" collapsed="false">
      <c r="A22" s="50" t="s">
        <v>400</v>
      </c>
      <c r="B22" s="50"/>
      <c r="C22" s="50"/>
      <c r="D22" s="50"/>
      <c r="E22" s="50"/>
    </row>
    <row r="23" customFormat="false" ht="19.5" hidden="false" customHeight="true" outlineLevel="0" collapsed="false">
      <c r="A23" s="78" t="s">
        <v>401</v>
      </c>
      <c r="B23" s="78" t="s">
        <v>402</v>
      </c>
      <c r="C23" s="78" t="s">
        <v>403</v>
      </c>
    </row>
    <row r="24" customFormat="false" ht="27.75" hidden="false" customHeight="true" outlineLevel="0" collapsed="false">
      <c r="A24" s="77" t="s">
        <v>404</v>
      </c>
      <c r="B24" s="77" t="s">
        <v>405</v>
      </c>
      <c r="C24" s="77" t="s">
        <v>406</v>
      </c>
      <c r="D24" s="16"/>
      <c r="E24" s="16"/>
    </row>
    <row r="25" customFormat="false" ht="27.75" hidden="false" customHeight="true" outlineLevel="0" collapsed="false">
      <c r="A25" s="77" t="s">
        <v>404</v>
      </c>
      <c r="B25" s="77" t="s">
        <v>407</v>
      </c>
      <c r="C25" s="77" t="s">
        <v>406</v>
      </c>
      <c r="D25" s="16"/>
      <c r="E25" s="16"/>
    </row>
    <row r="26" customFormat="false" ht="27.75" hidden="false" customHeight="true" outlineLevel="0" collapsed="false">
      <c r="A26" s="77" t="s">
        <v>404</v>
      </c>
      <c r="B26" s="77" t="s">
        <v>408</v>
      </c>
      <c r="C26" s="77" t="s">
        <v>406</v>
      </c>
      <c r="D26" s="16"/>
      <c r="E26" s="16"/>
    </row>
    <row r="27" customFormat="false" ht="27.75" hidden="false" customHeight="true" outlineLevel="0" collapsed="false">
      <c r="A27" s="77" t="s">
        <v>404</v>
      </c>
      <c r="B27" s="77" t="s">
        <v>409</v>
      </c>
      <c r="C27" s="77" t="s">
        <v>410</v>
      </c>
      <c r="D27" s="16"/>
      <c r="E27" s="16"/>
    </row>
    <row r="28" customFormat="false" ht="27.75" hidden="false" customHeight="true" outlineLevel="0" collapsed="false">
      <c r="A28" s="77" t="s">
        <v>411</v>
      </c>
      <c r="B28" s="77" t="s">
        <v>412</v>
      </c>
      <c r="C28" s="77" t="s">
        <v>406</v>
      </c>
      <c r="D28" s="16"/>
      <c r="E28" s="16"/>
    </row>
    <row r="29" customFormat="false" ht="27.75" hidden="false" customHeight="true" outlineLevel="0" collapsed="false">
      <c r="A29" s="77" t="s">
        <v>411</v>
      </c>
      <c r="B29" s="77" t="s">
        <v>413</v>
      </c>
      <c r="C29" s="77" t="s">
        <v>406</v>
      </c>
      <c r="D29" s="16"/>
      <c r="E29" s="16"/>
    </row>
    <row r="30" customFormat="false" ht="27.75" hidden="false" customHeight="true" outlineLevel="0" collapsed="false">
      <c r="A30" s="77" t="s">
        <v>411</v>
      </c>
      <c r="B30" s="77" t="s">
        <v>414</v>
      </c>
      <c r="C30" s="77" t="s">
        <v>410</v>
      </c>
      <c r="D30" s="16"/>
      <c r="E30" s="16"/>
    </row>
    <row r="31" customFormat="false" ht="27.75" hidden="false" customHeight="true" outlineLevel="0" collapsed="false">
      <c r="A31" s="77" t="s">
        <v>415</v>
      </c>
      <c r="B31" s="77" t="s">
        <v>416</v>
      </c>
      <c r="C31" s="77" t="s">
        <v>406</v>
      </c>
      <c r="D31" s="16"/>
      <c r="E31" s="16"/>
    </row>
    <row r="32" customFormat="false" ht="27.75" hidden="false" customHeight="true" outlineLevel="0" collapsed="false">
      <c r="A32" s="77" t="s">
        <v>415</v>
      </c>
      <c r="B32" s="77" t="s">
        <v>417</v>
      </c>
      <c r="C32" s="77" t="s">
        <v>410</v>
      </c>
      <c r="D32" s="16"/>
      <c r="E32" s="16"/>
    </row>
    <row r="33" customFormat="false" ht="27.75" hidden="false" customHeight="true" outlineLevel="0" collapsed="false">
      <c r="A33" s="77" t="s">
        <v>415</v>
      </c>
      <c r="B33" s="77" t="s">
        <v>418</v>
      </c>
      <c r="C33" s="77" t="s">
        <v>410</v>
      </c>
      <c r="D33" s="16"/>
      <c r="E33" s="16"/>
    </row>
    <row r="34" customFormat="false" ht="27.75" hidden="false" customHeight="true" outlineLevel="0" collapsed="false">
      <c r="A34" s="77" t="s">
        <v>419</v>
      </c>
      <c r="B34" s="77" t="s">
        <v>420</v>
      </c>
      <c r="C34" s="77" t="s">
        <v>410</v>
      </c>
      <c r="D34" s="16"/>
      <c r="E34" s="16"/>
    </row>
    <row r="35" customFormat="false" ht="27.75" hidden="false" customHeight="true" outlineLevel="0" collapsed="false">
      <c r="A35" s="77" t="s">
        <v>421</v>
      </c>
      <c r="B35" s="77" t="s">
        <v>422</v>
      </c>
      <c r="C35" s="77" t="s">
        <v>406</v>
      </c>
      <c r="D35" s="16"/>
      <c r="E35" s="16"/>
    </row>
    <row r="36" customFormat="false" ht="27.75" hidden="false" customHeight="true" outlineLevel="0" collapsed="false">
      <c r="A36" s="77" t="s">
        <v>421</v>
      </c>
      <c r="B36" s="77" t="s">
        <v>423</v>
      </c>
      <c r="C36" s="77" t="s">
        <v>406</v>
      </c>
      <c r="D36" s="16"/>
      <c r="E36" s="16"/>
    </row>
    <row r="38" customFormat="false" ht="24" hidden="false" customHeight="true" outlineLevel="0" collapsed="false">
      <c r="A38" s="50" t="s">
        <v>424</v>
      </c>
      <c r="B38" s="50"/>
      <c r="C38" s="50"/>
      <c r="D38" s="50"/>
      <c r="E38" s="50"/>
    </row>
    <row r="39" customFormat="false" ht="19.5" hidden="false" customHeight="true" outlineLevel="0" collapsed="false">
      <c r="A39" s="78" t="s">
        <v>425</v>
      </c>
      <c r="B39" s="78" t="s">
        <v>426</v>
      </c>
    </row>
    <row r="40" customFormat="false" ht="27.75" hidden="false" customHeight="true" outlineLevel="0" collapsed="false">
      <c r="A40" s="77" t="s">
        <v>427</v>
      </c>
      <c r="B40" s="77" t="s">
        <v>428</v>
      </c>
      <c r="C40" s="16"/>
      <c r="D40" s="16"/>
      <c r="E40" s="16"/>
    </row>
    <row r="41" customFormat="false" ht="27.75" hidden="false" customHeight="true" outlineLevel="0" collapsed="false">
      <c r="A41" s="77" t="s">
        <v>429</v>
      </c>
      <c r="B41" s="77" t="s">
        <v>430</v>
      </c>
      <c r="C41" s="16"/>
      <c r="D41" s="16"/>
      <c r="E41" s="16"/>
    </row>
    <row r="42" customFormat="false" ht="27.75" hidden="false" customHeight="true" outlineLevel="0" collapsed="false">
      <c r="A42" s="77" t="s">
        <v>431</v>
      </c>
      <c r="B42" s="77" t="s">
        <v>432</v>
      </c>
      <c r="C42" s="16"/>
      <c r="D42" s="16"/>
      <c r="E42" s="16"/>
    </row>
    <row r="43" customFormat="false" ht="27.75" hidden="false" customHeight="true" outlineLevel="0" collapsed="false">
      <c r="A43" s="77" t="s">
        <v>433</v>
      </c>
      <c r="B43" s="77" t="s">
        <v>434</v>
      </c>
      <c r="C43" s="16"/>
      <c r="D43" s="16"/>
      <c r="E43" s="16"/>
    </row>
    <row r="44" customFormat="false" ht="27.75" hidden="false" customHeight="true" outlineLevel="0" collapsed="false">
      <c r="A44" s="77" t="s">
        <v>435</v>
      </c>
      <c r="B44" s="77" t="s">
        <v>436</v>
      </c>
      <c r="C44" s="16"/>
      <c r="D44" s="16"/>
      <c r="E44" s="16"/>
    </row>
    <row r="45" customFormat="false" ht="27.75" hidden="false" customHeight="true" outlineLevel="0" collapsed="false">
      <c r="A45" s="77" t="s">
        <v>437</v>
      </c>
      <c r="B45" s="77" t="s">
        <v>438</v>
      </c>
      <c r="C45" s="16"/>
      <c r="D45" s="16"/>
      <c r="E45" s="16"/>
    </row>
    <row r="46" customFormat="false" ht="27.75" hidden="false" customHeight="true" outlineLevel="0" collapsed="false">
      <c r="A46" s="77" t="s">
        <v>439</v>
      </c>
      <c r="B46" s="77" t="s">
        <v>440</v>
      </c>
      <c r="C46" s="16"/>
      <c r="D46" s="16"/>
      <c r="E46" s="16"/>
    </row>
    <row r="47" customFormat="false" ht="27.75" hidden="false" customHeight="true" outlineLevel="0" collapsed="false">
      <c r="A47" s="77" t="s">
        <v>441</v>
      </c>
      <c r="B47" s="77" t="s">
        <v>442</v>
      </c>
      <c r="C47" s="16"/>
      <c r="D47" s="16"/>
      <c r="E47" s="16"/>
    </row>
    <row r="48" customFormat="false" ht="27.75" hidden="false" customHeight="true" outlineLevel="0" collapsed="false">
      <c r="A48" s="77" t="s">
        <v>443</v>
      </c>
      <c r="B48" s="77" t="s">
        <v>444</v>
      </c>
      <c r="C48" s="16"/>
      <c r="D48" s="16"/>
      <c r="E48" s="16"/>
    </row>
    <row r="50" customFormat="false" ht="24" hidden="false" customHeight="true" outlineLevel="0" collapsed="false">
      <c r="A50" s="50" t="s">
        <v>445</v>
      </c>
      <c r="B50" s="50"/>
      <c r="C50" s="50"/>
      <c r="D50" s="50"/>
      <c r="E50" s="50"/>
    </row>
    <row r="51" customFormat="false" ht="19.5" hidden="false" customHeight="true" outlineLevel="0" collapsed="false">
      <c r="A51" s="78" t="s">
        <v>446</v>
      </c>
      <c r="B51" s="78" t="s">
        <v>447</v>
      </c>
      <c r="C51" s="78" t="s">
        <v>448</v>
      </c>
    </row>
    <row r="52" customFormat="false" ht="27.75" hidden="false" customHeight="true" outlineLevel="0" collapsed="false">
      <c r="A52" s="77" t="s">
        <v>449</v>
      </c>
      <c r="B52" s="77" t="s">
        <v>450</v>
      </c>
      <c r="C52" s="77" t="s">
        <v>451</v>
      </c>
      <c r="D52" s="16"/>
      <c r="E52" s="16"/>
    </row>
    <row r="53" customFormat="false" ht="27.75" hidden="false" customHeight="true" outlineLevel="0" collapsed="false">
      <c r="A53" s="77" t="s">
        <v>452</v>
      </c>
      <c r="B53" s="77" t="s">
        <v>453</v>
      </c>
      <c r="C53" s="77" t="s">
        <v>454</v>
      </c>
      <c r="D53" s="16"/>
      <c r="E53" s="16"/>
    </row>
    <row r="54" customFormat="false" ht="27.75" hidden="false" customHeight="true" outlineLevel="0" collapsed="false">
      <c r="A54" s="77" t="s">
        <v>455</v>
      </c>
      <c r="B54" s="77" t="s">
        <v>456</v>
      </c>
      <c r="C54" s="77" t="s">
        <v>454</v>
      </c>
      <c r="D54" s="16"/>
      <c r="E54" s="16"/>
    </row>
    <row r="55" customFormat="false" ht="27.75" hidden="false" customHeight="true" outlineLevel="0" collapsed="false">
      <c r="A55" s="77" t="s">
        <v>457</v>
      </c>
      <c r="B55" s="77" t="s">
        <v>458</v>
      </c>
      <c r="C55" s="77" t="s">
        <v>451</v>
      </c>
      <c r="D55" s="16"/>
      <c r="E55" s="16"/>
    </row>
    <row r="56" customFormat="false" ht="27.75" hidden="false" customHeight="true" outlineLevel="0" collapsed="false">
      <c r="A56" s="77" t="s">
        <v>459</v>
      </c>
      <c r="B56" s="77" t="s">
        <v>460</v>
      </c>
      <c r="C56" s="77" t="s">
        <v>461</v>
      </c>
      <c r="D56" s="16"/>
      <c r="E56" s="16"/>
    </row>
    <row r="58" customFormat="false" ht="24" hidden="false" customHeight="true" outlineLevel="0" collapsed="false">
      <c r="A58" s="50" t="s">
        <v>462</v>
      </c>
      <c r="B58" s="50"/>
      <c r="C58" s="50"/>
      <c r="D58" s="50"/>
      <c r="E58" s="50"/>
    </row>
    <row r="59" customFormat="false" ht="19.5" hidden="false" customHeight="true" outlineLevel="0" collapsed="false">
      <c r="A59" s="78" t="s">
        <v>463</v>
      </c>
      <c r="B59" s="78" t="s">
        <v>389</v>
      </c>
    </row>
    <row r="60" customFormat="false" ht="27.75" hidden="false" customHeight="true" outlineLevel="0" collapsed="false">
      <c r="A60" s="77" t="s">
        <v>464</v>
      </c>
      <c r="B60" s="77" t="s">
        <v>465</v>
      </c>
      <c r="C60" s="16"/>
      <c r="D60" s="16"/>
      <c r="E60" s="16"/>
    </row>
    <row r="61" customFormat="false" ht="27.75" hidden="false" customHeight="true" outlineLevel="0" collapsed="false">
      <c r="A61" s="77" t="s">
        <v>464</v>
      </c>
      <c r="B61" s="77" t="s">
        <v>466</v>
      </c>
      <c r="C61" s="16"/>
      <c r="D61" s="16"/>
      <c r="E61" s="16"/>
    </row>
    <row r="62" customFormat="false" ht="27.75" hidden="false" customHeight="true" outlineLevel="0" collapsed="false">
      <c r="A62" s="77" t="s">
        <v>464</v>
      </c>
      <c r="B62" s="77" t="s">
        <v>467</v>
      </c>
      <c r="C62" s="16"/>
      <c r="D62" s="16"/>
      <c r="E62" s="16"/>
    </row>
    <row r="63" customFormat="false" ht="27.75" hidden="false" customHeight="true" outlineLevel="0" collapsed="false">
      <c r="A63" s="77" t="s">
        <v>464</v>
      </c>
      <c r="B63" s="77" t="s">
        <v>468</v>
      </c>
      <c r="C63" s="16"/>
      <c r="D63" s="16"/>
      <c r="E63" s="16"/>
    </row>
    <row r="64" customFormat="false" ht="27.75" hidden="false" customHeight="true" outlineLevel="0" collapsed="false">
      <c r="A64" s="77" t="s">
        <v>469</v>
      </c>
      <c r="B64" s="77" t="s">
        <v>470</v>
      </c>
      <c r="C64" s="16"/>
      <c r="D64" s="16"/>
      <c r="E64" s="16"/>
    </row>
    <row r="65" customFormat="false" ht="27.75" hidden="false" customHeight="true" outlineLevel="0" collapsed="false">
      <c r="A65" s="77" t="s">
        <v>469</v>
      </c>
      <c r="B65" s="77" t="s">
        <v>471</v>
      </c>
      <c r="C65" s="16"/>
      <c r="D65" s="16"/>
      <c r="E65" s="16"/>
    </row>
    <row r="66" customFormat="false" ht="27.75" hidden="false" customHeight="true" outlineLevel="0" collapsed="false">
      <c r="A66" s="77" t="s">
        <v>469</v>
      </c>
      <c r="B66" s="77" t="s">
        <v>472</v>
      </c>
      <c r="C66" s="16"/>
      <c r="D66" s="16"/>
      <c r="E66" s="16"/>
    </row>
    <row r="67" customFormat="false" ht="27.75" hidden="false" customHeight="true" outlineLevel="0" collapsed="false">
      <c r="A67" s="77" t="s">
        <v>473</v>
      </c>
      <c r="B67" s="77" t="s">
        <v>474</v>
      </c>
      <c r="C67" s="16"/>
      <c r="D67" s="16"/>
      <c r="E67" s="16"/>
    </row>
    <row r="68" customFormat="false" ht="27.75" hidden="false" customHeight="true" outlineLevel="0" collapsed="false">
      <c r="A68" s="77" t="s">
        <v>469</v>
      </c>
      <c r="B68" s="77" t="s">
        <v>475</v>
      </c>
      <c r="C68" s="16"/>
      <c r="D68" s="16"/>
      <c r="E68" s="16"/>
    </row>
    <row r="69" customFormat="false" ht="27.75" hidden="false" customHeight="true" outlineLevel="0" collapsed="false">
      <c r="A69" s="77" t="s">
        <v>476</v>
      </c>
      <c r="B69" s="77" t="s">
        <v>477</v>
      </c>
      <c r="C69" s="16"/>
      <c r="D69" s="16"/>
      <c r="E69" s="16"/>
    </row>
    <row r="70" customFormat="false" ht="27.75" hidden="false" customHeight="true" outlineLevel="0" collapsed="false">
      <c r="A70" s="77" t="s">
        <v>476</v>
      </c>
      <c r="B70" s="77" t="s">
        <v>478</v>
      </c>
      <c r="C70" s="16"/>
      <c r="D70" s="16"/>
      <c r="E70" s="16"/>
    </row>
    <row r="72" customFormat="false" ht="24" hidden="false" customHeight="true" outlineLevel="0" collapsed="false">
      <c r="A72" s="50" t="s">
        <v>479</v>
      </c>
      <c r="B72" s="50"/>
      <c r="C72" s="50"/>
      <c r="D72" s="50"/>
      <c r="E72" s="50"/>
    </row>
    <row r="73" customFormat="false" ht="19.5" hidden="false" customHeight="true" outlineLevel="0" collapsed="false">
      <c r="A73" s="78" t="s">
        <v>3</v>
      </c>
      <c r="B73" s="78" t="s">
        <v>480</v>
      </c>
      <c r="C73" s="78" t="s">
        <v>481</v>
      </c>
    </row>
    <row r="74" customFormat="false" ht="27.75" hidden="false" customHeight="true" outlineLevel="0" collapsed="false">
      <c r="A74" s="77" t="s">
        <v>482</v>
      </c>
      <c r="B74" s="77" t="s">
        <v>483</v>
      </c>
      <c r="C74" s="77" t="s">
        <v>484</v>
      </c>
      <c r="D74" s="16"/>
      <c r="E74" s="16"/>
    </row>
    <row r="75" customFormat="false" ht="27.75" hidden="false" customHeight="true" outlineLevel="0" collapsed="false">
      <c r="A75" s="77" t="s">
        <v>485</v>
      </c>
      <c r="B75" s="77" t="s">
        <v>486</v>
      </c>
      <c r="C75" s="77" t="s">
        <v>487</v>
      </c>
      <c r="D75" s="16"/>
      <c r="E75" s="16"/>
    </row>
    <row r="76" customFormat="false" ht="27.75" hidden="false" customHeight="true" outlineLevel="0" collapsed="false">
      <c r="A76" s="77" t="s">
        <v>488</v>
      </c>
      <c r="B76" s="77" t="s">
        <v>489</v>
      </c>
      <c r="C76" s="77" t="s">
        <v>490</v>
      </c>
      <c r="D76" s="16"/>
      <c r="E76" s="16"/>
    </row>
    <row r="77" customFormat="false" ht="27.75" hidden="false" customHeight="true" outlineLevel="0" collapsed="false">
      <c r="A77" s="77" t="s">
        <v>491</v>
      </c>
      <c r="B77" s="77" t="s">
        <v>492</v>
      </c>
      <c r="C77" s="77" t="s">
        <v>493</v>
      </c>
      <c r="D77" s="16"/>
      <c r="E77" s="16"/>
    </row>
    <row r="78" customFormat="false" ht="27.75" hidden="false" customHeight="true" outlineLevel="0" collapsed="false">
      <c r="A78" s="77" t="s">
        <v>494</v>
      </c>
      <c r="B78" s="77" t="s">
        <v>495</v>
      </c>
      <c r="C78" s="77" t="s">
        <v>496</v>
      </c>
      <c r="D78" s="16"/>
      <c r="E78" s="16"/>
    </row>
    <row r="79" customFormat="false" ht="27.75" hidden="false" customHeight="true" outlineLevel="0" collapsed="false">
      <c r="A79" s="77" t="s">
        <v>497</v>
      </c>
      <c r="B79" s="77" t="s">
        <v>498</v>
      </c>
      <c r="C79" s="77" t="s">
        <v>499</v>
      </c>
      <c r="D79" s="16"/>
      <c r="E79" s="16"/>
    </row>
    <row r="80" customFormat="false" ht="27.75" hidden="false" customHeight="true" outlineLevel="0" collapsed="false">
      <c r="A80" s="77" t="s">
        <v>500</v>
      </c>
      <c r="B80" s="77" t="s">
        <v>501</v>
      </c>
      <c r="C80" s="77" t="s">
        <v>502</v>
      </c>
      <c r="D80" s="16"/>
      <c r="E80" s="16"/>
    </row>
  </sheetData>
  <mergeCells count="9">
    <mergeCell ref="A1:E1"/>
    <mergeCell ref="A2:E2"/>
    <mergeCell ref="A4:E4"/>
    <mergeCell ref="A14:E14"/>
    <mergeCell ref="A22:E22"/>
    <mergeCell ref="A38:E38"/>
    <mergeCell ref="A50:E50"/>
    <mergeCell ref="A58:E58"/>
    <mergeCell ref="A72:E7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K2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26"/>
    <col collapsed="false" customWidth="true" hidden="false" outlineLevel="0" max="4" min="4" style="0" width="42"/>
    <col collapsed="false" customWidth="true" hidden="false" outlineLevel="0" max="5" min="5" style="0" width="12"/>
    <col collapsed="false" customWidth="true" hidden="false" outlineLevel="0" max="6" min="6" style="0" width="46"/>
    <col collapsed="false" customWidth="true" hidden="false" outlineLevel="0" max="7" min="7" style="0" width="11"/>
    <col collapsed="false" customWidth="true" hidden="false" outlineLevel="0" max="9" min="8" style="0" width="13"/>
    <col collapsed="false" customWidth="true" hidden="false" outlineLevel="0" max="11" min="10" style="0" width="12"/>
  </cols>
  <sheetData>
    <row r="1" customFormat="false" ht="30" hidden="false" customHeight="true" outlineLevel="0" collapsed="false">
      <c r="A1" s="1" t="s">
        <v>503</v>
      </c>
      <c r="B1" s="1"/>
      <c r="C1" s="1"/>
      <c r="D1" s="1"/>
      <c r="E1" s="1"/>
      <c r="F1" s="1"/>
      <c r="G1" s="1"/>
      <c r="H1" s="1"/>
      <c r="I1" s="1"/>
      <c r="J1" s="1"/>
      <c r="K1" s="1"/>
    </row>
    <row r="2" customFormat="false" ht="19.5" hidden="false" customHeight="true" outlineLevel="0" collapsed="false">
      <c r="A2" s="2" t="s">
        <v>504</v>
      </c>
      <c r="B2" s="2"/>
      <c r="C2" s="2"/>
      <c r="D2" s="2"/>
      <c r="E2" s="2"/>
      <c r="F2" s="2"/>
      <c r="G2" s="2"/>
      <c r="H2" s="2"/>
      <c r="I2" s="2"/>
      <c r="J2" s="2"/>
      <c r="K2" s="2"/>
    </row>
    <row r="4" customFormat="false" ht="33.75" hidden="false" customHeight="true" outlineLevel="0" collapsed="false">
      <c r="A4" s="53" t="s">
        <v>505</v>
      </c>
      <c r="B4" s="53" t="s">
        <v>401</v>
      </c>
      <c r="C4" s="53" t="s">
        <v>506</v>
      </c>
      <c r="D4" s="53" t="s">
        <v>507</v>
      </c>
      <c r="E4" s="53" t="s">
        <v>508</v>
      </c>
      <c r="F4" s="53" t="s">
        <v>509</v>
      </c>
      <c r="G4" s="53" t="s">
        <v>510</v>
      </c>
      <c r="H4" s="53" t="s">
        <v>8</v>
      </c>
      <c r="I4" s="53" t="s">
        <v>511</v>
      </c>
      <c r="J4" s="53" t="s">
        <v>512</v>
      </c>
      <c r="K4" s="53" t="s">
        <v>513</v>
      </c>
    </row>
    <row r="5" customFormat="false" ht="45.75" hidden="false" customHeight="true" outlineLevel="0" collapsed="false">
      <c r="A5" s="79" t="s">
        <v>514</v>
      </c>
      <c r="B5" s="77" t="s">
        <v>421</v>
      </c>
      <c r="C5" s="77" t="s">
        <v>515</v>
      </c>
      <c r="D5" s="77" t="s">
        <v>516</v>
      </c>
      <c r="E5" s="80" t="s">
        <v>406</v>
      </c>
      <c r="F5" s="77" t="s">
        <v>517</v>
      </c>
      <c r="G5" s="81" t="s">
        <v>518</v>
      </c>
      <c r="H5" s="81" t="s">
        <v>143</v>
      </c>
      <c r="I5" s="81" t="s">
        <v>519</v>
      </c>
      <c r="J5" s="81" t="s">
        <v>520</v>
      </c>
      <c r="K5" s="81" t="s">
        <v>521</v>
      </c>
    </row>
    <row r="6" customFormat="false" ht="45.75" hidden="false" customHeight="true" outlineLevel="0" collapsed="false">
      <c r="A6" s="79" t="s">
        <v>522</v>
      </c>
      <c r="B6" s="77" t="s">
        <v>421</v>
      </c>
      <c r="C6" s="77" t="s">
        <v>523</v>
      </c>
      <c r="D6" s="77" t="s">
        <v>524</v>
      </c>
      <c r="E6" s="80" t="s">
        <v>406</v>
      </c>
      <c r="F6" s="77" t="s">
        <v>525</v>
      </c>
      <c r="G6" s="81" t="s">
        <v>526</v>
      </c>
      <c r="H6" s="81" t="s">
        <v>143</v>
      </c>
      <c r="I6" s="81" t="s">
        <v>519</v>
      </c>
      <c r="J6" s="81" t="s">
        <v>514</v>
      </c>
      <c r="K6" s="81" t="s">
        <v>521</v>
      </c>
    </row>
    <row r="7" customFormat="false" ht="45.75" hidden="false" customHeight="true" outlineLevel="0" collapsed="false">
      <c r="A7" s="79" t="s">
        <v>527</v>
      </c>
      <c r="B7" s="77" t="s">
        <v>404</v>
      </c>
      <c r="C7" s="77" t="s">
        <v>528</v>
      </c>
      <c r="D7" s="77" t="s">
        <v>529</v>
      </c>
      <c r="E7" s="80" t="s">
        <v>406</v>
      </c>
      <c r="F7" s="77" t="s">
        <v>530</v>
      </c>
      <c r="G7" s="81" t="s">
        <v>518</v>
      </c>
      <c r="H7" s="81" t="s">
        <v>109</v>
      </c>
      <c r="I7" s="81" t="s">
        <v>531</v>
      </c>
      <c r="J7" s="81" t="s">
        <v>522</v>
      </c>
      <c r="K7" s="81" t="s">
        <v>521</v>
      </c>
    </row>
    <row r="8" customFormat="false" ht="45.75" hidden="false" customHeight="true" outlineLevel="0" collapsed="false">
      <c r="A8" s="79" t="s">
        <v>532</v>
      </c>
      <c r="B8" s="77" t="s">
        <v>404</v>
      </c>
      <c r="C8" s="77" t="s">
        <v>533</v>
      </c>
      <c r="D8" s="77" t="s">
        <v>534</v>
      </c>
      <c r="E8" s="80" t="s">
        <v>406</v>
      </c>
      <c r="F8" s="77" t="s">
        <v>535</v>
      </c>
      <c r="G8" s="81" t="s">
        <v>536</v>
      </c>
      <c r="H8" s="81" t="s">
        <v>109</v>
      </c>
      <c r="I8" s="81" t="s">
        <v>531</v>
      </c>
      <c r="J8" s="81" t="s">
        <v>527</v>
      </c>
      <c r="K8" s="81" t="s">
        <v>521</v>
      </c>
    </row>
    <row r="9" customFormat="false" ht="45.75" hidden="false" customHeight="true" outlineLevel="0" collapsed="false">
      <c r="A9" s="79" t="s">
        <v>537</v>
      </c>
      <c r="B9" s="77" t="s">
        <v>404</v>
      </c>
      <c r="C9" s="77" t="s">
        <v>538</v>
      </c>
      <c r="D9" s="77" t="s">
        <v>539</v>
      </c>
      <c r="E9" s="82" t="s">
        <v>410</v>
      </c>
      <c r="F9" s="77" t="s">
        <v>540</v>
      </c>
      <c r="G9" s="81" t="s">
        <v>536</v>
      </c>
      <c r="H9" s="81" t="s">
        <v>98</v>
      </c>
      <c r="I9" s="81" t="s">
        <v>541</v>
      </c>
      <c r="J9" s="81" t="s">
        <v>522</v>
      </c>
      <c r="K9" s="81" t="s">
        <v>521</v>
      </c>
    </row>
    <row r="10" customFormat="false" ht="45.75" hidden="false" customHeight="true" outlineLevel="0" collapsed="false">
      <c r="A10" s="79" t="s">
        <v>542</v>
      </c>
      <c r="B10" s="77" t="s">
        <v>411</v>
      </c>
      <c r="C10" s="77" t="s">
        <v>543</v>
      </c>
      <c r="D10" s="77" t="s">
        <v>544</v>
      </c>
      <c r="E10" s="80" t="s">
        <v>406</v>
      </c>
      <c r="F10" s="77" t="s">
        <v>545</v>
      </c>
      <c r="G10" s="81" t="s">
        <v>518</v>
      </c>
      <c r="H10" s="81" t="s">
        <v>143</v>
      </c>
      <c r="I10" s="81" t="s">
        <v>546</v>
      </c>
      <c r="J10" s="81" t="s">
        <v>514</v>
      </c>
      <c r="K10" s="81" t="s">
        <v>521</v>
      </c>
    </row>
    <row r="11" customFormat="false" ht="45.75" hidden="false" customHeight="true" outlineLevel="0" collapsed="false">
      <c r="A11" s="79" t="s">
        <v>547</v>
      </c>
      <c r="B11" s="77" t="s">
        <v>411</v>
      </c>
      <c r="C11" s="77" t="s">
        <v>548</v>
      </c>
      <c r="D11" s="77" t="s">
        <v>549</v>
      </c>
      <c r="E11" s="80" t="s">
        <v>406</v>
      </c>
      <c r="F11" s="77" t="s">
        <v>550</v>
      </c>
      <c r="G11" s="81" t="s">
        <v>551</v>
      </c>
      <c r="H11" s="81" t="s">
        <v>109</v>
      </c>
      <c r="I11" s="81" t="s">
        <v>552</v>
      </c>
      <c r="J11" s="81" t="s">
        <v>553</v>
      </c>
      <c r="K11" s="81" t="s">
        <v>521</v>
      </c>
    </row>
    <row r="12" customFormat="false" ht="45.75" hidden="false" customHeight="true" outlineLevel="0" collapsed="false">
      <c r="A12" s="79" t="s">
        <v>554</v>
      </c>
      <c r="B12" s="77" t="s">
        <v>411</v>
      </c>
      <c r="C12" s="77" t="s">
        <v>555</v>
      </c>
      <c r="D12" s="77" t="s">
        <v>556</v>
      </c>
      <c r="E12" s="82" t="s">
        <v>410</v>
      </c>
      <c r="F12" s="77" t="s">
        <v>557</v>
      </c>
      <c r="G12" s="81" t="s">
        <v>518</v>
      </c>
      <c r="H12" s="81" t="s">
        <v>181</v>
      </c>
      <c r="I12" s="81" t="s">
        <v>558</v>
      </c>
      <c r="J12" s="81" t="s">
        <v>559</v>
      </c>
      <c r="K12" s="81" t="s">
        <v>521</v>
      </c>
    </row>
    <row r="13" customFormat="false" ht="45.75" hidden="false" customHeight="true" outlineLevel="0" collapsed="false">
      <c r="A13" s="79" t="s">
        <v>560</v>
      </c>
      <c r="B13" s="77" t="s">
        <v>415</v>
      </c>
      <c r="C13" s="77" t="s">
        <v>561</v>
      </c>
      <c r="D13" s="77" t="s">
        <v>562</v>
      </c>
      <c r="E13" s="80" t="s">
        <v>406</v>
      </c>
      <c r="F13" s="77" t="s">
        <v>563</v>
      </c>
      <c r="G13" s="81" t="s">
        <v>551</v>
      </c>
      <c r="H13" s="81" t="s">
        <v>190</v>
      </c>
      <c r="I13" s="81" t="s">
        <v>564</v>
      </c>
      <c r="J13" s="81" t="s">
        <v>542</v>
      </c>
      <c r="K13" s="81" t="s">
        <v>521</v>
      </c>
    </row>
    <row r="14" customFormat="false" ht="45.75" hidden="false" customHeight="true" outlineLevel="0" collapsed="false">
      <c r="A14" s="79" t="s">
        <v>565</v>
      </c>
      <c r="B14" s="77" t="s">
        <v>415</v>
      </c>
      <c r="C14" s="77" t="s">
        <v>566</v>
      </c>
      <c r="D14" s="77" t="s">
        <v>567</v>
      </c>
      <c r="E14" s="82" t="s">
        <v>410</v>
      </c>
      <c r="F14" s="77" t="s">
        <v>568</v>
      </c>
      <c r="G14" s="81" t="s">
        <v>518</v>
      </c>
      <c r="H14" s="81" t="s">
        <v>151</v>
      </c>
      <c r="I14" s="81" t="s">
        <v>558</v>
      </c>
      <c r="J14" s="81" t="s">
        <v>569</v>
      </c>
      <c r="K14" s="81" t="s">
        <v>521</v>
      </c>
    </row>
    <row r="15" customFormat="false" ht="45.75" hidden="false" customHeight="true" outlineLevel="0" collapsed="false">
      <c r="A15" s="79" t="s">
        <v>570</v>
      </c>
      <c r="B15" s="77" t="s">
        <v>415</v>
      </c>
      <c r="C15" s="77" t="s">
        <v>571</v>
      </c>
      <c r="D15" s="77" t="s">
        <v>572</v>
      </c>
      <c r="E15" s="82" t="s">
        <v>410</v>
      </c>
      <c r="F15" s="77" t="s">
        <v>573</v>
      </c>
      <c r="G15" s="81" t="s">
        <v>536</v>
      </c>
      <c r="H15" s="81" t="s">
        <v>190</v>
      </c>
      <c r="I15" s="81" t="s">
        <v>541</v>
      </c>
      <c r="J15" s="81" t="s">
        <v>560</v>
      </c>
      <c r="K15" s="81" t="s">
        <v>521</v>
      </c>
    </row>
    <row r="16" customFormat="false" ht="45.75" hidden="false" customHeight="true" outlineLevel="0" collapsed="false">
      <c r="A16" s="79" t="s">
        <v>574</v>
      </c>
      <c r="B16" s="77" t="s">
        <v>419</v>
      </c>
      <c r="C16" s="77" t="s">
        <v>575</v>
      </c>
      <c r="D16" s="77" t="s">
        <v>576</v>
      </c>
      <c r="E16" s="82" t="s">
        <v>410</v>
      </c>
      <c r="F16" s="77" t="s">
        <v>577</v>
      </c>
      <c r="G16" s="81" t="s">
        <v>536</v>
      </c>
      <c r="H16" s="81" t="s">
        <v>143</v>
      </c>
      <c r="I16" s="81" t="s">
        <v>558</v>
      </c>
      <c r="J16" s="81" t="s">
        <v>578</v>
      </c>
      <c r="K16" s="81" t="s">
        <v>521</v>
      </c>
    </row>
    <row r="17" customFormat="false" ht="45.75" hidden="false" customHeight="true" outlineLevel="0" collapsed="false">
      <c r="A17" s="79" t="s">
        <v>579</v>
      </c>
      <c r="B17" s="77" t="s">
        <v>580</v>
      </c>
      <c r="C17" s="77" t="s">
        <v>581</v>
      </c>
      <c r="D17" s="77" t="s">
        <v>582</v>
      </c>
      <c r="E17" s="80" t="s">
        <v>406</v>
      </c>
      <c r="F17" s="77" t="s">
        <v>583</v>
      </c>
      <c r="G17" s="81" t="s">
        <v>536</v>
      </c>
      <c r="H17" s="81" t="s">
        <v>109</v>
      </c>
      <c r="I17" s="81" t="s">
        <v>541</v>
      </c>
      <c r="J17" s="81" t="s">
        <v>547</v>
      </c>
      <c r="K17" s="81" t="s">
        <v>521</v>
      </c>
    </row>
    <row r="18" customFormat="false" ht="45.75" hidden="false" customHeight="true" outlineLevel="0" collapsed="false">
      <c r="A18" s="79" t="s">
        <v>584</v>
      </c>
      <c r="B18" s="77" t="s">
        <v>580</v>
      </c>
      <c r="C18" s="77" t="s">
        <v>585</v>
      </c>
      <c r="D18" s="77" t="s">
        <v>586</v>
      </c>
      <c r="E18" s="80" t="s">
        <v>406</v>
      </c>
      <c r="F18" s="77" t="s">
        <v>587</v>
      </c>
      <c r="G18" s="81" t="s">
        <v>526</v>
      </c>
      <c r="H18" s="81" t="s">
        <v>143</v>
      </c>
      <c r="I18" s="81" t="s">
        <v>546</v>
      </c>
      <c r="J18" s="81" t="s">
        <v>542</v>
      </c>
      <c r="K18" s="81" t="s">
        <v>521</v>
      </c>
    </row>
    <row r="19" customFormat="false" ht="45.75" hidden="false" customHeight="true" outlineLevel="0" collapsed="false">
      <c r="A19" s="79" t="s">
        <v>588</v>
      </c>
      <c r="B19" s="77" t="s">
        <v>580</v>
      </c>
      <c r="C19" s="77" t="s">
        <v>589</v>
      </c>
      <c r="D19" s="77" t="s">
        <v>590</v>
      </c>
      <c r="E19" s="80" t="s">
        <v>406</v>
      </c>
      <c r="F19" s="77" t="s">
        <v>591</v>
      </c>
      <c r="G19" s="81" t="s">
        <v>518</v>
      </c>
      <c r="H19" s="81" t="s">
        <v>112</v>
      </c>
      <c r="I19" s="81" t="s">
        <v>592</v>
      </c>
      <c r="J19" s="81" t="s">
        <v>520</v>
      </c>
      <c r="K19" s="81" t="s">
        <v>521</v>
      </c>
    </row>
    <row r="21" customFormat="false" ht="15" hidden="false" customHeight="false" outlineLevel="0" collapsed="false">
      <c r="C21" s="44" t="s">
        <v>593</v>
      </c>
      <c r="E21" s="44" t="n">
        <f aca="false">COUNTA(A5:A19)</f>
        <v>15</v>
      </c>
    </row>
    <row r="22" customFormat="false" ht="15" hidden="false" customHeight="false" outlineLevel="0" collapsed="false">
      <c r="C22" s="44" t="s">
        <v>594</v>
      </c>
      <c r="E22" s="44" t="n">
        <f aca="false">COUNTIF(E5:E19,"Must Have")</f>
        <v>10</v>
      </c>
    </row>
    <row r="23" customFormat="false" ht="15" hidden="false" customHeight="false" outlineLevel="0" collapsed="false">
      <c r="C23" s="44" t="s">
        <v>595</v>
      </c>
      <c r="E23" s="44" t="n">
        <f aca="false">COUNTIF(E5:E19,"Nice to Have")</f>
        <v>5</v>
      </c>
    </row>
    <row r="24" customFormat="false" ht="15" hidden="false" customHeight="false" outlineLevel="0" collapsed="false">
      <c r="C24" s="44" t="s">
        <v>596</v>
      </c>
      <c r="E24" s="83" t="n">
        <f aca="false">IFERROR(COUNTIFS(E5:E19,"Must Have",K5:K19,"Done")/COUNTIF(E5:E19,"Must Have"),0)</f>
        <v>0</v>
      </c>
    </row>
    <row r="25" customFormat="false" ht="15" hidden="false" customHeight="false" outlineLevel="0" collapsed="false">
      <c r="C25" s="44" t="s">
        <v>597</v>
      </c>
      <c r="E25" s="83" t="n">
        <f aca="false">IFERROR(COUNTIF(K5:K19,"Done")/COUNTA(A5:A19),0)</f>
        <v>0</v>
      </c>
    </row>
  </sheetData>
  <mergeCells count="2">
    <mergeCell ref="A1:K1"/>
    <mergeCell ref="A2:K2"/>
  </mergeCells>
  <dataValidations count="1">
    <dataValidation allowBlank="true" errorStyle="stop" operator="between" showDropDown="false" showErrorMessage="false" showInputMessage="false" sqref="K5:K19" type="list">
      <formula1>"Not Started,In Progress,Blocked,In Review,Done"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M7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0"/>
    <col collapsed="false" customWidth="true" hidden="false" outlineLevel="0" max="4" min="4" style="0" width="18"/>
    <col collapsed="false" customWidth="true" hidden="false" outlineLevel="0" max="5" min="5" style="0" width="34"/>
    <col collapsed="false" customWidth="true" hidden="false" outlineLevel="0" max="6" min="6" style="0" width="30"/>
    <col collapsed="false" customWidth="true" hidden="false" outlineLevel="0" max="7" min="7" style="0" width="62"/>
    <col collapsed="false" customWidth="true" hidden="false" outlineLevel="0" max="8" min="8" style="0" width="9"/>
    <col collapsed="false" customWidth="true" hidden="false" outlineLevel="0" max="9" min="9" style="0" width="8"/>
    <col collapsed="false" customWidth="true" hidden="false" outlineLevel="0" max="10" min="10" style="0" width="9"/>
    <col collapsed="false" customWidth="true" hidden="false" outlineLevel="0" max="11" min="11" style="0" width="7"/>
    <col collapsed="false" customWidth="true" hidden="false" outlineLevel="0" max="12" min="12" style="0" width="11"/>
    <col collapsed="false" customWidth="true" hidden="false" outlineLevel="0" max="13" min="13" style="0" width="12"/>
  </cols>
  <sheetData>
    <row r="1" customFormat="false" ht="30" hidden="false" customHeight="true" outlineLevel="0" collapsed="false">
      <c r="A1" s="1" t="s">
        <v>598</v>
      </c>
      <c r="B1" s="1"/>
      <c r="C1" s="1"/>
      <c r="D1" s="1"/>
      <c r="E1" s="1"/>
      <c r="F1" s="1"/>
      <c r="G1" s="1"/>
      <c r="H1" s="1"/>
      <c r="I1" s="1"/>
      <c r="J1" s="1"/>
      <c r="K1" s="1"/>
      <c r="L1" s="1"/>
      <c r="M1" s="1"/>
    </row>
    <row r="2" customFormat="false" ht="19.5" hidden="false" customHeight="true" outlineLevel="0" collapsed="false">
      <c r="A2" s="2" t="s">
        <v>599</v>
      </c>
      <c r="B2" s="2"/>
      <c r="C2" s="2"/>
      <c r="D2" s="2"/>
      <c r="E2" s="2"/>
      <c r="F2" s="2"/>
      <c r="G2" s="2"/>
      <c r="H2" s="2"/>
      <c r="I2" s="2"/>
      <c r="J2" s="2"/>
      <c r="K2" s="2"/>
      <c r="L2" s="2"/>
      <c r="M2" s="2"/>
    </row>
    <row r="4" customFormat="false" ht="36" hidden="false" customHeight="true" outlineLevel="0" collapsed="false">
      <c r="A4" s="53" t="s">
        <v>505</v>
      </c>
      <c r="B4" s="53" t="s">
        <v>600</v>
      </c>
      <c r="C4" s="53" t="s">
        <v>601</v>
      </c>
      <c r="D4" s="53" t="s">
        <v>602</v>
      </c>
      <c r="E4" s="53" t="s">
        <v>603</v>
      </c>
      <c r="F4" s="53" t="s">
        <v>604</v>
      </c>
      <c r="G4" s="53" t="s">
        <v>605</v>
      </c>
      <c r="H4" s="53" t="s">
        <v>606</v>
      </c>
      <c r="I4" s="53" t="s">
        <v>607</v>
      </c>
      <c r="J4" s="53" t="s">
        <v>608</v>
      </c>
      <c r="K4" s="53" t="s">
        <v>511</v>
      </c>
      <c r="L4" s="53" t="s">
        <v>8</v>
      </c>
      <c r="M4" s="53" t="s">
        <v>513</v>
      </c>
    </row>
    <row r="5" customFormat="false" ht="51.75" hidden="false" customHeight="true" outlineLevel="0" collapsed="false">
      <c r="A5" s="79" t="s">
        <v>609</v>
      </c>
      <c r="B5" s="81" t="s">
        <v>514</v>
      </c>
      <c r="C5" s="77" t="s">
        <v>421</v>
      </c>
      <c r="D5" s="77" t="s">
        <v>610</v>
      </c>
      <c r="E5" s="77" t="s">
        <v>611</v>
      </c>
      <c r="F5" s="77" t="s">
        <v>612</v>
      </c>
      <c r="G5" s="77" t="s">
        <v>613</v>
      </c>
      <c r="H5" s="80" t="s">
        <v>614</v>
      </c>
      <c r="I5" s="81" t="n">
        <v>5</v>
      </c>
      <c r="J5" s="81" t="s">
        <v>615</v>
      </c>
      <c r="K5" s="81" t="s">
        <v>40</v>
      </c>
      <c r="L5" s="81" t="s">
        <v>143</v>
      </c>
      <c r="M5" s="81" t="s">
        <v>521</v>
      </c>
    </row>
    <row r="6" customFormat="false" ht="51.75" hidden="false" customHeight="true" outlineLevel="0" collapsed="false">
      <c r="A6" s="79" t="s">
        <v>616</v>
      </c>
      <c r="B6" s="81" t="s">
        <v>514</v>
      </c>
      <c r="C6" s="77" t="s">
        <v>421</v>
      </c>
      <c r="D6" s="77" t="s">
        <v>617</v>
      </c>
      <c r="E6" s="77" t="s">
        <v>618</v>
      </c>
      <c r="F6" s="77" t="s">
        <v>619</v>
      </c>
      <c r="G6" s="77" t="s">
        <v>620</v>
      </c>
      <c r="H6" s="80" t="s">
        <v>614</v>
      </c>
      <c r="I6" s="81" t="n">
        <v>3</v>
      </c>
      <c r="J6" s="81" t="s">
        <v>615</v>
      </c>
      <c r="K6" s="81" t="s">
        <v>40</v>
      </c>
      <c r="L6" s="81" t="s">
        <v>143</v>
      </c>
      <c r="M6" s="81" t="s">
        <v>521</v>
      </c>
    </row>
    <row r="7" customFormat="false" ht="51.75" hidden="false" customHeight="true" outlineLevel="0" collapsed="false">
      <c r="A7" s="79" t="s">
        <v>621</v>
      </c>
      <c r="B7" s="81" t="s">
        <v>514</v>
      </c>
      <c r="C7" s="77" t="s">
        <v>421</v>
      </c>
      <c r="D7" s="77" t="s">
        <v>622</v>
      </c>
      <c r="E7" s="77" t="s">
        <v>623</v>
      </c>
      <c r="F7" s="77" t="s">
        <v>624</v>
      </c>
      <c r="G7" s="77" t="s">
        <v>625</v>
      </c>
      <c r="H7" s="80" t="s">
        <v>614</v>
      </c>
      <c r="I7" s="81" t="n">
        <v>3</v>
      </c>
      <c r="J7" s="81" t="s">
        <v>615</v>
      </c>
      <c r="K7" s="81" t="s">
        <v>40</v>
      </c>
      <c r="L7" s="81" t="s">
        <v>143</v>
      </c>
      <c r="M7" s="81" t="s">
        <v>521</v>
      </c>
    </row>
    <row r="8" customFormat="false" ht="51.75" hidden="false" customHeight="true" outlineLevel="0" collapsed="false">
      <c r="A8" s="79" t="s">
        <v>626</v>
      </c>
      <c r="B8" s="81" t="s">
        <v>522</v>
      </c>
      <c r="C8" s="77" t="s">
        <v>421</v>
      </c>
      <c r="D8" s="77" t="s">
        <v>617</v>
      </c>
      <c r="E8" s="77" t="s">
        <v>627</v>
      </c>
      <c r="F8" s="77" t="s">
        <v>628</v>
      </c>
      <c r="G8" s="77" t="s">
        <v>629</v>
      </c>
      <c r="H8" s="80" t="s">
        <v>614</v>
      </c>
      <c r="I8" s="81" t="n">
        <v>3</v>
      </c>
      <c r="J8" s="81" t="s">
        <v>615</v>
      </c>
      <c r="K8" s="81" t="s">
        <v>40</v>
      </c>
      <c r="L8" s="81" t="s">
        <v>143</v>
      </c>
      <c r="M8" s="81" t="s">
        <v>521</v>
      </c>
    </row>
    <row r="9" customFormat="false" ht="51.75" hidden="false" customHeight="true" outlineLevel="0" collapsed="false">
      <c r="A9" s="79" t="s">
        <v>630</v>
      </c>
      <c r="B9" s="81" t="s">
        <v>522</v>
      </c>
      <c r="C9" s="77" t="s">
        <v>421</v>
      </c>
      <c r="D9" s="77" t="s">
        <v>617</v>
      </c>
      <c r="E9" s="77" t="s">
        <v>631</v>
      </c>
      <c r="F9" s="77" t="s">
        <v>632</v>
      </c>
      <c r="G9" s="77" t="s">
        <v>633</v>
      </c>
      <c r="H9" s="80" t="s">
        <v>614</v>
      </c>
      <c r="I9" s="81" t="n">
        <v>3</v>
      </c>
      <c r="J9" s="81" t="s">
        <v>615</v>
      </c>
      <c r="K9" s="81" t="s">
        <v>41</v>
      </c>
      <c r="L9" s="81" t="s">
        <v>143</v>
      </c>
      <c r="M9" s="81" t="s">
        <v>521</v>
      </c>
    </row>
    <row r="10" customFormat="false" ht="51.75" hidden="false" customHeight="true" outlineLevel="0" collapsed="false">
      <c r="A10" s="79" t="s">
        <v>634</v>
      </c>
      <c r="B10" s="81" t="s">
        <v>527</v>
      </c>
      <c r="C10" s="77" t="s">
        <v>404</v>
      </c>
      <c r="D10" s="77" t="s">
        <v>635</v>
      </c>
      <c r="E10" s="77" t="s">
        <v>636</v>
      </c>
      <c r="F10" s="77" t="s">
        <v>637</v>
      </c>
      <c r="G10" s="77" t="s">
        <v>638</v>
      </c>
      <c r="H10" s="80" t="s">
        <v>614</v>
      </c>
      <c r="I10" s="81" t="n">
        <v>5</v>
      </c>
      <c r="J10" s="81" t="s">
        <v>615</v>
      </c>
      <c r="K10" s="81" t="s">
        <v>41</v>
      </c>
      <c r="L10" s="81" t="s">
        <v>109</v>
      </c>
      <c r="M10" s="81" t="s">
        <v>521</v>
      </c>
    </row>
    <row r="11" customFormat="false" ht="51.75" hidden="false" customHeight="true" outlineLevel="0" collapsed="false">
      <c r="A11" s="79" t="s">
        <v>639</v>
      </c>
      <c r="B11" s="81" t="s">
        <v>527</v>
      </c>
      <c r="C11" s="77" t="s">
        <v>404</v>
      </c>
      <c r="D11" s="77" t="s">
        <v>635</v>
      </c>
      <c r="E11" s="77" t="s">
        <v>640</v>
      </c>
      <c r="F11" s="77" t="s">
        <v>641</v>
      </c>
      <c r="G11" s="77" t="s">
        <v>642</v>
      </c>
      <c r="H11" s="80" t="s">
        <v>614</v>
      </c>
      <c r="I11" s="81" t="n">
        <v>3</v>
      </c>
      <c r="J11" s="81" t="s">
        <v>615</v>
      </c>
      <c r="K11" s="81" t="s">
        <v>41</v>
      </c>
      <c r="L11" s="81" t="s">
        <v>109</v>
      </c>
      <c r="M11" s="81" t="s">
        <v>521</v>
      </c>
    </row>
    <row r="12" customFormat="false" ht="51.75" hidden="false" customHeight="true" outlineLevel="0" collapsed="false">
      <c r="A12" s="79" t="s">
        <v>643</v>
      </c>
      <c r="B12" s="81" t="s">
        <v>527</v>
      </c>
      <c r="C12" s="77" t="s">
        <v>404</v>
      </c>
      <c r="D12" s="77" t="s">
        <v>635</v>
      </c>
      <c r="E12" s="77" t="s">
        <v>644</v>
      </c>
      <c r="F12" s="77" t="s">
        <v>645</v>
      </c>
      <c r="G12" s="77" t="s">
        <v>646</v>
      </c>
      <c r="H12" s="80" t="s">
        <v>614</v>
      </c>
      <c r="I12" s="81" t="n">
        <v>5</v>
      </c>
      <c r="J12" s="81" t="s">
        <v>647</v>
      </c>
      <c r="K12" s="81" t="s">
        <v>42</v>
      </c>
      <c r="L12" s="81" t="s">
        <v>109</v>
      </c>
      <c r="M12" s="81" t="s">
        <v>521</v>
      </c>
    </row>
    <row r="13" customFormat="false" ht="51.75" hidden="false" customHeight="true" outlineLevel="0" collapsed="false">
      <c r="A13" s="79" t="s">
        <v>648</v>
      </c>
      <c r="B13" s="81" t="s">
        <v>527</v>
      </c>
      <c r="C13" s="77" t="s">
        <v>404</v>
      </c>
      <c r="D13" s="77" t="s">
        <v>635</v>
      </c>
      <c r="E13" s="77" t="s">
        <v>649</v>
      </c>
      <c r="F13" s="77" t="s">
        <v>650</v>
      </c>
      <c r="G13" s="77" t="s">
        <v>651</v>
      </c>
      <c r="H13" s="82" t="s">
        <v>652</v>
      </c>
      <c r="I13" s="81" t="n">
        <v>3</v>
      </c>
      <c r="J13" s="81" t="s">
        <v>647</v>
      </c>
      <c r="K13" s="81" t="s">
        <v>42</v>
      </c>
      <c r="L13" s="81" t="s">
        <v>148</v>
      </c>
      <c r="M13" s="81" t="s">
        <v>521</v>
      </c>
    </row>
    <row r="14" customFormat="false" ht="51.75" hidden="false" customHeight="true" outlineLevel="0" collapsed="false">
      <c r="A14" s="79" t="s">
        <v>653</v>
      </c>
      <c r="B14" s="81" t="s">
        <v>532</v>
      </c>
      <c r="C14" s="77" t="s">
        <v>404</v>
      </c>
      <c r="D14" s="77" t="s">
        <v>622</v>
      </c>
      <c r="E14" s="77" t="s">
        <v>654</v>
      </c>
      <c r="F14" s="77" t="s">
        <v>655</v>
      </c>
      <c r="G14" s="77" t="s">
        <v>656</v>
      </c>
      <c r="H14" s="80" t="s">
        <v>614</v>
      </c>
      <c r="I14" s="81" t="n">
        <v>2</v>
      </c>
      <c r="J14" s="81" t="s">
        <v>647</v>
      </c>
      <c r="K14" s="81" t="s">
        <v>42</v>
      </c>
      <c r="L14" s="81" t="s">
        <v>109</v>
      </c>
      <c r="M14" s="81" t="s">
        <v>521</v>
      </c>
    </row>
    <row r="15" customFormat="false" ht="51.75" hidden="false" customHeight="true" outlineLevel="0" collapsed="false">
      <c r="A15" s="79" t="s">
        <v>657</v>
      </c>
      <c r="B15" s="81" t="s">
        <v>532</v>
      </c>
      <c r="C15" s="77" t="s">
        <v>404</v>
      </c>
      <c r="D15" s="77" t="s">
        <v>622</v>
      </c>
      <c r="E15" s="77" t="s">
        <v>658</v>
      </c>
      <c r="F15" s="77" t="s">
        <v>659</v>
      </c>
      <c r="G15" s="77" t="s">
        <v>660</v>
      </c>
      <c r="H15" s="80" t="s">
        <v>614</v>
      </c>
      <c r="I15" s="81" t="n">
        <v>5</v>
      </c>
      <c r="J15" s="81" t="s">
        <v>647</v>
      </c>
      <c r="K15" s="81" t="s">
        <v>42</v>
      </c>
      <c r="L15" s="81" t="s">
        <v>109</v>
      </c>
      <c r="M15" s="81" t="s">
        <v>521</v>
      </c>
    </row>
    <row r="16" customFormat="false" ht="51.75" hidden="false" customHeight="true" outlineLevel="0" collapsed="false">
      <c r="A16" s="79" t="s">
        <v>661</v>
      </c>
      <c r="B16" s="81" t="s">
        <v>532</v>
      </c>
      <c r="C16" s="77" t="s">
        <v>404</v>
      </c>
      <c r="D16" s="77" t="s">
        <v>662</v>
      </c>
      <c r="E16" s="77" t="s">
        <v>663</v>
      </c>
      <c r="F16" s="77" t="s">
        <v>664</v>
      </c>
      <c r="G16" s="77" t="s">
        <v>665</v>
      </c>
      <c r="H16" s="82" t="s">
        <v>652</v>
      </c>
      <c r="I16" s="81" t="n">
        <v>3</v>
      </c>
      <c r="J16" s="81" t="s">
        <v>647</v>
      </c>
      <c r="K16" s="81" t="s">
        <v>42</v>
      </c>
      <c r="L16" s="81" t="s">
        <v>109</v>
      </c>
      <c r="M16" s="81" t="s">
        <v>521</v>
      </c>
    </row>
    <row r="17" customFormat="false" ht="51.75" hidden="false" customHeight="true" outlineLevel="0" collapsed="false">
      <c r="A17" s="79" t="s">
        <v>666</v>
      </c>
      <c r="B17" s="81" t="s">
        <v>532</v>
      </c>
      <c r="C17" s="77" t="s">
        <v>404</v>
      </c>
      <c r="D17" s="77" t="s">
        <v>622</v>
      </c>
      <c r="E17" s="77" t="s">
        <v>667</v>
      </c>
      <c r="F17" s="77" t="s">
        <v>668</v>
      </c>
      <c r="G17" s="77" t="s">
        <v>669</v>
      </c>
      <c r="H17" s="80" t="s">
        <v>614</v>
      </c>
      <c r="I17" s="81" t="n">
        <v>5</v>
      </c>
      <c r="J17" s="81" t="s">
        <v>647</v>
      </c>
      <c r="K17" s="81" t="s">
        <v>42</v>
      </c>
      <c r="L17" s="81" t="s">
        <v>109</v>
      </c>
      <c r="M17" s="81" t="s">
        <v>521</v>
      </c>
    </row>
    <row r="18" customFormat="false" ht="51.75" hidden="false" customHeight="true" outlineLevel="0" collapsed="false">
      <c r="A18" s="79" t="s">
        <v>670</v>
      </c>
      <c r="B18" s="81" t="s">
        <v>532</v>
      </c>
      <c r="C18" s="77" t="s">
        <v>404</v>
      </c>
      <c r="D18" s="77" t="s">
        <v>635</v>
      </c>
      <c r="E18" s="77" t="s">
        <v>671</v>
      </c>
      <c r="F18" s="77" t="s">
        <v>672</v>
      </c>
      <c r="G18" s="77" t="s">
        <v>673</v>
      </c>
      <c r="H18" s="80" t="s">
        <v>614</v>
      </c>
      <c r="I18" s="81" t="n">
        <v>3</v>
      </c>
      <c r="J18" s="81" t="s">
        <v>647</v>
      </c>
      <c r="K18" s="81" t="s">
        <v>43</v>
      </c>
      <c r="L18" s="81" t="s">
        <v>148</v>
      </c>
      <c r="M18" s="81" t="s">
        <v>521</v>
      </c>
    </row>
    <row r="19" customFormat="false" ht="51.75" hidden="false" customHeight="true" outlineLevel="0" collapsed="false">
      <c r="A19" s="79" t="s">
        <v>674</v>
      </c>
      <c r="B19" s="81" t="s">
        <v>542</v>
      </c>
      <c r="C19" s="77" t="s">
        <v>411</v>
      </c>
      <c r="D19" s="77" t="s">
        <v>675</v>
      </c>
      <c r="E19" s="77" t="s">
        <v>676</v>
      </c>
      <c r="F19" s="77" t="s">
        <v>677</v>
      </c>
      <c r="G19" s="77" t="s">
        <v>678</v>
      </c>
      <c r="H19" s="80" t="s">
        <v>614</v>
      </c>
      <c r="I19" s="81" t="n">
        <v>5</v>
      </c>
      <c r="J19" s="81" t="s">
        <v>647</v>
      </c>
      <c r="K19" s="81" t="s">
        <v>43</v>
      </c>
      <c r="L19" s="81" t="s">
        <v>143</v>
      </c>
      <c r="M19" s="81" t="s">
        <v>521</v>
      </c>
    </row>
    <row r="20" customFormat="false" ht="51.75" hidden="false" customHeight="true" outlineLevel="0" collapsed="false">
      <c r="A20" s="79" t="s">
        <v>679</v>
      </c>
      <c r="B20" s="81" t="s">
        <v>542</v>
      </c>
      <c r="C20" s="77" t="s">
        <v>411</v>
      </c>
      <c r="D20" s="77" t="s">
        <v>617</v>
      </c>
      <c r="E20" s="77" t="s">
        <v>680</v>
      </c>
      <c r="F20" s="77" t="s">
        <v>681</v>
      </c>
      <c r="G20" s="77" t="s">
        <v>682</v>
      </c>
      <c r="H20" s="80" t="s">
        <v>614</v>
      </c>
      <c r="I20" s="81" t="n">
        <v>5</v>
      </c>
      <c r="J20" s="81" t="s">
        <v>647</v>
      </c>
      <c r="K20" s="81" t="s">
        <v>43</v>
      </c>
      <c r="L20" s="81" t="s">
        <v>143</v>
      </c>
      <c r="M20" s="81" t="s">
        <v>521</v>
      </c>
    </row>
    <row r="21" customFormat="false" ht="51.75" hidden="false" customHeight="true" outlineLevel="0" collapsed="false">
      <c r="A21" s="79" t="s">
        <v>683</v>
      </c>
      <c r="B21" s="81" t="s">
        <v>542</v>
      </c>
      <c r="C21" s="77" t="s">
        <v>411</v>
      </c>
      <c r="D21" s="77" t="s">
        <v>635</v>
      </c>
      <c r="E21" s="77" t="s">
        <v>684</v>
      </c>
      <c r="F21" s="77" t="s">
        <v>685</v>
      </c>
      <c r="G21" s="77" t="s">
        <v>686</v>
      </c>
      <c r="H21" s="80" t="s">
        <v>614</v>
      </c>
      <c r="I21" s="81" t="n">
        <v>5</v>
      </c>
      <c r="J21" s="81" t="s">
        <v>647</v>
      </c>
      <c r="K21" s="81" t="s">
        <v>43</v>
      </c>
      <c r="L21" s="81" t="s">
        <v>143</v>
      </c>
      <c r="M21" s="81" t="s">
        <v>521</v>
      </c>
    </row>
    <row r="22" customFormat="false" ht="51.75" hidden="false" customHeight="true" outlineLevel="0" collapsed="false">
      <c r="A22" s="79" t="s">
        <v>687</v>
      </c>
      <c r="B22" s="81" t="s">
        <v>542</v>
      </c>
      <c r="C22" s="77" t="s">
        <v>411</v>
      </c>
      <c r="D22" s="77" t="s">
        <v>622</v>
      </c>
      <c r="E22" s="77" t="s">
        <v>688</v>
      </c>
      <c r="F22" s="77" t="s">
        <v>689</v>
      </c>
      <c r="G22" s="77" t="s">
        <v>690</v>
      </c>
      <c r="H22" s="80" t="s">
        <v>614</v>
      </c>
      <c r="I22" s="81" t="n">
        <v>3</v>
      </c>
      <c r="J22" s="81" t="s">
        <v>647</v>
      </c>
      <c r="K22" s="81" t="s">
        <v>43</v>
      </c>
      <c r="L22" s="81" t="s">
        <v>143</v>
      </c>
      <c r="M22" s="81" t="s">
        <v>521</v>
      </c>
    </row>
    <row r="23" customFormat="false" ht="51.75" hidden="false" customHeight="true" outlineLevel="0" collapsed="false">
      <c r="A23" s="79" t="s">
        <v>691</v>
      </c>
      <c r="B23" s="81" t="s">
        <v>584</v>
      </c>
      <c r="C23" s="77" t="s">
        <v>411</v>
      </c>
      <c r="D23" s="77" t="s">
        <v>662</v>
      </c>
      <c r="E23" s="77" t="s">
        <v>692</v>
      </c>
      <c r="F23" s="77" t="s">
        <v>693</v>
      </c>
      <c r="G23" s="77" t="s">
        <v>694</v>
      </c>
      <c r="H23" s="80" t="s">
        <v>614</v>
      </c>
      <c r="I23" s="81" t="n">
        <v>3</v>
      </c>
      <c r="J23" s="81" t="s">
        <v>695</v>
      </c>
      <c r="K23" s="81" t="s">
        <v>43</v>
      </c>
      <c r="L23" s="81" t="s">
        <v>143</v>
      </c>
      <c r="M23" s="81" t="s">
        <v>521</v>
      </c>
    </row>
    <row r="24" customFormat="false" ht="51.75" hidden="false" customHeight="true" outlineLevel="0" collapsed="false">
      <c r="A24" s="79" t="s">
        <v>696</v>
      </c>
      <c r="B24" s="81" t="s">
        <v>547</v>
      </c>
      <c r="C24" s="77" t="s">
        <v>411</v>
      </c>
      <c r="D24" s="77" t="s">
        <v>622</v>
      </c>
      <c r="E24" s="77" t="s">
        <v>697</v>
      </c>
      <c r="F24" s="77" t="s">
        <v>698</v>
      </c>
      <c r="G24" s="77" t="s">
        <v>699</v>
      </c>
      <c r="H24" s="80" t="s">
        <v>614</v>
      </c>
      <c r="I24" s="81" t="n">
        <v>8</v>
      </c>
      <c r="J24" s="81" t="s">
        <v>695</v>
      </c>
      <c r="K24" s="81" t="s">
        <v>43</v>
      </c>
      <c r="L24" s="81" t="s">
        <v>109</v>
      </c>
      <c r="M24" s="81" t="s">
        <v>521</v>
      </c>
    </row>
    <row r="25" customFormat="false" ht="51.75" hidden="false" customHeight="true" outlineLevel="0" collapsed="false">
      <c r="A25" s="79" t="s">
        <v>700</v>
      </c>
      <c r="B25" s="81" t="s">
        <v>547</v>
      </c>
      <c r="C25" s="77" t="s">
        <v>411</v>
      </c>
      <c r="D25" s="77" t="s">
        <v>622</v>
      </c>
      <c r="E25" s="77" t="s">
        <v>701</v>
      </c>
      <c r="F25" s="77" t="s">
        <v>702</v>
      </c>
      <c r="G25" s="77" t="s">
        <v>703</v>
      </c>
      <c r="H25" s="80" t="s">
        <v>614</v>
      </c>
      <c r="I25" s="81" t="n">
        <v>8</v>
      </c>
      <c r="J25" s="81" t="s">
        <v>695</v>
      </c>
      <c r="K25" s="81" t="s">
        <v>43</v>
      </c>
      <c r="L25" s="81" t="s">
        <v>109</v>
      </c>
      <c r="M25" s="81" t="s">
        <v>521</v>
      </c>
    </row>
    <row r="26" customFormat="false" ht="51.75" hidden="false" customHeight="true" outlineLevel="0" collapsed="false">
      <c r="A26" s="79" t="s">
        <v>704</v>
      </c>
      <c r="B26" s="81" t="s">
        <v>547</v>
      </c>
      <c r="C26" s="77" t="s">
        <v>411</v>
      </c>
      <c r="D26" s="77" t="s">
        <v>622</v>
      </c>
      <c r="E26" s="77" t="s">
        <v>705</v>
      </c>
      <c r="F26" s="77" t="s">
        <v>706</v>
      </c>
      <c r="G26" s="77" t="s">
        <v>707</v>
      </c>
      <c r="H26" s="80" t="s">
        <v>614</v>
      </c>
      <c r="I26" s="81" t="n">
        <v>13</v>
      </c>
      <c r="J26" s="81" t="s">
        <v>695</v>
      </c>
      <c r="K26" s="81" t="s">
        <v>44</v>
      </c>
      <c r="L26" s="81" t="s">
        <v>109</v>
      </c>
      <c r="M26" s="81" t="s">
        <v>521</v>
      </c>
    </row>
    <row r="27" customFormat="false" ht="51.75" hidden="false" customHeight="true" outlineLevel="0" collapsed="false">
      <c r="A27" s="79" t="s">
        <v>708</v>
      </c>
      <c r="B27" s="81" t="s">
        <v>547</v>
      </c>
      <c r="C27" s="77" t="s">
        <v>411</v>
      </c>
      <c r="D27" s="77" t="s">
        <v>622</v>
      </c>
      <c r="E27" s="77" t="s">
        <v>709</v>
      </c>
      <c r="F27" s="77" t="s">
        <v>710</v>
      </c>
      <c r="G27" s="77" t="s">
        <v>711</v>
      </c>
      <c r="H27" s="80" t="s">
        <v>614</v>
      </c>
      <c r="I27" s="81" t="n">
        <v>8</v>
      </c>
      <c r="J27" s="81" t="s">
        <v>695</v>
      </c>
      <c r="K27" s="81" t="s">
        <v>44</v>
      </c>
      <c r="L27" s="81" t="s">
        <v>109</v>
      </c>
      <c r="M27" s="81" t="s">
        <v>521</v>
      </c>
    </row>
    <row r="28" customFormat="false" ht="51.75" hidden="false" customHeight="true" outlineLevel="0" collapsed="false">
      <c r="A28" s="79" t="s">
        <v>712</v>
      </c>
      <c r="B28" s="81" t="s">
        <v>547</v>
      </c>
      <c r="C28" s="77" t="s">
        <v>411</v>
      </c>
      <c r="D28" s="77" t="s">
        <v>622</v>
      </c>
      <c r="E28" s="77" t="s">
        <v>713</v>
      </c>
      <c r="F28" s="77" t="s">
        <v>714</v>
      </c>
      <c r="G28" s="77" t="s">
        <v>715</v>
      </c>
      <c r="H28" s="80" t="s">
        <v>614</v>
      </c>
      <c r="I28" s="81" t="n">
        <v>5</v>
      </c>
      <c r="J28" s="81" t="s">
        <v>695</v>
      </c>
      <c r="K28" s="81" t="s">
        <v>44</v>
      </c>
      <c r="L28" s="81" t="s">
        <v>109</v>
      </c>
      <c r="M28" s="81" t="s">
        <v>521</v>
      </c>
    </row>
    <row r="29" customFormat="false" ht="51.75" hidden="false" customHeight="true" outlineLevel="0" collapsed="false">
      <c r="A29" s="79" t="s">
        <v>716</v>
      </c>
      <c r="B29" s="81" t="s">
        <v>579</v>
      </c>
      <c r="C29" s="77" t="s">
        <v>411</v>
      </c>
      <c r="D29" s="77" t="s">
        <v>717</v>
      </c>
      <c r="E29" s="77" t="s">
        <v>718</v>
      </c>
      <c r="F29" s="77" t="s">
        <v>719</v>
      </c>
      <c r="G29" s="77" t="s">
        <v>720</v>
      </c>
      <c r="H29" s="80" t="s">
        <v>614</v>
      </c>
      <c r="I29" s="81" t="n">
        <v>8</v>
      </c>
      <c r="J29" s="81" t="s">
        <v>721</v>
      </c>
      <c r="K29" s="81" t="s">
        <v>46</v>
      </c>
      <c r="L29" s="81" t="s">
        <v>109</v>
      </c>
      <c r="M29" s="81" t="s">
        <v>521</v>
      </c>
    </row>
    <row r="30" customFormat="false" ht="51.75" hidden="false" customHeight="true" outlineLevel="0" collapsed="false">
      <c r="A30" s="79" t="s">
        <v>722</v>
      </c>
      <c r="B30" s="81" t="s">
        <v>554</v>
      </c>
      <c r="C30" s="77" t="s">
        <v>411</v>
      </c>
      <c r="D30" s="77" t="s">
        <v>662</v>
      </c>
      <c r="E30" s="77" t="s">
        <v>723</v>
      </c>
      <c r="F30" s="77" t="s">
        <v>724</v>
      </c>
      <c r="G30" s="77" t="s">
        <v>725</v>
      </c>
      <c r="H30" s="82" t="s">
        <v>652</v>
      </c>
      <c r="I30" s="81" t="n">
        <v>5</v>
      </c>
      <c r="J30" s="81" t="s">
        <v>721</v>
      </c>
      <c r="K30" s="81" t="s">
        <v>45</v>
      </c>
      <c r="L30" s="81" t="s">
        <v>148</v>
      </c>
      <c r="M30" s="81" t="s">
        <v>521</v>
      </c>
    </row>
    <row r="31" customFormat="false" ht="51.75" hidden="false" customHeight="true" outlineLevel="0" collapsed="false">
      <c r="A31" s="79" t="s">
        <v>726</v>
      </c>
      <c r="B31" s="81" t="s">
        <v>554</v>
      </c>
      <c r="C31" s="77" t="s">
        <v>411</v>
      </c>
      <c r="D31" s="77" t="s">
        <v>662</v>
      </c>
      <c r="E31" s="77" t="s">
        <v>727</v>
      </c>
      <c r="F31" s="77" t="s">
        <v>728</v>
      </c>
      <c r="G31" s="77" t="s">
        <v>729</v>
      </c>
      <c r="H31" s="82" t="s">
        <v>652</v>
      </c>
      <c r="I31" s="81" t="n">
        <v>5</v>
      </c>
      <c r="J31" s="81" t="s">
        <v>721</v>
      </c>
      <c r="K31" s="81" t="s">
        <v>45</v>
      </c>
      <c r="L31" s="81" t="s">
        <v>148</v>
      </c>
      <c r="M31" s="81" t="s">
        <v>521</v>
      </c>
    </row>
    <row r="32" customFormat="false" ht="51.75" hidden="false" customHeight="true" outlineLevel="0" collapsed="false">
      <c r="A32" s="79" t="s">
        <v>730</v>
      </c>
      <c r="B32" s="81" t="s">
        <v>554</v>
      </c>
      <c r="C32" s="77" t="s">
        <v>411</v>
      </c>
      <c r="D32" s="77" t="s">
        <v>662</v>
      </c>
      <c r="E32" s="77" t="s">
        <v>731</v>
      </c>
      <c r="F32" s="77" t="s">
        <v>732</v>
      </c>
      <c r="G32" s="77" t="s">
        <v>733</v>
      </c>
      <c r="H32" s="82" t="s">
        <v>652</v>
      </c>
      <c r="I32" s="81" t="n">
        <v>3</v>
      </c>
      <c r="J32" s="81" t="s">
        <v>721</v>
      </c>
      <c r="K32" s="81" t="s">
        <v>46</v>
      </c>
      <c r="L32" s="81" t="s">
        <v>148</v>
      </c>
      <c r="M32" s="81" t="s">
        <v>521</v>
      </c>
    </row>
    <row r="33" customFormat="false" ht="51.75" hidden="false" customHeight="true" outlineLevel="0" collapsed="false">
      <c r="A33" s="79" t="s">
        <v>734</v>
      </c>
      <c r="B33" s="81" t="s">
        <v>554</v>
      </c>
      <c r="C33" s="77" t="s">
        <v>411</v>
      </c>
      <c r="D33" s="77" t="s">
        <v>717</v>
      </c>
      <c r="E33" s="77" t="s">
        <v>735</v>
      </c>
      <c r="F33" s="77" t="s">
        <v>736</v>
      </c>
      <c r="G33" s="77" t="s">
        <v>737</v>
      </c>
      <c r="H33" s="82" t="s">
        <v>652</v>
      </c>
      <c r="I33" s="81" t="n">
        <v>5</v>
      </c>
      <c r="J33" s="81" t="s">
        <v>721</v>
      </c>
      <c r="K33" s="81" t="s">
        <v>45</v>
      </c>
      <c r="L33" s="81" t="s">
        <v>143</v>
      </c>
      <c r="M33" s="81" t="s">
        <v>521</v>
      </c>
    </row>
    <row r="34" customFormat="false" ht="51.75" hidden="false" customHeight="true" outlineLevel="0" collapsed="false">
      <c r="A34" s="79" t="s">
        <v>738</v>
      </c>
      <c r="B34" s="81" t="s">
        <v>560</v>
      </c>
      <c r="C34" s="77" t="s">
        <v>415</v>
      </c>
      <c r="D34" s="77" t="s">
        <v>675</v>
      </c>
      <c r="E34" s="77" t="s">
        <v>739</v>
      </c>
      <c r="F34" s="77" t="s">
        <v>740</v>
      </c>
      <c r="G34" s="77" t="s">
        <v>741</v>
      </c>
      <c r="H34" s="80" t="s">
        <v>614</v>
      </c>
      <c r="I34" s="81" t="n">
        <v>8</v>
      </c>
      <c r="J34" s="81" t="s">
        <v>647</v>
      </c>
      <c r="K34" s="81" t="s">
        <v>42</v>
      </c>
      <c r="L34" s="81" t="s">
        <v>118</v>
      </c>
      <c r="M34" s="81" t="s">
        <v>521</v>
      </c>
    </row>
    <row r="35" customFormat="false" ht="51.75" hidden="false" customHeight="true" outlineLevel="0" collapsed="false">
      <c r="A35" s="79" t="s">
        <v>742</v>
      </c>
      <c r="B35" s="81" t="s">
        <v>560</v>
      </c>
      <c r="C35" s="77" t="s">
        <v>415</v>
      </c>
      <c r="D35" s="77" t="s">
        <v>675</v>
      </c>
      <c r="E35" s="77" t="s">
        <v>743</v>
      </c>
      <c r="F35" s="77" t="s">
        <v>744</v>
      </c>
      <c r="G35" s="77" t="s">
        <v>745</v>
      </c>
      <c r="H35" s="80" t="s">
        <v>614</v>
      </c>
      <c r="I35" s="81" t="n">
        <v>8</v>
      </c>
      <c r="J35" s="81" t="s">
        <v>695</v>
      </c>
      <c r="K35" s="81" t="s">
        <v>43</v>
      </c>
      <c r="L35" s="81" t="s">
        <v>118</v>
      </c>
      <c r="M35" s="81" t="s">
        <v>521</v>
      </c>
    </row>
    <row r="36" customFormat="false" ht="51.75" hidden="false" customHeight="true" outlineLevel="0" collapsed="false">
      <c r="A36" s="79" t="s">
        <v>746</v>
      </c>
      <c r="B36" s="81" t="s">
        <v>560</v>
      </c>
      <c r="C36" s="77" t="s">
        <v>415</v>
      </c>
      <c r="D36" s="77" t="s">
        <v>747</v>
      </c>
      <c r="E36" s="77" t="s">
        <v>748</v>
      </c>
      <c r="F36" s="77" t="s">
        <v>749</v>
      </c>
      <c r="G36" s="77" t="s">
        <v>750</v>
      </c>
      <c r="H36" s="80" t="s">
        <v>614</v>
      </c>
      <c r="I36" s="81" t="n">
        <v>5</v>
      </c>
      <c r="J36" s="81" t="s">
        <v>695</v>
      </c>
      <c r="K36" s="81" t="s">
        <v>43</v>
      </c>
      <c r="L36" s="81" t="s">
        <v>118</v>
      </c>
      <c r="M36" s="81" t="s">
        <v>521</v>
      </c>
    </row>
    <row r="37" customFormat="false" ht="51.75" hidden="false" customHeight="true" outlineLevel="0" collapsed="false">
      <c r="A37" s="79" t="s">
        <v>751</v>
      </c>
      <c r="B37" s="81" t="s">
        <v>560</v>
      </c>
      <c r="C37" s="77" t="s">
        <v>415</v>
      </c>
      <c r="D37" s="77" t="s">
        <v>747</v>
      </c>
      <c r="E37" s="77" t="s">
        <v>752</v>
      </c>
      <c r="F37" s="77" t="s">
        <v>753</v>
      </c>
      <c r="G37" s="77" t="s">
        <v>754</v>
      </c>
      <c r="H37" s="80" t="s">
        <v>614</v>
      </c>
      <c r="I37" s="81" t="n">
        <v>13</v>
      </c>
      <c r="J37" s="81" t="s">
        <v>755</v>
      </c>
      <c r="K37" s="81" t="s">
        <v>44</v>
      </c>
      <c r="L37" s="81" t="s">
        <v>118</v>
      </c>
      <c r="M37" s="81" t="s">
        <v>521</v>
      </c>
    </row>
    <row r="38" customFormat="false" ht="51.75" hidden="false" customHeight="true" outlineLevel="0" collapsed="false">
      <c r="A38" s="79" t="s">
        <v>756</v>
      </c>
      <c r="B38" s="81" t="s">
        <v>560</v>
      </c>
      <c r="C38" s="77" t="s">
        <v>415</v>
      </c>
      <c r="D38" s="77" t="s">
        <v>675</v>
      </c>
      <c r="E38" s="77" t="s">
        <v>757</v>
      </c>
      <c r="F38" s="77" t="s">
        <v>758</v>
      </c>
      <c r="G38" s="77" t="s">
        <v>759</v>
      </c>
      <c r="H38" s="80" t="s">
        <v>614</v>
      </c>
      <c r="I38" s="81" t="n">
        <v>5</v>
      </c>
      <c r="J38" s="81" t="s">
        <v>755</v>
      </c>
      <c r="K38" s="81" t="s">
        <v>44</v>
      </c>
      <c r="L38" s="81" t="s">
        <v>151</v>
      </c>
      <c r="M38" s="81" t="s">
        <v>521</v>
      </c>
    </row>
    <row r="39" customFormat="false" ht="51.75" hidden="false" customHeight="true" outlineLevel="0" collapsed="false">
      <c r="A39" s="79" t="s">
        <v>760</v>
      </c>
      <c r="B39" s="81" t="s">
        <v>560</v>
      </c>
      <c r="C39" s="77" t="s">
        <v>415</v>
      </c>
      <c r="D39" s="77" t="s">
        <v>675</v>
      </c>
      <c r="E39" s="77" t="s">
        <v>761</v>
      </c>
      <c r="F39" s="77" t="s">
        <v>762</v>
      </c>
      <c r="G39" s="77" t="s">
        <v>763</v>
      </c>
      <c r="H39" s="80" t="s">
        <v>614</v>
      </c>
      <c r="I39" s="81" t="n">
        <v>3</v>
      </c>
      <c r="J39" s="81" t="s">
        <v>695</v>
      </c>
      <c r="K39" s="81" t="s">
        <v>43</v>
      </c>
      <c r="L39" s="81" t="s">
        <v>151</v>
      </c>
      <c r="M39" s="81" t="s">
        <v>521</v>
      </c>
    </row>
    <row r="40" customFormat="false" ht="51.75" hidden="false" customHeight="true" outlineLevel="0" collapsed="false">
      <c r="A40" s="79" t="s">
        <v>764</v>
      </c>
      <c r="B40" s="81" t="s">
        <v>560</v>
      </c>
      <c r="C40" s="77" t="s">
        <v>415</v>
      </c>
      <c r="D40" s="77" t="s">
        <v>675</v>
      </c>
      <c r="E40" s="77" t="s">
        <v>765</v>
      </c>
      <c r="F40" s="77" t="s">
        <v>766</v>
      </c>
      <c r="G40" s="77" t="s">
        <v>767</v>
      </c>
      <c r="H40" s="80" t="s">
        <v>614</v>
      </c>
      <c r="I40" s="81" t="n">
        <v>3</v>
      </c>
      <c r="J40" s="81" t="s">
        <v>695</v>
      </c>
      <c r="K40" s="81" t="s">
        <v>43</v>
      </c>
      <c r="L40" s="81" t="s">
        <v>151</v>
      </c>
      <c r="M40" s="81" t="s">
        <v>521</v>
      </c>
    </row>
    <row r="41" customFormat="false" ht="51.75" hidden="false" customHeight="true" outlineLevel="0" collapsed="false">
      <c r="A41" s="79" t="s">
        <v>768</v>
      </c>
      <c r="B41" s="81" t="s">
        <v>565</v>
      </c>
      <c r="C41" s="77" t="s">
        <v>415</v>
      </c>
      <c r="D41" s="77" t="s">
        <v>769</v>
      </c>
      <c r="E41" s="77" t="s">
        <v>770</v>
      </c>
      <c r="F41" s="77" t="s">
        <v>771</v>
      </c>
      <c r="G41" s="77" t="s">
        <v>772</v>
      </c>
      <c r="H41" s="82" t="s">
        <v>652</v>
      </c>
      <c r="I41" s="81" t="n">
        <v>3</v>
      </c>
      <c r="J41" s="81" t="s">
        <v>721</v>
      </c>
      <c r="K41" s="81" t="s">
        <v>45</v>
      </c>
      <c r="L41" s="81" t="s">
        <v>151</v>
      </c>
      <c r="M41" s="81" t="s">
        <v>521</v>
      </c>
    </row>
    <row r="42" customFormat="false" ht="51.75" hidden="false" customHeight="true" outlineLevel="0" collapsed="false">
      <c r="A42" s="79" t="s">
        <v>773</v>
      </c>
      <c r="B42" s="81" t="s">
        <v>565</v>
      </c>
      <c r="C42" s="77" t="s">
        <v>415</v>
      </c>
      <c r="D42" s="77" t="s">
        <v>769</v>
      </c>
      <c r="E42" s="77" t="s">
        <v>774</v>
      </c>
      <c r="F42" s="77" t="s">
        <v>775</v>
      </c>
      <c r="G42" s="77" t="s">
        <v>776</v>
      </c>
      <c r="H42" s="82" t="s">
        <v>652</v>
      </c>
      <c r="I42" s="81" t="n">
        <v>8</v>
      </c>
      <c r="J42" s="81" t="s">
        <v>721</v>
      </c>
      <c r="K42" s="81" t="s">
        <v>45</v>
      </c>
      <c r="L42" s="81" t="s">
        <v>151</v>
      </c>
      <c r="M42" s="81" t="s">
        <v>521</v>
      </c>
    </row>
    <row r="43" customFormat="false" ht="51.75" hidden="false" customHeight="true" outlineLevel="0" collapsed="false">
      <c r="A43" s="79" t="s">
        <v>777</v>
      </c>
      <c r="B43" s="81" t="s">
        <v>565</v>
      </c>
      <c r="C43" s="77" t="s">
        <v>415</v>
      </c>
      <c r="D43" s="77" t="s">
        <v>622</v>
      </c>
      <c r="E43" s="77" t="s">
        <v>778</v>
      </c>
      <c r="F43" s="77" t="s">
        <v>779</v>
      </c>
      <c r="G43" s="77" t="s">
        <v>780</v>
      </c>
      <c r="H43" s="82" t="s">
        <v>652</v>
      </c>
      <c r="I43" s="81" t="n">
        <v>3</v>
      </c>
      <c r="J43" s="81" t="s">
        <v>721</v>
      </c>
      <c r="K43" s="81" t="s">
        <v>46</v>
      </c>
      <c r="L43" s="81" t="s">
        <v>151</v>
      </c>
      <c r="M43" s="81" t="s">
        <v>521</v>
      </c>
    </row>
    <row r="44" customFormat="false" ht="51.75" hidden="false" customHeight="true" outlineLevel="0" collapsed="false">
      <c r="A44" s="79" t="s">
        <v>781</v>
      </c>
      <c r="B44" s="81" t="s">
        <v>565</v>
      </c>
      <c r="C44" s="77" t="s">
        <v>415</v>
      </c>
      <c r="D44" s="77" t="s">
        <v>662</v>
      </c>
      <c r="E44" s="77" t="s">
        <v>782</v>
      </c>
      <c r="F44" s="77" t="s">
        <v>783</v>
      </c>
      <c r="G44" s="77" t="s">
        <v>784</v>
      </c>
      <c r="H44" s="82" t="s">
        <v>652</v>
      </c>
      <c r="I44" s="81" t="n">
        <v>3</v>
      </c>
      <c r="J44" s="81" t="s">
        <v>721</v>
      </c>
      <c r="K44" s="81" t="s">
        <v>46</v>
      </c>
      <c r="L44" s="81" t="s">
        <v>148</v>
      </c>
      <c r="M44" s="81" t="s">
        <v>521</v>
      </c>
    </row>
    <row r="45" customFormat="false" ht="51.75" hidden="false" customHeight="true" outlineLevel="0" collapsed="false">
      <c r="A45" s="79" t="s">
        <v>785</v>
      </c>
      <c r="B45" s="81" t="s">
        <v>574</v>
      </c>
      <c r="C45" s="77" t="s">
        <v>419</v>
      </c>
      <c r="D45" s="77" t="s">
        <v>617</v>
      </c>
      <c r="E45" s="77" t="s">
        <v>786</v>
      </c>
      <c r="F45" s="77" t="s">
        <v>787</v>
      </c>
      <c r="G45" s="77" t="s">
        <v>788</v>
      </c>
      <c r="H45" s="84" t="s">
        <v>789</v>
      </c>
      <c r="I45" s="81" t="n">
        <v>8</v>
      </c>
      <c r="J45" s="81" t="s">
        <v>721</v>
      </c>
      <c r="K45" s="81" t="s">
        <v>45</v>
      </c>
      <c r="L45" s="81" t="s">
        <v>143</v>
      </c>
      <c r="M45" s="81" t="s">
        <v>521</v>
      </c>
    </row>
    <row r="46" customFormat="false" ht="51.75" hidden="false" customHeight="true" outlineLevel="0" collapsed="false">
      <c r="A46" s="79" t="s">
        <v>790</v>
      </c>
      <c r="B46" s="81" t="s">
        <v>574</v>
      </c>
      <c r="C46" s="77" t="s">
        <v>419</v>
      </c>
      <c r="D46" s="77" t="s">
        <v>622</v>
      </c>
      <c r="E46" s="77" t="s">
        <v>791</v>
      </c>
      <c r="F46" s="77" t="s">
        <v>792</v>
      </c>
      <c r="G46" s="77" t="s">
        <v>793</v>
      </c>
      <c r="H46" s="84" t="s">
        <v>789</v>
      </c>
      <c r="I46" s="81" t="n">
        <v>8</v>
      </c>
      <c r="J46" s="81" t="s">
        <v>721</v>
      </c>
      <c r="K46" s="81" t="s">
        <v>45</v>
      </c>
      <c r="L46" s="81" t="s">
        <v>143</v>
      </c>
      <c r="M46" s="81" t="s">
        <v>521</v>
      </c>
    </row>
    <row r="47" customFormat="false" ht="51.75" hidden="false" customHeight="true" outlineLevel="0" collapsed="false">
      <c r="A47" s="79" t="s">
        <v>794</v>
      </c>
      <c r="B47" s="81" t="s">
        <v>574</v>
      </c>
      <c r="C47" s="77" t="s">
        <v>419</v>
      </c>
      <c r="D47" s="77" t="s">
        <v>675</v>
      </c>
      <c r="E47" s="77" t="s">
        <v>795</v>
      </c>
      <c r="F47" s="77" t="s">
        <v>796</v>
      </c>
      <c r="G47" s="77" t="s">
        <v>797</v>
      </c>
      <c r="H47" s="84" t="s">
        <v>789</v>
      </c>
      <c r="I47" s="81" t="n">
        <v>5</v>
      </c>
      <c r="J47" s="81" t="s">
        <v>721</v>
      </c>
      <c r="K47" s="81" t="s">
        <v>46</v>
      </c>
      <c r="L47" s="81" t="s">
        <v>143</v>
      </c>
      <c r="M47" s="81" t="s">
        <v>521</v>
      </c>
    </row>
    <row r="48" customFormat="false" ht="51.75" hidden="false" customHeight="true" outlineLevel="0" collapsed="false">
      <c r="A48" s="79" t="s">
        <v>798</v>
      </c>
      <c r="B48" s="81" t="s">
        <v>574</v>
      </c>
      <c r="C48" s="77" t="s">
        <v>419</v>
      </c>
      <c r="D48" s="77" t="s">
        <v>717</v>
      </c>
      <c r="E48" s="77" t="s">
        <v>799</v>
      </c>
      <c r="F48" s="77" t="s">
        <v>800</v>
      </c>
      <c r="G48" s="77" t="s">
        <v>801</v>
      </c>
      <c r="H48" s="84" t="s">
        <v>789</v>
      </c>
      <c r="I48" s="81" t="n">
        <v>5</v>
      </c>
      <c r="J48" s="81" t="s">
        <v>721</v>
      </c>
      <c r="K48" s="81" t="s">
        <v>46</v>
      </c>
      <c r="L48" s="81" t="s">
        <v>143</v>
      </c>
      <c r="M48" s="81" t="s">
        <v>521</v>
      </c>
    </row>
    <row r="49" customFormat="false" ht="51.75" hidden="false" customHeight="true" outlineLevel="0" collapsed="false">
      <c r="A49" s="79" t="s">
        <v>802</v>
      </c>
      <c r="B49" s="81" t="s">
        <v>537</v>
      </c>
      <c r="C49" s="77" t="s">
        <v>404</v>
      </c>
      <c r="D49" s="77" t="s">
        <v>617</v>
      </c>
      <c r="E49" s="77" t="s">
        <v>803</v>
      </c>
      <c r="F49" s="77" t="s">
        <v>804</v>
      </c>
      <c r="G49" s="77" t="s">
        <v>805</v>
      </c>
      <c r="H49" s="84" t="s">
        <v>789</v>
      </c>
      <c r="I49" s="81" t="n">
        <v>3</v>
      </c>
      <c r="J49" s="81" t="s">
        <v>806</v>
      </c>
      <c r="K49" s="81" t="s">
        <v>46</v>
      </c>
      <c r="L49" s="81" t="s">
        <v>109</v>
      </c>
      <c r="M49" s="81" t="s">
        <v>521</v>
      </c>
    </row>
    <row r="50" customFormat="false" ht="51.75" hidden="false" customHeight="true" outlineLevel="0" collapsed="false">
      <c r="A50" s="79" t="s">
        <v>807</v>
      </c>
      <c r="B50" s="81" t="s">
        <v>537</v>
      </c>
      <c r="C50" s="77" t="s">
        <v>404</v>
      </c>
      <c r="D50" s="77" t="s">
        <v>622</v>
      </c>
      <c r="E50" s="77" t="s">
        <v>808</v>
      </c>
      <c r="F50" s="77" t="s">
        <v>809</v>
      </c>
      <c r="G50" s="77" t="s">
        <v>810</v>
      </c>
      <c r="H50" s="84" t="s">
        <v>789</v>
      </c>
      <c r="I50" s="81" t="n">
        <v>5</v>
      </c>
      <c r="J50" s="81" t="s">
        <v>806</v>
      </c>
      <c r="K50" s="81" t="s">
        <v>46</v>
      </c>
      <c r="L50" s="81" t="s">
        <v>109</v>
      </c>
      <c r="M50" s="81" t="s">
        <v>521</v>
      </c>
    </row>
    <row r="51" customFormat="false" ht="51.75" hidden="false" customHeight="true" outlineLevel="0" collapsed="false">
      <c r="A51" s="79" t="s">
        <v>811</v>
      </c>
      <c r="B51" s="81" t="s">
        <v>537</v>
      </c>
      <c r="C51" s="77" t="s">
        <v>404</v>
      </c>
      <c r="D51" s="77" t="s">
        <v>622</v>
      </c>
      <c r="E51" s="77" t="s">
        <v>812</v>
      </c>
      <c r="F51" s="77" t="s">
        <v>813</v>
      </c>
      <c r="G51" s="77" t="s">
        <v>814</v>
      </c>
      <c r="H51" s="84" t="s">
        <v>789</v>
      </c>
      <c r="I51" s="81" t="n">
        <v>8</v>
      </c>
      <c r="J51" s="81" t="s">
        <v>806</v>
      </c>
      <c r="K51" s="81" t="s">
        <v>47</v>
      </c>
      <c r="L51" s="81" t="s">
        <v>143</v>
      </c>
      <c r="M51" s="81" t="s">
        <v>521</v>
      </c>
    </row>
    <row r="52" customFormat="false" ht="51.75" hidden="false" customHeight="true" outlineLevel="0" collapsed="false">
      <c r="A52" s="79" t="s">
        <v>815</v>
      </c>
      <c r="B52" s="81" t="s">
        <v>537</v>
      </c>
      <c r="C52" s="77" t="s">
        <v>404</v>
      </c>
      <c r="D52" s="77" t="s">
        <v>617</v>
      </c>
      <c r="E52" s="77" t="s">
        <v>816</v>
      </c>
      <c r="F52" s="77" t="s">
        <v>817</v>
      </c>
      <c r="G52" s="77" t="s">
        <v>818</v>
      </c>
      <c r="H52" s="84" t="s">
        <v>789</v>
      </c>
      <c r="I52" s="81" t="n">
        <v>5</v>
      </c>
      <c r="J52" s="81" t="s">
        <v>806</v>
      </c>
      <c r="K52" s="81" t="s">
        <v>47</v>
      </c>
      <c r="L52" s="81" t="s">
        <v>143</v>
      </c>
      <c r="M52" s="81" t="s">
        <v>521</v>
      </c>
    </row>
    <row r="53" customFormat="false" ht="51.75" hidden="false" customHeight="true" outlineLevel="0" collapsed="false">
      <c r="A53" s="79" t="s">
        <v>819</v>
      </c>
      <c r="B53" s="81" t="s">
        <v>570</v>
      </c>
      <c r="C53" s="77" t="s">
        <v>415</v>
      </c>
      <c r="D53" s="77" t="s">
        <v>675</v>
      </c>
      <c r="E53" s="77" t="s">
        <v>820</v>
      </c>
      <c r="F53" s="77" t="s">
        <v>821</v>
      </c>
      <c r="G53" s="77" t="s">
        <v>822</v>
      </c>
      <c r="H53" s="84" t="s">
        <v>789</v>
      </c>
      <c r="I53" s="81" t="n">
        <v>5</v>
      </c>
      <c r="J53" s="81" t="s">
        <v>806</v>
      </c>
      <c r="K53" s="81" t="s">
        <v>46</v>
      </c>
      <c r="L53" s="81" t="s">
        <v>151</v>
      </c>
      <c r="M53" s="81" t="s">
        <v>521</v>
      </c>
    </row>
    <row r="54" customFormat="false" ht="51.75" hidden="false" customHeight="true" outlineLevel="0" collapsed="false">
      <c r="A54" s="79" t="s">
        <v>823</v>
      </c>
      <c r="B54" s="81" t="s">
        <v>570</v>
      </c>
      <c r="C54" s="77" t="s">
        <v>415</v>
      </c>
      <c r="D54" s="77" t="s">
        <v>622</v>
      </c>
      <c r="E54" s="77" t="s">
        <v>824</v>
      </c>
      <c r="F54" s="77" t="s">
        <v>825</v>
      </c>
      <c r="G54" s="77" t="s">
        <v>826</v>
      </c>
      <c r="H54" s="84" t="s">
        <v>789</v>
      </c>
      <c r="I54" s="81" t="n">
        <v>8</v>
      </c>
      <c r="J54" s="81" t="s">
        <v>806</v>
      </c>
      <c r="K54" s="81" t="s">
        <v>47</v>
      </c>
      <c r="L54" s="81" t="s">
        <v>118</v>
      </c>
      <c r="M54" s="81" t="s">
        <v>521</v>
      </c>
    </row>
    <row r="55" customFormat="false" ht="51.75" hidden="false" customHeight="true" outlineLevel="0" collapsed="false">
      <c r="A55" s="79" t="s">
        <v>827</v>
      </c>
      <c r="B55" s="81" t="s">
        <v>570</v>
      </c>
      <c r="C55" s="77" t="s">
        <v>415</v>
      </c>
      <c r="D55" s="77" t="s">
        <v>662</v>
      </c>
      <c r="E55" s="77" t="s">
        <v>828</v>
      </c>
      <c r="F55" s="77" t="s">
        <v>829</v>
      </c>
      <c r="G55" s="77" t="s">
        <v>830</v>
      </c>
      <c r="H55" s="84" t="s">
        <v>789</v>
      </c>
      <c r="I55" s="81" t="n">
        <v>5</v>
      </c>
      <c r="J55" s="81" t="s">
        <v>806</v>
      </c>
      <c r="K55" s="81" t="s">
        <v>47</v>
      </c>
      <c r="L55" s="81" t="s">
        <v>118</v>
      </c>
      <c r="M55" s="81" t="s">
        <v>521</v>
      </c>
    </row>
    <row r="56" customFormat="false" ht="51.75" hidden="false" customHeight="true" outlineLevel="0" collapsed="false">
      <c r="A56" s="79" t="s">
        <v>831</v>
      </c>
      <c r="B56" s="81" t="s">
        <v>588</v>
      </c>
      <c r="C56" s="77" t="s">
        <v>580</v>
      </c>
      <c r="D56" s="77" t="s">
        <v>717</v>
      </c>
      <c r="E56" s="77" t="s">
        <v>832</v>
      </c>
      <c r="F56" s="77" t="s">
        <v>833</v>
      </c>
      <c r="G56" s="77" t="s">
        <v>834</v>
      </c>
      <c r="H56" s="80" t="s">
        <v>614</v>
      </c>
      <c r="I56" s="81" t="n">
        <v>5</v>
      </c>
      <c r="J56" s="81" t="s">
        <v>806</v>
      </c>
      <c r="K56" s="81" t="s">
        <v>49</v>
      </c>
      <c r="L56" s="81" t="s">
        <v>109</v>
      </c>
      <c r="M56" s="81" t="s">
        <v>521</v>
      </c>
    </row>
    <row r="57" customFormat="false" ht="51.75" hidden="false" customHeight="true" outlineLevel="0" collapsed="false">
      <c r="A57" s="79" t="s">
        <v>835</v>
      </c>
      <c r="B57" s="81" t="s">
        <v>588</v>
      </c>
      <c r="C57" s="77" t="s">
        <v>580</v>
      </c>
      <c r="D57" s="77" t="s">
        <v>717</v>
      </c>
      <c r="E57" s="77" t="s">
        <v>836</v>
      </c>
      <c r="F57" s="77" t="s">
        <v>837</v>
      </c>
      <c r="G57" s="77" t="s">
        <v>838</v>
      </c>
      <c r="H57" s="80" t="s">
        <v>614</v>
      </c>
      <c r="I57" s="81" t="n">
        <v>3</v>
      </c>
      <c r="J57" s="81" t="s">
        <v>806</v>
      </c>
      <c r="K57" s="81" t="s">
        <v>49</v>
      </c>
      <c r="L57" s="81" t="s">
        <v>118</v>
      </c>
      <c r="M57" s="81" t="s">
        <v>521</v>
      </c>
    </row>
    <row r="58" customFormat="false" ht="51.75" hidden="false" customHeight="true" outlineLevel="0" collapsed="false">
      <c r="A58" s="79" t="s">
        <v>839</v>
      </c>
      <c r="B58" s="81" t="s">
        <v>588</v>
      </c>
      <c r="C58" s="77" t="s">
        <v>580</v>
      </c>
      <c r="D58" s="77" t="s">
        <v>840</v>
      </c>
      <c r="E58" s="77" t="s">
        <v>841</v>
      </c>
      <c r="F58" s="77" t="s">
        <v>842</v>
      </c>
      <c r="G58" s="77" t="s">
        <v>843</v>
      </c>
      <c r="H58" s="80" t="s">
        <v>614</v>
      </c>
      <c r="I58" s="81" t="n">
        <v>5</v>
      </c>
      <c r="J58" s="81" t="s">
        <v>844</v>
      </c>
      <c r="K58" s="81" t="s">
        <v>50</v>
      </c>
      <c r="L58" s="81" t="s">
        <v>109</v>
      </c>
      <c r="M58" s="81" t="s">
        <v>521</v>
      </c>
    </row>
    <row r="60" customFormat="false" ht="15" hidden="false" customHeight="false" outlineLevel="0" collapsed="false">
      <c r="E60" s="44" t="s">
        <v>845</v>
      </c>
      <c r="I60" s="45" t="n">
        <f aca="false">COUNTA(A5:A58)</f>
        <v>54</v>
      </c>
    </row>
    <row r="61" customFormat="false" ht="15" hidden="false" customHeight="false" outlineLevel="0" collapsed="false">
      <c r="E61" s="44" t="s">
        <v>846</v>
      </c>
      <c r="I61" s="45" t="n">
        <f aca="false">SUM(I5:I58)</f>
        <v>280</v>
      </c>
    </row>
    <row r="62" customFormat="false" ht="15" hidden="false" customHeight="false" outlineLevel="0" collapsed="false">
      <c r="E62" s="44" t="s">
        <v>847</v>
      </c>
      <c r="I62" s="45" t="n">
        <f aca="false">SUMIF(H5:H58,"Must",I5:I58)</f>
        <v>174</v>
      </c>
    </row>
    <row r="63" customFormat="false" ht="15" hidden="false" customHeight="false" outlineLevel="0" collapsed="false">
      <c r="E63" s="44" t="s">
        <v>848</v>
      </c>
      <c r="I63" s="45" t="n">
        <f aca="false">SUMIF(H5:H58,"Should",I5:I58)+SUMIF(H5:H58,"Could",I5:I58)</f>
        <v>106</v>
      </c>
    </row>
    <row r="64" customFormat="false" ht="15" hidden="false" customHeight="false" outlineLevel="0" collapsed="false">
      <c r="E64" s="44" t="s">
        <v>849</v>
      </c>
      <c r="I64" s="85" t="n">
        <f aca="false">IFERROR(SUMIF(M5:M58,"Done",I5:I58)/SUM(I5:I58),0)</f>
        <v>0</v>
      </c>
    </row>
    <row r="66" customFormat="false" ht="15" hidden="false" customHeight="false" outlineLevel="0" collapsed="false">
      <c r="E66" s="86" t="s">
        <v>850</v>
      </c>
    </row>
    <row r="67" customFormat="false" ht="15" hidden="false" customHeight="false" outlineLevel="0" collapsed="false">
      <c r="E67" s="47" t="s">
        <v>615</v>
      </c>
      <c r="I67" s="87" t="n">
        <f aca="false">SUMIF(J5:J58,"Sprint 1",I5:I58)</f>
        <v>25</v>
      </c>
    </row>
    <row r="68" customFormat="false" ht="15" hidden="false" customHeight="false" outlineLevel="0" collapsed="false">
      <c r="E68" s="47" t="s">
        <v>647</v>
      </c>
      <c r="I68" s="87" t="n">
        <f aca="false">SUMIF(J5:J58,"Sprint 2",I5:I58)</f>
        <v>52</v>
      </c>
    </row>
    <row r="69" customFormat="false" ht="15" hidden="false" customHeight="false" outlineLevel="0" collapsed="false">
      <c r="E69" s="47" t="s">
        <v>695</v>
      </c>
      <c r="I69" s="87" t="n">
        <f aca="false">SUMIF(J5:J58,"Sprint 3",I5:I58)</f>
        <v>64</v>
      </c>
    </row>
    <row r="70" customFormat="false" ht="15" hidden="false" customHeight="false" outlineLevel="0" collapsed="false">
      <c r="E70" s="47" t="s">
        <v>755</v>
      </c>
      <c r="I70" s="87" t="n">
        <f aca="false">SUMIF(J5:J58,"Sprint 4",I5:I58)</f>
        <v>18</v>
      </c>
    </row>
    <row r="71" customFormat="false" ht="15" hidden="false" customHeight="false" outlineLevel="0" collapsed="false">
      <c r="E71" s="47" t="s">
        <v>721</v>
      </c>
      <c r="I71" s="87" t="n">
        <f aca="false">SUMIF(J5:J58,"Sprint 5",I5:I58)</f>
        <v>69</v>
      </c>
    </row>
    <row r="72" customFormat="false" ht="15" hidden="false" customHeight="false" outlineLevel="0" collapsed="false">
      <c r="E72" s="47" t="s">
        <v>806</v>
      </c>
      <c r="I72" s="87" t="n">
        <f aca="false">SUMIF(J5:J58,"Sprint 6",I5:I58)</f>
        <v>47</v>
      </c>
    </row>
    <row r="73" customFormat="false" ht="15" hidden="false" customHeight="false" outlineLevel="0" collapsed="false">
      <c r="E73" s="47" t="s">
        <v>844</v>
      </c>
      <c r="I73" s="87" t="n">
        <f aca="false">SUMIF(J5:J58,"Sprint 7",I5:I58)</f>
        <v>5</v>
      </c>
    </row>
  </sheetData>
  <mergeCells count="2">
    <mergeCell ref="A1:M1"/>
    <mergeCell ref="A2:M2"/>
  </mergeCells>
  <dataValidations count="1">
    <dataValidation allowBlank="true" errorStyle="stop" operator="between" showDropDown="false" showErrorMessage="false" showInputMessage="false" sqref="M5:M58" type="list">
      <formula1>"Not Started,In Progress,Blocked,In Review,Done"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J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7"/>
    <col collapsed="false" customWidth="true" hidden="false" outlineLevel="0" max="3" min="3" style="0" width="12"/>
    <col collapsed="false" customWidth="true" hidden="false" outlineLevel="0" max="4" min="4" style="0" width="5"/>
    <col collapsed="false" customWidth="true" hidden="false" outlineLevel="0" max="5" min="5" style="0" width="52"/>
    <col collapsed="false" customWidth="true" hidden="false" outlineLevel="0" max="6" min="6" style="0" width="11"/>
    <col collapsed="false" customWidth="true" hidden="false" outlineLevel="0" max="7" min="7" style="0" width="10"/>
    <col collapsed="false" customWidth="true" hidden="false" outlineLevel="0" max="8" min="8" style="0" width="56"/>
    <col collapsed="false" customWidth="true" hidden="false" outlineLevel="0" max="10" min="9" style="0" width="13"/>
  </cols>
  <sheetData>
    <row r="1" customFormat="false" ht="30" hidden="false" customHeight="true" outlineLevel="0" collapsed="false">
      <c r="A1" s="1" t="s">
        <v>851</v>
      </c>
      <c r="B1" s="1"/>
      <c r="C1" s="1"/>
      <c r="D1" s="1"/>
      <c r="E1" s="1"/>
      <c r="F1" s="1"/>
      <c r="G1" s="1"/>
      <c r="H1" s="1"/>
      <c r="I1" s="1"/>
      <c r="J1" s="1"/>
    </row>
    <row r="2" customFormat="false" ht="19.5" hidden="false" customHeight="true" outlineLevel="0" collapsed="false">
      <c r="A2" s="2" t="s">
        <v>852</v>
      </c>
      <c r="B2" s="2"/>
      <c r="C2" s="2"/>
      <c r="D2" s="2"/>
      <c r="E2" s="2"/>
      <c r="F2" s="2"/>
      <c r="G2" s="2"/>
      <c r="H2" s="2"/>
      <c r="I2" s="2"/>
      <c r="J2" s="2"/>
    </row>
    <row r="4" customFormat="false" ht="30" hidden="false" customHeight="true" outlineLevel="0" collapsed="false">
      <c r="A4" s="53" t="s">
        <v>853</v>
      </c>
      <c r="B4" s="53" t="s">
        <v>854</v>
      </c>
      <c r="C4" s="53" t="s">
        <v>855</v>
      </c>
      <c r="D4" s="53" t="s">
        <v>3</v>
      </c>
      <c r="E4" s="53" t="s">
        <v>856</v>
      </c>
      <c r="F4" s="53" t="s">
        <v>463</v>
      </c>
      <c r="G4" s="53" t="s">
        <v>857</v>
      </c>
      <c r="H4" s="53" t="s">
        <v>858</v>
      </c>
      <c r="I4" s="53" t="s">
        <v>8</v>
      </c>
      <c r="J4" s="53" t="s">
        <v>513</v>
      </c>
    </row>
    <row r="5" customFormat="false" ht="31.5" hidden="false" customHeight="true" outlineLevel="0" collapsed="false">
      <c r="A5" s="88" t="s">
        <v>859</v>
      </c>
      <c r="B5" s="81" t="s">
        <v>28</v>
      </c>
      <c r="C5" s="89" t="n">
        <v>46370</v>
      </c>
      <c r="D5" s="81" t="n">
        <v>1</v>
      </c>
      <c r="E5" s="77" t="s">
        <v>860</v>
      </c>
      <c r="F5" s="81" t="s">
        <v>861</v>
      </c>
      <c r="G5" s="63" t="s">
        <v>862</v>
      </c>
      <c r="H5" s="77" t="s">
        <v>863</v>
      </c>
      <c r="I5" s="81" t="s">
        <v>81</v>
      </c>
      <c r="J5" s="81" t="s">
        <v>521</v>
      </c>
    </row>
    <row r="6" customFormat="false" ht="31.5" hidden="false" customHeight="true" outlineLevel="0" collapsed="false">
      <c r="A6" s="88"/>
      <c r="B6" s="81" t="s">
        <v>28</v>
      </c>
      <c r="C6" s="89" t="n">
        <v>46370</v>
      </c>
      <c r="D6" s="81" t="n">
        <v>2</v>
      </c>
      <c r="E6" s="77" t="s">
        <v>864</v>
      </c>
      <c r="F6" s="81" t="s">
        <v>861</v>
      </c>
      <c r="G6" s="63" t="s">
        <v>862</v>
      </c>
      <c r="H6" s="77" t="s">
        <v>865</v>
      </c>
      <c r="I6" s="81" t="s">
        <v>81</v>
      </c>
      <c r="J6" s="81" t="s">
        <v>521</v>
      </c>
    </row>
    <row r="7" customFormat="false" ht="31.5" hidden="false" customHeight="true" outlineLevel="0" collapsed="false">
      <c r="A7" s="88"/>
      <c r="B7" s="81" t="s">
        <v>28</v>
      </c>
      <c r="C7" s="89" t="n">
        <v>46370</v>
      </c>
      <c r="D7" s="81" t="n">
        <v>3</v>
      </c>
      <c r="E7" s="77" t="s">
        <v>866</v>
      </c>
      <c r="F7" s="81" t="s">
        <v>861</v>
      </c>
      <c r="G7" s="63" t="s">
        <v>862</v>
      </c>
      <c r="H7" s="77" t="s">
        <v>867</v>
      </c>
      <c r="I7" s="81" t="s">
        <v>88</v>
      </c>
      <c r="J7" s="81" t="s">
        <v>521</v>
      </c>
    </row>
    <row r="8" customFormat="false" ht="31.5" hidden="false" customHeight="true" outlineLevel="0" collapsed="false">
      <c r="A8" s="88"/>
      <c r="B8" s="81" t="s">
        <v>28</v>
      </c>
      <c r="C8" s="89" t="n">
        <v>46370</v>
      </c>
      <c r="D8" s="81" t="n">
        <v>4</v>
      </c>
      <c r="E8" s="77" t="s">
        <v>868</v>
      </c>
      <c r="F8" s="81" t="s">
        <v>869</v>
      </c>
      <c r="G8" s="63" t="s">
        <v>862</v>
      </c>
      <c r="H8" s="77" t="s">
        <v>870</v>
      </c>
      <c r="I8" s="81" t="s">
        <v>81</v>
      </c>
      <c r="J8" s="81" t="s">
        <v>521</v>
      </c>
    </row>
    <row r="9" customFormat="false" ht="31.5" hidden="false" customHeight="true" outlineLevel="0" collapsed="false">
      <c r="A9" s="88"/>
      <c r="B9" s="81" t="s">
        <v>28</v>
      </c>
      <c r="C9" s="89" t="n">
        <v>46370</v>
      </c>
      <c r="D9" s="81" t="n">
        <v>5</v>
      </c>
      <c r="E9" s="77" t="s">
        <v>871</v>
      </c>
      <c r="F9" s="81" t="s">
        <v>861</v>
      </c>
      <c r="G9" s="63" t="s">
        <v>862</v>
      </c>
      <c r="H9" s="77" t="s">
        <v>872</v>
      </c>
      <c r="I9" s="81" t="s">
        <v>81</v>
      </c>
      <c r="J9" s="81" t="s">
        <v>521</v>
      </c>
    </row>
    <row r="10" customFormat="false" ht="31.5" hidden="false" customHeight="true" outlineLevel="0" collapsed="false">
      <c r="A10" s="88"/>
      <c r="B10" s="81" t="s">
        <v>28</v>
      </c>
      <c r="C10" s="89" t="n">
        <v>46370</v>
      </c>
      <c r="D10" s="81" t="n">
        <v>6</v>
      </c>
      <c r="E10" s="77" t="s">
        <v>873</v>
      </c>
      <c r="F10" s="81" t="s">
        <v>861</v>
      </c>
      <c r="G10" s="63" t="s">
        <v>862</v>
      </c>
      <c r="H10" s="77" t="s">
        <v>874</v>
      </c>
      <c r="I10" s="81" t="s">
        <v>81</v>
      </c>
      <c r="J10" s="81" t="s">
        <v>521</v>
      </c>
    </row>
    <row r="11" customFormat="false" ht="31.5" hidden="false" customHeight="true" outlineLevel="0" collapsed="false">
      <c r="A11" s="88"/>
      <c r="B11" s="81" t="s">
        <v>28</v>
      </c>
      <c r="C11" s="89" t="n">
        <v>46370</v>
      </c>
      <c r="D11" s="81" t="n">
        <v>7</v>
      </c>
      <c r="E11" s="77" t="s">
        <v>875</v>
      </c>
      <c r="F11" s="81" t="s">
        <v>473</v>
      </c>
      <c r="G11" s="63" t="s">
        <v>862</v>
      </c>
      <c r="H11" s="77" t="s">
        <v>876</v>
      </c>
      <c r="I11" s="81" t="s">
        <v>81</v>
      </c>
      <c r="J11" s="81" t="s">
        <v>521</v>
      </c>
    </row>
    <row r="12" customFormat="false" ht="31.5" hidden="false" customHeight="true" outlineLevel="0" collapsed="false">
      <c r="A12" s="90" t="s">
        <v>877</v>
      </c>
      <c r="B12" s="81" t="s">
        <v>16</v>
      </c>
      <c r="C12" s="89" t="n">
        <v>46286</v>
      </c>
      <c r="D12" s="81" t="n">
        <v>1</v>
      </c>
      <c r="E12" s="77" t="s">
        <v>878</v>
      </c>
      <c r="F12" s="81" t="s">
        <v>861</v>
      </c>
      <c r="G12" s="63" t="s">
        <v>862</v>
      </c>
      <c r="H12" s="77" t="s">
        <v>879</v>
      </c>
      <c r="I12" s="81" t="s">
        <v>81</v>
      </c>
      <c r="J12" s="81" t="s">
        <v>521</v>
      </c>
    </row>
    <row r="13" customFormat="false" ht="31.5" hidden="false" customHeight="true" outlineLevel="0" collapsed="false">
      <c r="A13" s="90"/>
      <c r="B13" s="81" t="s">
        <v>16</v>
      </c>
      <c r="C13" s="89" t="n">
        <v>46286</v>
      </c>
      <c r="D13" s="81" t="n">
        <v>2</v>
      </c>
      <c r="E13" s="77" t="s">
        <v>880</v>
      </c>
      <c r="F13" s="81" t="s">
        <v>861</v>
      </c>
      <c r="G13" s="63" t="s">
        <v>862</v>
      </c>
      <c r="H13" s="77" t="s">
        <v>881</v>
      </c>
      <c r="I13" s="81" t="s">
        <v>81</v>
      </c>
      <c r="J13" s="81" t="s">
        <v>521</v>
      </c>
    </row>
    <row r="14" customFormat="false" ht="31.5" hidden="false" customHeight="true" outlineLevel="0" collapsed="false">
      <c r="A14" s="90"/>
      <c r="B14" s="81" t="s">
        <v>16</v>
      </c>
      <c r="C14" s="89" t="n">
        <v>46286</v>
      </c>
      <c r="D14" s="81" t="n">
        <v>3</v>
      </c>
      <c r="E14" s="77" t="s">
        <v>882</v>
      </c>
      <c r="F14" s="81" t="s">
        <v>883</v>
      </c>
      <c r="G14" s="63" t="s">
        <v>862</v>
      </c>
      <c r="H14" s="77" t="s">
        <v>884</v>
      </c>
      <c r="I14" s="81" t="s">
        <v>109</v>
      </c>
      <c r="J14" s="81" t="s">
        <v>521</v>
      </c>
    </row>
    <row r="15" customFormat="false" ht="31.5" hidden="false" customHeight="true" outlineLevel="0" collapsed="false">
      <c r="A15" s="90"/>
      <c r="B15" s="81" t="s">
        <v>16</v>
      </c>
      <c r="C15" s="89" t="n">
        <v>46286</v>
      </c>
      <c r="D15" s="81" t="n">
        <v>4</v>
      </c>
      <c r="E15" s="77" t="s">
        <v>885</v>
      </c>
      <c r="F15" s="81" t="s">
        <v>883</v>
      </c>
      <c r="G15" s="63" t="s">
        <v>862</v>
      </c>
      <c r="H15" s="77" t="s">
        <v>886</v>
      </c>
      <c r="I15" s="81" t="s">
        <v>109</v>
      </c>
      <c r="J15" s="81" t="s">
        <v>521</v>
      </c>
    </row>
    <row r="16" customFormat="false" ht="31.5" hidden="false" customHeight="true" outlineLevel="0" collapsed="false">
      <c r="A16" s="90"/>
      <c r="B16" s="81" t="s">
        <v>16</v>
      </c>
      <c r="C16" s="89" t="n">
        <v>46286</v>
      </c>
      <c r="D16" s="81" t="n">
        <v>5</v>
      </c>
      <c r="E16" s="77" t="s">
        <v>887</v>
      </c>
      <c r="F16" s="81" t="s">
        <v>861</v>
      </c>
      <c r="G16" s="63" t="s">
        <v>862</v>
      </c>
      <c r="H16" s="77" t="s">
        <v>888</v>
      </c>
      <c r="I16" s="81" t="s">
        <v>98</v>
      </c>
      <c r="J16" s="81" t="s">
        <v>521</v>
      </c>
    </row>
    <row r="17" customFormat="false" ht="31.5" hidden="false" customHeight="true" outlineLevel="0" collapsed="false">
      <c r="A17" s="90"/>
      <c r="B17" s="81" t="s">
        <v>16</v>
      </c>
      <c r="C17" s="89" t="n">
        <v>46286</v>
      </c>
      <c r="D17" s="81" t="n">
        <v>6</v>
      </c>
      <c r="E17" s="77" t="s">
        <v>889</v>
      </c>
      <c r="F17" s="81" t="s">
        <v>869</v>
      </c>
      <c r="G17" s="63" t="s">
        <v>862</v>
      </c>
      <c r="H17" s="77" t="s">
        <v>890</v>
      </c>
      <c r="I17" s="81" t="s">
        <v>112</v>
      </c>
      <c r="J17" s="81" t="s">
        <v>521</v>
      </c>
    </row>
    <row r="18" customFormat="false" ht="31.5" hidden="false" customHeight="true" outlineLevel="0" collapsed="false">
      <c r="A18" s="90"/>
      <c r="B18" s="81" t="s">
        <v>16</v>
      </c>
      <c r="C18" s="89" t="n">
        <v>46286</v>
      </c>
      <c r="D18" s="81" t="n">
        <v>7</v>
      </c>
      <c r="E18" s="77" t="s">
        <v>891</v>
      </c>
      <c r="F18" s="81" t="s">
        <v>861</v>
      </c>
      <c r="G18" s="63" t="s">
        <v>862</v>
      </c>
      <c r="H18" s="77" t="s">
        <v>892</v>
      </c>
      <c r="I18" s="81" t="s">
        <v>81</v>
      </c>
      <c r="J18" s="81" t="s">
        <v>521</v>
      </c>
    </row>
    <row r="19" customFormat="false" ht="31.5" hidden="false" customHeight="true" outlineLevel="0" collapsed="false">
      <c r="A19" s="90"/>
      <c r="B19" s="81" t="s">
        <v>16</v>
      </c>
      <c r="C19" s="89" t="n">
        <v>46286</v>
      </c>
      <c r="D19" s="81" t="n">
        <v>8</v>
      </c>
      <c r="E19" s="77" t="s">
        <v>893</v>
      </c>
      <c r="F19" s="81" t="s">
        <v>861</v>
      </c>
      <c r="G19" s="63" t="s">
        <v>862</v>
      </c>
      <c r="H19" s="77" t="s">
        <v>894</v>
      </c>
      <c r="I19" s="81" t="s">
        <v>81</v>
      </c>
      <c r="J19" s="81" t="s">
        <v>521</v>
      </c>
    </row>
    <row r="20" customFormat="false" ht="31.5" hidden="false" customHeight="true" outlineLevel="0" collapsed="false">
      <c r="A20" s="90"/>
      <c r="B20" s="81" t="s">
        <v>16</v>
      </c>
      <c r="C20" s="89" t="n">
        <v>46286</v>
      </c>
      <c r="D20" s="81" t="n">
        <v>9</v>
      </c>
      <c r="E20" s="77" t="s">
        <v>895</v>
      </c>
      <c r="F20" s="81" t="s">
        <v>896</v>
      </c>
      <c r="G20" s="91" t="s">
        <v>897</v>
      </c>
      <c r="H20" s="77" t="s">
        <v>898</v>
      </c>
      <c r="I20" s="81" t="s">
        <v>115</v>
      </c>
      <c r="J20" s="81" t="s">
        <v>521</v>
      </c>
    </row>
    <row r="21" customFormat="false" ht="31.5" hidden="false" customHeight="true" outlineLevel="0" collapsed="false">
      <c r="A21" s="90"/>
      <c r="B21" s="81" t="s">
        <v>16</v>
      </c>
      <c r="C21" s="89" t="n">
        <v>46286</v>
      </c>
      <c r="D21" s="81" t="n">
        <v>10</v>
      </c>
      <c r="E21" s="77" t="s">
        <v>899</v>
      </c>
      <c r="F21" s="81" t="s">
        <v>900</v>
      </c>
      <c r="G21" s="63" t="s">
        <v>862</v>
      </c>
      <c r="H21" s="77" t="s">
        <v>901</v>
      </c>
      <c r="I21" s="81" t="s">
        <v>81</v>
      </c>
      <c r="J21" s="81" t="s">
        <v>521</v>
      </c>
    </row>
    <row r="22" customFormat="false" ht="31.5" hidden="false" customHeight="true" outlineLevel="0" collapsed="false">
      <c r="A22" s="92" t="s">
        <v>902</v>
      </c>
      <c r="B22" s="81" t="s">
        <v>21</v>
      </c>
      <c r="C22" s="89" t="n">
        <v>46321</v>
      </c>
      <c r="D22" s="81" t="n">
        <v>1</v>
      </c>
      <c r="E22" s="77" t="s">
        <v>903</v>
      </c>
      <c r="F22" s="81" t="s">
        <v>861</v>
      </c>
      <c r="G22" s="63" t="s">
        <v>862</v>
      </c>
      <c r="H22" s="77" t="s">
        <v>904</v>
      </c>
      <c r="I22" s="81" t="s">
        <v>106</v>
      </c>
      <c r="J22" s="81" t="s">
        <v>521</v>
      </c>
    </row>
    <row r="23" customFormat="false" ht="31.5" hidden="false" customHeight="true" outlineLevel="0" collapsed="false">
      <c r="A23" s="92"/>
      <c r="B23" s="81" t="s">
        <v>21</v>
      </c>
      <c r="C23" s="89" t="n">
        <v>46321</v>
      </c>
      <c r="D23" s="81" t="n">
        <v>2</v>
      </c>
      <c r="E23" s="77" t="s">
        <v>905</v>
      </c>
      <c r="F23" s="81" t="s">
        <v>883</v>
      </c>
      <c r="G23" s="63" t="s">
        <v>862</v>
      </c>
      <c r="H23" s="77" t="s">
        <v>906</v>
      </c>
      <c r="I23" s="81" t="s">
        <v>109</v>
      </c>
      <c r="J23" s="81" t="s">
        <v>521</v>
      </c>
    </row>
    <row r="24" customFormat="false" ht="31.5" hidden="false" customHeight="true" outlineLevel="0" collapsed="false">
      <c r="A24" s="92"/>
      <c r="B24" s="81" t="s">
        <v>21</v>
      </c>
      <c r="C24" s="89" t="n">
        <v>46321</v>
      </c>
      <c r="D24" s="81" t="n">
        <v>3</v>
      </c>
      <c r="E24" s="77" t="s">
        <v>907</v>
      </c>
      <c r="F24" s="81" t="s">
        <v>869</v>
      </c>
      <c r="G24" s="63" t="s">
        <v>862</v>
      </c>
      <c r="H24" s="77" t="s">
        <v>908</v>
      </c>
      <c r="I24" s="81" t="s">
        <v>109</v>
      </c>
      <c r="J24" s="81" t="s">
        <v>521</v>
      </c>
    </row>
    <row r="25" customFormat="false" ht="31.5" hidden="false" customHeight="true" outlineLevel="0" collapsed="false">
      <c r="A25" s="92"/>
      <c r="B25" s="81" t="s">
        <v>21</v>
      </c>
      <c r="C25" s="89" t="n">
        <v>46321</v>
      </c>
      <c r="D25" s="81" t="n">
        <v>4</v>
      </c>
      <c r="E25" s="77" t="s">
        <v>909</v>
      </c>
      <c r="F25" s="81" t="s">
        <v>861</v>
      </c>
      <c r="G25" s="63" t="s">
        <v>862</v>
      </c>
      <c r="H25" s="77" t="s">
        <v>910</v>
      </c>
      <c r="I25" s="81" t="s">
        <v>98</v>
      </c>
      <c r="J25" s="81" t="s">
        <v>521</v>
      </c>
    </row>
    <row r="26" customFormat="false" ht="31.5" hidden="false" customHeight="true" outlineLevel="0" collapsed="false">
      <c r="A26" s="92"/>
      <c r="B26" s="81" t="s">
        <v>21</v>
      </c>
      <c r="C26" s="89" t="n">
        <v>46321</v>
      </c>
      <c r="D26" s="81" t="n">
        <v>5</v>
      </c>
      <c r="E26" s="77" t="s">
        <v>911</v>
      </c>
      <c r="F26" s="81" t="s">
        <v>912</v>
      </c>
      <c r="G26" s="63" t="s">
        <v>862</v>
      </c>
      <c r="H26" s="77" t="s">
        <v>913</v>
      </c>
      <c r="I26" s="81" t="s">
        <v>81</v>
      </c>
      <c r="J26" s="81" t="s">
        <v>521</v>
      </c>
    </row>
    <row r="27" customFormat="false" ht="31.5" hidden="false" customHeight="true" outlineLevel="0" collapsed="false">
      <c r="A27" s="92"/>
      <c r="B27" s="81" t="s">
        <v>21</v>
      </c>
      <c r="C27" s="89" t="n">
        <v>46321</v>
      </c>
      <c r="D27" s="81" t="n">
        <v>6</v>
      </c>
      <c r="E27" s="77" t="s">
        <v>914</v>
      </c>
      <c r="F27" s="81" t="s">
        <v>912</v>
      </c>
      <c r="G27" s="63" t="s">
        <v>862</v>
      </c>
      <c r="H27" s="77" t="s">
        <v>915</v>
      </c>
      <c r="I27" s="81" t="s">
        <v>109</v>
      </c>
      <c r="J27" s="81" t="s">
        <v>521</v>
      </c>
    </row>
    <row r="28" customFormat="false" ht="31.5" hidden="false" customHeight="true" outlineLevel="0" collapsed="false">
      <c r="A28" s="92"/>
      <c r="B28" s="81" t="s">
        <v>21</v>
      </c>
      <c r="C28" s="89" t="n">
        <v>46321</v>
      </c>
      <c r="D28" s="81" t="n">
        <v>7</v>
      </c>
      <c r="E28" s="77" t="s">
        <v>916</v>
      </c>
      <c r="F28" s="81" t="s">
        <v>912</v>
      </c>
      <c r="G28" s="63" t="s">
        <v>862</v>
      </c>
      <c r="H28" s="77" t="s">
        <v>917</v>
      </c>
      <c r="I28" s="81" t="s">
        <v>918</v>
      </c>
      <c r="J28" s="81" t="s">
        <v>521</v>
      </c>
    </row>
    <row r="29" customFormat="false" ht="31.5" hidden="false" customHeight="true" outlineLevel="0" collapsed="false">
      <c r="A29" s="92"/>
      <c r="B29" s="81" t="s">
        <v>21</v>
      </c>
      <c r="C29" s="89" t="n">
        <v>46321</v>
      </c>
      <c r="D29" s="81" t="n">
        <v>8</v>
      </c>
      <c r="E29" s="77" t="s">
        <v>919</v>
      </c>
      <c r="F29" s="81" t="s">
        <v>861</v>
      </c>
      <c r="G29" s="63" t="s">
        <v>862</v>
      </c>
      <c r="H29" s="77" t="s">
        <v>920</v>
      </c>
      <c r="I29" s="81" t="s">
        <v>81</v>
      </c>
      <c r="J29" s="81" t="s">
        <v>521</v>
      </c>
    </row>
    <row r="30" customFormat="false" ht="31.5" hidden="false" customHeight="true" outlineLevel="0" collapsed="false">
      <c r="A30" s="92"/>
      <c r="B30" s="81" t="s">
        <v>21</v>
      </c>
      <c r="C30" s="89" t="n">
        <v>46321</v>
      </c>
      <c r="D30" s="81" t="n">
        <v>9</v>
      </c>
      <c r="E30" s="77" t="s">
        <v>921</v>
      </c>
      <c r="F30" s="81" t="s">
        <v>900</v>
      </c>
      <c r="G30" s="63" t="s">
        <v>862</v>
      </c>
      <c r="H30" s="77" t="s">
        <v>922</v>
      </c>
      <c r="I30" s="81" t="s">
        <v>81</v>
      </c>
      <c r="J30" s="81" t="s">
        <v>521</v>
      </c>
    </row>
    <row r="31" customFormat="false" ht="31.5" hidden="false" customHeight="true" outlineLevel="0" collapsed="false">
      <c r="A31" s="93" t="s">
        <v>923</v>
      </c>
      <c r="B31" s="81" t="s">
        <v>24</v>
      </c>
      <c r="C31" s="89" t="n">
        <v>46342</v>
      </c>
      <c r="D31" s="81" t="n">
        <v>1</v>
      </c>
      <c r="E31" s="77" t="s">
        <v>924</v>
      </c>
      <c r="F31" s="81" t="s">
        <v>861</v>
      </c>
      <c r="G31" s="63" t="s">
        <v>862</v>
      </c>
      <c r="H31" s="77" t="s">
        <v>925</v>
      </c>
      <c r="I31" s="81" t="s">
        <v>81</v>
      </c>
      <c r="J31" s="81" t="s">
        <v>521</v>
      </c>
    </row>
    <row r="32" customFormat="false" ht="31.5" hidden="false" customHeight="true" outlineLevel="0" collapsed="false">
      <c r="A32" s="93"/>
      <c r="B32" s="81" t="s">
        <v>24</v>
      </c>
      <c r="C32" s="89" t="n">
        <v>46342</v>
      </c>
      <c r="D32" s="81" t="n">
        <v>2</v>
      </c>
      <c r="E32" s="77" t="s">
        <v>926</v>
      </c>
      <c r="F32" s="81" t="s">
        <v>912</v>
      </c>
      <c r="G32" s="63" t="s">
        <v>862</v>
      </c>
      <c r="H32" s="77" t="s">
        <v>927</v>
      </c>
      <c r="I32" s="81" t="s">
        <v>81</v>
      </c>
      <c r="J32" s="81" t="s">
        <v>521</v>
      </c>
    </row>
    <row r="33" customFormat="false" ht="31.5" hidden="false" customHeight="true" outlineLevel="0" collapsed="false">
      <c r="A33" s="93"/>
      <c r="B33" s="81" t="s">
        <v>24</v>
      </c>
      <c r="C33" s="89" t="n">
        <v>46342</v>
      </c>
      <c r="D33" s="81" t="n">
        <v>3</v>
      </c>
      <c r="E33" s="77" t="s">
        <v>928</v>
      </c>
      <c r="F33" s="81" t="s">
        <v>912</v>
      </c>
      <c r="G33" s="91" t="s">
        <v>897</v>
      </c>
      <c r="H33" s="77" t="s">
        <v>929</v>
      </c>
      <c r="I33" s="81" t="s">
        <v>81</v>
      </c>
      <c r="J33" s="81" t="s">
        <v>521</v>
      </c>
    </row>
    <row r="34" customFormat="false" ht="31.5" hidden="false" customHeight="true" outlineLevel="0" collapsed="false">
      <c r="A34" s="93"/>
      <c r="B34" s="81" t="s">
        <v>24</v>
      </c>
      <c r="C34" s="89" t="n">
        <v>46342</v>
      </c>
      <c r="D34" s="81" t="n">
        <v>4</v>
      </c>
      <c r="E34" s="77" t="s">
        <v>930</v>
      </c>
      <c r="F34" s="81" t="s">
        <v>861</v>
      </c>
      <c r="G34" s="63" t="s">
        <v>862</v>
      </c>
      <c r="H34" s="77" t="s">
        <v>931</v>
      </c>
      <c r="I34" s="81" t="s">
        <v>109</v>
      </c>
      <c r="J34" s="81" t="s">
        <v>521</v>
      </c>
    </row>
    <row r="35" customFormat="false" ht="31.5" hidden="false" customHeight="true" outlineLevel="0" collapsed="false">
      <c r="A35" s="93"/>
      <c r="B35" s="81" t="s">
        <v>24</v>
      </c>
      <c r="C35" s="89" t="n">
        <v>46342</v>
      </c>
      <c r="D35" s="81" t="n">
        <v>5</v>
      </c>
      <c r="E35" s="77" t="s">
        <v>932</v>
      </c>
      <c r="F35" s="81" t="s">
        <v>861</v>
      </c>
      <c r="G35" s="63" t="s">
        <v>862</v>
      </c>
      <c r="H35" s="77" t="s">
        <v>933</v>
      </c>
      <c r="I35" s="81" t="s">
        <v>81</v>
      </c>
      <c r="J35" s="81" t="s">
        <v>521</v>
      </c>
    </row>
    <row r="36" customFormat="false" ht="31.5" hidden="false" customHeight="true" outlineLevel="0" collapsed="false">
      <c r="A36" s="93"/>
      <c r="B36" s="81" t="s">
        <v>24</v>
      </c>
      <c r="C36" s="89" t="n">
        <v>46342</v>
      </c>
      <c r="D36" s="81" t="n">
        <v>6</v>
      </c>
      <c r="E36" s="77" t="s">
        <v>934</v>
      </c>
      <c r="F36" s="81" t="s">
        <v>861</v>
      </c>
      <c r="G36" s="91" t="s">
        <v>897</v>
      </c>
      <c r="H36" s="77" t="s">
        <v>935</v>
      </c>
      <c r="I36" s="81" t="s">
        <v>81</v>
      </c>
      <c r="J36" s="81" t="s">
        <v>521</v>
      </c>
    </row>
    <row r="37" customFormat="false" ht="31.5" hidden="false" customHeight="true" outlineLevel="0" collapsed="false">
      <c r="A37" s="93"/>
      <c r="B37" s="81" t="s">
        <v>24</v>
      </c>
      <c r="C37" s="89" t="n">
        <v>46342</v>
      </c>
      <c r="D37" s="81" t="n">
        <v>7</v>
      </c>
      <c r="E37" s="77" t="s">
        <v>936</v>
      </c>
      <c r="F37" s="81" t="s">
        <v>900</v>
      </c>
      <c r="G37" s="63" t="s">
        <v>862</v>
      </c>
      <c r="H37" s="77" t="s">
        <v>937</v>
      </c>
      <c r="I37" s="81" t="s">
        <v>81</v>
      </c>
      <c r="J37" s="81" t="s">
        <v>521</v>
      </c>
    </row>
    <row r="38" customFormat="false" ht="31.5" hidden="false" customHeight="true" outlineLevel="0" collapsed="false">
      <c r="A38" s="93"/>
      <c r="B38" s="81" t="s">
        <v>24</v>
      </c>
      <c r="C38" s="89" t="n">
        <v>46342</v>
      </c>
      <c r="D38" s="81" t="n">
        <v>8</v>
      </c>
      <c r="E38" s="77" t="s">
        <v>938</v>
      </c>
      <c r="F38" s="81" t="s">
        <v>939</v>
      </c>
      <c r="G38" s="81" t="s">
        <v>520</v>
      </c>
      <c r="H38" s="77" t="s">
        <v>940</v>
      </c>
      <c r="I38" s="81" t="s">
        <v>81</v>
      </c>
      <c r="J38" s="81" t="s">
        <v>520</v>
      </c>
    </row>
    <row r="39" customFormat="false" ht="31.5" hidden="false" customHeight="true" outlineLevel="0" collapsed="false">
      <c r="A39" s="94" t="s">
        <v>941</v>
      </c>
      <c r="B39" s="81" t="s">
        <v>28</v>
      </c>
      <c r="C39" s="89" t="n">
        <v>46370</v>
      </c>
      <c r="D39" s="81" t="n">
        <v>1</v>
      </c>
      <c r="E39" s="77" t="s">
        <v>942</v>
      </c>
      <c r="F39" s="81" t="s">
        <v>861</v>
      </c>
      <c r="G39" s="63" t="s">
        <v>862</v>
      </c>
      <c r="H39" s="77" t="s">
        <v>943</v>
      </c>
      <c r="I39" s="81" t="s">
        <v>81</v>
      </c>
      <c r="J39" s="81" t="s">
        <v>521</v>
      </c>
    </row>
    <row r="40" customFormat="false" ht="31.5" hidden="false" customHeight="true" outlineLevel="0" collapsed="false">
      <c r="A40" s="94"/>
      <c r="B40" s="81" t="s">
        <v>28</v>
      </c>
      <c r="C40" s="89" t="n">
        <v>46370</v>
      </c>
      <c r="D40" s="81" t="n">
        <v>2</v>
      </c>
      <c r="E40" s="77" t="s">
        <v>944</v>
      </c>
      <c r="F40" s="81" t="s">
        <v>861</v>
      </c>
      <c r="G40" s="63" t="s">
        <v>862</v>
      </c>
      <c r="H40" s="77" t="s">
        <v>945</v>
      </c>
      <c r="I40" s="81" t="s">
        <v>115</v>
      </c>
      <c r="J40" s="81" t="s">
        <v>521</v>
      </c>
    </row>
    <row r="41" customFormat="false" ht="31.5" hidden="false" customHeight="true" outlineLevel="0" collapsed="false">
      <c r="A41" s="94"/>
      <c r="B41" s="81" t="s">
        <v>28</v>
      </c>
      <c r="C41" s="89" t="n">
        <v>46370</v>
      </c>
      <c r="D41" s="81" t="n">
        <v>3</v>
      </c>
      <c r="E41" s="77" t="s">
        <v>946</v>
      </c>
      <c r="F41" s="81" t="s">
        <v>861</v>
      </c>
      <c r="G41" s="63" t="s">
        <v>862</v>
      </c>
      <c r="H41" s="77" t="s">
        <v>947</v>
      </c>
      <c r="I41" s="81" t="s">
        <v>112</v>
      </c>
      <c r="J41" s="81" t="s">
        <v>521</v>
      </c>
    </row>
    <row r="42" customFormat="false" ht="31.5" hidden="false" customHeight="true" outlineLevel="0" collapsed="false">
      <c r="A42" s="94"/>
      <c r="B42" s="81" t="s">
        <v>28</v>
      </c>
      <c r="C42" s="89" t="n">
        <v>46370</v>
      </c>
      <c r="D42" s="81" t="n">
        <v>4</v>
      </c>
      <c r="E42" s="77" t="s">
        <v>948</v>
      </c>
      <c r="F42" s="81" t="s">
        <v>869</v>
      </c>
      <c r="G42" s="63" t="s">
        <v>862</v>
      </c>
      <c r="H42" s="77" t="s">
        <v>949</v>
      </c>
      <c r="I42" s="81" t="s">
        <v>81</v>
      </c>
      <c r="J42" s="81" t="s">
        <v>521</v>
      </c>
    </row>
    <row r="43" customFormat="false" ht="31.5" hidden="false" customHeight="true" outlineLevel="0" collapsed="false">
      <c r="A43" s="94"/>
      <c r="B43" s="81" t="s">
        <v>28</v>
      </c>
      <c r="C43" s="89" t="n">
        <v>46370</v>
      </c>
      <c r="D43" s="81" t="n">
        <v>5</v>
      </c>
      <c r="E43" s="77" t="s">
        <v>950</v>
      </c>
      <c r="F43" s="81" t="s">
        <v>912</v>
      </c>
      <c r="G43" s="63" t="s">
        <v>862</v>
      </c>
      <c r="H43" s="77" t="s">
        <v>951</v>
      </c>
      <c r="I43" s="81" t="s">
        <v>118</v>
      </c>
      <c r="J43" s="81" t="s">
        <v>521</v>
      </c>
    </row>
    <row r="44" customFormat="false" ht="31.5" hidden="false" customHeight="true" outlineLevel="0" collapsed="false">
      <c r="A44" s="94"/>
      <c r="B44" s="81" t="s">
        <v>28</v>
      </c>
      <c r="C44" s="89" t="n">
        <v>46370</v>
      </c>
      <c r="D44" s="81" t="n">
        <v>6</v>
      </c>
      <c r="E44" s="77" t="s">
        <v>952</v>
      </c>
      <c r="F44" s="81" t="s">
        <v>900</v>
      </c>
      <c r="G44" s="63" t="s">
        <v>862</v>
      </c>
      <c r="H44" s="77" t="s">
        <v>953</v>
      </c>
      <c r="I44" s="81" t="s">
        <v>81</v>
      </c>
      <c r="J44" s="81" t="s">
        <v>521</v>
      </c>
    </row>
    <row r="45" customFormat="false" ht="31.5" hidden="false" customHeight="true" outlineLevel="0" collapsed="false">
      <c r="A45" s="94"/>
      <c r="B45" s="81" t="s">
        <v>28</v>
      </c>
      <c r="C45" s="89" t="n">
        <v>46370</v>
      </c>
      <c r="D45" s="81" t="n">
        <v>7</v>
      </c>
      <c r="E45" s="77" t="s">
        <v>954</v>
      </c>
      <c r="F45" s="81" t="s">
        <v>861</v>
      </c>
      <c r="G45" s="63" t="s">
        <v>862</v>
      </c>
      <c r="H45" s="77" t="s">
        <v>955</v>
      </c>
      <c r="I45" s="81" t="s">
        <v>118</v>
      </c>
      <c r="J45" s="81" t="s">
        <v>521</v>
      </c>
    </row>
    <row r="46" customFormat="false" ht="31.5" hidden="false" customHeight="true" outlineLevel="0" collapsed="false">
      <c r="A46" s="94"/>
      <c r="B46" s="81" t="s">
        <v>28</v>
      </c>
      <c r="C46" s="89" t="n">
        <v>46370</v>
      </c>
      <c r="D46" s="81" t="n">
        <v>8</v>
      </c>
      <c r="E46" s="77" t="s">
        <v>956</v>
      </c>
      <c r="F46" s="81" t="s">
        <v>861</v>
      </c>
      <c r="G46" s="63" t="s">
        <v>862</v>
      </c>
      <c r="H46" s="77" t="s">
        <v>957</v>
      </c>
      <c r="I46" s="81" t="s">
        <v>81</v>
      </c>
      <c r="J46" s="81" t="s">
        <v>521</v>
      </c>
    </row>
    <row r="47" customFormat="false" ht="31.5" hidden="false" customHeight="true" outlineLevel="0" collapsed="false">
      <c r="A47" s="94"/>
      <c r="B47" s="81" t="s">
        <v>28</v>
      </c>
      <c r="C47" s="89" t="n">
        <v>46370</v>
      </c>
      <c r="D47" s="81" t="n">
        <v>9</v>
      </c>
      <c r="E47" s="77" t="s">
        <v>958</v>
      </c>
      <c r="F47" s="81" t="s">
        <v>861</v>
      </c>
      <c r="G47" s="63" t="s">
        <v>862</v>
      </c>
      <c r="H47" s="77" t="s">
        <v>959</v>
      </c>
      <c r="I47" s="81" t="s">
        <v>81</v>
      </c>
      <c r="J47" s="81" t="s">
        <v>521</v>
      </c>
    </row>
    <row r="48" customFormat="false" ht="31.5" hidden="false" customHeight="true" outlineLevel="0" collapsed="false">
      <c r="A48" s="95" t="s">
        <v>960</v>
      </c>
      <c r="B48" s="81" t="s">
        <v>32</v>
      </c>
      <c r="C48" s="89" t="n">
        <v>46398</v>
      </c>
      <c r="D48" s="81" t="n">
        <v>1</v>
      </c>
      <c r="E48" s="77" t="s">
        <v>961</v>
      </c>
      <c r="F48" s="81" t="s">
        <v>861</v>
      </c>
      <c r="G48" s="91" t="s">
        <v>897</v>
      </c>
      <c r="H48" s="77" t="s">
        <v>962</v>
      </c>
      <c r="I48" s="81" t="s">
        <v>81</v>
      </c>
      <c r="J48" s="81" t="s">
        <v>521</v>
      </c>
    </row>
    <row r="49" customFormat="false" ht="31.5" hidden="false" customHeight="true" outlineLevel="0" collapsed="false">
      <c r="A49" s="95"/>
      <c r="B49" s="81" t="s">
        <v>32</v>
      </c>
      <c r="C49" s="89" t="n">
        <v>46398</v>
      </c>
      <c r="D49" s="81" t="n">
        <v>2</v>
      </c>
      <c r="E49" s="77" t="s">
        <v>963</v>
      </c>
      <c r="F49" s="81" t="s">
        <v>869</v>
      </c>
      <c r="G49" s="91" t="s">
        <v>897</v>
      </c>
      <c r="H49" s="77" t="s">
        <v>964</v>
      </c>
      <c r="I49" s="81" t="s">
        <v>81</v>
      </c>
      <c r="J49" s="81" t="s">
        <v>521</v>
      </c>
    </row>
    <row r="50" customFormat="false" ht="31.5" hidden="false" customHeight="true" outlineLevel="0" collapsed="false">
      <c r="A50" s="95"/>
      <c r="B50" s="81" t="s">
        <v>32</v>
      </c>
      <c r="C50" s="89" t="n">
        <v>46398</v>
      </c>
      <c r="D50" s="81" t="n">
        <v>3</v>
      </c>
      <c r="E50" s="77" t="s">
        <v>965</v>
      </c>
      <c r="F50" s="81" t="s">
        <v>861</v>
      </c>
      <c r="G50" s="91" t="s">
        <v>897</v>
      </c>
      <c r="H50" s="77" t="s">
        <v>966</v>
      </c>
      <c r="I50" s="81" t="s">
        <v>81</v>
      </c>
      <c r="J50" s="81" t="s">
        <v>521</v>
      </c>
    </row>
    <row r="51" customFormat="false" ht="31.5" hidden="false" customHeight="true" outlineLevel="0" collapsed="false">
      <c r="A51" s="95"/>
      <c r="B51" s="81" t="s">
        <v>32</v>
      </c>
      <c r="C51" s="89" t="n">
        <v>46398</v>
      </c>
      <c r="D51" s="81" t="n">
        <v>4</v>
      </c>
      <c r="E51" s="77" t="s">
        <v>967</v>
      </c>
      <c r="F51" s="81" t="s">
        <v>900</v>
      </c>
      <c r="G51" s="91" t="s">
        <v>897</v>
      </c>
      <c r="H51" s="77" t="s">
        <v>968</v>
      </c>
      <c r="I51" s="81" t="s">
        <v>81</v>
      </c>
      <c r="J51" s="81" t="s">
        <v>521</v>
      </c>
    </row>
    <row r="52" customFormat="false" ht="31.5" hidden="false" customHeight="true" outlineLevel="0" collapsed="false">
      <c r="A52" s="95"/>
      <c r="B52" s="81" t="s">
        <v>32</v>
      </c>
      <c r="C52" s="89" t="n">
        <v>46398</v>
      </c>
      <c r="D52" s="81" t="n">
        <v>5</v>
      </c>
      <c r="E52" s="77" t="s">
        <v>969</v>
      </c>
      <c r="F52" s="81" t="s">
        <v>861</v>
      </c>
      <c r="G52" s="91" t="s">
        <v>897</v>
      </c>
      <c r="H52" s="77" t="s">
        <v>970</v>
      </c>
      <c r="I52" s="81" t="s">
        <v>81</v>
      </c>
      <c r="J52" s="81" t="s">
        <v>521</v>
      </c>
    </row>
    <row r="53" customFormat="false" ht="31.5" hidden="false" customHeight="true" outlineLevel="0" collapsed="false">
      <c r="A53" s="95"/>
      <c r="B53" s="81" t="s">
        <v>32</v>
      </c>
      <c r="C53" s="89" t="n">
        <v>46398</v>
      </c>
      <c r="D53" s="81" t="n">
        <v>6</v>
      </c>
      <c r="E53" s="77" t="s">
        <v>971</v>
      </c>
      <c r="F53" s="81" t="s">
        <v>912</v>
      </c>
      <c r="G53" s="91" t="s">
        <v>897</v>
      </c>
      <c r="H53" s="77" t="s">
        <v>972</v>
      </c>
      <c r="I53" s="81" t="s">
        <v>81</v>
      </c>
      <c r="J53" s="81" t="s">
        <v>521</v>
      </c>
    </row>
    <row r="54" customFormat="false" ht="31.5" hidden="false" customHeight="true" outlineLevel="0" collapsed="false">
      <c r="A54" s="95"/>
      <c r="B54" s="81" t="s">
        <v>32</v>
      </c>
      <c r="C54" s="89" t="n">
        <v>46398</v>
      </c>
      <c r="D54" s="81" t="n">
        <v>7</v>
      </c>
      <c r="E54" s="77" t="s">
        <v>973</v>
      </c>
      <c r="F54" s="81" t="s">
        <v>939</v>
      </c>
      <c r="G54" s="81" t="s">
        <v>520</v>
      </c>
      <c r="H54" s="77" t="s">
        <v>974</v>
      </c>
      <c r="I54" s="81" t="s">
        <v>81</v>
      </c>
      <c r="J54" s="81" t="s">
        <v>520</v>
      </c>
    </row>
    <row r="56" customFormat="false" ht="15" hidden="false" customHeight="false" outlineLevel="0" collapsed="false">
      <c r="E56" s="44" t="s">
        <v>975</v>
      </c>
      <c r="G56" s="44" t="n">
        <f aca="false">COUNTA(E5:E54)</f>
        <v>50</v>
      </c>
    </row>
    <row r="57" customFormat="false" ht="15" hidden="false" customHeight="false" outlineLevel="0" collapsed="false">
      <c r="E57" s="44" t="s">
        <v>976</v>
      </c>
      <c r="G57" s="44" t="n">
        <f aca="false">COUNTIF(G5:G54,"Có")</f>
        <v>39</v>
      </c>
    </row>
    <row r="58" customFormat="false" ht="15" hidden="false" customHeight="false" outlineLevel="0" collapsed="false">
      <c r="E58" s="44" t="s">
        <v>977</v>
      </c>
      <c r="G58" s="83" t="n">
        <f aca="false">IFERROR(COUNTIFS(G5:G54,"Có",J5:J54,"Done")/COUNTIF(G5:G54,"Có"),0)</f>
        <v>0</v>
      </c>
    </row>
  </sheetData>
  <mergeCells count="8">
    <mergeCell ref="A1:J1"/>
    <mergeCell ref="A2:J2"/>
    <mergeCell ref="A5:A11"/>
    <mergeCell ref="A12:A21"/>
    <mergeCell ref="A22:A30"/>
    <mergeCell ref="A31:A38"/>
    <mergeCell ref="A39:A47"/>
    <mergeCell ref="A48:A54"/>
  </mergeCells>
  <dataValidations count="1">
    <dataValidation allowBlank="true" errorStyle="stop" operator="between" showDropDown="false" showErrorMessage="false" showInputMessage="false" sqref="J5:J54" type="list">
      <formula1>"Not Started,In Progress,Done,N/A"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G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5"/>
    <col collapsed="false" customWidth="true" hidden="false" outlineLevel="0" max="4" min="4" style="0" width="34"/>
    <col collapsed="false" customWidth="true" hidden="false" outlineLevel="0" max="5" min="5" style="0" width="40"/>
    <col collapsed="false" customWidth="true" hidden="false" outlineLevel="0" max="6" min="6" style="0" width="52"/>
    <col collapsed="false" customWidth="true" hidden="false" outlineLevel="0" max="7" min="7" style="0" width="14"/>
  </cols>
  <sheetData>
    <row r="1" customFormat="false" ht="30" hidden="false" customHeight="true" outlineLevel="0" collapsed="false">
      <c r="A1" s="1" t="s">
        <v>978</v>
      </c>
      <c r="B1" s="1"/>
      <c r="C1" s="1"/>
      <c r="D1" s="1"/>
      <c r="E1" s="1"/>
      <c r="F1" s="1"/>
      <c r="G1" s="1"/>
    </row>
    <row r="2" customFormat="false" ht="19.5" hidden="false" customHeight="true" outlineLevel="0" collapsed="false">
      <c r="A2" s="2" t="s">
        <v>979</v>
      </c>
      <c r="B2" s="2"/>
      <c r="C2" s="2"/>
      <c r="D2" s="2"/>
      <c r="E2" s="2"/>
      <c r="F2" s="2"/>
      <c r="G2" s="2"/>
    </row>
    <row r="4" customFormat="false" ht="24" hidden="false" customHeight="true" outlineLevel="0" collapsed="false">
      <c r="A4" s="50" t="s">
        <v>980</v>
      </c>
      <c r="B4" s="50"/>
      <c r="C4" s="50"/>
      <c r="D4" s="50"/>
      <c r="E4" s="50"/>
      <c r="F4" s="50"/>
      <c r="G4" s="50"/>
    </row>
    <row r="5" customFormat="false" ht="24" hidden="false" customHeight="true" outlineLevel="0" collapsed="false">
      <c r="A5" s="78" t="s">
        <v>3</v>
      </c>
      <c r="B5" s="78" t="s">
        <v>388</v>
      </c>
      <c r="C5" s="78" t="s">
        <v>981</v>
      </c>
    </row>
    <row r="6" customFormat="false" ht="27.75" hidden="false" customHeight="true" outlineLevel="0" collapsed="false">
      <c r="A6" s="79" t="s">
        <v>482</v>
      </c>
      <c r="B6" s="77" t="s">
        <v>982</v>
      </c>
      <c r="C6" s="77" t="s">
        <v>983</v>
      </c>
      <c r="D6" s="16"/>
      <c r="E6" s="16"/>
      <c r="F6" s="16"/>
      <c r="G6" s="16"/>
    </row>
    <row r="7" customFormat="false" ht="27.75" hidden="false" customHeight="true" outlineLevel="0" collapsed="false">
      <c r="A7" s="79" t="s">
        <v>485</v>
      </c>
      <c r="B7" s="77" t="s">
        <v>984</v>
      </c>
      <c r="C7" s="77" t="s">
        <v>985</v>
      </c>
      <c r="D7" s="16"/>
      <c r="E7" s="16"/>
      <c r="F7" s="16"/>
      <c r="G7" s="16"/>
    </row>
    <row r="8" customFormat="false" ht="27.75" hidden="false" customHeight="true" outlineLevel="0" collapsed="false">
      <c r="A8" s="79" t="s">
        <v>488</v>
      </c>
      <c r="B8" s="77" t="s">
        <v>986</v>
      </c>
      <c r="C8" s="77" t="s">
        <v>987</v>
      </c>
      <c r="D8" s="16"/>
      <c r="E8" s="16"/>
      <c r="F8" s="16"/>
      <c r="G8" s="16"/>
    </row>
    <row r="9" customFormat="false" ht="27.75" hidden="false" customHeight="true" outlineLevel="0" collapsed="false">
      <c r="A9" s="79" t="s">
        <v>491</v>
      </c>
      <c r="B9" s="77" t="s">
        <v>988</v>
      </c>
      <c r="C9" s="77" t="s">
        <v>989</v>
      </c>
      <c r="D9" s="16"/>
      <c r="E9" s="16"/>
      <c r="F9" s="16"/>
      <c r="G9" s="16"/>
    </row>
    <row r="10" customFormat="false" ht="27.75" hidden="false" customHeight="true" outlineLevel="0" collapsed="false">
      <c r="A10" s="79" t="s">
        <v>494</v>
      </c>
      <c r="B10" s="77" t="s">
        <v>990</v>
      </c>
      <c r="C10" s="77" t="s">
        <v>991</v>
      </c>
      <c r="D10" s="16"/>
      <c r="E10" s="16"/>
      <c r="F10" s="16"/>
      <c r="G10" s="16"/>
    </row>
    <row r="11" customFormat="false" ht="27.75" hidden="false" customHeight="true" outlineLevel="0" collapsed="false">
      <c r="A11" s="79" t="s">
        <v>497</v>
      </c>
      <c r="B11" s="77" t="s">
        <v>992</v>
      </c>
      <c r="C11" s="77" t="s">
        <v>993</v>
      </c>
      <c r="D11" s="16"/>
      <c r="E11" s="16"/>
      <c r="F11" s="16"/>
      <c r="G11" s="16"/>
    </row>
    <row r="13" customFormat="false" ht="24" hidden="false" customHeight="true" outlineLevel="0" collapsed="false">
      <c r="A13" s="50" t="s">
        <v>994</v>
      </c>
      <c r="B13" s="50"/>
      <c r="C13" s="50"/>
      <c r="D13" s="50"/>
      <c r="E13" s="50"/>
      <c r="F13" s="50"/>
      <c r="G13" s="50"/>
    </row>
    <row r="14" customFormat="false" ht="24" hidden="false" customHeight="true" outlineLevel="0" collapsed="false">
      <c r="A14" s="78" t="s">
        <v>995</v>
      </c>
      <c r="B14" s="78" t="s">
        <v>996</v>
      </c>
      <c r="C14" s="78" t="s">
        <v>997</v>
      </c>
      <c r="D14" s="78" t="s">
        <v>998</v>
      </c>
      <c r="E14" s="78" t="s">
        <v>999</v>
      </c>
      <c r="F14" s="78" t="s">
        <v>1000</v>
      </c>
      <c r="G14" s="78" t="s">
        <v>1001</v>
      </c>
    </row>
    <row r="15" customFormat="false" ht="57.75" hidden="false" customHeight="true" outlineLevel="0" collapsed="false">
      <c r="A15" s="96" t="s">
        <v>1002</v>
      </c>
      <c r="B15" s="77" t="s">
        <v>1003</v>
      </c>
      <c r="C15" s="77" t="s">
        <v>1004</v>
      </c>
      <c r="D15" s="77" t="s">
        <v>1005</v>
      </c>
      <c r="E15" s="77" t="s">
        <v>1006</v>
      </c>
      <c r="F15" s="77" t="s">
        <v>81</v>
      </c>
      <c r="G15" s="77" t="s">
        <v>1007</v>
      </c>
    </row>
    <row r="16" customFormat="false" ht="57.75" hidden="false" customHeight="true" outlineLevel="0" collapsed="false">
      <c r="A16" s="82" t="s">
        <v>1008</v>
      </c>
      <c r="B16" s="77" t="s">
        <v>1009</v>
      </c>
      <c r="C16" s="77" t="s">
        <v>1010</v>
      </c>
      <c r="D16" s="77" t="s">
        <v>1011</v>
      </c>
      <c r="E16" s="77" t="s">
        <v>1012</v>
      </c>
      <c r="F16" s="77" t="s">
        <v>81</v>
      </c>
      <c r="G16" s="77" t="s">
        <v>1007</v>
      </c>
    </row>
    <row r="17" customFormat="false" ht="57.75" hidden="false" customHeight="true" outlineLevel="0" collapsed="false">
      <c r="A17" s="97" t="s">
        <v>1013</v>
      </c>
      <c r="B17" s="77" t="s">
        <v>1014</v>
      </c>
      <c r="C17" s="77" t="s">
        <v>1015</v>
      </c>
      <c r="D17" s="77" t="s">
        <v>1016</v>
      </c>
      <c r="E17" s="77" t="s">
        <v>1017</v>
      </c>
      <c r="F17" s="77" t="s">
        <v>81</v>
      </c>
      <c r="G17" s="77" t="s">
        <v>1007</v>
      </c>
    </row>
    <row r="18" customFormat="false" ht="57.75" hidden="false" customHeight="true" outlineLevel="0" collapsed="false">
      <c r="A18" s="80" t="s">
        <v>1018</v>
      </c>
      <c r="B18" s="77" t="s">
        <v>1019</v>
      </c>
      <c r="C18" s="77" t="s">
        <v>1020</v>
      </c>
      <c r="D18" s="77" t="s">
        <v>1021</v>
      </c>
      <c r="E18" s="77" t="s">
        <v>1022</v>
      </c>
      <c r="F18" s="77" t="s">
        <v>81</v>
      </c>
      <c r="G18" s="77" t="s">
        <v>1007</v>
      </c>
    </row>
    <row r="19" customFormat="false" ht="57.75" hidden="false" customHeight="true" outlineLevel="0" collapsed="false">
      <c r="A19" s="98" t="s">
        <v>1023</v>
      </c>
      <c r="B19" s="77" t="s">
        <v>1024</v>
      </c>
      <c r="C19" s="77" t="s">
        <v>1025</v>
      </c>
      <c r="D19" s="77" t="s">
        <v>1026</v>
      </c>
      <c r="E19" s="77" t="s">
        <v>1027</v>
      </c>
      <c r="F19" s="77" t="s">
        <v>81</v>
      </c>
      <c r="G19" s="77" t="s">
        <v>1007</v>
      </c>
    </row>
    <row r="21" customFormat="false" ht="24" hidden="false" customHeight="true" outlineLevel="0" collapsed="false">
      <c r="A21" s="50" t="s">
        <v>1028</v>
      </c>
      <c r="B21" s="50"/>
      <c r="C21" s="50"/>
      <c r="D21" s="50"/>
      <c r="E21" s="50"/>
      <c r="F21" s="50"/>
      <c r="G21" s="50"/>
    </row>
    <row r="22" customFormat="false" ht="24" hidden="false" customHeight="true" outlineLevel="0" collapsed="false">
      <c r="A22" s="78" t="s">
        <v>3</v>
      </c>
      <c r="B22" s="78" t="s">
        <v>1029</v>
      </c>
      <c r="C22" s="78" t="s">
        <v>1030</v>
      </c>
      <c r="D22" s="78" t="s">
        <v>1031</v>
      </c>
      <c r="E22" s="78" t="s">
        <v>1032</v>
      </c>
      <c r="F22" s="78" t="s">
        <v>1033</v>
      </c>
      <c r="G22" s="78" t="s">
        <v>286</v>
      </c>
    </row>
    <row r="23" customFormat="false" ht="43.5" hidden="false" customHeight="true" outlineLevel="0" collapsed="false">
      <c r="A23" s="79" t="s">
        <v>1034</v>
      </c>
      <c r="B23" s="77" t="s">
        <v>1035</v>
      </c>
      <c r="C23" s="77" t="s">
        <v>1036</v>
      </c>
      <c r="D23" s="77" t="s">
        <v>1037</v>
      </c>
      <c r="E23" s="77" t="s">
        <v>1038</v>
      </c>
      <c r="F23" s="77" t="s">
        <v>1039</v>
      </c>
      <c r="G23" s="77" t="s">
        <v>1040</v>
      </c>
    </row>
    <row r="24" customFormat="false" ht="43.5" hidden="false" customHeight="true" outlineLevel="0" collapsed="false">
      <c r="A24" s="79" t="s">
        <v>542</v>
      </c>
      <c r="B24" s="81" t="s">
        <v>1041</v>
      </c>
      <c r="C24" s="77" t="s">
        <v>1042</v>
      </c>
      <c r="D24" s="77" t="s">
        <v>1043</v>
      </c>
      <c r="E24" s="77" t="s">
        <v>1044</v>
      </c>
      <c r="F24" s="77" t="s">
        <v>1045</v>
      </c>
      <c r="G24" s="77" t="s">
        <v>1040</v>
      </c>
    </row>
    <row r="25" customFormat="false" ht="43.5" hidden="false" customHeight="true" outlineLevel="0" collapsed="false">
      <c r="A25" s="79" t="s">
        <v>547</v>
      </c>
      <c r="B25" s="81" t="s">
        <v>1046</v>
      </c>
      <c r="C25" s="77" t="s">
        <v>1047</v>
      </c>
      <c r="D25" s="77" t="s">
        <v>1048</v>
      </c>
      <c r="E25" s="77" t="s">
        <v>1049</v>
      </c>
      <c r="F25" s="77" t="s">
        <v>1050</v>
      </c>
      <c r="G25" s="77" t="s">
        <v>1040</v>
      </c>
    </row>
    <row r="26" customFormat="false" ht="43.5" hidden="false" customHeight="true" outlineLevel="0" collapsed="false">
      <c r="A26" s="79" t="s">
        <v>554</v>
      </c>
      <c r="B26" s="81" t="s">
        <v>1051</v>
      </c>
      <c r="C26" s="77" t="s">
        <v>1052</v>
      </c>
      <c r="D26" s="77" t="s">
        <v>1053</v>
      </c>
      <c r="E26" s="77" t="s">
        <v>1054</v>
      </c>
      <c r="F26" s="77" t="s">
        <v>1055</v>
      </c>
      <c r="G26" s="77" t="s">
        <v>1040</v>
      </c>
    </row>
    <row r="27" customFormat="false" ht="43.5" hidden="false" customHeight="true" outlineLevel="0" collapsed="false">
      <c r="A27" s="79" t="s">
        <v>1056</v>
      </c>
      <c r="B27" s="77" t="s">
        <v>1057</v>
      </c>
      <c r="C27" s="77" t="s">
        <v>1058</v>
      </c>
      <c r="D27" s="77" t="s">
        <v>1059</v>
      </c>
      <c r="E27" s="77" t="s">
        <v>1060</v>
      </c>
      <c r="F27" s="77" t="s">
        <v>1061</v>
      </c>
      <c r="G27" s="77" t="s">
        <v>1040</v>
      </c>
    </row>
    <row r="28" customFormat="false" ht="43.5" hidden="false" customHeight="true" outlineLevel="0" collapsed="false">
      <c r="A28" s="79" t="s">
        <v>1062</v>
      </c>
      <c r="B28" s="77" t="s">
        <v>1063</v>
      </c>
      <c r="C28" s="77" t="s">
        <v>1064</v>
      </c>
      <c r="D28" s="77" t="s">
        <v>1065</v>
      </c>
      <c r="E28" s="77" t="s">
        <v>1066</v>
      </c>
      <c r="F28" s="77" t="s">
        <v>1067</v>
      </c>
      <c r="G28" s="77" t="s">
        <v>1040</v>
      </c>
    </row>
    <row r="30" customFormat="false" ht="24" hidden="false" customHeight="true" outlineLevel="0" collapsed="false">
      <c r="A30" s="50" t="s">
        <v>1068</v>
      </c>
      <c r="B30" s="50"/>
      <c r="C30" s="50"/>
      <c r="D30" s="50"/>
      <c r="E30" s="50"/>
      <c r="F30" s="50"/>
      <c r="G30" s="50"/>
    </row>
    <row r="31" customFormat="false" ht="24" hidden="false" customHeight="true" outlineLevel="0" collapsed="false">
      <c r="A31" s="78" t="s">
        <v>3</v>
      </c>
      <c r="B31" s="78" t="s">
        <v>1069</v>
      </c>
      <c r="C31" s="78" t="s">
        <v>1070</v>
      </c>
      <c r="D31" s="78" t="s">
        <v>1071</v>
      </c>
      <c r="E31" s="78" t="s">
        <v>1072</v>
      </c>
      <c r="F31" s="78" t="s">
        <v>1073</v>
      </c>
      <c r="G31" s="78" t="s">
        <v>1074</v>
      </c>
    </row>
    <row r="32" customFormat="false" ht="51.75" hidden="false" customHeight="true" outlineLevel="0" collapsed="false">
      <c r="A32" s="79" t="s">
        <v>1075</v>
      </c>
      <c r="B32" s="77" t="s">
        <v>1076</v>
      </c>
      <c r="C32" s="77" t="s">
        <v>536</v>
      </c>
      <c r="D32" s="77" t="s">
        <v>551</v>
      </c>
      <c r="E32" s="77" t="s">
        <v>1077</v>
      </c>
      <c r="F32" s="77" t="s">
        <v>1078</v>
      </c>
      <c r="G32" s="77" t="s">
        <v>81</v>
      </c>
    </row>
    <row r="33" customFormat="false" ht="51.75" hidden="false" customHeight="true" outlineLevel="0" collapsed="false">
      <c r="A33" s="79" t="s">
        <v>1079</v>
      </c>
      <c r="B33" s="77" t="s">
        <v>1080</v>
      </c>
      <c r="C33" s="77" t="s">
        <v>536</v>
      </c>
      <c r="D33" s="77" t="s">
        <v>536</v>
      </c>
      <c r="E33" s="77" t="s">
        <v>1081</v>
      </c>
      <c r="F33" s="77" t="s">
        <v>1082</v>
      </c>
      <c r="G33" s="77" t="s">
        <v>118</v>
      </c>
    </row>
    <row r="34" customFormat="false" ht="51.75" hidden="false" customHeight="true" outlineLevel="0" collapsed="false">
      <c r="A34" s="79" t="s">
        <v>1083</v>
      </c>
      <c r="B34" s="77" t="s">
        <v>1084</v>
      </c>
      <c r="C34" s="77" t="s">
        <v>518</v>
      </c>
      <c r="D34" s="77" t="s">
        <v>518</v>
      </c>
      <c r="E34" s="77" t="s">
        <v>1085</v>
      </c>
      <c r="F34" s="77" t="s">
        <v>1086</v>
      </c>
      <c r="G34" s="77" t="s">
        <v>109</v>
      </c>
    </row>
    <row r="35" customFormat="false" ht="51.75" hidden="false" customHeight="true" outlineLevel="0" collapsed="false">
      <c r="A35" s="79" t="s">
        <v>1087</v>
      </c>
      <c r="B35" s="77" t="s">
        <v>1088</v>
      </c>
      <c r="C35" s="77" t="s">
        <v>518</v>
      </c>
      <c r="D35" s="77" t="s">
        <v>536</v>
      </c>
      <c r="E35" s="77" t="s">
        <v>1089</v>
      </c>
      <c r="F35" s="77" t="s">
        <v>1090</v>
      </c>
      <c r="G35" s="77" t="s">
        <v>81</v>
      </c>
    </row>
    <row r="36" customFormat="false" ht="51.75" hidden="false" customHeight="true" outlineLevel="0" collapsed="false">
      <c r="A36" s="79" t="s">
        <v>1091</v>
      </c>
      <c r="B36" s="77" t="s">
        <v>1092</v>
      </c>
      <c r="C36" s="77" t="s">
        <v>518</v>
      </c>
      <c r="D36" s="77" t="s">
        <v>536</v>
      </c>
      <c r="E36" s="77" t="s">
        <v>1093</v>
      </c>
      <c r="F36" s="77" t="s">
        <v>1094</v>
      </c>
      <c r="G36" s="77" t="s">
        <v>81</v>
      </c>
    </row>
    <row r="37" customFormat="false" ht="51.75" hidden="false" customHeight="true" outlineLevel="0" collapsed="false">
      <c r="A37" s="79" t="s">
        <v>1095</v>
      </c>
      <c r="B37" s="77" t="s">
        <v>1096</v>
      </c>
      <c r="C37" s="77" t="s">
        <v>536</v>
      </c>
      <c r="D37" s="77" t="s">
        <v>536</v>
      </c>
      <c r="E37" s="77" t="s">
        <v>1097</v>
      </c>
      <c r="F37" s="77" t="s">
        <v>1098</v>
      </c>
      <c r="G37" s="77" t="s">
        <v>81</v>
      </c>
    </row>
    <row r="38" customFormat="false" ht="51.75" hidden="false" customHeight="true" outlineLevel="0" collapsed="false">
      <c r="A38" s="79" t="s">
        <v>1099</v>
      </c>
      <c r="B38" s="77" t="s">
        <v>1100</v>
      </c>
      <c r="C38" s="77" t="s">
        <v>518</v>
      </c>
      <c r="D38" s="77" t="s">
        <v>551</v>
      </c>
      <c r="E38" s="77" t="s">
        <v>1101</v>
      </c>
      <c r="F38" s="77" t="s">
        <v>1102</v>
      </c>
      <c r="G38" s="77" t="s">
        <v>118</v>
      </c>
    </row>
    <row r="39" customFormat="false" ht="51.75" hidden="false" customHeight="true" outlineLevel="0" collapsed="false">
      <c r="A39" s="79" t="s">
        <v>1103</v>
      </c>
      <c r="B39" s="77" t="s">
        <v>1104</v>
      </c>
      <c r="C39" s="77" t="s">
        <v>526</v>
      </c>
      <c r="D39" s="77" t="s">
        <v>536</v>
      </c>
      <c r="E39" s="77" t="s">
        <v>1105</v>
      </c>
      <c r="F39" s="77" t="s">
        <v>1106</v>
      </c>
      <c r="G39" s="77" t="s">
        <v>81</v>
      </c>
    </row>
    <row r="41" customFormat="false" ht="24" hidden="false" customHeight="true" outlineLevel="0" collapsed="false">
      <c r="A41" s="50" t="s">
        <v>1107</v>
      </c>
      <c r="B41" s="50"/>
      <c r="C41" s="50"/>
      <c r="D41" s="50"/>
      <c r="E41" s="50"/>
      <c r="F41" s="50"/>
      <c r="G41" s="50"/>
    </row>
    <row r="42" customFormat="false" ht="24" hidden="false" customHeight="true" outlineLevel="0" collapsed="false">
      <c r="A42" s="78" t="s">
        <v>3</v>
      </c>
      <c r="B42" s="78" t="s">
        <v>1108</v>
      </c>
      <c r="C42" s="78" t="s">
        <v>1109</v>
      </c>
      <c r="D42" s="78" t="s">
        <v>1110</v>
      </c>
      <c r="E42" s="78" t="s">
        <v>1111</v>
      </c>
      <c r="F42" s="78" t="s">
        <v>1112</v>
      </c>
      <c r="G42" s="78" t="s">
        <v>939</v>
      </c>
    </row>
    <row r="43" customFormat="false" ht="21.75" hidden="false" customHeight="true" outlineLevel="0" collapsed="false">
      <c r="A43" s="99" t="n">
        <v>1</v>
      </c>
      <c r="B43" s="100"/>
      <c r="C43" s="101"/>
      <c r="D43" s="101"/>
      <c r="E43" s="101"/>
      <c r="F43" s="101"/>
      <c r="G43" s="101"/>
    </row>
    <row r="44" customFormat="false" ht="21.75" hidden="false" customHeight="true" outlineLevel="0" collapsed="false">
      <c r="A44" s="99" t="n">
        <v>2</v>
      </c>
      <c r="B44" s="100"/>
      <c r="C44" s="101"/>
      <c r="D44" s="101"/>
      <c r="E44" s="101"/>
      <c r="F44" s="101"/>
      <c r="G44" s="101"/>
    </row>
    <row r="45" customFormat="false" ht="21.75" hidden="false" customHeight="true" outlineLevel="0" collapsed="false">
      <c r="A45" s="99" t="n">
        <v>3</v>
      </c>
      <c r="B45" s="100"/>
      <c r="C45" s="101"/>
      <c r="D45" s="101"/>
      <c r="E45" s="101"/>
      <c r="F45" s="101"/>
      <c r="G45" s="101"/>
    </row>
    <row r="46" customFormat="false" ht="21.75" hidden="false" customHeight="true" outlineLevel="0" collapsed="false">
      <c r="A46" s="99" t="n">
        <v>4</v>
      </c>
      <c r="B46" s="100"/>
      <c r="C46" s="101"/>
      <c r="D46" s="101"/>
      <c r="E46" s="101"/>
      <c r="F46" s="101"/>
      <c r="G46" s="101"/>
    </row>
    <row r="47" customFormat="false" ht="21.75" hidden="false" customHeight="true" outlineLevel="0" collapsed="false">
      <c r="A47" s="99" t="n">
        <v>5</v>
      </c>
      <c r="B47" s="100"/>
      <c r="C47" s="101"/>
      <c r="D47" s="101"/>
      <c r="E47" s="101"/>
      <c r="F47" s="101"/>
      <c r="G47" s="101"/>
    </row>
    <row r="48" customFormat="false" ht="21.75" hidden="false" customHeight="true" outlineLevel="0" collapsed="false">
      <c r="A48" s="99" t="n">
        <v>6</v>
      </c>
      <c r="B48" s="100"/>
      <c r="C48" s="101"/>
      <c r="D48" s="101"/>
      <c r="E48" s="101"/>
      <c r="F48" s="101"/>
      <c r="G48" s="101"/>
    </row>
    <row r="49" customFormat="false" ht="21.75" hidden="false" customHeight="true" outlineLevel="0" collapsed="false">
      <c r="A49" s="99" t="n">
        <v>7</v>
      </c>
      <c r="B49" s="100"/>
      <c r="C49" s="101"/>
      <c r="D49" s="101"/>
      <c r="E49" s="101"/>
      <c r="F49" s="101"/>
      <c r="G49" s="101"/>
    </row>
    <row r="50" customFormat="false" ht="21.75" hidden="false" customHeight="true" outlineLevel="0" collapsed="false">
      <c r="A50" s="99" t="n">
        <v>8</v>
      </c>
      <c r="B50" s="100"/>
      <c r="C50" s="101"/>
      <c r="D50" s="101"/>
      <c r="E50" s="101"/>
      <c r="F50" s="101"/>
      <c r="G50" s="101"/>
    </row>
    <row r="51" customFormat="false" ht="15" hidden="false" customHeight="false" outlineLevel="0" collapsed="false">
      <c r="B51" s="102" t="s">
        <v>1113</v>
      </c>
    </row>
  </sheetData>
  <mergeCells count="7">
    <mergeCell ref="A1:G1"/>
    <mergeCell ref="A2:G2"/>
    <mergeCell ref="A4:G4"/>
    <mergeCell ref="A13:G13"/>
    <mergeCell ref="A21:G21"/>
    <mergeCell ref="A30:G30"/>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2026-08-05T14:27:49Z</dcterms:created>
  <dc:creator>openpyxl</dc:creator>
  <dc:description/>
  <dc:language>en-US</dc:language>
  <cp:lastModifiedBy/>
  <dcterms:modified xsi:type="dcterms:W3CDTF">2026-08-05T14:27:49Z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