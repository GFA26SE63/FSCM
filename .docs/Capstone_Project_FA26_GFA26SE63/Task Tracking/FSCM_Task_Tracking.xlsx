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ien\Downloads\"/>
    </mc:Choice>
  </mc:AlternateContent>
  <xr:revisionPtr revIDLastSave="0" documentId="13_ncr:1_{3CFE8626-F6C6-4E4D-AEB5-79F68924B1B3}" xr6:coauthVersionLast="47" xr6:coauthVersionMax="47" xr10:uidLastSave="{00000000-0000-0000-0000-000000000000}"/>
  <bookViews>
    <workbookView xWindow="19090" yWindow="-110" windowWidth="19420" windowHeight="12220" tabRatio="500" firstSheet="1" activeTab="2" xr2:uid="{00000000-000D-0000-FFFF-FFFF00000000}"/>
  </bookViews>
  <sheets>
    <sheet name="Task_Tracking" sheetId="1" r:id="rId1"/>
    <sheet name="Team" sheetId="4" r:id="rId2"/>
    <sheet name="Dashboard" sheetId="2" r:id="rId3"/>
    <sheet name="Sprints" sheetId="3" r:id="rId4"/>
    <sheet name="Lists" sheetId="6" r:id="rId5"/>
    <sheet name="Huong_dan" sheetId="5" r:id="rId6"/>
  </sheets>
  <definedNames>
    <definedName name="_xlnm._FilterDatabase" localSheetId="0" hidden="1">Task_Tracking!$A$4:$P$400</definedName>
    <definedName name="_xlnm.Print_Area" localSheetId="0">Task_Tracking!$A$1:$P$153</definedName>
    <definedName name="_xlnm.Print_Titles" localSheetId="0">Task_Tracking!$4:$4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3" l="1"/>
  <c r="C9" i="3"/>
  <c r="B9" i="3"/>
  <c r="B6" i="3"/>
  <c r="E9" i="4"/>
  <c r="D9" i="4"/>
  <c r="E8" i="4"/>
  <c r="D8" i="4"/>
  <c r="E7" i="4"/>
  <c r="D7" i="4"/>
  <c r="E6" i="4"/>
  <c r="D6" i="4"/>
  <c r="E5" i="4"/>
  <c r="D5" i="4"/>
  <c r="F8" i="3"/>
  <c r="E8" i="3"/>
  <c r="F7" i="3"/>
  <c r="E7" i="3"/>
  <c r="F6" i="3"/>
  <c r="E6" i="3"/>
  <c r="F5" i="3"/>
  <c r="E5" i="3"/>
  <c r="C5" i="3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I35" i="2"/>
  <c r="G35" i="2"/>
  <c r="E35" i="2"/>
  <c r="D35" i="2"/>
  <c r="C35" i="2"/>
  <c r="I34" i="2"/>
  <c r="G34" i="2"/>
  <c r="E34" i="2"/>
  <c r="D34" i="2"/>
  <c r="C34" i="2"/>
  <c r="I33" i="2"/>
  <c r="G33" i="2"/>
  <c r="E33" i="2"/>
  <c r="D33" i="2"/>
  <c r="C33" i="2"/>
  <c r="I32" i="2"/>
  <c r="G32" i="2"/>
  <c r="E32" i="2"/>
  <c r="D32" i="2"/>
  <c r="C32" i="2"/>
  <c r="I31" i="2"/>
  <c r="G31" i="2"/>
  <c r="E31" i="2"/>
  <c r="D31" i="2"/>
  <c r="C31" i="2"/>
  <c r="I30" i="2"/>
  <c r="G30" i="2"/>
  <c r="E30" i="2"/>
  <c r="D30" i="2"/>
  <c r="C30" i="2"/>
  <c r="I29" i="2"/>
  <c r="G29" i="2"/>
  <c r="E29" i="2"/>
  <c r="D29" i="2"/>
  <c r="C29" i="2"/>
  <c r="I28" i="2"/>
  <c r="G28" i="2"/>
  <c r="E28" i="2"/>
  <c r="D28" i="2"/>
  <c r="C28" i="2"/>
  <c r="I27" i="2"/>
  <c r="G27" i="2"/>
  <c r="E27" i="2"/>
  <c r="D27" i="2"/>
  <c r="C27" i="2"/>
  <c r="G23" i="2"/>
  <c r="E23" i="2"/>
  <c r="D23" i="2"/>
  <c r="C23" i="2"/>
  <c r="B23" i="2"/>
  <c r="A22" i="2"/>
  <c r="A21" i="2"/>
  <c r="A20" i="2"/>
  <c r="A19" i="2"/>
  <c r="A18" i="2"/>
  <c r="G13" i="2"/>
  <c r="E13" i="2"/>
  <c r="D13" i="2"/>
  <c r="C13" i="2"/>
  <c r="G12" i="2"/>
  <c r="E12" i="2"/>
  <c r="D12" i="2"/>
  <c r="C12" i="2"/>
  <c r="G11" i="2"/>
  <c r="E11" i="2"/>
  <c r="D11" i="2"/>
  <c r="C11" i="2"/>
  <c r="G10" i="2"/>
  <c r="E10" i="2"/>
  <c r="D10" i="2"/>
  <c r="C10" i="2"/>
  <c r="B10" i="2"/>
  <c r="F6" i="2"/>
  <c r="D6" i="2"/>
  <c r="B6" i="2"/>
  <c r="A6" i="2"/>
  <c r="M400" i="1"/>
  <c r="J400" i="1"/>
  <c r="M399" i="1"/>
  <c r="J399" i="1"/>
  <c r="M398" i="1"/>
  <c r="J398" i="1"/>
  <c r="M397" i="1"/>
  <c r="J397" i="1"/>
  <c r="M396" i="1"/>
  <c r="J396" i="1"/>
  <c r="M395" i="1"/>
  <c r="J395" i="1"/>
  <c r="M394" i="1"/>
  <c r="J394" i="1"/>
  <c r="M393" i="1"/>
  <c r="J393" i="1"/>
  <c r="M392" i="1"/>
  <c r="J392" i="1"/>
  <c r="M391" i="1"/>
  <c r="J391" i="1"/>
  <c r="M390" i="1"/>
  <c r="J390" i="1"/>
  <c r="M389" i="1"/>
  <c r="J389" i="1"/>
  <c r="M388" i="1"/>
  <c r="J388" i="1"/>
  <c r="M387" i="1"/>
  <c r="J387" i="1"/>
  <c r="M386" i="1"/>
  <c r="J386" i="1"/>
  <c r="M385" i="1"/>
  <c r="J385" i="1"/>
  <c r="M384" i="1"/>
  <c r="J384" i="1"/>
  <c r="M383" i="1"/>
  <c r="J383" i="1"/>
  <c r="M382" i="1"/>
  <c r="J382" i="1"/>
  <c r="M381" i="1"/>
  <c r="J381" i="1"/>
  <c r="M380" i="1"/>
  <c r="J380" i="1"/>
  <c r="M379" i="1"/>
  <c r="J379" i="1"/>
  <c r="M378" i="1"/>
  <c r="J378" i="1"/>
  <c r="M377" i="1"/>
  <c r="J377" i="1"/>
  <c r="M376" i="1"/>
  <c r="J376" i="1"/>
  <c r="M375" i="1"/>
  <c r="J375" i="1"/>
  <c r="M374" i="1"/>
  <c r="J374" i="1"/>
  <c r="M373" i="1"/>
  <c r="J373" i="1"/>
  <c r="M372" i="1"/>
  <c r="J372" i="1"/>
  <c r="M371" i="1"/>
  <c r="J371" i="1"/>
  <c r="M370" i="1"/>
  <c r="J370" i="1"/>
  <c r="M369" i="1"/>
  <c r="J369" i="1"/>
  <c r="M368" i="1"/>
  <c r="J368" i="1"/>
  <c r="M367" i="1"/>
  <c r="J367" i="1"/>
  <c r="M366" i="1"/>
  <c r="J366" i="1"/>
  <c r="M365" i="1"/>
  <c r="J365" i="1"/>
  <c r="M364" i="1"/>
  <c r="J364" i="1"/>
  <c r="M363" i="1"/>
  <c r="J363" i="1"/>
  <c r="M362" i="1"/>
  <c r="J362" i="1"/>
  <c r="M361" i="1"/>
  <c r="J361" i="1"/>
  <c r="M360" i="1"/>
  <c r="J360" i="1"/>
  <c r="M359" i="1"/>
  <c r="J359" i="1"/>
  <c r="M358" i="1"/>
  <c r="J358" i="1"/>
  <c r="M357" i="1"/>
  <c r="J357" i="1"/>
  <c r="M356" i="1"/>
  <c r="J356" i="1"/>
  <c r="M355" i="1"/>
  <c r="J355" i="1"/>
  <c r="M354" i="1"/>
  <c r="J354" i="1"/>
  <c r="M353" i="1"/>
  <c r="J353" i="1"/>
  <c r="M352" i="1"/>
  <c r="J352" i="1"/>
  <c r="M351" i="1"/>
  <c r="J351" i="1"/>
  <c r="M350" i="1"/>
  <c r="J350" i="1"/>
  <c r="M349" i="1"/>
  <c r="J349" i="1"/>
  <c r="M348" i="1"/>
  <c r="J348" i="1"/>
  <c r="M347" i="1"/>
  <c r="J347" i="1"/>
  <c r="M346" i="1"/>
  <c r="J346" i="1"/>
  <c r="M345" i="1"/>
  <c r="J345" i="1"/>
  <c r="M344" i="1"/>
  <c r="J344" i="1"/>
  <c r="M343" i="1"/>
  <c r="J343" i="1"/>
  <c r="M342" i="1"/>
  <c r="J342" i="1"/>
  <c r="M341" i="1"/>
  <c r="J341" i="1"/>
  <c r="M340" i="1"/>
  <c r="J340" i="1"/>
  <c r="M339" i="1"/>
  <c r="J339" i="1"/>
  <c r="M338" i="1"/>
  <c r="J338" i="1"/>
  <c r="M337" i="1"/>
  <c r="J337" i="1"/>
  <c r="M336" i="1"/>
  <c r="J336" i="1"/>
  <c r="M335" i="1"/>
  <c r="J335" i="1"/>
  <c r="M334" i="1"/>
  <c r="J334" i="1"/>
  <c r="M333" i="1"/>
  <c r="J333" i="1"/>
  <c r="M332" i="1"/>
  <c r="J332" i="1"/>
  <c r="M331" i="1"/>
  <c r="J331" i="1"/>
  <c r="M330" i="1"/>
  <c r="J330" i="1"/>
  <c r="M329" i="1"/>
  <c r="J329" i="1"/>
  <c r="M328" i="1"/>
  <c r="J328" i="1"/>
  <c r="M327" i="1"/>
  <c r="J327" i="1"/>
  <c r="M326" i="1"/>
  <c r="J326" i="1"/>
  <c r="M325" i="1"/>
  <c r="J325" i="1"/>
  <c r="M324" i="1"/>
  <c r="J324" i="1"/>
  <c r="M323" i="1"/>
  <c r="J323" i="1"/>
  <c r="M322" i="1"/>
  <c r="J322" i="1"/>
  <c r="M321" i="1"/>
  <c r="J321" i="1"/>
  <c r="M320" i="1"/>
  <c r="J320" i="1"/>
  <c r="M319" i="1"/>
  <c r="J319" i="1"/>
  <c r="M318" i="1"/>
  <c r="J318" i="1"/>
  <c r="M317" i="1"/>
  <c r="J317" i="1"/>
  <c r="M316" i="1"/>
  <c r="J316" i="1"/>
  <c r="M315" i="1"/>
  <c r="J315" i="1"/>
  <c r="M314" i="1"/>
  <c r="J314" i="1"/>
  <c r="M313" i="1"/>
  <c r="J313" i="1"/>
  <c r="M312" i="1"/>
  <c r="J312" i="1"/>
  <c r="M311" i="1"/>
  <c r="J311" i="1"/>
  <c r="M310" i="1"/>
  <c r="J310" i="1"/>
  <c r="M309" i="1"/>
  <c r="J309" i="1"/>
  <c r="M308" i="1"/>
  <c r="J308" i="1"/>
  <c r="M307" i="1"/>
  <c r="J307" i="1"/>
  <c r="M306" i="1"/>
  <c r="J306" i="1"/>
  <c r="M305" i="1"/>
  <c r="J305" i="1"/>
  <c r="M304" i="1"/>
  <c r="J304" i="1"/>
  <c r="M303" i="1"/>
  <c r="J303" i="1"/>
  <c r="M302" i="1"/>
  <c r="J302" i="1"/>
  <c r="M301" i="1"/>
  <c r="J301" i="1"/>
  <c r="M300" i="1"/>
  <c r="J300" i="1"/>
  <c r="M299" i="1"/>
  <c r="J299" i="1"/>
  <c r="M298" i="1"/>
  <c r="J298" i="1"/>
  <c r="M297" i="1"/>
  <c r="J297" i="1"/>
  <c r="M296" i="1"/>
  <c r="J296" i="1"/>
  <c r="M295" i="1"/>
  <c r="J295" i="1"/>
  <c r="M294" i="1"/>
  <c r="J294" i="1"/>
  <c r="M293" i="1"/>
  <c r="J293" i="1"/>
  <c r="M292" i="1"/>
  <c r="J292" i="1"/>
  <c r="M291" i="1"/>
  <c r="J291" i="1"/>
  <c r="M290" i="1"/>
  <c r="J290" i="1"/>
  <c r="M289" i="1"/>
  <c r="J289" i="1"/>
  <c r="M288" i="1"/>
  <c r="J288" i="1"/>
  <c r="M287" i="1"/>
  <c r="J287" i="1"/>
  <c r="M286" i="1"/>
  <c r="J286" i="1"/>
  <c r="M285" i="1"/>
  <c r="J285" i="1"/>
  <c r="M284" i="1"/>
  <c r="J284" i="1"/>
  <c r="M283" i="1"/>
  <c r="J283" i="1"/>
  <c r="M282" i="1"/>
  <c r="J282" i="1"/>
  <c r="M281" i="1"/>
  <c r="J281" i="1"/>
  <c r="M280" i="1"/>
  <c r="J280" i="1"/>
  <c r="M279" i="1"/>
  <c r="J279" i="1"/>
  <c r="M278" i="1"/>
  <c r="J278" i="1"/>
  <c r="M277" i="1"/>
  <c r="J277" i="1"/>
  <c r="M276" i="1"/>
  <c r="J276" i="1"/>
  <c r="M275" i="1"/>
  <c r="J275" i="1"/>
  <c r="M274" i="1"/>
  <c r="J274" i="1"/>
  <c r="M273" i="1"/>
  <c r="J273" i="1"/>
  <c r="M272" i="1"/>
  <c r="J272" i="1"/>
  <c r="M271" i="1"/>
  <c r="J271" i="1"/>
  <c r="M270" i="1"/>
  <c r="J270" i="1"/>
  <c r="M269" i="1"/>
  <c r="J269" i="1"/>
  <c r="M268" i="1"/>
  <c r="J268" i="1"/>
  <c r="M267" i="1"/>
  <c r="J267" i="1"/>
  <c r="M266" i="1"/>
  <c r="J266" i="1"/>
  <c r="M265" i="1"/>
  <c r="J265" i="1"/>
  <c r="M264" i="1"/>
  <c r="J264" i="1"/>
  <c r="M263" i="1"/>
  <c r="J263" i="1"/>
  <c r="M262" i="1"/>
  <c r="J262" i="1"/>
  <c r="M261" i="1"/>
  <c r="J261" i="1"/>
  <c r="M260" i="1"/>
  <c r="J260" i="1"/>
  <c r="M259" i="1"/>
  <c r="J259" i="1"/>
  <c r="M258" i="1"/>
  <c r="J258" i="1"/>
  <c r="M257" i="1"/>
  <c r="J257" i="1"/>
  <c r="M256" i="1"/>
  <c r="J256" i="1"/>
  <c r="M255" i="1"/>
  <c r="J255" i="1"/>
  <c r="M254" i="1"/>
  <c r="J254" i="1"/>
  <c r="M253" i="1"/>
  <c r="J253" i="1"/>
  <c r="M252" i="1"/>
  <c r="J252" i="1"/>
  <c r="M251" i="1"/>
  <c r="J251" i="1"/>
  <c r="M250" i="1"/>
  <c r="J250" i="1"/>
  <c r="M249" i="1"/>
  <c r="J249" i="1"/>
  <c r="M248" i="1"/>
  <c r="J248" i="1"/>
  <c r="M247" i="1"/>
  <c r="J247" i="1"/>
  <c r="M246" i="1"/>
  <c r="J246" i="1"/>
  <c r="M245" i="1"/>
  <c r="J245" i="1"/>
  <c r="M244" i="1"/>
  <c r="J244" i="1"/>
  <c r="M243" i="1"/>
  <c r="J243" i="1"/>
  <c r="M242" i="1"/>
  <c r="J242" i="1"/>
  <c r="M241" i="1"/>
  <c r="J241" i="1"/>
  <c r="M240" i="1"/>
  <c r="J240" i="1"/>
  <c r="M239" i="1"/>
  <c r="J239" i="1"/>
  <c r="M238" i="1"/>
  <c r="J238" i="1"/>
  <c r="M237" i="1"/>
  <c r="J237" i="1"/>
  <c r="M236" i="1"/>
  <c r="J236" i="1"/>
  <c r="M235" i="1"/>
  <c r="J235" i="1"/>
  <c r="M234" i="1"/>
  <c r="J234" i="1"/>
  <c r="M233" i="1"/>
  <c r="J233" i="1"/>
  <c r="M232" i="1"/>
  <c r="J232" i="1"/>
  <c r="M231" i="1"/>
  <c r="J231" i="1"/>
  <c r="M230" i="1"/>
  <c r="J230" i="1"/>
  <c r="M229" i="1"/>
  <c r="J229" i="1"/>
  <c r="M228" i="1"/>
  <c r="J228" i="1"/>
  <c r="M227" i="1"/>
  <c r="J227" i="1"/>
  <c r="M226" i="1"/>
  <c r="J226" i="1"/>
  <c r="M225" i="1"/>
  <c r="J225" i="1"/>
  <c r="M224" i="1"/>
  <c r="J224" i="1"/>
  <c r="M223" i="1"/>
  <c r="J223" i="1"/>
  <c r="M222" i="1"/>
  <c r="J222" i="1"/>
  <c r="M221" i="1"/>
  <c r="J221" i="1"/>
  <c r="M220" i="1"/>
  <c r="J220" i="1"/>
  <c r="M219" i="1"/>
  <c r="J219" i="1"/>
  <c r="M218" i="1"/>
  <c r="J218" i="1"/>
  <c r="M217" i="1"/>
  <c r="J217" i="1"/>
  <c r="M216" i="1"/>
  <c r="J216" i="1"/>
  <c r="M215" i="1"/>
  <c r="J215" i="1"/>
  <c r="M214" i="1"/>
  <c r="J214" i="1"/>
  <c r="M213" i="1"/>
  <c r="J213" i="1"/>
  <c r="M212" i="1"/>
  <c r="J212" i="1"/>
  <c r="M211" i="1"/>
  <c r="J211" i="1"/>
  <c r="M210" i="1"/>
  <c r="J210" i="1"/>
  <c r="M209" i="1"/>
  <c r="J209" i="1"/>
  <c r="M208" i="1"/>
  <c r="J208" i="1"/>
  <c r="M207" i="1"/>
  <c r="J207" i="1"/>
  <c r="M206" i="1"/>
  <c r="J206" i="1"/>
  <c r="M205" i="1"/>
  <c r="J205" i="1"/>
  <c r="M204" i="1"/>
  <c r="J204" i="1"/>
  <c r="M203" i="1"/>
  <c r="J203" i="1"/>
  <c r="M202" i="1"/>
  <c r="J202" i="1"/>
  <c r="M201" i="1"/>
  <c r="J201" i="1"/>
  <c r="M200" i="1"/>
  <c r="J200" i="1"/>
  <c r="M199" i="1"/>
  <c r="J199" i="1"/>
  <c r="M198" i="1"/>
  <c r="J198" i="1"/>
  <c r="M197" i="1"/>
  <c r="J197" i="1"/>
  <c r="M196" i="1"/>
  <c r="J196" i="1"/>
  <c r="M195" i="1"/>
  <c r="J195" i="1"/>
  <c r="M194" i="1"/>
  <c r="J194" i="1"/>
  <c r="M193" i="1"/>
  <c r="J193" i="1"/>
  <c r="M192" i="1"/>
  <c r="J192" i="1"/>
  <c r="M191" i="1"/>
  <c r="J191" i="1"/>
  <c r="M190" i="1"/>
  <c r="J190" i="1"/>
  <c r="M189" i="1"/>
  <c r="J189" i="1"/>
  <c r="M188" i="1"/>
  <c r="J188" i="1"/>
  <c r="M187" i="1"/>
  <c r="J187" i="1"/>
  <c r="M186" i="1"/>
  <c r="J186" i="1"/>
  <c r="M185" i="1"/>
  <c r="J185" i="1"/>
  <c r="M184" i="1"/>
  <c r="J184" i="1"/>
  <c r="M183" i="1"/>
  <c r="J183" i="1"/>
  <c r="M182" i="1"/>
  <c r="J182" i="1"/>
  <c r="M181" i="1"/>
  <c r="J181" i="1"/>
  <c r="M180" i="1"/>
  <c r="J180" i="1"/>
  <c r="M179" i="1"/>
  <c r="J179" i="1"/>
  <c r="M178" i="1"/>
  <c r="J178" i="1"/>
  <c r="M177" i="1"/>
  <c r="J177" i="1"/>
  <c r="M176" i="1"/>
  <c r="J176" i="1"/>
  <c r="M175" i="1"/>
  <c r="J175" i="1"/>
  <c r="M174" i="1"/>
  <c r="J174" i="1"/>
  <c r="M173" i="1"/>
  <c r="J173" i="1"/>
  <c r="M172" i="1"/>
  <c r="J172" i="1"/>
  <c r="M171" i="1"/>
  <c r="J171" i="1"/>
  <c r="M170" i="1"/>
  <c r="J170" i="1"/>
  <c r="M169" i="1"/>
  <c r="J169" i="1"/>
  <c r="M168" i="1"/>
  <c r="J168" i="1"/>
  <c r="M167" i="1"/>
  <c r="J167" i="1"/>
  <c r="M166" i="1"/>
  <c r="J166" i="1"/>
  <c r="M165" i="1"/>
  <c r="J165" i="1"/>
  <c r="M164" i="1"/>
  <c r="J164" i="1"/>
  <c r="M163" i="1"/>
  <c r="J163" i="1"/>
  <c r="M162" i="1"/>
  <c r="J162" i="1"/>
  <c r="M161" i="1"/>
  <c r="J161" i="1"/>
  <c r="M160" i="1"/>
  <c r="J160" i="1"/>
  <c r="M159" i="1"/>
  <c r="J159" i="1"/>
  <c r="M158" i="1"/>
  <c r="J158" i="1"/>
  <c r="M157" i="1"/>
  <c r="J157" i="1"/>
  <c r="M156" i="1"/>
  <c r="J156" i="1"/>
  <c r="M155" i="1"/>
  <c r="J155" i="1"/>
  <c r="M154" i="1"/>
  <c r="J154" i="1"/>
  <c r="G22" i="2" l="1"/>
  <c r="E22" i="2"/>
  <c r="D22" i="2"/>
  <c r="C22" i="2"/>
  <c r="B22" i="2"/>
  <c r="F22" i="2" s="1"/>
  <c r="H22" i="2" s="1"/>
  <c r="F30" i="2"/>
  <c r="G39" i="2"/>
  <c r="H39" i="2" s="1"/>
  <c r="F31" i="2"/>
  <c r="F35" i="2"/>
  <c r="F33" i="2"/>
  <c r="F27" i="2"/>
  <c r="G41" i="2"/>
  <c r="H41" i="2" s="1"/>
  <c r="F34" i="2"/>
  <c r="F13" i="2"/>
  <c r="F23" i="2"/>
  <c r="H23" i="2" s="1"/>
  <c r="C6" i="2"/>
  <c r="E14" i="2"/>
  <c r="G8" i="3"/>
  <c r="G6" i="3"/>
  <c r="D14" i="2"/>
  <c r="F11" i="2"/>
  <c r="J12" i="2"/>
  <c r="F7" i="4"/>
  <c r="G7" i="3"/>
  <c r="G5" i="3"/>
  <c r="F28" i="2"/>
  <c r="F29" i="2"/>
  <c r="F12" i="2"/>
  <c r="F32" i="2"/>
  <c r="G40" i="2"/>
  <c r="H40" i="2" s="1"/>
  <c r="F9" i="4"/>
  <c r="F8" i="4"/>
  <c r="F6" i="4"/>
  <c r="F5" i="4"/>
  <c r="B7" i="3"/>
  <c r="C6" i="3"/>
  <c r="J26" i="1"/>
  <c r="J24" i="1"/>
  <c r="M21" i="1"/>
  <c r="J20" i="1"/>
  <c r="M17" i="1"/>
  <c r="M15" i="1"/>
  <c r="J14" i="1"/>
  <c r="M10" i="1"/>
  <c r="M8" i="1"/>
  <c r="J7" i="1"/>
  <c r="H5" i="3"/>
  <c r="M94" i="1"/>
  <c r="J93" i="1"/>
  <c r="M35" i="1"/>
  <c r="J28" i="1"/>
  <c r="M24" i="1"/>
  <c r="M23" i="1"/>
  <c r="M22" i="1"/>
  <c r="M20" i="1"/>
  <c r="J19" i="1"/>
  <c r="J16" i="1"/>
  <c r="J12" i="1"/>
  <c r="J8" i="1"/>
  <c r="J94" i="1"/>
  <c r="J36" i="1"/>
  <c r="M28" i="1"/>
  <c r="M26" i="1"/>
  <c r="M25" i="1"/>
  <c r="J25" i="1"/>
  <c r="J23" i="1"/>
  <c r="M19" i="1"/>
  <c r="M18" i="1"/>
  <c r="J17" i="1"/>
  <c r="J13" i="1"/>
  <c r="M9" i="1"/>
  <c r="M7" i="1"/>
  <c r="M5" i="1"/>
  <c r="M16" i="1"/>
  <c r="J34" i="1"/>
  <c r="M13" i="1"/>
  <c r="J10" i="1"/>
  <c r="M95" i="1"/>
  <c r="J95" i="1"/>
  <c r="M36" i="1"/>
  <c r="M34" i="1"/>
  <c r="J22" i="1"/>
  <c r="J15" i="1"/>
  <c r="J11" i="1"/>
  <c r="J6" i="1"/>
  <c r="J37" i="1"/>
  <c r="J21" i="1"/>
  <c r="J18" i="1"/>
  <c r="M14" i="1"/>
  <c r="M12" i="1"/>
  <c r="M11" i="1"/>
  <c r="J9" i="1"/>
  <c r="J5" i="1"/>
  <c r="M93" i="1"/>
  <c r="M92" i="1"/>
  <c r="J92" i="1"/>
  <c r="J35" i="1"/>
  <c r="M27" i="1"/>
  <c r="M37" i="1"/>
  <c r="J27" i="1"/>
  <c r="M6" i="1"/>
  <c r="C21" i="2"/>
  <c r="B21" i="2"/>
  <c r="E21" i="2"/>
  <c r="D21" i="2"/>
  <c r="G21" i="2"/>
  <c r="C20" i="2"/>
  <c r="E20" i="2"/>
  <c r="D20" i="2"/>
  <c r="G20" i="2"/>
  <c r="B20" i="2"/>
  <c r="B19" i="2"/>
  <c r="G19" i="2"/>
  <c r="E19" i="2"/>
  <c r="C19" i="2"/>
  <c r="D19" i="2"/>
  <c r="E18" i="2"/>
  <c r="C18" i="2"/>
  <c r="B18" i="2"/>
  <c r="D18" i="2"/>
  <c r="G18" i="2"/>
  <c r="G14" i="2"/>
  <c r="J10" i="2"/>
  <c r="J13" i="2"/>
  <c r="J11" i="2"/>
  <c r="C14" i="2"/>
  <c r="F10" i="2"/>
  <c r="K10" i="2" s="1"/>
  <c r="J110" i="1" l="1"/>
  <c r="J39" i="1"/>
  <c r="J40" i="1"/>
  <c r="H30" i="2"/>
  <c r="K30" i="2"/>
  <c r="H31" i="2"/>
  <c r="K31" i="2"/>
  <c r="H35" i="2"/>
  <c r="K35" i="2"/>
  <c r="H33" i="2"/>
  <c r="K33" i="2"/>
  <c r="H27" i="2"/>
  <c r="K27" i="2"/>
  <c r="H34" i="2"/>
  <c r="K34" i="2"/>
  <c r="H13" i="2"/>
  <c r="K13" i="2"/>
  <c r="K11" i="2"/>
  <c r="H11" i="2"/>
  <c r="F20" i="2"/>
  <c r="H20" i="2" s="1"/>
  <c r="H28" i="2"/>
  <c r="K28" i="2"/>
  <c r="H29" i="2"/>
  <c r="K29" i="2"/>
  <c r="H12" i="2"/>
  <c r="K12" i="2"/>
  <c r="H32" i="2"/>
  <c r="K32" i="2"/>
  <c r="F21" i="2"/>
  <c r="H21" i="2" s="1"/>
  <c r="C7" i="3"/>
  <c r="J83" i="1"/>
  <c r="J85" i="1"/>
  <c r="J87" i="1"/>
  <c r="J114" i="1"/>
  <c r="J117" i="1"/>
  <c r="J120" i="1"/>
  <c r="B8" i="3"/>
  <c r="M40" i="1"/>
  <c r="M41" i="1"/>
  <c r="M43" i="1"/>
  <c r="M44" i="1"/>
  <c r="M45" i="1"/>
  <c r="M52" i="1"/>
  <c r="M54" i="1"/>
  <c r="M55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31" i="1"/>
  <c r="M32" i="1"/>
  <c r="M39" i="1"/>
  <c r="M109" i="1"/>
  <c r="H6" i="3"/>
  <c r="M110" i="1"/>
  <c r="B11" i="2"/>
  <c r="M29" i="1"/>
  <c r="M38" i="1"/>
  <c r="M111" i="1"/>
  <c r="M30" i="1"/>
  <c r="M33" i="1"/>
  <c r="M42" i="1"/>
  <c r="M46" i="1"/>
  <c r="M53" i="1"/>
  <c r="M56" i="1"/>
  <c r="J27" i="2"/>
  <c r="I10" i="2"/>
  <c r="H10" i="2"/>
  <c r="I13" i="2"/>
  <c r="I12" i="2"/>
  <c r="F14" i="2"/>
  <c r="K14" i="2" s="1"/>
  <c r="I11" i="2"/>
  <c r="F19" i="2"/>
  <c r="H19" i="2" s="1"/>
  <c r="F18" i="2"/>
  <c r="H18" i="2" s="1"/>
  <c r="J61" i="1"/>
  <c r="J62" i="1"/>
  <c r="J63" i="1"/>
  <c r="J64" i="1"/>
  <c r="J65" i="1"/>
  <c r="J66" i="1"/>
  <c r="J38" i="1"/>
  <c r="J32" i="1"/>
  <c r="J29" i="1"/>
  <c r="J42" i="1"/>
  <c r="J31" i="1"/>
  <c r="J43" i="1"/>
  <c r="J111" i="1"/>
  <c r="J30" i="1"/>
  <c r="J67" i="1"/>
  <c r="J68" i="1"/>
  <c r="J69" i="1"/>
  <c r="J70" i="1"/>
  <c r="J45" i="1"/>
  <c r="J41" i="1"/>
  <c r="J71" i="1"/>
  <c r="J72" i="1"/>
  <c r="J73" i="1"/>
  <c r="J74" i="1"/>
  <c r="J75" i="1"/>
  <c r="J76" i="1"/>
  <c r="J77" i="1"/>
  <c r="J109" i="1"/>
  <c r="J55" i="1"/>
  <c r="J44" i="1"/>
  <c r="J46" i="1"/>
  <c r="J53" i="1"/>
  <c r="J54" i="1"/>
  <c r="J56" i="1"/>
  <c r="J57" i="1"/>
  <c r="J58" i="1"/>
  <c r="J59" i="1"/>
  <c r="J60" i="1"/>
  <c r="J33" i="1"/>
  <c r="J52" i="1"/>
  <c r="H14" i="2" l="1"/>
  <c r="M112" i="1"/>
  <c r="M115" i="1"/>
  <c r="M118" i="1"/>
  <c r="M143" i="1"/>
  <c r="M144" i="1"/>
  <c r="M83" i="1"/>
  <c r="M86" i="1"/>
  <c r="M114" i="1"/>
  <c r="M117" i="1"/>
  <c r="M120" i="1"/>
  <c r="M142" i="1"/>
  <c r="M49" i="1"/>
  <c r="M51" i="1"/>
  <c r="H7" i="3"/>
  <c r="M47" i="1"/>
  <c r="M48" i="1"/>
  <c r="M50" i="1"/>
  <c r="M78" i="1"/>
  <c r="M79" i="1"/>
  <c r="M80" i="1"/>
  <c r="M81" i="1"/>
  <c r="M82" i="1"/>
  <c r="M96" i="1"/>
  <c r="M97" i="1"/>
  <c r="M98" i="1"/>
  <c r="M99" i="1"/>
  <c r="M100" i="1"/>
  <c r="M101" i="1"/>
  <c r="M102" i="1"/>
  <c r="M103" i="1"/>
  <c r="M104" i="1"/>
  <c r="M105" i="1"/>
  <c r="M85" i="1"/>
  <c r="M88" i="1"/>
  <c r="M89" i="1"/>
  <c r="M90" i="1"/>
  <c r="M84" i="1"/>
  <c r="M87" i="1"/>
  <c r="M113" i="1"/>
  <c r="M116" i="1"/>
  <c r="M119" i="1"/>
  <c r="C8" i="3"/>
  <c r="J106" i="1"/>
  <c r="J107" i="1"/>
  <c r="J108" i="1"/>
  <c r="J91" i="1"/>
  <c r="J123" i="1"/>
  <c r="J121" i="1"/>
  <c r="J126" i="1"/>
  <c r="J148" i="1"/>
  <c r="J149" i="1"/>
  <c r="J151" i="1"/>
  <c r="J153" i="1"/>
  <c r="J125" i="1"/>
  <c r="J130" i="1"/>
  <c r="J134" i="1"/>
  <c r="J137" i="1"/>
  <c r="J140" i="1"/>
  <c r="J141" i="1"/>
  <c r="J145" i="1"/>
  <c r="J146" i="1"/>
  <c r="J150" i="1"/>
  <c r="J152" i="1"/>
  <c r="B13" i="2"/>
  <c r="J28" i="2"/>
  <c r="J142" i="1"/>
  <c r="J113" i="1"/>
  <c r="J116" i="1"/>
  <c r="J119" i="1"/>
  <c r="J144" i="1"/>
  <c r="J48" i="1"/>
  <c r="B12" i="2"/>
  <c r="J47" i="1"/>
  <c r="J49" i="1"/>
  <c r="J50" i="1"/>
  <c r="J51" i="1"/>
  <c r="J78" i="1"/>
  <c r="J79" i="1"/>
  <c r="J80" i="1"/>
  <c r="J81" i="1"/>
  <c r="J82" i="1"/>
  <c r="J84" i="1"/>
  <c r="J86" i="1"/>
  <c r="J96" i="1"/>
  <c r="J97" i="1"/>
  <c r="J98" i="1"/>
  <c r="J99" i="1"/>
  <c r="J100" i="1"/>
  <c r="J101" i="1"/>
  <c r="J102" i="1"/>
  <c r="J103" i="1"/>
  <c r="J104" i="1"/>
  <c r="J105" i="1"/>
  <c r="J88" i="1"/>
  <c r="J89" i="1"/>
  <c r="J90" i="1"/>
  <c r="J112" i="1"/>
  <c r="J115" i="1"/>
  <c r="J118" i="1"/>
  <c r="J143" i="1"/>
  <c r="J29" i="2" l="1"/>
  <c r="J32" i="2"/>
  <c r="M106" i="1"/>
  <c r="M107" i="1"/>
  <c r="M91" i="1"/>
  <c r="J30" i="2" s="1"/>
  <c r="M151" i="1"/>
  <c r="H8" i="3"/>
  <c r="G6" i="2" s="1"/>
  <c r="M122" i="1"/>
  <c r="M124" i="1"/>
  <c r="M127" i="1"/>
  <c r="M130" i="1"/>
  <c r="M133" i="1"/>
  <c r="M136" i="1"/>
  <c r="M139" i="1"/>
  <c r="M141" i="1"/>
  <c r="M146" i="1"/>
  <c r="M153" i="1"/>
  <c r="M121" i="1"/>
  <c r="M123" i="1"/>
  <c r="M126" i="1"/>
  <c r="M128" i="1"/>
  <c r="M131" i="1"/>
  <c r="M134" i="1"/>
  <c r="M137" i="1"/>
  <c r="M140" i="1"/>
  <c r="M145" i="1"/>
  <c r="M147" i="1"/>
  <c r="M148" i="1"/>
  <c r="M150" i="1"/>
  <c r="M152" i="1"/>
  <c r="M108" i="1"/>
  <c r="M125" i="1"/>
  <c r="M129" i="1"/>
  <c r="M132" i="1"/>
  <c r="M135" i="1"/>
  <c r="M138" i="1"/>
  <c r="M149" i="1"/>
  <c r="J129" i="1"/>
  <c r="J132" i="1"/>
  <c r="J135" i="1"/>
  <c r="J138" i="1"/>
  <c r="J147" i="1"/>
  <c r="J133" i="1"/>
  <c r="J136" i="1"/>
  <c r="J139" i="1"/>
  <c r="J122" i="1"/>
  <c r="J124" i="1"/>
  <c r="J127" i="1"/>
  <c r="J128" i="1"/>
  <c r="J131" i="1"/>
  <c r="J31" i="2" l="1"/>
  <c r="E6" i="2"/>
  <c r="J34" i="2"/>
  <c r="J33" i="2"/>
  <c r="J35" i="2"/>
</calcChain>
</file>

<file path=xl/sharedStrings.xml><?xml version="1.0" encoding="utf-8"?>
<sst xmlns="http://schemas.openxmlformats.org/spreadsheetml/2006/main" count="1780" uniqueCount="525">
  <si>
    <t>FSCM – Task tracking (Epic → Module → Chức năng → Backend / Portal / Mobile)</t>
  </si>
  <si>
    <t>Mỗi dòng là một task trên một nền tảng. Cột trắng: chọn PIC, Status, ngày, ghi chú. Cột xám tự tính. Lọc theo Epic / Module / Nền tảng / Sprint / PIC bằng nút lọc ở dòng tiêu đề.</t>
  </si>
  <si>
    <t>Task ID</t>
  </si>
  <si>
    <t>Epic</t>
  </si>
  <si>
    <t>Tên epic</t>
  </si>
  <si>
    <t>Module</t>
  </si>
  <si>
    <t>Chức năng</t>
  </si>
  <si>
    <t>Nền tảng</t>
  </si>
  <si>
    <t>Công việc</t>
  </si>
  <si>
    <t>Priority</t>
  </si>
  <si>
    <t>Sprint</t>
  </si>
  <si>
    <t>Thời gian sprint</t>
  </si>
  <si>
    <t>PIC</t>
  </si>
  <si>
    <t>Status</t>
  </si>
  <si>
    <t>Trễ hạn</t>
  </si>
  <si>
    <t>Bắt đầu</t>
  </si>
  <si>
    <t>Hoàn thành</t>
  </si>
  <si>
    <t>Ghi chú</t>
  </si>
  <si>
    <t>F08-BE</t>
  </si>
  <si>
    <t>E1</t>
  </si>
  <si>
    <t>Nền tảng &amp; xác thực</t>
  </si>
  <si>
    <t>Xác thực &amp; phân quyền</t>
  </si>
  <si>
    <t>Đăng nhập Portal</t>
  </si>
  <si>
    <t>Backend</t>
  </si>
  <si>
    <t>Entra ID JWT, /me trả vai trò + kho / khu vực</t>
  </si>
  <si>
    <t>High</t>
  </si>
  <si>
    <t>S1</t>
  </si>
  <si>
    <t>Khiết</t>
  </si>
  <si>
    <t>To Do</t>
  </si>
  <si>
    <t>F08-FE</t>
  </si>
  <si>
    <t>Portal</t>
  </si>
  <si>
    <t>MSAL đăng nhập, lưu token, xử lý 401</t>
  </si>
  <si>
    <t>Hoàng</t>
  </si>
  <si>
    <t>F09-BE</t>
  </si>
  <si>
    <t>Đăng nhập app mobile</t>
  </si>
  <si>
    <t>Chốt cách đăng nhập app (Entra hoặc endpoint riêng) và làm phần server</t>
  </si>
  <si>
    <t>Hải</t>
  </si>
  <si>
    <t>Mock đang dùng SĐT + mật khẩu</t>
  </si>
  <si>
    <t>F09-MB</t>
  </si>
  <si>
    <t>Mobile</t>
  </si>
  <si>
    <t>Màn đăng nhập, lưu token bảo mật, tự đăng nhập lại</t>
  </si>
  <si>
    <t>Sơn</t>
  </si>
  <si>
    <t>F10-BE</t>
  </si>
  <si>
    <t>Phân quyền theo vai trò</t>
  </si>
  <si>
    <t>[Authorize(Roles)] cho mọi API, kiểm tra phạm vi kho / vùng / retailer</t>
  </si>
  <si>
    <t>F10-FE</t>
  </si>
  <si>
    <t>Ẩn menu + chặn route theo vai trò</t>
  </si>
  <si>
    <t>F10-MB</t>
  </si>
  <si>
    <t>Điều hướng theo vai trò sau đăng nhập</t>
  </si>
  <si>
    <t>F11-BE</t>
  </si>
  <si>
    <t>E2</t>
  </si>
  <si>
    <t>Dữ liệu gốc</t>
  </si>
  <si>
    <t>Người dùng</t>
  </si>
  <si>
    <t>Seed Admin, không tạo Admin trên UI</t>
  </si>
  <si>
    <t>Seed Admin khi deploy, chặn tạo vai trò Admin</t>
  </si>
  <si>
    <t>Chốt 02/10</t>
  </si>
  <si>
    <t>F11-FE</t>
  </si>
  <si>
    <t>Form người dùng không có lựa chọn Admin</t>
  </si>
  <si>
    <t>F12-BE</t>
  </si>
  <si>
    <t>Quản lý người dùng</t>
  </si>
  <si>
    <t>API tạo / sửa / khóa, gán kho, khu vực, nhóm Sales, retailer</t>
  </si>
  <si>
    <t>F12-FE</t>
  </si>
  <si>
    <t>Danh sách, form tạo / sửa, khóa tài khoản</t>
  </si>
  <si>
    <t>F13-MB</t>
  </si>
  <si>
    <t>Hồ sơ cá nhân trên app</t>
  </si>
  <si>
    <t>Thông tin tài khoản, đăng xuất</t>
  </si>
  <si>
    <t>F14-BE</t>
  </si>
  <si>
    <t>Danh mục &amp; sản phẩm</t>
  </si>
  <si>
    <t>Danh mục sản phẩm</t>
  </si>
  <si>
    <t>API CRUD danh mục CAT-00</t>
  </si>
  <si>
    <t>F14-FE</t>
  </si>
  <si>
    <t>Màn danh mục: danh sách, tạo, sửa</t>
  </si>
  <si>
    <t>F15-BE</t>
  </si>
  <si>
    <t>Sản phẩm Nháp → Publish → Inactive</t>
  </si>
  <si>
    <t>Vòng đời sản phẩm, chặn sửa khi đã publish</t>
  </si>
  <si>
    <t>F15-FE</t>
  </si>
  <si>
    <t>Danh sách + form sản phẩm, nút Publish / Inactive</t>
  </si>
  <si>
    <t>F16-BE</t>
  </si>
  <si>
    <t>Clone sản phẩm để sửa</t>
  </si>
  <si>
    <t>API clone sang SKU mới</t>
  </si>
  <si>
    <t>F16-FE</t>
  </si>
  <si>
    <t>Nút "Tạo bản mới từ sản phẩm này"</t>
  </si>
  <si>
    <t>F17-BE</t>
  </si>
  <si>
    <t>Kho</t>
  </si>
  <si>
    <t>Quản lý kho</t>
  </si>
  <si>
    <t>API kho tổng / kho vùng WH-XX, tọa độ, thủ kho, tồn tối thiểu</t>
  </si>
  <si>
    <t>F17-FE</t>
  </si>
  <si>
    <t>Màn danh sách + form kho</t>
  </si>
  <si>
    <t>F18-BE</t>
  </si>
  <si>
    <t>Khu vực &amp; retailer</t>
  </si>
  <si>
    <t>Khu vực &amp; nhóm Sales</t>
  </si>
  <si>
    <t>API khu vực, nhóm Q12-A, gán Sales</t>
  </si>
  <si>
    <t>F18-FE</t>
  </si>
  <si>
    <t>Màn Khu vực &amp; nhóm Sales</t>
  </si>
  <si>
    <t>F19-BE</t>
  </si>
  <si>
    <t>Retailer + thông tin tiềm năng</t>
  </si>
  <si>
    <t>API retailer mã 8 số, GPS, tiềm năng (doanh thu dự báo, độ lớn, khả năng nhập)</t>
  </si>
  <si>
    <t>F19-FE</t>
  </si>
  <si>
    <t>Danh sách + chi tiết + form retailer</t>
  </si>
  <si>
    <t>F20-BE</t>
  </si>
  <si>
    <t>Retailer trong vùng trên app Sales</t>
  </si>
  <si>
    <t>API retailer theo vùng của Sales đăng nhập</t>
  </si>
  <si>
    <t>S2</t>
  </si>
  <si>
    <t>F20-MB</t>
  </si>
  <si>
    <t>Danh sách + chi tiết retailer, tìm kiếm</t>
  </si>
  <si>
    <t>F21-BE</t>
  </si>
  <si>
    <t>Khai báo retailer mới (KB)</t>
  </si>
  <si>
    <t>API tạo yêu cầu KB-0000, duyệt / từ chối, sinh mã retailer</t>
  </si>
  <si>
    <t>Medium</t>
  </si>
  <si>
    <t>F21-FE</t>
  </si>
  <si>
    <t>Màn duyệt yêu cầu KB</t>
  </si>
  <si>
    <t>F21-MB</t>
  </si>
  <si>
    <t>Form khai báo + danh sách yêu cầu đã gửi</t>
  </si>
  <si>
    <t>F22-BE</t>
  </si>
  <si>
    <t>MLOR theo retailer–SKU</t>
  </si>
  <si>
    <t>Bảng MLOR, API đọc / sửa, dùng chung cho phân bổ và luân chuyển</t>
  </si>
  <si>
    <t>F22-FE</t>
  </si>
  <si>
    <t>Tab MLOR trong chi tiết retailer</t>
  </si>
  <si>
    <t>F23-BE</t>
  </si>
  <si>
    <t>Kỳ hạn công nợ cho phép</t>
  </si>
  <si>
    <t>Trường kỳ hạn Không / 7 / 14 / 30 trên retailer</t>
  </si>
  <si>
    <t>F23-FE</t>
  </si>
  <si>
    <t>Chọn kỳ hạn trong form retailer</t>
  </si>
  <si>
    <t>F24-BE</t>
  </si>
  <si>
    <t>E3</t>
  </si>
  <si>
    <t>Bán hàng &amp; đơn hàng</t>
  </si>
  <si>
    <t>Khuyến mãi &amp; báo giá</t>
  </si>
  <si>
    <t>Khuyến mãi theo SKU / nhóm (KM)</t>
  </si>
  <si>
    <t>API khuyến mãi KM-000, hiệu lực, tạm dừng</t>
  </si>
  <si>
    <t>F24-FE</t>
  </si>
  <si>
    <t>Màn khuyến mãi: danh sách, tạo, tạm dừng</t>
  </si>
  <si>
    <t>F25-BE</t>
  </si>
  <si>
    <t>Báo giá khi đặt đơn</t>
  </si>
  <si>
    <t>POST /pricing/quote tính giá + khuyến mãi</t>
  </si>
  <si>
    <t>Server tính lại khi sync</t>
  </si>
  <si>
    <t>F25-MB</t>
  </si>
  <si>
    <t>Tính khuyến mãi tạm trên máy khi offline</t>
  </si>
  <si>
    <t>F26-MB</t>
  </si>
  <si>
    <t>Sản phẩm &amp; khuyến mãi trên app Sales</t>
  </si>
  <si>
    <t>Danh sách sản phẩm, giá, khuyến mãi đang chạy</t>
  </si>
  <si>
    <t>F27-BE</t>
  </si>
  <si>
    <t>Đặt đơn &amp; đồng bộ</t>
  </si>
  <si>
    <t>Tạo đơn online</t>
  </si>
  <si>
    <t>API tạo đơn DH-000000, kiểm tra retailer, thanh toán</t>
  </si>
  <si>
    <t>F27-MB</t>
  </si>
  <si>
    <t>Màn tạo đơn + xác nhận (COD / trả trước / công nợ nếu được phép)</t>
  </si>
  <si>
    <t>F28-BE</t>
  </si>
  <si>
    <t>Chặn đặt trái vùng</t>
  </si>
  <si>
    <t>Từ chối đơn của retailer ngoài vùng Sales</t>
  </si>
  <si>
    <t>F28-MB</t>
  </si>
  <si>
    <t>Khóa nút đặt hàng với retailer ngoài vùng</t>
  </si>
  <si>
    <t>F29-BE</t>
  </si>
  <si>
    <t>Snapshot dữ liệu cho app</t>
  </si>
  <si>
    <t>GET /sync/snapshot: retailer, sản phẩm, giá, KM, tồn khả dụng</t>
  </si>
  <si>
    <t>S3</t>
  </si>
  <si>
    <t>F29-MB</t>
  </si>
  <si>
    <t>Lưu snapshot vào SQLite, cập nhật khi có mạng</t>
  </si>
  <si>
    <t>F30-BE</t>
  </si>
  <si>
    <t>Đơn offline + đồng bộ</t>
  </si>
  <si>
    <t>POST /orders/sync: idempotent, xử lý theo thứ tự tới, tính lại KM, từ chối khi thiếu hàng + thông báo</t>
  </si>
  <si>
    <t>F30-MB</t>
  </si>
  <si>
    <t>Queue SQLite, tự đồng bộ khi có mạng, retry</t>
  </si>
  <si>
    <t>F31-MB</t>
  </si>
  <si>
    <t>Màn Đồng bộ 3 tab</t>
  </si>
  <si>
    <t>Chưa / Đang / Đã đồng bộ, chi tiết + lý do từ chối</t>
  </si>
  <si>
    <t>F32-BE</t>
  </si>
  <si>
    <t>Đơn của Sales trên app</t>
  </si>
  <si>
    <t>API đơn theo Sales</t>
  </si>
  <si>
    <t>F32-MB</t>
  </si>
  <si>
    <t>Danh sách + chi tiết đơn, timeline</t>
  </si>
  <si>
    <t>F33-BE</t>
  </si>
  <si>
    <t>Phân bổ &amp; duyệt đơn</t>
  </si>
  <si>
    <t>Thuật toán phân bổ B1–B4</t>
  </si>
  <si>
    <t>AllocationEngine nối dữ liệu thật (batch, khoảng cách, ETA, MLOR) + unit test</t>
  </si>
  <si>
    <t>Test: DH-001030 → 40 TA + 20 TCH</t>
  </si>
  <si>
    <t>F34-BE</t>
  </si>
  <si>
    <t>Tạm giữ / trả hàng</t>
  </si>
  <si>
    <t>Giữ hàng khi phân bổ, trả khi hủy / từ chối, optimistic locking (409)</t>
  </si>
  <si>
    <t>F35-BE</t>
  </si>
  <si>
    <t>Giải thích phân bổ</t>
  </si>
  <si>
    <t>API trace B1–B4 của từng dòng đơn</t>
  </si>
  <si>
    <t>F35-FE</t>
  </si>
  <si>
    <t>Panel Giải thích phân bổ trên chi tiết đơn</t>
  </si>
  <si>
    <t>F36-BE</t>
  </si>
  <si>
    <t>Duyệt / từ chối / hủy đơn</t>
  </si>
  <si>
    <t>API duyệt, từ chối (lý do), hủy; event OrderApproved / Cancelled</t>
  </si>
  <si>
    <t>F36-FE</t>
  </si>
  <si>
    <t>Nút Duyệt / Từ chối / Hủy, nhập lý do</t>
  </si>
  <si>
    <t>F37-BE</t>
  </si>
  <si>
    <t>Danh sách &amp; chi tiết đơn (Portal)</t>
  </si>
  <si>
    <t>API danh sách lọc trạng thái, chi tiết + timeline</t>
  </si>
  <si>
    <t>F37-FE</t>
  </si>
  <si>
    <t>Màn Đơn hàng + chi tiết đơn</t>
  </si>
  <si>
    <t>F38-BE</t>
  </si>
  <si>
    <t>Cấu hình trọng số phân bổ</t>
  </si>
  <si>
    <t>Lưu wE / wD / wQ, Dmax_retailer</t>
  </si>
  <si>
    <t>F38-FE</t>
  </si>
  <si>
    <t>Mục trọng số phân bổ trong Cấu hình hệ thống</t>
  </si>
  <si>
    <t>F39-BE</t>
  </si>
  <si>
    <t>E4</t>
  </si>
  <si>
    <t>Kho &amp; tồn kho</t>
  </si>
  <si>
    <t>Nhập kho &amp; batch</t>
  </si>
  <si>
    <t>Nhập kho (PN) + sinh batch</t>
  </si>
  <si>
    <t>API phiếu nhập PN, gộp batch cùng kho + SKU + HSD, duyệt</t>
  </si>
  <si>
    <t>F39-FE</t>
  </si>
  <si>
    <t>Màn nhập kho: tạo phiếu, duyệt, chi tiết</t>
  </si>
  <si>
    <t>F40-BE</t>
  </si>
  <si>
    <t>In tem TEM + QR</t>
  </si>
  <si>
    <t>Sinh tem TEM-000000 theo thùng, file in</t>
  </si>
  <si>
    <t>F40-FE</t>
  </si>
  <si>
    <t>Xem / in tem của phiếu nhập</t>
  </si>
  <si>
    <t>F41-BE</t>
  </si>
  <si>
    <t>Quản lý batch &amp; trạng thái HSD</t>
  </si>
  <si>
    <t>API batch: tồn, giữ, cận hạn / hết hạn</t>
  </si>
  <si>
    <t>F41-FE</t>
  </si>
  <si>
    <t>Màn Quản lý batch</t>
  </si>
  <si>
    <t>F42-BE</t>
  </si>
  <si>
    <t>Date tracker (job hằng đêm)</t>
  </si>
  <si>
    <t>Job 01:30 cập nhật trạng thái HSD, phát BatchExpired</t>
  </si>
  <si>
    <t>F43-BE</t>
  </si>
  <si>
    <t>Xuất kho</t>
  </si>
  <si>
    <t>Picking list theo kho</t>
  </si>
  <si>
    <t>Sinh picking DH-…A/B sau khi duyệt đơn</t>
  </si>
  <si>
    <t>F43-FE</t>
  </si>
  <si>
    <t>Màn Picking list + chi tiết</t>
  </si>
  <si>
    <t>F43-MB</t>
  </si>
  <si>
    <t>Danh sách picking của kho mình</t>
  </si>
  <si>
    <t>F44-BE</t>
  </si>
  <si>
    <t>Quét tem xuất + chia số lượng</t>
  </si>
  <si>
    <t>API quét tem: đúng batch, trừ tồn, hoàn tất xuất kho</t>
  </si>
  <si>
    <t>F44-MB</t>
  </si>
  <si>
    <t>Quét QR tem, chia thùng, xác nhận xuất</t>
  </si>
  <si>
    <t>F45-BE</t>
  </si>
  <si>
    <t>Tra cứu tem bằng QR</t>
  </si>
  <si>
    <t>API thông tin tem / batch</t>
  </si>
  <si>
    <t>F45-MB</t>
  </si>
  <si>
    <t>Màn tra cứu tem sau khi quét</t>
  </si>
  <si>
    <t>F46-BE</t>
  </si>
  <si>
    <t>Kiểm soát HSD</t>
  </si>
  <si>
    <t>Giảm giá theo % HSD (KMB)</t>
  </si>
  <si>
    <t>Quét tồn kho, đề xuất batch, áp giảm giá KMB</t>
  </si>
  <si>
    <t>F46-FE</t>
  </si>
  <si>
    <t>Màn Giảm giá theo HSD</t>
  </si>
  <si>
    <t>F47-BE</t>
  </si>
  <si>
    <t>Hủy hàng hết hạn (PH)</t>
  </si>
  <si>
    <t>API phiếu hủy PH cho batch hết hạn</t>
  </si>
  <si>
    <t>F47-FE</t>
  </si>
  <si>
    <t>Màn Hủy hàng hết hạn</t>
  </si>
  <si>
    <t>F48-BE</t>
  </si>
  <si>
    <t>Điều chuyển &amp; luân chuyển</t>
  </si>
  <si>
    <t>Điều chuyển bổ sung (DC)</t>
  </si>
  <si>
    <t>Gợi ý khi kho vùng dưới tồn tối thiểu, tạo phiếu DC, xuất</t>
  </si>
  <si>
    <t>F48-FE</t>
  </si>
  <si>
    <t>Màn Điều chuyển kho</t>
  </si>
  <si>
    <t>F49-BE</t>
  </si>
  <si>
    <t>Nhận phiếu điều chuyển</t>
  </si>
  <si>
    <t>API nhận phiếu, đổi Batch ID theo kho đến</t>
  </si>
  <si>
    <t>F49-MB</t>
  </si>
  <si>
    <t>Thủ kho quét tem nhận hàng</t>
  </si>
  <si>
    <t>F50-BE</t>
  </si>
  <si>
    <t>Luân chuyển cận hạn: thuật toán + job</t>
  </si>
  <si>
    <t>RotationPlanner nối dữ liệu thật (tốc độ xuất 14 ngày, MLOR, khoảng cách), job 02:00, lưu đề xuất + unit test</t>
  </si>
  <si>
    <t>Test: GV → TA 30 thùng, S = 0,667</t>
  </si>
  <si>
    <t>F51-BE</t>
  </si>
  <si>
    <t>Luân chuyển cận hạn: màn Đề xuất</t>
  </si>
  <si>
    <t>API đề xuất, trace điểm, duyệt / sửa SL / bỏ qua → phiếu DC loại Luân chuyển cận hạn</t>
  </si>
  <si>
    <t>F51-FE</t>
  </si>
  <si>
    <t>Màn Luân chuyển cận hạn: bảng đề xuất, chi tiết điểm, duyệt</t>
  </si>
  <si>
    <t>F52-BE</t>
  </si>
  <si>
    <t>Cấu hình luân chuyển</t>
  </si>
  <si>
    <t>Lưu trọng số, Dmax_kho, lượng tối thiểu, làm tròn, số ngày tốc độ xuất</t>
  </si>
  <si>
    <t>F52-FE</t>
  </si>
  <si>
    <t>Mục luân chuyển trong Cấu hình hệ thống</t>
  </si>
  <si>
    <t>F53-BE</t>
  </si>
  <si>
    <t>Backtest 14 ngày + mô phỏng 30 ngày</t>
  </si>
  <si>
    <t>Script backtest 7/14/21/28 ngày (MAE) + mô phỏng hàng hủy có / không luân chuyển</t>
  </si>
  <si>
    <t>S4</t>
  </si>
  <si>
    <t>Bằng chứng cho hội đồng</t>
  </si>
  <si>
    <t>F54-BE</t>
  </si>
  <si>
    <t>E5</t>
  </si>
  <si>
    <t>Vận chuyển &amp; giao nhận</t>
  </si>
  <si>
    <t>Bảng vận chuyển &amp; ETA</t>
  </si>
  <si>
    <t>Bảng vận chuyển dùng chung</t>
  </si>
  <si>
    <t>Bảng quy tắc theo km, version theo ngày hiệu lực, API đọc / sửa</t>
  </si>
  <si>
    <t>Chốt 09/10</t>
  </si>
  <si>
    <t>F54-FE</t>
  </si>
  <si>
    <t>Mục Bảng vận chuyển trong Cấu hình hệ thống</t>
  </si>
  <si>
    <t>F55-BE</t>
  </si>
  <si>
    <t>Ma trận khoảng cách</t>
  </si>
  <si>
    <t>Khoảng cách kho↔retailer, kho↔kho; tính lại khi đổi tọa độ</t>
  </si>
  <si>
    <t>F56-BE</t>
  </si>
  <si>
    <t>Hàm ETA dùng chung</t>
  </si>
  <si>
    <t>Chuyến kế tiếp + thời gian chuyển, snapshot trên đơn / phiếu</t>
  </si>
  <si>
    <t>F57-BE</t>
  </si>
  <si>
    <t>Xe &amp; điều phối</t>
  </si>
  <si>
    <t>Xe &amp; người giao</t>
  </si>
  <si>
    <t>API xe (biển số, tải trọng) + người giao NG-000, trạng thái</t>
  </si>
  <si>
    <t>Chốt 06/10</t>
  </si>
  <si>
    <t>F57-FE</t>
  </si>
  <si>
    <t>Màn Xe &amp; người giao</t>
  </si>
  <si>
    <t>F58-BE</t>
  </si>
  <si>
    <t>Điều phối giao hàng</t>
  </si>
  <si>
    <t>Chuyển Đang giao kèm xe + người giao, lưu snapshot</t>
  </si>
  <si>
    <t>F58-FE</t>
  </si>
  <si>
    <t>Chọn xe + người giao từ dropdown trên chi tiết đơn</t>
  </si>
  <si>
    <t>F59-BE</t>
  </si>
  <si>
    <t>Chi phí giao ước tính (CR-03)</t>
  </si>
  <si>
    <t>Tính chi phí theo kho xuất từ bảng vận chuyển</t>
  </si>
  <si>
    <t>F59-FE</t>
  </si>
  <si>
    <t>Hiện chi phí ước tính trên chi tiết đơn</t>
  </si>
  <si>
    <t>F60-BE</t>
  </si>
  <si>
    <t>Nhận hàng</t>
  </si>
  <si>
    <t>Đơn của Retailer trên app</t>
  </si>
  <si>
    <t>API đơn theo retailer kèm xe + người giao</t>
  </si>
  <si>
    <t>F60-MB</t>
  </si>
  <si>
    <t>Đơn đang / lịch sử, chi tiết có xe + người giao</t>
  </si>
  <si>
    <t>F61-BE</t>
  </si>
  <si>
    <t>Retailer quét QR nhận hàng</t>
  </si>
  <si>
    <t>Xác nhận đã giao, phát OrderDelivered</t>
  </si>
  <si>
    <t>F61-MB</t>
  </si>
  <si>
    <t>Quét QR, xác nhận nhận hàng</t>
  </si>
  <si>
    <t>F62-BE</t>
  </si>
  <si>
    <t>Khiếu nại (KN)</t>
  </si>
  <si>
    <t>API khiếu nại KN, xử lý</t>
  </si>
  <si>
    <t>Đổi tên từ "Chênh lệch nhận hàng"</t>
  </si>
  <si>
    <t>F62-FE</t>
  </si>
  <si>
    <t>Màn Khiếu nại cho Operator</t>
  </si>
  <si>
    <t>F62-MB</t>
  </si>
  <si>
    <t>Retailer gửi khiếu nại + xem trạng thái</t>
  </si>
  <si>
    <t>F63-BE</t>
  </si>
  <si>
    <t>E6</t>
  </si>
  <si>
    <t>Thanh toán &amp; công nợ</t>
  </si>
  <si>
    <t>Thanh toán</t>
  </si>
  <si>
    <t>Thanh toán COD / trả trước</t>
  </si>
  <si>
    <t>Ghi nhận thanh toán theo đơn</t>
  </si>
  <si>
    <t>F63-FE</t>
  </si>
  <si>
    <t>Trạng thái thanh toán trên chi tiết đơn</t>
  </si>
  <si>
    <t>F63-MB</t>
  </si>
  <si>
    <t>Chọn hình thức thanh toán khi đặt đơn</t>
  </si>
  <si>
    <t>F64-BE</t>
  </si>
  <si>
    <t>Công nợ</t>
  </si>
  <si>
    <t>Khoản phải thu cho đơn công nợ</t>
  </si>
  <si>
    <t>Tạo khi OrderDelivered, hạn = ngày giao + kỳ hạn</t>
  </si>
  <si>
    <t>Công nợ một phần</t>
  </si>
  <si>
    <t>F64-FE</t>
  </si>
  <si>
    <t>Màn Công nợ: lọc Chưa thu / Quá hạn / Đã thu</t>
  </si>
  <si>
    <t>F65-BE</t>
  </si>
  <si>
    <t>Thu tiền một lần</t>
  </si>
  <si>
    <t>API thu đủ, phát CreditOrderPaid</t>
  </si>
  <si>
    <t>Không làm trả nhiều lần</t>
  </si>
  <si>
    <t>F65-FE</t>
  </si>
  <si>
    <t>Nút Thu tiền trên màn Công nợ</t>
  </si>
  <si>
    <t>F66-BE</t>
  </si>
  <si>
    <t>Job quá hạn + thông báo</t>
  </si>
  <si>
    <t>Job 08:00 đánh dấu Quá hạn, báo Sales + Operator</t>
  </si>
  <si>
    <t>F67-BE</t>
  </si>
  <si>
    <t>Công nợ của Sales trên app</t>
  </si>
  <si>
    <t>API công nợ theo Sales</t>
  </si>
  <si>
    <t>F67-MB</t>
  </si>
  <si>
    <t>Màn công nợ của tôi, lọc quá hạn</t>
  </si>
  <si>
    <t>F68-BE</t>
  </si>
  <si>
    <t>Thanh toán &amp; công nợ của Retailer</t>
  </si>
  <si>
    <t>API công nợ theo retailer</t>
  </si>
  <si>
    <t>F68-MB</t>
  </si>
  <si>
    <t>Màn thanh toán: đơn chưa thu, hạn trả</t>
  </si>
  <si>
    <t>F69-BE</t>
  </si>
  <si>
    <t>E7</t>
  </si>
  <si>
    <t>Loyalty</t>
  </si>
  <si>
    <t>Chương trình &amp; điểm</t>
  </si>
  <si>
    <t>Chương trình loyalty (LP)</t>
  </si>
  <si>
    <t>API chương trình LP-000: tỷ lệ điểm, retailer áp dụng, hạn điểm</t>
  </si>
  <si>
    <t>F69-FE</t>
  </si>
  <si>
    <t>Màn Loyalty – chương trình</t>
  </si>
  <si>
    <t>F70-BE</t>
  </si>
  <si>
    <t>Cộng điểm khi nhận hàng</t>
  </si>
  <si>
    <t>Nghe OrderDelivered → cộng điểm; đơn công nợ Chờ cộng tới khi CreditOrderPaid</t>
  </si>
  <si>
    <t>F71-BE</t>
  </si>
  <si>
    <t>Thẻ loyalty &amp; sổ điểm</t>
  </si>
  <si>
    <t>API số dư + sổ điểm</t>
  </si>
  <si>
    <t>F71-FE</t>
  </si>
  <si>
    <t>Xem điểm của từng retailer</t>
  </si>
  <si>
    <t>F71-MB</t>
  </si>
  <si>
    <t>Thẻ loyalty + lịch sử điểm</t>
  </si>
  <si>
    <t>F72-BE</t>
  </si>
  <si>
    <t>Quà &amp; đổi quà</t>
  </si>
  <si>
    <t>Danh mục quà (QUA)</t>
  </si>
  <si>
    <t>API quà QUA-000, số điểm, tồn</t>
  </si>
  <si>
    <t>F72-FE</t>
  </si>
  <si>
    <t>Màn Quà đổi điểm</t>
  </si>
  <si>
    <t>F73-BE</t>
  </si>
  <si>
    <t>Đổi quà trên app</t>
  </si>
  <si>
    <t>API gửi yêu cầu DQ, giữ điểm</t>
  </si>
  <si>
    <t>F73-MB</t>
  </si>
  <si>
    <t>Danh sách quà, gửi yêu cầu đổi</t>
  </si>
  <si>
    <t>F74-BE</t>
  </si>
  <si>
    <t>Xử lý yêu cầu đổi quà</t>
  </si>
  <si>
    <t>Duyệt → giao → hoàn tất; từ chối thì hoàn điểm</t>
  </si>
  <si>
    <t>F74-FE</t>
  </si>
  <si>
    <t>Màn Yêu cầu đổi quà</t>
  </si>
  <si>
    <t>F75-BE</t>
  </si>
  <si>
    <t>E8</t>
  </si>
  <si>
    <t>Báo cáo &amp; thông báo</t>
  </si>
  <si>
    <t>KPI &amp; xếp hạng</t>
  </si>
  <si>
    <t>KPI Sales</t>
  </si>
  <si>
    <t>Read model từ OrderCompleted, mục tiêu + trọng số, chỉ đơn Sales chốt</t>
  </si>
  <si>
    <t>F75-FE</t>
  </si>
  <si>
    <t>Màn KPI Sales</t>
  </si>
  <si>
    <t>F76-BE</t>
  </si>
  <si>
    <t>Xếp hạng Sales sau khuyến mãi</t>
  </si>
  <si>
    <t>API xếp hạng theo doanh thu sau KM</t>
  </si>
  <si>
    <t>F76-FE</t>
  </si>
  <si>
    <t>Tab xếp hạng trong màn KPI</t>
  </si>
  <si>
    <t>F77-MB</t>
  </si>
  <si>
    <t>KPI &amp; xếp hạng trên app Sales</t>
  </si>
  <si>
    <t>KPI của tôi, bảng xếp hạng, sản phẩm bán chạy</t>
  </si>
  <si>
    <t>F78-BE</t>
  </si>
  <si>
    <t>Sản phẩm bán chạy</t>
  </si>
  <si>
    <t>API xếp hạng sản phẩm theo số thùng + doanh thu sau KM</t>
  </si>
  <si>
    <t>F78-FE</t>
  </si>
  <si>
    <t>Tab sản phẩm bán chạy</t>
  </si>
  <si>
    <t>F79-BE</t>
  </si>
  <si>
    <t>Dashboard</t>
  </si>
  <si>
    <t>Dashboard Admin</t>
  </si>
  <si>
    <t>API dashboard: doanh thu theo ngày, đơn theo trạng thái, top Sales / sản phẩm</t>
  </si>
  <si>
    <t>F79-FE</t>
  </si>
  <si>
    <t>Màn Dashboard + biểu đồ</t>
  </si>
  <si>
    <t>F80-BE</t>
  </si>
  <si>
    <t>Thông báo</t>
  </si>
  <si>
    <t>Thông báo in-app</t>
  </si>
  <si>
    <t>Lưu thông báo theo event, API danh sách + đã đọc</t>
  </si>
  <si>
    <t>F80-FE</t>
  </si>
  <si>
    <t>Chuông + danh sách thông báo</t>
  </si>
  <si>
    <t>F80-MB</t>
  </si>
  <si>
    <t>Chuông + màn thông báo, mở đúng màn liên quan</t>
  </si>
  <si>
    <t>F81-BE</t>
  </si>
  <si>
    <t>Push notification</t>
  </si>
  <si>
    <t>Azure Notification Hubs, đăng ký thiết bị</t>
  </si>
  <si>
    <t>F81-MB</t>
  </si>
  <si>
    <t>Nhận push, đăng ký token thiết bị</t>
  </si>
  <si>
    <t>F82-BE</t>
  </si>
  <si>
    <t>E9</t>
  </si>
  <si>
    <t>Kiểm thử &amp; bàn giao</t>
  </si>
  <si>
    <t>Dữ liệu demo</t>
  </si>
  <si>
    <t>Seed dữ liệu theo prototype 27/09 (kho, retailer, batch, đơn)</t>
  </si>
  <si>
    <t>F83-BE</t>
  </si>
  <si>
    <t>Test tích hợp luồng chính</t>
  </si>
  <si>
    <t>Test API đặt đơn → phân bổ → duyệt → picking → giao → nhận → công nợ / điểm</t>
  </si>
  <si>
    <t>F83-FE</t>
  </si>
  <si>
    <t>Test luồng trên Portal</t>
  </si>
  <si>
    <t>F83-MB</t>
  </si>
  <si>
    <t>Test luồng trên app 3 vai trò, có offline</t>
  </si>
  <si>
    <t>F84-BE</t>
  </si>
  <si>
    <t>Sửa lỗi &amp; deploy bản cuối</t>
  </si>
  <si>
    <t>Sửa lỗi, migration cuối, deploy</t>
  </si>
  <si>
    <t>F84-FE</t>
  </si>
  <si>
    <t>Sửa lỗi, deploy Vercel</t>
  </si>
  <si>
    <t>F84-MB</t>
  </si>
  <si>
    <t>Sửa lỗi, build APK demo</t>
  </si>
  <si>
    <t>FSCM – Dashboard tiến độ 8 tuần</t>
  </si>
  <si>
    <t>Tự tính từ Task_Tracking và Sprints. Ô vàng ở cột PIC trên Task_Tracking = task chưa có người nhận.</t>
  </si>
  <si>
    <t>Tổng quan</t>
  </si>
  <si>
    <t>Tổng task</t>
  </si>
  <si>
    <t>Done</t>
  </si>
  <si>
    <t>% Done</t>
  </si>
  <si>
    <t>Chưa có PIC</t>
  </si>
  <si>
    <t>Blocked</t>
  </si>
  <si>
    <t>Sprint hiện tại</t>
  </si>
  <si>
    <t>Theo sprint</t>
  </si>
  <si>
    <t>Thời gian</t>
  </si>
  <si>
    <t>Còn lại</t>
  </si>
  <si>
    <t>Lũy kế kế hoạch</t>
  </si>
  <si>
    <t>Lũy kế Done</t>
  </si>
  <si>
    <t>Tổng</t>
  </si>
  <si>
    <t>Khối lượng theo PIC × sprint (số task) – dùng để cân việc khi chia PIC</t>
  </si>
  <si>
    <t>(Chưa gán)</t>
  </si>
  <si>
    <t>Theo epic</t>
  </si>
  <si>
    <t>Trễ</t>
  </si>
  <si>
    <t>Theo nền tảng × status</t>
  </si>
  <si>
    <t>In Progress</t>
  </si>
  <si>
    <t>In Review</t>
  </si>
  <si>
    <t>Kế hoạch 4 sprint (2 tuần / sprint, 8 tuần)</t>
  </si>
  <si>
    <t>Chỉ sửa ngày bắt đầu Sprint 1 (ô B5, chữ xanh); các sprint sau tự lùi theo. Hôm nay:</t>
  </si>
  <si>
    <t>Kết thúc</t>
  </si>
  <si>
    <t>Mục tiêu sprint</t>
  </si>
  <si>
    <t>Số task</t>
  </si>
  <si>
    <t>Trạng thái</t>
  </si>
  <si>
    <t>Nền tảng &amp; dữ liệu gốc: đăng nhập, phân quyền, hồ sơ, người dùng, danh mục, sản phẩm, kho, khu vực, retailer, MLOR, kỳ hạn công nợ, bảng vận chuyển + khoảng cách + ETA</t>
  </si>
  <si>
    <t>Luồng đặt đơn → phân bổ → kho: khuyến mãi, báo giá, tạo đơn online, phân bổ có trọng số + giải thích, duyệt đơn, nhập kho + tem, picking + quét xuất, thanh toán, khai báo retailer</t>
  </si>
  <si>
    <t>Offline + đồng bộ, giao nhận (xe, điều phối, nhận hàng QR), công nợ một phần, giảm giá HSD, hủy, điều chuyển, luân chuyển cận hạn, thông báo in-app</t>
  </si>
  <si>
    <t>Loyalty (điểm, quà, đổi quà), KPI + xếp hạng + sản phẩm bán chạy, dashboard, khiếu nại, push, backtest; tuần cuối: test tích hợp, sửa lỗi, demo</t>
  </si>
  <si>
    <t>8 tuần tính cả tuần này: 12/10 → 06/12/2026. Tuần cuối của S4 (30/11 – 06/12) dành cho test tích hợp, sửa lỗi và chuẩn bị demo – không nhận chức năng mới.</t>
  </si>
  <si>
    <t>Thành viên</t>
  </si>
  <si>
    <t>Danh sách này là nguồn cho dropdown PIC trên Task_Tracking. Sửa tên / thêm người ở cột A.</t>
  </si>
  <si>
    <t>PIC (tên ngắn)</t>
  </si>
  <si>
    <t>Họ tên</t>
  </si>
  <si>
    <t>Vai trò</t>
  </si>
  <si>
    <t>Nhân</t>
  </si>
  <si>
    <t>Nguyen Thien Nhan</t>
  </si>
  <si>
    <t>Leader</t>
  </si>
  <si>
    <t>Tran Ngoc Khiet</t>
  </si>
  <si>
    <t>Doan Duc Hai</t>
  </si>
  <si>
    <t>Vo Minh Son</t>
  </si>
  <si>
    <t>Truong Le Huy Hoang</t>
  </si>
  <si>
    <t>Hướng dẫn</t>
  </si>
  <si>
    <t>Cấu trúc: Epic → Module → Chức năng → mỗi nền tảng (Backend / Portal / Mobile) là một dòng task riêng trên Task_Tracking. Task ID = mã chức năng + nền tảng (F27-BE, F27-MB…); các dòng cùng mã F27 là cùng một chức năng.</t>
  </si>
  <si>
    <t>Cột PIC để trống: chọn người từ dropdown (danh sách ở sheet Team). Ô PIC tô vàng = task chưa có người nhận. Dashboard có bảng PIC × sprint để cân khối lượng khi chia.</t>
  </si>
  <si>
    <t>Sprint: 4 sprint × 2 tuần, từ 12/10 đến 06/12/2026 (8 tuần, tính cả tuần này – sheet Sprints). Tuần cuối S4 chỉ test, sửa lỗi, demo. Task chưa Done mà đã qua ngày kết thúc sprint sẽ hiện "Trễ".</t>
  </si>
  <si>
    <t>Ô được sửa: PIC, Status, Priority, Sprint (có thể dời task sang sprint khác), Bắt đầu, Hoàn thành, Ghi chú. Không sửa cột xám (Thời gian sprint, Trễ hạn).</t>
  </si>
  <si>
    <t>Thêm task: điền tiếp dòng trống dưới bảng (Task ID mới, Epic, Module, Chức năng, Nền tảng, Công việc, Sprint); công thức có sẵn tới dòng 400.</t>
  </si>
  <si>
    <t>Ý nghĩa</t>
  </si>
  <si>
    <t>Chưa bắt đầu</t>
  </si>
  <si>
    <t>Đang code</t>
  </si>
  <si>
    <t>Xong code, chờ review / test</t>
  </si>
  <si>
    <t>Đã merge, test pass trên môi trường chung</t>
  </si>
  <si>
    <t>Bị chặn – ghi lý do ở Ghi chú</t>
  </si>
  <si>
    <t>Luồng chính để demo / bảo vệ, hoặc mục GVHD / hội đồng đã chốt sau Review 1 (loyalty, KPI sau KM, sản phẩm bán chạy, giảm giá HSD, luân chuyển…)</t>
  </si>
  <si>
    <t>Chức năng hỗ trợ trong scope; nếu trễ thì làm bản gọn, không bỏ</t>
  </si>
  <si>
    <t>Low</t>
  </si>
  <si>
    <t>Ngoài scope đã chốt, chỉ làm khi dư thời gian (hiện không có task nào)</t>
  </si>
  <si>
    <t>Nguyên tắc xếp sprint</t>
  </si>
  <si>
    <t>Làm theo phụ thuộc: dữ liệu gốc + bảng vận chuyển (S1) → đặt đơn, phân bổ, kho (S2) → offline, giao nhận, công nợ, luân chuyển (S3) → loyalty, KPI, báo cáo + test (S4). Backend và Portal / Mobile của cùng chức năng nằm cùng sprint.</t>
  </si>
  <si>
    <t>Ví dụ cập nhật</t>
  </si>
  <si>
    <t>F33-BE "Thuật toán phân bổ B1–B4": chọn PIC, Status = In Progress. Khi xong: Status = Done, điền ngày Hoàn thành; Dashboard tự cộng vào S2, E3, Backend và PIC đó.</t>
  </si>
  <si>
    <t>S5</t>
  </si>
  <si>
    <t>Backup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</si>
</sst>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3" x14ac:knownFonts="1">
    <font>
      <sz val="11"/>
      <color theme="1"/>
      <name val="Calibri"/>
      <family val="2"/>
      <charset val="1"/>
    </font>
    <font>
      <b/>
      <sz val="15"/>
      <color rgb="FF14655B"/>
      <name val="Arial"/>
      <charset val="1"/>
    </font>
    <font>
      <i/>
      <sz val="9"/>
      <color rgb="FF555555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6"/>
      <color rgb="FF14655B"/>
      <name val="Arial"/>
      <charset val="1"/>
    </font>
    <font>
      <b/>
      <sz val="12"/>
      <color rgb="FF14655B"/>
      <name val="Arial"/>
      <charset val="1"/>
    </font>
    <font>
      <sz val="9"/>
      <color rgb="FF555555"/>
      <name val="Arial"/>
      <charset val="1"/>
    </font>
    <font>
      <b/>
      <sz val="10"/>
      <color rgb="FF14655B"/>
      <name val="Arial"/>
      <charset val="1"/>
    </font>
    <font>
      <b/>
      <sz val="14"/>
      <color rgb="FF14655B"/>
      <name val="Arial"/>
      <charset val="1"/>
    </font>
    <font>
      <b/>
      <sz val="9"/>
      <name val="Arial"/>
      <charset val="1"/>
    </font>
    <font>
      <b/>
      <sz val="11"/>
      <color rgb="FF0000FF"/>
      <name val="Arial"/>
      <charset val="1"/>
    </font>
    <font>
      <sz val="11"/>
      <name val="Arial"/>
      <charset val="1"/>
    </font>
    <font>
      <sz val="11"/>
      <color rgb="FF000000"/>
      <name val="Arial"/>
      <charset val="1"/>
    </font>
    <font>
      <b/>
      <sz val="10"/>
      <color rgb="FF4A524E"/>
      <name val="Arial"/>
      <charset val="1"/>
    </font>
    <font>
      <b/>
      <sz val="10"/>
      <color rgb="FF1F5FAD"/>
      <name val="Arial"/>
      <charset val="1"/>
    </font>
    <font>
      <b/>
      <sz val="10"/>
      <color rgb="FF8A5A00"/>
      <name val="Arial"/>
      <charset val="1"/>
    </font>
    <font>
      <b/>
      <sz val="10"/>
      <color rgb="FF15703A"/>
      <name val="Arial"/>
      <charset val="1"/>
    </font>
    <font>
      <b/>
      <sz val="10"/>
      <color rgb="FFB42318"/>
      <name val="Arial"/>
      <charset val="1"/>
    </font>
    <font>
      <b/>
      <sz val="10"/>
      <color rgb="FF6A746F"/>
      <name val="Arial"/>
      <charset val="1"/>
    </font>
    <font>
      <sz val="10"/>
      <name val="Arial"/>
      <family val="2"/>
    </font>
    <font>
      <b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CEBE5"/>
        <bgColor rgb="FFE3EEFB"/>
      </patternFill>
    </fill>
    <fill>
      <patternFill patternType="solid">
        <fgColor rgb="FFF4F8F6"/>
        <bgColor rgb="FFF1F3F2"/>
      </patternFill>
    </fill>
    <fill>
      <patternFill patternType="solid">
        <fgColor rgb="FFEEF0EF"/>
        <bgColor rgb="FFF1F3F2"/>
      </patternFill>
    </fill>
    <fill>
      <patternFill patternType="solid">
        <fgColor rgb="FFFFFFFF"/>
        <bgColor rgb="FFF4F8F6"/>
      </patternFill>
    </fill>
    <fill>
      <patternFill patternType="solid">
        <fgColor rgb="FFF1F3F2"/>
        <bgColor rgb="FFEEF0EF"/>
      </patternFill>
    </fill>
    <fill>
      <patternFill patternType="solid">
        <fgColor rgb="FFE3EEFB"/>
        <bgColor rgb="FFEAF1FB"/>
      </patternFill>
    </fill>
    <fill>
      <patternFill patternType="solid">
        <fgColor rgb="FFFFF3D6"/>
        <bgColor rgb="FFFFF8DC"/>
      </patternFill>
    </fill>
    <fill>
      <patternFill patternType="solid">
        <fgColor rgb="FFE5F4EA"/>
        <bgColor rgb="FFE9F6F1"/>
      </patternFill>
    </fill>
    <fill>
      <patternFill patternType="solid">
        <fgColor rgb="FFFDECEA"/>
        <bgColor rgb="FFF3ECFA"/>
      </patternFill>
    </fill>
  </fills>
  <borders count="5">
    <border>
      <left/>
      <right/>
      <top/>
      <bottom/>
      <diagonal/>
    </border>
    <border>
      <left style="thin">
        <color rgb="FFC9D2CC"/>
      </left>
      <right style="thin">
        <color rgb="FFC9D2CC"/>
      </right>
      <top style="thin">
        <color rgb="FFC9D2CC"/>
      </top>
      <bottom style="thin">
        <color rgb="FFC9D2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9D2CC"/>
      </left>
      <right style="thin">
        <color rgb="FFC9D2CC"/>
      </right>
      <top style="thin">
        <color rgb="FFC9D2CC"/>
      </top>
      <bottom/>
      <diagonal/>
    </border>
    <border>
      <left style="thin">
        <color rgb="FFC9D2CC"/>
      </left>
      <right style="thin">
        <color rgb="FFC9D2CC"/>
      </right>
      <top/>
      <bottom style="thin">
        <color rgb="FFC9D2CC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0" fillId="0" borderId="0" xfId="0" applyFont="1"/>
    <xf numFmtId="164" fontId="11" fillId="0" borderId="0" xfId="0" applyNumberFormat="1" applyFont="1"/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5" fillId="6" borderId="1" xfId="0" applyFont="1" applyFill="1" applyBorder="1" applyAlignment="1">
      <alignment vertical="top" wrapText="1"/>
    </xf>
    <xf numFmtId="0" fontId="16" fillId="7" borderId="1" xfId="0" applyFont="1" applyFill="1" applyBorder="1" applyAlignment="1">
      <alignment vertical="top" wrapText="1"/>
    </xf>
    <xf numFmtId="0" fontId="17" fillId="8" borderId="1" xfId="0" applyFont="1" applyFill="1" applyBorder="1" applyAlignment="1">
      <alignment vertical="top" wrapText="1"/>
    </xf>
    <xf numFmtId="0" fontId="18" fillId="9" borderId="1" xfId="0" applyFont="1" applyFill="1" applyBorder="1" applyAlignment="1">
      <alignment vertical="top" wrapText="1"/>
    </xf>
    <xf numFmtId="0" fontId="19" fillId="10" borderId="1" xfId="0" applyFont="1" applyFill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2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top" wrapText="1"/>
    </xf>
    <xf numFmtId="164" fontId="4" fillId="3" borderId="2" xfId="0" applyNumberFormat="1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164" fontId="4" fillId="5" borderId="2" xfId="0" applyNumberFormat="1" applyFont="1" applyFill="1" applyBorder="1" applyAlignment="1">
      <alignment horizontal="center" vertical="top" wrapText="1"/>
    </xf>
    <xf numFmtId="0" fontId="21" fillId="3" borderId="2" xfId="0" applyFont="1" applyFill="1" applyBorder="1" applyAlignment="1">
      <alignment horizontal="center" vertical="top" wrapText="1"/>
    </xf>
    <xf numFmtId="0" fontId="21" fillId="5" borderId="2" xfId="0" applyFont="1" applyFill="1" applyBorder="1" applyAlignment="1">
      <alignment horizontal="center" vertical="top" wrapText="1"/>
    </xf>
    <xf numFmtId="0" fontId="0" fillId="0" borderId="2" xfId="0" applyBorder="1"/>
    <xf numFmtId="0" fontId="0" fillId="0" borderId="0" xfId="0" applyFill="1"/>
    <xf numFmtId="0" fontId="4" fillId="0" borderId="0" xfId="0" applyFont="1" applyFill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0" fontId="4" fillId="4" borderId="3" xfId="0" applyFont="1" applyFill="1" applyBorder="1" applyAlignment="1">
      <alignment horizontal="center" vertical="top" wrapText="1"/>
    </xf>
    <xf numFmtId="164" fontId="4" fillId="3" borderId="3" xfId="0" applyNumberFormat="1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164" fontId="4" fillId="5" borderId="3" xfId="0" applyNumberFormat="1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4" fillId="4" borderId="4" xfId="0" applyFont="1" applyFill="1" applyBorder="1" applyAlignment="1">
      <alignment horizontal="center" vertical="top" wrapText="1"/>
    </xf>
    <xf numFmtId="164" fontId="4" fillId="3" borderId="4" xfId="0" applyNumberFormat="1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164" fontId="4" fillId="5" borderId="4" xfId="0" applyNumberFormat="1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164" fontId="12" fillId="0" borderId="2" xfId="0" applyNumberFormat="1" applyFont="1" applyBorder="1" applyAlignment="1">
      <alignment horizontal="center" vertical="top" wrapText="1"/>
    </xf>
    <xf numFmtId="164" fontId="13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9" fontId="4" fillId="4" borderId="2" xfId="0" applyNumberFormat="1" applyFont="1" applyFill="1" applyBorder="1" applyAlignment="1">
      <alignment horizontal="center" vertical="top" wrapText="1"/>
    </xf>
    <xf numFmtId="0" fontId="21" fillId="0" borderId="2" xfId="0" applyFont="1" applyBorder="1" applyAlignment="1">
      <alignment vertical="top" wrapText="1"/>
    </xf>
    <xf numFmtId="0" fontId="22" fillId="0" borderId="2" xfId="0" applyFont="1" applyFill="1" applyBorder="1" applyAlignment="1">
      <alignment horizontal="center" vertical="top" wrapText="1"/>
    </xf>
    <xf numFmtId="0" fontId="21" fillId="0" borderId="2" xfId="0" applyFont="1" applyFill="1" applyBorder="1" applyAlignment="1">
      <alignment vertical="top" wrapText="1"/>
    </xf>
    <xf numFmtId="0" fontId="2" fillId="0" borderId="2" xfId="0" applyFont="1" applyBorder="1"/>
    <xf numFmtId="0" fontId="12" fillId="0" borderId="2" xfId="0" applyFont="1" applyBorder="1"/>
    <xf numFmtId="0" fontId="14" fillId="0" borderId="2" xfId="0" applyFont="1" applyBorder="1"/>
    <xf numFmtId="0" fontId="13" fillId="4" borderId="2" xfId="0" applyFont="1" applyFill="1" applyBorder="1" applyAlignment="1">
      <alignment horizontal="center"/>
    </xf>
    <xf numFmtId="9" fontId="13" fillId="4" borderId="2" xfId="0" applyNumberFormat="1" applyFont="1" applyFill="1" applyBorder="1" applyAlignment="1">
      <alignment horizontal="center"/>
    </xf>
    <xf numFmtId="0" fontId="3" fillId="0" borderId="2" xfId="0" applyFont="1" applyBorder="1"/>
    <xf numFmtId="0" fontId="13" fillId="0" borderId="2" xfId="0" applyFont="1" applyBorder="1"/>
  </cellXfs>
  <cellStyles count="1">
    <cellStyle name="Normal" xfId="0" builtinId="0"/>
  </cellStyles>
  <dxfs count="14">
    <dxf>
      <fill>
        <patternFill>
          <bgColor rgb="FFFFF3D6"/>
        </patternFill>
      </fill>
    </dxf>
    <dxf>
      <font>
        <b/>
        <color rgb="FFB42318"/>
        <name val="Arial"/>
        <charset val="1"/>
      </font>
      <fill>
        <patternFill>
          <bgColor rgb="FFFDECEA"/>
        </patternFill>
      </fill>
    </dxf>
    <dxf>
      <font>
        <b/>
        <color rgb="FFB42318"/>
        <name val="Arial"/>
        <charset val="1"/>
      </font>
      <fill>
        <patternFill>
          <bgColor rgb="FFFDECEA"/>
        </patternFill>
      </fill>
    </dxf>
    <dxf>
      <font>
        <b/>
        <color rgb="FF15703A"/>
        <name val="Arial"/>
        <charset val="1"/>
      </font>
      <fill>
        <patternFill>
          <bgColor rgb="FFE5F4EA"/>
        </patternFill>
      </fill>
    </dxf>
    <dxf>
      <font>
        <b/>
        <color rgb="FF8A5A00"/>
        <name val="Arial"/>
        <charset val="1"/>
      </font>
      <fill>
        <patternFill>
          <bgColor rgb="FFFFF3D6"/>
        </patternFill>
      </fill>
    </dxf>
    <dxf>
      <font>
        <b/>
        <color rgb="FF1F5FAD"/>
        <name val="Arial"/>
        <charset val="1"/>
      </font>
      <fill>
        <patternFill>
          <bgColor rgb="FFE3EEFB"/>
        </patternFill>
      </fill>
    </dxf>
    <dxf>
      <font>
        <b/>
        <color rgb="FF4A524E"/>
        <name val="Arial"/>
        <charset val="1"/>
      </font>
      <fill>
        <patternFill>
          <bgColor rgb="FFF1F3F2"/>
        </patternFill>
      </fill>
    </dxf>
    <dxf>
      <fill>
        <patternFill>
          <bgColor rgb="FFFFF8DC"/>
        </patternFill>
      </fill>
    </dxf>
    <dxf>
      <font>
        <b/>
        <color rgb="FF6A746F"/>
        <name val="Arial"/>
        <charset val="1"/>
      </font>
    </dxf>
    <dxf>
      <font>
        <b/>
        <color rgb="FF8A5A00"/>
        <name val="Arial"/>
        <charset val="1"/>
      </font>
    </dxf>
    <dxf>
      <font>
        <b/>
        <color rgb="FFB42318"/>
        <name val="Arial"/>
        <charset val="1"/>
      </font>
    </dxf>
    <dxf>
      <font>
        <b/>
        <color rgb="FF14655B"/>
        <name val="Arial"/>
        <charset val="1"/>
      </font>
      <fill>
        <patternFill>
          <bgColor rgb="FFE9F6F1"/>
        </patternFill>
      </fill>
    </dxf>
    <dxf>
      <font>
        <b/>
        <color rgb="FF6B3FA0"/>
        <name val="Arial"/>
        <charset val="1"/>
      </font>
      <fill>
        <patternFill>
          <bgColor rgb="FFF3ECFA"/>
        </patternFill>
      </fill>
    </dxf>
    <dxf>
      <font>
        <b/>
        <color rgb="FF1F5FAD"/>
        <name val="Arial"/>
        <charset val="1"/>
      </font>
      <fill>
        <patternFill>
          <bgColor rgb="FFEAF1F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EF0EF"/>
      <rgbColor rgb="FFFF00FF"/>
      <rgbColor rgb="FF00FFFF"/>
      <rgbColor rgb="FF800000"/>
      <rgbColor rgb="FF15703A"/>
      <rgbColor rgb="FF000080"/>
      <rgbColor rgb="FF8A5A00"/>
      <rgbColor rgb="FF800080"/>
      <rgbColor rgb="FF14655B"/>
      <rgbColor rgb="FFC9D2CC"/>
      <rgbColor rgb="FF878787"/>
      <rgbColor rgb="FF9B6FCF"/>
      <rgbColor rgb="FF993366"/>
      <rgbColor rgb="FFFFF8DC"/>
      <rgbColor rgb="FFE5F4EA"/>
      <rgbColor rgb="FF660066"/>
      <rgbColor rgb="FFFF8080"/>
      <rgbColor rgb="FF1F5FAD"/>
      <rgbColor rgb="FFD9D9D9"/>
      <rgbColor rgb="FF000080"/>
      <rgbColor rgb="FFFF00FF"/>
      <rgbColor rgb="FFF1F3F2"/>
      <rgbColor rgb="FF00FFFF"/>
      <rgbColor rgb="FF800080"/>
      <rgbColor rgb="FF800000"/>
      <rgbColor rgb="FF008080"/>
      <rgbColor rgb="FF0000FF"/>
      <rgbColor rgb="FF00CCFF"/>
      <rgbColor rgb="FFE9F6F1"/>
      <rgbColor rgb="FFDCEBE5"/>
      <rgbColor rgb="FFFFF3D6"/>
      <rgbColor rgb="FFE3EEFB"/>
      <rgbColor rgb="FFF3ECFA"/>
      <rgbColor rgb="FFEAF1FB"/>
      <rgbColor rgb="FFFDECEA"/>
      <rgbColor rgb="FF5B8FD6"/>
      <rgbColor rgb="FF33CCCC"/>
      <rgbColor rgb="FF99CC00"/>
      <rgbColor rgb="FFF4F8F6"/>
      <rgbColor rgb="FFFF9900"/>
      <rgbColor rgb="FFFF6600"/>
      <rgbColor rgb="FF6A746F"/>
      <rgbColor rgb="FF9DB8B1"/>
      <rgbColor rgb="FF003366"/>
      <rgbColor rgb="FF2E9E5B"/>
      <rgbColor rgb="FF003300"/>
      <rgbColor rgb="FF555555"/>
      <rgbColor rgb="FFB42318"/>
      <rgbColor rgb="FF993366"/>
      <rgbColor rgb="FF6B3FA0"/>
      <rgbColor rgb="FF4A52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Task theo sprint và nền tảng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Dashboard!$C$9</c:f>
              <c:strCache>
                <c:ptCount val="1"/>
                <c:pt idx="0">
                  <c:v>Backend</c:v>
                </c:pt>
              </c:strCache>
            </c:strRef>
          </c:tx>
          <c:spPr>
            <a:solidFill>
              <a:srgbClr val="5B8FD6"/>
            </a:solidFill>
            <a:ln w="0">
              <a:solidFill>
                <a:srgbClr val="5B8FD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Dashboard!$C$10:$C$13</c:f>
              <c:numCache>
                <c:formatCode>General</c:formatCode>
                <c:ptCount val="4"/>
                <c:pt idx="0">
                  <c:v>16</c:v>
                </c:pt>
                <c:pt idx="1">
                  <c:v>21</c:v>
                </c:pt>
                <c:pt idx="2">
                  <c:v>33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F-49B8-B1F3-C1952E131C20}"/>
            </c:ext>
          </c:extLst>
        </c:ser>
        <c:ser>
          <c:idx val="1"/>
          <c:order val="1"/>
          <c:tx>
            <c:strRef>
              <c:f>Dashboard!$D$9</c:f>
              <c:strCache>
                <c:ptCount val="1"/>
                <c:pt idx="0">
                  <c:v>Portal</c:v>
                </c:pt>
              </c:strCache>
            </c:strRef>
          </c:tx>
          <c:spPr>
            <a:solidFill>
              <a:srgbClr val="9B6FCF"/>
            </a:solidFill>
            <a:ln w="0">
              <a:solidFill>
                <a:srgbClr val="9B6FC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Dashboard!$D$10:$D$13</c:f>
              <c:numCache>
                <c:formatCode>General</c:formatCode>
                <c:ptCount val="4"/>
                <c:pt idx="0">
                  <c:v>13</c:v>
                </c:pt>
                <c:pt idx="1">
                  <c:v>11</c:v>
                </c:pt>
                <c:pt idx="2">
                  <c:v>20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F-49B8-B1F3-C1952E131C20}"/>
            </c:ext>
          </c:extLst>
        </c:ser>
        <c:ser>
          <c:idx val="2"/>
          <c:order val="2"/>
          <c:tx>
            <c:strRef>
              <c:f>Dashboard!$E$9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rgbClr val="2E9E5B"/>
            </a:solidFill>
            <a:ln w="0">
              <a:solidFill>
                <a:srgbClr val="2E9E5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Dashboard!$E$10:$E$13</c:f>
              <c:numCache>
                <c:formatCode>General</c:formatCode>
                <c:ptCount val="4"/>
                <c:pt idx="0">
                  <c:v>3</c:v>
                </c:pt>
                <c:pt idx="1">
                  <c:v>11</c:v>
                </c:pt>
                <c:pt idx="2">
                  <c:v>14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EF-49B8-B1F3-C1952E131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712797"/>
        <c:axId val="32586142"/>
      </c:barChart>
      <c:catAx>
        <c:axId val="797127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586142"/>
        <c:crosses val="autoZero"/>
        <c:auto val="1"/>
        <c:lblAlgn val="ctr"/>
        <c:lblOffset val="100"/>
        <c:noMultiLvlLbl val="0"/>
      </c:catAx>
      <c:valAx>
        <c:axId val="32586142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7127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Lũy kế: kế hoạch và Done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Dashboard!$I$9</c:f>
              <c:strCache>
                <c:ptCount val="1"/>
                <c:pt idx="0">
                  <c:v>Lũy kế kế hoạch</c:v>
                </c:pt>
              </c:strCache>
            </c:strRef>
          </c:tx>
          <c:spPr>
            <a:ln w="28440">
              <a:solidFill>
                <a:srgbClr val="9DB8B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Dashboard!$I$10:$I$13</c:f>
              <c:numCache>
                <c:formatCode>General</c:formatCode>
                <c:ptCount val="4"/>
                <c:pt idx="0">
                  <c:v>32</c:v>
                </c:pt>
                <c:pt idx="1">
                  <c:v>75</c:v>
                </c:pt>
                <c:pt idx="2">
                  <c:v>142</c:v>
                </c:pt>
                <c:pt idx="3">
                  <c:v>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F3-4107-8488-7B46EB265DC3}"/>
            </c:ext>
          </c:extLst>
        </c:ser>
        <c:ser>
          <c:idx val="1"/>
          <c:order val="1"/>
          <c:tx>
            <c:strRef>
              <c:f>Dashboard!$J$9</c:f>
              <c:strCache>
                <c:ptCount val="1"/>
                <c:pt idx="0">
                  <c:v>Lũy kế Done</c:v>
                </c:pt>
              </c:strCache>
            </c:strRef>
          </c:tx>
          <c:spPr>
            <a:ln w="28080">
              <a:solidFill>
                <a:srgbClr val="14655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Dashboard!$J$10:$J$13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F3-4107-8488-7B46EB265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744006"/>
        <c:axId val="36082398"/>
      </c:lineChart>
      <c:catAx>
        <c:axId val="437440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082398"/>
        <c:crosses val="autoZero"/>
        <c:auto val="1"/>
        <c:lblAlgn val="ctr"/>
        <c:lblOffset val="100"/>
        <c:noMultiLvlLbl val="0"/>
      </c:catAx>
      <c:valAx>
        <c:axId val="3608239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7440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37440</xdr:rowOff>
    </xdr:from>
    <xdr:to>
      <xdr:col>20</xdr:col>
      <xdr:colOff>498710</xdr:colOff>
      <xdr:row>19</xdr:row>
      <xdr:rowOff>111430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22</xdr:row>
      <xdr:rowOff>77400</xdr:rowOff>
    </xdr:from>
    <xdr:to>
      <xdr:col>20</xdr:col>
      <xdr:colOff>498710</xdr:colOff>
      <xdr:row>35</xdr:row>
      <xdr:rowOff>148850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00"/>
  <sheetViews>
    <sheetView zoomScale="70" zoomScaleNormal="70" workbookViewId="0">
      <pane ySplit="4" topLeftCell="A5" activePane="bottomLeft" state="frozen"/>
      <selection pane="bottomLeft" activeCell="K11" sqref="K11"/>
    </sheetView>
  </sheetViews>
  <sheetFormatPr defaultColWidth="8.6640625" defaultRowHeight="14.4" x14ac:dyDescent="0.3"/>
  <cols>
    <col min="1" max="1" width="11" style="52" customWidth="1"/>
    <col min="2" max="2" width="6" style="52" customWidth="1"/>
    <col min="3" max="3" width="18" style="52" customWidth="1"/>
    <col min="4" max="4" width="20" style="52" customWidth="1"/>
    <col min="5" max="5" width="30" style="52" customWidth="1"/>
    <col min="6" max="6" width="10" style="52" customWidth="1"/>
    <col min="7" max="7" width="54" style="52" customWidth="1"/>
    <col min="8" max="8" width="9" style="52" customWidth="1"/>
    <col min="9" max="9" width="7" style="52" customWidth="1"/>
    <col min="10" max="10" width="13" style="52" customWidth="1"/>
    <col min="11" max="11" width="10" style="52" customWidth="1"/>
    <col min="12" max="12" width="12" style="52" customWidth="1"/>
    <col min="13" max="13" width="8" style="52" customWidth="1"/>
    <col min="14" max="15" width="11" style="52" customWidth="1"/>
    <col min="16" max="16" width="34" style="52" customWidth="1"/>
    <col min="17" max="16384" width="8.6640625" style="52"/>
  </cols>
  <sheetData>
    <row r="1" spans="1:16" customFormat="1" ht="19.2" x14ac:dyDescent="0.35">
      <c r="A1" s="2" t="s">
        <v>0</v>
      </c>
    </row>
    <row r="2" spans="1:16" customFormat="1" x14ac:dyDescent="0.3">
      <c r="A2" s="3" t="s">
        <v>1</v>
      </c>
    </row>
    <row r="3" spans="1:16" customFormat="1" x14ac:dyDescent="0.3"/>
    <row r="4" spans="1:16" customFormat="1" ht="30" customHeight="1" x14ac:dyDescent="0.3">
      <c r="A4" s="39" t="s">
        <v>2</v>
      </c>
      <c r="B4" s="39" t="s">
        <v>3</v>
      </c>
      <c r="C4" s="39" t="s">
        <v>4</v>
      </c>
      <c r="D4" s="39" t="s">
        <v>5</v>
      </c>
      <c r="E4" s="39" t="s">
        <v>6</v>
      </c>
      <c r="F4" s="39" t="s">
        <v>7</v>
      </c>
      <c r="G4" s="39" t="s">
        <v>8</v>
      </c>
      <c r="H4" s="39" t="s">
        <v>9</v>
      </c>
      <c r="I4" s="39" t="s">
        <v>10</v>
      </c>
      <c r="J4" s="39" t="s">
        <v>11</v>
      </c>
      <c r="K4" s="39" t="s">
        <v>12</v>
      </c>
      <c r="L4" s="39" t="s">
        <v>13</v>
      </c>
      <c r="M4" s="39" t="s">
        <v>14</v>
      </c>
      <c r="N4" s="39" t="s">
        <v>15</v>
      </c>
      <c r="O4" s="39" t="s">
        <v>16</v>
      </c>
      <c r="P4" s="39" t="s">
        <v>17</v>
      </c>
    </row>
    <row r="5" spans="1:16" customFormat="1" ht="26.4" x14ac:dyDescent="0.3">
      <c r="A5" s="40" t="s">
        <v>18</v>
      </c>
      <c r="B5" s="40" t="s">
        <v>19</v>
      </c>
      <c r="C5" s="41" t="s">
        <v>20</v>
      </c>
      <c r="D5" s="41" t="s">
        <v>21</v>
      </c>
      <c r="E5" s="42" t="s">
        <v>22</v>
      </c>
      <c r="F5" s="40" t="s">
        <v>23</v>
      </c>
      <c r="G5" s="41" t="s">
        <v>24</v>
      </c>
      <c r="H5" s="40" t="s">
        <v>25</v>
      </c>
      <c r="I5" s="40" t="s">
        <v>26</v>
      </c>
      <c r="J5" s="43" t="str">
        <f>IFERROR(TEXT(INDEX(Sprints!$B$5:$B$8,MATCH(I5,Sprints!$A$5:$A$8,0)),"dd/mm")&amp;" – "&amp;TEXT(INDEX(Sprints!$C$5:$C$8,MATCH(I5,Sprints!$A$5:$A$8,0)),"dd/mm"),"")</f>
        <v>18/10 – 31/10</v>
      </c>
      <c r="K5" s="40" t="s">
        <v>27</v>
      </c>
      <c r="L5" s="40" t="s">
        <v>28</v>
      </c>
      <c r="M5" s="43" t="str">
        <f ca="1">IFERROR(IF(AND(L5&lt;&gt;"Done",TODAY()&gt;INDEX(Sprints!$C$5:$C$8,MATCH(I5,Sprints!$A$5:$A$8,0))),"Trễ",""),"")</f>
        <v/>
      </c>
      <c r="N5" s="44"/>
      <c r="O5" s="44"/>
      <c r="P5" s="41"/>
    </row>
    <row r="6" spans="1:16" customFormat="1" ht="26.4" x14ac:dyDescent="0.3">
      <c r="A6" s="40" t="s">
        <v>29</v>
      </c>
      <c r="B6" s="40" t="s">
        <v>19</v>
      </c>
      <c r="C6" s="41" t="s">
        <v>20</v>
      </c>
      <c r="D6" s="41" t="s">
        <v>21</v>
      </c>
      <c r="E6" s="42" t="s">
        <v>22</v>
      </c>
      <c r="F6" s="40" t="s">
        <v>30</v>
      </c>
      <c r="G6" s="41" t="s">
        <v>31</v>
      </c>
      <c r="H6" s="40" t="s">
        <v>25</v>
      </c>
      <c r="I6" s="40" t="s">
        <v>26</v>
      </c>
      <c r="J6" s="43" t="str">
        <f>IFERROR(TEXT(INDEX(Sprints!$B$5:$B$8,MATCH(I6,Sprints!$A$5:$A$8,0)),"dd/mm")&amp;" – "&amp;TEXT(INDEX(Sprints!$C$5:$C$8,MATCH(I6,Sprints!$A$5:$A$8,0)),"dd/mm"),"")</f>
        <v>18/10 – 31/10</v>
      </c>
      <c r="K6" s="40" t="s">
        <v>32</v>
      </c>
      <c r="L6" s="40" t="s">
        <v>28</v>
      </c>
      <c r="M6" s="43" t="str">
        <f ca="1">IFERROR(IF(AND(L6&lt;&gt;"Done",TODAY()&gt;INDEX(Sprints!$C$5:$C$8,MATCH(I6,Sprints!$A$5:$A$8,0))),"Trễ",""),"")</f>
        <v/>
      </c>
      <c r="N6" s="44"/>
      <c r="O6" s="44"/>
      <c r="P6" s="41"/>
    </row>
    <row r="7" spans="1:16" customFormat="1" ht="26.4" x14ac:dyDescent="0.3">
      <c r="A7" s="40" t="s">
        <v>33</v>
      </c>
      <c r="B7" s="40" t="s">
        <v>19</v>
      </c>
      <c r="C7" s="41" t="s">
        <v>20</v>
      </c>
      <c r="D7" s="41" t="s">
        <v>21</v>
      </c>
      <c r="E7" s="42" t="s">
        <v>34</v>
      </c>
      <c r="F7" s="40" t="s">
        <v>23</v>
      </c>
      <c r="G7" s="41" t="s">
        <v>35</v>
      </c>
      <c r="H7" s="40" t="s">
        <v>25</v>
      </c>
      <c r="I7" s="40" t="s">
        <v>26</v>
      </c>
      <c r="J7" s="43" t="str">
        <f>IFERROR(TEXT(INDEX(Sprints!$B$5:$B$8,MATCH(I7,Sprints!$A$5:$A$8,0)),"dd/mm")&amp;" – "&amp;TEXT(INDEX(Sprints!$C$5:$C$8,MATCH(I7,Sprints!$A$5:$A$8,0)),"dd/mm"),"")</f>
        <v>18/10 – 31/10</v>
      </c>
      <c r="K7" s="40" t="s">
        <v>36</v>
      </c>
      <c r="L7" s="40" t="s">
        <v>28</v>
      </c>
      <c r="M7" s="43" t="str">
        <f ca="1">IFERROR(IF(AND(L7&lt;&gt;"Done",TODAY()&gt;INDEX(Sprints!$C$5:$C$8,MATCH(I7,Sprints!$A$5:$A$8,0))),"Trễ",""),"")</f>
        <v/>
      </c>
      <c r="N7" s="44"/>
      <c r="O7" s="44"/>
      <c r="P7" s="41" t="s">
        <v>37</v>
      </c>
    </row>
    <row r="8" spans="1:16" customFormat="1" ht="26.4" x14ac:dyDescent="0.3">
      <c r="A8" s="40" t="s">
        <v>38</v>
      </c>
      <c r="B8" s="40" t="s">
        <v>19</v>
      </c>
      <c r="C8" s="41" t="s">
        <v>20</v>
      </c>
      <c r="D8" s="41" t="s">
        <v>21</v>
      </c>
      <c r="E8" s="42" t="s">
        <v>34</v>
      </c>
      <c r="F8" s="40" t="s">
        <v>39</v>
      </c>
      <c r="G8" s="41" t="s">
        <v>40</v>
      </c>
      <c r="H8" s="40" t="s">
        <v>25</v>
      </c>
      <c r="I8" s="40" t="s">
        <v>26</v>
      </c>
      <c r="J8" s="43" t="str">
        <f>IFERROR(TEXT(INDEX(Sprints!$B$5:$B$8,MATCH(I8,Sprints!$A$5:$A$8,0)),"dd/mm")&amp;" – "&amp;TEXT(INDEX(Sprints!$C$5:$C$8,MATCH(I8,Sprints!$A$5:$A$8,0)),"dd/mm"),"")</f>
        <v>18/10 – 31/10</v>
      </c>
      <c r="K8" s="40" t="s">
        <v>41</v>
      </c>
      <c r="L8" s="40" t="s">
        <v>28</v>
      </c>
      <c r="M8" s="43" t="str">
        <f ca="1">IFERROR(IF(AND(L8&lt;&gt;"Done",TODAY()&gt;INDEX(Sprints!$C$5:$C$8,MATCH(I8,Sprints!$A$5:$A$8,0))),"Trễ",""),"")</f>
        <v/>
      </c>
      <c r="N8" s="44"/>
      <c r="O8" s="44"/>
      <c r="P8" s="41" t="s">
        <v>37</v>
      </c>
    </row>
    <row r="9" spans="1:16" customFormat="1" ht="26.4" x14ac:dyDescent="0.3">
      <c r="A9" s="40" t="s">
        <v>42</v>
      </c>
      <c r="B9" s="40" t="s">
        <v>19</v>
      </c>
      <c r="C9" s="41" t="s">
        <v>20</v>
      </c>
      <c r="D9" s="41" t="s">
        <v>21</v>
      </c>
      <c r="E9" s="42" t="s">
        <v>43</v>
      </c>
      <c r="F9" s="40" t="s">
        <v>23</v>
      </c>
      <c r="G9" s="41" t="s">
        <v>44</v>
      </c>
      <c r="H9" s="40" t="s">
        <v>25</v>
      </c>
      <c r="I9" s="40" t="s">
        <v>26</v>
      </c>
      <c r="J9" s="43" t="str">
        <f>IFERROR(TEXT(INDEX(Sprints!$B$5:$B$8,MATCH(I9,Sprints!$A$5:$A$8,0)),"dd/mm")&amp;" – "&amp;TEXT(INDEX(Sprints!$C$5:$C$8,MATCH(I9,Sprints!$A$5:$A$8,0)),"dd/mm"),"")</f>
        <v>18/10 – 31/10</v>
      </c>
      <c r="K9" s="40" t="s">
        <v>27</v>
      </c>
      <c r="L9" s="40" t="s">
        <v>28</v>
      </c>
      <c r="M9" s="43" t="str">
        <f ca="1">IFERROR(IF(AND(L9&lt;&gt;"Done",TODAY()&gt;INDEX(Sprints!$C$5:$C$8,MATCH(I9,Sprints!$A$5:$A$8,0))),"Trễ",""),"")</f>
        <v/>
      </c>
      <c r="N9" s="44"/>
      <c r="O9" s="44"/>
      <c r="P9" s="41"/>
    </row>
    <row r="10" spans="1:16" customFormat="1" ht="26.4" x14ac:dyDescent="0.3">
      <c r="A10" s="40" t="s">
        <v>45</v>
      </c>
      <c r="B10" s="40" t="s">
        <v>19</v>
      </c>
      <c r="C10" s="41" t="s">
        <v>20</v>
      </c>
      <c r="D10" s="41" t="s">
        <v>21</v>
      </c>
      <c r="E10" s="42" t="s">
        <v>43</v>
      </c>
      <c r="F10" s="40" t="s">
        <v>30</v>
      </c>
      <c r="G10" s="41" t="s">
        <v>46</v>
      </c>
      <c r="H10" s="40" t="s">
        <v>25</v>
      </c>
      <c r="I10" s="40" t="s">
        <v>26</v>
      </c>
      <c r="J10" s="43" t="str">
        <f>IFERROR(TEXT(INDEX(Sprints!$B$5:$B$8,MATCH(I10,Sprints!$A$5:$A$8,0)),"dd/mm")&amp;" – "&amp;TEXT(INDEX(Sprints!$C$5:$C$8,MATCH(I10,Sprints!$A$5:$A$8,0)),"dd/mm"),"")</f>
        <v>18/10 – 31/10</v>
      </c>
      <c r="K10" s="40" t="s">
        <v>41</v>
      </c>
      <c r="L10" s="40" t="s">
        <v>28</v>
      </c>
      <c r="M10" s="43" t="str">
        <f ca="1">IFERROR(IF(AND(L10&lt;&gt;"Done",TODAY()&gt;INDEX(Sprints!$C$5:$C$8,MATCH(I10,Sprints!$A$5:$A$8,0))),"Trễ",""),"")</f>
        <v/>
      </c>
      <c r="N10" s="44"/>
      <c r="O10" s="44"/>
      <c r="P10" s="41"/>
    </row>
    <row r="11" spans="1:16" customFormat="1" ht="26.4" x14ac:dyDescent="0.3">
      <c r="A11" s="40" t="s">
        <v>47</v>
      </c>
      <c r="B11" s="40" t="s">
        <v>19</v>
      </c>
      <c r="C11" s="41" t="s">
        <v>20</v>
      </c>
      <c r="D11" s="41" t="s">
        <v>21</v>
      </c>
      <c r="E11" s="42" t="s">
        <v>43</v>
      </c>
      <c r="F11" s="40" t="s">
        <v>39</v>
      </c>
      <c r="G11" s="41" t="s">
        <v>48</v>
      </c>
      <c r="H11" s="40" t="s">
        <v>25</v>
      </c>
      <c r="I11" s="40" t="s">
        <v>26</v>
      </c>
      <c r="J11" s="43" t="str">
        <f>IFERROR(TEXT(INDEX(Sprints!$B$5:$B$8,MATCH(I11,Sprints!$A$5:$A$8,0)),"dd/mm")&amp;" – "&amp;TEXT(INDEX(Sprints!$C$5:$C$8,MATCH(I11,Sprints!$A$5:$A$8,0)),"dd/mm"),"")</f>
        <v>18/10 – 31/10</v>
      </c>
      <c r="K11" s="40" t="s">
        <v>32</v>
      </c>
      <c r="L11" s="40" t="s">
        <v>28</v>
      </c>
      <c r="M11" s="43" t="str">
        <f ca="1">IFERROR(IF(AND(L11&lt;&gt;"Done",TODAY()&gt;INDEX(Sprints!$C$5:$C$8,MATCH(I11,Sprints!$A$5:$A$8,0))),"Trễ",""),"")</f>
        <v/>
      </c>
      <c r="N11" s="44"/>
      <c r="O11" s="44"/>
      <c r="P11" s="41"/>
    </row>
    <row r="12" spans="1:16" customFormat="1" ht="26.4" x14ac:dyDescent="0.3">
      <c r="A12" s="45" t="s">
        <v>49</v>
      </c>
      <c r="B12" s="45" t="s">
        <v>50</v>
      </c>
      <c r="C12" s="46" t="s">
        <v>51</v>
      </c>
      <c r="D12" s="46" t="s">
        <v>52</v>
      </c>
      <c r="E12" s="47" t="s">
        <v>53</v>
      </c>
      <c r="F12" s="45" t="s">
        <v>23</v>
      </c>
      <c r="G12" s="46" t="s">
        <v>54</v>
      </c>
      <c r="H12" s="45" t="s">
        <v>25</v>
      </c>
      <c r="I12" s="45" t="s">
        <v>26</v>
      </c>
      <c r="J12" s="43" t="str">
        <f>IFERROR(TEXT(INDEX(Sprints!$B$5:$B$8,MATCH(I12,Sprints!$A$5:$A$8,0)),"dd/mm")&amp;" – "&amp;TEXT(INDEX(Sprints!$C$5:$C$8,MATCH(I12,Sprints!$A$5:$A$8,0)),"dd/mm"),"")</f>
        <v>18/10 – 31/10</v>
      </c>
      <c r="K12" s="45" t="s">
        <v>27</v>
      </c>
      <c r="L12" s="45" t="s">
        <v>28</v>
      </c>
      <c r="M12" s="43" t="str">
        <f ca="1">IFERROR(IF(AND(L12&lt;&gt;"Done",TODAY()&gt;INDEX(Sprints!$C$5:$C$8,MATCH(I12,Sprints!$A$5:$A$8,0))),"Trễ",""),"")</f>
        <v/>
      </c>
      <c r="N12" s="48"/>
      <c r="O12" s="48"/>
      <c r="P12" s="46" t="s">
        <v>55</v>
      </c>
    </row>
    <row r="13" spans="1:16" customFormat="1" ht="26.4" x14ac:dyDescent="0.3">
      <c r="A13" s="45" t="s">
        <v>56</v>
      </c>
      <c r="B13" s="45" t="s">
        <v>50</v>
      </c>
      <c r="C13" s="46" t="s">
        <v>51</v>
      </c>
      <c r="D13" s="46" t="s">
        <v>52</v>
      </c>
      <c r="E13" s="47" t="s">
        <v>53</v>
      </c>
      <c r="F13" s="45" t="s">
        <v>30</v>
      </c>
      <c r="G13" s="46" t="s">
        <v>57</v>
      </c>
      <c r="H13" s="45" t="s">
        <v>25</v>
      </c>
      <c r="I13" s="45" t="s">
        <v>26</v>
      </c>
      <c r="J13" s="43" t="str">
        <f>IFERROR(TEXT(INDEX(Sprints!$B$5:$B$8,MATCH(I13,Sprints!$A$5:$A$8,0)),"dd/mm")&amp;" – "&amp;TEXT(INDEX(Sprints!$C$5:$C$8,MATCH(I13,Sprints!$A$5:$A$8,0)),"dd/mm"),"")</f>
        <v>18/10 – 31/10</v>
      </c>
      <c r="K13" s="45" t="s">
        <v>32</v>
      </c>
      <c r="L13" s="45" t="s">
        <v>28</v>
      </c>
      <c r="M13" s="43" t="str">
        <f ca="1">IFERROR(IF(AND(L13&lt;&gt;"Done",TODAY()&gt;INDEX(Sprints!$C$5:$C$8,MATCH(I13,Sprints!$A$5:$A$8,0))),"Trễ",""),"")</f>
        <v/>
      </c>
      <c r="N13" s="48"/>
      <c r="O13" s="48"/>
      <c r="P13" s="46" t="s">
        <v>55</v>
      </c>
    </row>
    <row r="14" spans="1:16" customFormat="1" x14ac:dyDescent="0.3">
      <c r="A14" s="45" t="s">
        <v>58</v>
      </c>
      <c r="B14" s="45" t="s">
        <v>50</v>
      </c>
      <c r="C14" s="46" t="s">
        <v>51</v>
      </c>
      <c r="D14" s="46" t="s">
        <v>52</v>
      </c>
      <c r="E14" s="47" t="s">
        <v>59</v>
      </c>
      <c r="F14" s="45" t="s">
        <v>23</v>
      </c>
      <c r="G14" s="46" t="s">
        <v>60</v>
      </c>
      <c r="H14" s="45" t="s">
        <v>25</v>
      </c>
      <c r="I14" s="45" t="s">
        <v>26</v>
      </c>
      <c r="J14" s="43" t="str">
        <f>IFERROR(TEXT(INDEX(Sprints!$B$5:$B$8,MATCH(I14,Sprints!$A$5:$A$8,0)),"dd/mm")&amp;" – "&amp;TEXT(INDEX(Sprints!$C$5:$C$8,MATCH(I14,Sprints!$A$5:$A$8,0)),"dd/mm"),"")</f>
        <v>18/10 – 31/10</v>
      </c>
      <c r="K14" s="45" t="s">
        <v>27</v>
      </c>
      <c r="L14" s="45" t="s">
        <v>28</v>
      </c>
      <c r="M14" s="43" t="str">
        <f ca="1">IFERROR(IF(AND(L14&lt;&gt;"Done",TODAY()&gt;INDEX(Sprints!$C$5:$C$8,MATCH(I14,Sprints!$A$5:$A$8,0))),"Trễ",""),"")</f>
        <v/>
      </c>
      <c r="N14" s="48"/>
      <c r="O14" s="48"/>
      <c r="P14" s="46"/>
    </row>
    <row r="15" spans="1:16" customFormat="1" x14ac:dyDescent="0.3">
      <c r="A15" s="45" t="s">
        <v>61</v>
      </c>
      <c r="B15" s="45" t="s">
        <v>50</v>
      </c>
      <c r="C15" s="46" t="s">
        <v>51</v>
      </c>
      <c r="D15" s="46" t="s">
        <v>52</v>
      </c>
      <c r="E15" s="47" t="s">
        <v>59</v>
      </c>
      <c r="F15" s="45" t="s">
        <v>30</v>
      </c>
      <c r="G15" s="46" t="s">
        <v>62</v>
      </c>
      <c r="H15" s="45" t="s">
        <v>25</v>
      </c>
      <c r="I15" s="45" t="s">
        <v>26</v>
      </c>
      <c r="J15" s="43" t="str">
        <f>IFERROR(TEXT(INDEX(Sprints!$B$5:$B$8,MATCH(I15,Sprints!$A$5:$A$8,0)),"dd/mm")&amp;" – "&amp;TEXT(INDEX(Sprints!$C$5:$C$8,MATCH(I15,Sprints!$A$5:$A$8,0)),"dd/mm"),"")</f>
        <v>18/10 – 31/10</v>
      </c>
      <c r="K15" s="45" t="s">
        <v>32</v>
      </c>
      <c r="L15" s="45" t="s">
        <v>28</v>
      </c>
      <c r="M15" s="43" t="str">
        <f ca="1">IFERROR(IF(AND(L15&lt;&gt;"Done",TODAY()&gt;INDEX(Sprints!$C$5:$C$8,MATCH(I15,Sprints!$A$5:$A$8,0))),"Trễ",""),"")</f>
        <v/>
      </c>
      <c r="N15" s="48"/>
      <c r="O15" s="48"/>
      <c r="P15" s="46"/>
    </row>
    <row r="16" spans="1:16" customFormat="1" x14ac:dyDescent="0.3">
      <c r="A16" s="45" t="s">
        <v>63</v>
      </c>
      <c r="B16" s="45" t="s">
        <v>50</v>
      </c>
      <c r="C16" s="46" t="s">
        <v>51</v>
      </c>
      <c r="D16" s="46" t="s">
        <v>52</v>
      </c>
      <c r="E16" s="47" t="s">
        <v>64</v>
      </c>
      <c r="F16" s="45" t="s">
        <v>39</v>
      </c>
      <c r="G16" s="46" t="s">
        <v>65</v>
      </c>
      <c r="H16" s="45" t="s">
        <v>25</v>
      </c>
      <c r="I16" s="45" t="s">
        <v>26</v>
      </c>
      <c r="J16" s="43" t="str">
        <f>IFERROR(TEXT(INDEX(Sprints!$B$5:$B$8,MATCH(I16,Sprints!$A$5:$A$8,0)),"dd/mm")&amp;" – "&amp;TEXT(INDEX(Sprints!$C$5:$C$8,MATCH(I16,Sprints!$A$5:$A$8,0)),"dd/mm"),"")</f>
        <v>18/10 – 31/10</v>
      </c>
      <c r="K16" s="45" t="s">
        <v>32</v>
      </c>
      <c r="L16" s="45" t="s">
        <v>28</v>
      </c>
      <c r="M16" s="43" t="str">
        <f ca="1">IFERROR(IF(AND(L16&lt;&gt;"Done",TODAY()&gt;INDEX(Sprints!$C$5:$C$8,MATCH(I16,Sprints!$A$5:$A$8,0))),"Trễ",""),"")</f>
        <v/>
      </c>
      <c r="N16" s="48"/>
      <c r="O16" s="48"/>
      <c r="P16" s="46"/>
    </row>
    <row r="17" spans="1:16" customFormat="1" x14ac:dyDescent="0.3">
      <c r="A17" s="45" t="s">
        <v>66</v>
      </c>
      <c r="B17" s="45" t="s">
        <v>50</v>
      </c>
      <c r="C17" s="46" t="s">
        <v>51</v>
      </c>
      <c r="D17" s="46" t="s">
        <v>67</v>
      </c>
      <c r="E17" s="47" t="s">
        <v>68</v>
      </c>
      <c r="F17" s="45" t="s">
        <v>23</v>
      </c>
      <c r="G17" s="46" t="s">
        <v>69</v>
      </c>
      <c r="H17" s="45" t="s">
        <v>25</v>
      </c>
      <c r="I17" s="45" t="s">
        <v>26</v>
      </c>
      <c r="J17" s="43" t="str">
        <f>IFERROR(TEXT(INDEX(Sprints!$B$5:$B$8,MATCH(I17,Sprints!$A$5:$A$8,0)),"dd/mm")&amp;" – "&amp;TEXT(INDEX(Sprints!$C$5:$C$8,MATCH(I17,Sprints!$A$5:$A$8,0)),"dd/mm"),"")</f>
        <v>18/10 – 31/10</v>
      </c>
      <c r="K17" s="45" t="s">
        <v>27</v>
      </c>
      <c r="L17" s="45" t="s">
        <v>28</v>
      </c>
      <c r="M17" s="43" t="str">
        <f ca="1">IFERROR(IF(AND(L17&lt;&gt;"Done",TODAY()&gt;INDEX(Sprints!$C$5:$C$8,MATCH(I17,Sprints!$A$5:$A$8,0))),"Trễ",""),"")</f>
        <v/>
      </c>
      <c r="N17" s="48"/>
      <c r="O17" s="48"/>
      <c r="P17" s="46"/>
    </row>
    <row r="18" spans="1:16" customFormat="1" x14ac:dyDescent="0.3">
      <c r="A18" s="45" t="s">
        <v>70</v>
      </c>
      <c r="B18" s="45" t="s">
        <v>50</v>
      </c>
      <c r="C18" s="46" t="s">
        <v>51</v>
      </c>
      <c r="D18" s="46" t="s">
        <v>67</v>
      </c>
      <c r="E18" s="47" t="s">
        <v>68</v>
      </c>
      <c r="F18" s="45" t="s">
        <v>30</v>
      </c>
      <c r="G18" s="46" t="s">
        <v>71</v>
      </c>
      <c r="H18" s="45" t="s">
        <v>25</v>
      </c>
      <c r="I18" s="45" t="s">
        <v>26</v>
      </c>
      <c r="J18" s="43" t="str">
        <f>IFERROR(TEXT(INDEX(Sprints!$B$5:$B$8,MATCH(I18,Sprints!$A$5:$A$8,0)),"dd/mm")&amp;" – "&amp;TEXT(INDEX(Sprints!$C$5:$C$8,MATCH(I18,Sprints!$A$5:$A$8,0)),"dd/mm"),"")</f>
        <v>18/10 – 31/10</v>
      </c>
      <c r="K18" s="45" t="s">
        <v>41</v>
      </c>
      <c r="L18" s="45" t="s">
        <v>28</v>
      </c>
      <c r="M18" s="43" t="str">
        <f ca="1">IFERROR(IF(AND(L18&lt;&gt;"Done",TODAY()&gt;INDEX(Sprints!$C$5:$C$8,MATCH(I18,Sprints!$A$5:$A$8,0))),"Trễ",""),"")</f>
        <v/>
      </c>
      <c r="N18" s="48"/>
      <c r="O18" s="48"/>
      <c r="P18" s="46"/>
    </row>
    <row r="19" spans="1:16" customFormat="1" ht="26.4" x14ac:dyDescent="0.3">
      <c r="A19" s="45" t="s">
        <v>72</v>
      </c>
      <c r="B19" s="45" t="s">
        <v>50</v>
      </c>
      <c r="C19" s="46" t="s">
        <v>51</v>
      </c>
      <c r="D19" s="46" t="s">
        <v>67</v>
      </c>
      <c r="E19" s="47" t="s">
        <v>73</v>
      </c>
      <c r="F19" s="45" t="s">
        <v>23</v>
      </c>
      <c r="G19" s="46" t="s">
        <v>74</v>
      </c>
      <c r="H19" s="45" t="s">
        <v>25</v>
      </c>
      <c r="I19" s="45" t="s">
        <v>26</v>
      </c>
      <c r="J19" s="43" t="str">
        <f>IFERROR(TEXT(INDEX(Sprints!$B$5:$B$8,MATCH(I19,Sprints!$A$5:$A$8,0)),"dd/mm")&amp;" – "&amp;TEXT(INDEX(Sprints!$C$5:$C$8,MATCH(I19,Sprints!$A$5:$A$8,0)),"dd/mm"),"")</f>
        <v>18/10 – 31/10</v>
      </c>
      <c r="K19" s="45" t="s">
        <v>27</v>
      </c>
      <c r="L19" s="45" t="s">
        <v>28</v>
      </c>
      <c r="M19" s="43" t="str">
        <f ca="1">IFERROR(IF(AND(L19&lt;&gt;"Done",TODAY()&gt;INDEX(Sprints!$C$5:$C$8,MATCH(I19,Sprints!$A$5:$A$8,0))),"Trễ",""),"")</f>
        <v/>
      </c>
      <c r="N19" s="48"/>
      <c r="O19" s="48"/>
      <c r="P19" s="46" t="s">
        <v>55</v>
      </c>
    </row>
    <row r="20" spans="1:16" customFormat="1" ht="26.4" x14ac:dyDescent="0.3">
      <c r="A20" s="45" t="s">
        <v>75</v>
      </c>
      <c r="B20" s="45" t="s">
        <v>50</v>
      </c>
      <c r="C20" s="46" t="s">
        <v>51</v>
      </c>
      <c r="D20" s="46" t="s">
        <v>67</v>
      </c>
      <c r="E20" s="47" t="s">
        <v>73</v>
      </c>
      <c r="F20" s="45" t="s">
        <v>30</v>
      </c>
      <c r="G20" s="46" t="s">
        <v>76</v>
      </c>
      <c r="H20" s="45" t="s">
        <v>25</v>
      </c>
      <c r="I20" s="45" t="s">
        <v>26</v>
      </c>
      <c r="J20" s="43" t="str">
        <f>IFERROR(TEXT(INDEX(Sprints!$B$5:$B$8,MATCH(I20,Sprints!$A$5:$A$8,0)),"dd/mm")&amp;" – "&amp;TEXT(INDEX(Sprints!$C$5:$C$8,MATCH(I20,Sprints!$A$5:$A$8,0)),"dd/mm"),"")</f>
        <v>18/10 – 31/10</v>
      </c>
      <c r="K20" s="45" t="s">
        <v>32</v>
      </c>
      <c r="L20" s="45" t="s">
        <v>28</v>
      </c>
      <c r="M20" s="43" t="str">
        <f ca="1">IFERROR(IF(AND(L20&lt;&gt;"Done",TODAY()&gt;INDEX(Sprints!$C$5:$C$8,MATCH(I20,Sprints!$A$5:$A$8,0))),"Trễ",""),"")</f>
        <v/>
      </c>
      <c r="N20" s="48"/>
      <c r="O20" s="48"/>
      <c r="P20" s="46" t="s">
        <v>55</v>
      </c>
    </row>
    <row r="21" spans="1:16" customFormat="1" x14ac:dyDescent="0.3">
      <c r="A21" s="45" t="s">
        <v>77</v>
      </c>
      <c r="B21" s="45" t="s">
        <v>50</v>
      </c>
      <c r="C21" s="46" t="s">
        <v>51</v>
      </c>
      <c r="D21" s="46" t="s">
        <v>67</v>
      </c>
      <c r="E21" s="47" t="s">
        <v>78</v>
      </c>
      <c r="F21" s="45" t="s">
        <v>23</v>
      </c>
      <c r="G21" s="46" t="s">
        <v>79</v>
      </c>
      <c r="H21" s="45" t="s">
        <v>25</v>
      </c>
      <c r="I21" s="45" t="s">
        <v>26</v>
      </c>
      <c r="J21" s="43" t="str">
        <f>IFERROR(TEXT(INDEX(Sprints!$B$5:$B$8,MATCH(I21,Sprints!$A$5:$A$8,0)),"dd/mm")&amp;" – "&amp;TEXT(INDEX(Sprints!$C$5:$C$8,MATCH(I21,Sprints!$A$5:$A$8,0)),"dd/mm"),"")</f>
        <v>18/10 – 31/10</v>
      </c>
      <c r="K21" s="45" t="s">
        <v>36</v>
      </c>
      <c r="L21" s="45" t="s">
        <v>28</v>
      </c>
      <c r="M21" s="43" t="str">
        <f ca="1">IFERROR(IF(AND(L21&lt;&gt;"Done",TODAY()&gt;INDEX(Sprints!$C$5:$C$8,MATCH(I21,Sprints!$A$5:$A$8,0))),"Trễ",""),"")</f>
        <v/>
      </c>
      <c r="N21" s="48"/>
      <c r="O21" s="48"/>
      <c r="P21" s="46"/>
    </row>
    <row r="22" spans="1:16" customFormat="1" x14ac:dyDescent="0.3">
      <c r="A22" s="45" t="s">
        <v>80</v>
      </c>
      <c r="B22" s="45" t="s">
        <v>50</v>
      </c>
      <c r="C22" s="46" t="s">
        <v>51</v>
      </c>
      <c r="D22" s="46" t="s">
        <v>67</v>
      </c>
      <c r="E22" s="47" t="s">
        <v>78</v>
      </c>
      <c r="F22" s="45" t="s">
        <v>30</v>
      </c>
      <c r="G22" s="46" t="s">
        <v>81</v>
      </c>
      <c r="H22" s="45" t="s">
        <v>25</v>
      </c>
      <c r="I22" s="45" t="s">
        <v>26</v>
      </c>
      <c r="J22" s="43" t="str">
        <f>IFERROR(TEXT(INDEX(Sprints!$B$5:$B$8,MATCH(I22,Sprints!$A$5:$A$8,0)),"dd/mm")&amp;" – "&amp;TEXT(INDEX(Sprints!$C$5:$C$8,MATCH(I22,Sprints!$A$5:$A$8,0)),"dd/mm"),"")</f>
        <v>18/10 – 31/10</v>
      </c>
      <c r="K22" s="45" t="s">
        <v>41</v>
      </c>
      <c r="L22" s="45" t="s">
        <v>28</v>
      </c>
      <c r="M22" s="43" t="str">
        <f ca="1">IFERROR(IF(AND(L22&lt;&gt;"Done",TODAY()&gt;INDEX(Sprints!$C$5:$C$8,MATCH(I22,Sprints!$A$5:$A$8,0))),"Trễ",""),"")</f>
        <v/>
      </c>
      <c r="N22" s="48"/>
      <c r="O22" s="48"/>
      <c r="P22" s="46"/>
    </row>
    <row r="23" spans="1:16" customFormat="1" x14ac:dyDescent="0.3">
      <c r="A23" s="45" t="s">
        <v>82</v>
      </c>
      <c r="B23" s="45" t="s">
        <v>50</v>
      </c>
      <c r="C23" s="46" t="s">
        <v>51</v>
      </c>
      <c r="D23" s="46" t="s">
        <v>83</v>
      </c>
      <c r="E23" s="47" t="s">
        <v>84</v>
      </c>
      <c r="F23" s="45" t="s">
        <v>23</v>
      </c>
      <c r="G23" s="46" t="s">
        <v>85</v>
      </c>
      <c r="H23" s="45" t="s">
        <v>25</v>
      </c>
      <c r="I23" s="45" t="s">
        <v>26</v>
      </c>
      <c r="J23" s="43" t="str">
        <f>IFERROR(TEXT(INDEX(Sprints!$B$5:$B$8,MATCH(I23,Sprints!$A$5:$A$8,0)),"dd/mm")&amp;" – "&amp;TEXT(INDEX(Sprints!$C$5:$C$8,MATCH(I23,Sprints!$A$5:$A$8,0)),"dd/mm"),"")</f>
        <v>18/10 – 31/10</v>
      </c>
      <c r="K23" s="45" t="s">
        <v>36</v>
      </c>
      <c r="L23" s="45" t="s">
        <v>28</v>
      </c>
      <c r="M23" s="43" t="str">
        <f ca="1">IFERROR(IF(AND(L23&lt;&gt;"Done",TODAY()&gt;INDEX(Sprints!$C$5:$C$8,MATCH(I23,Sprints!$A$5:$A$8,0))),"Trễ",""),"")</f>
        <v/>
      </c>
      <c r="N23" s="48"/>
      <c r="O23" s="48"/>
      <c r="P23" s="46"/>
    </row>
    <row r="24" spans="1:16" customFormat="1" x14ac:dyDescent="0.3">
      <c r="A24" s="45" t="s">
        <v>86</v>
      </c>
      <c r="B24" s="45" t="s">
        <v>50</v>
      </c>
      <c r="C24" s="46" t="s">
        <v>51</v>
      </c>
      <c r="D24" s="46" t="s">
        <v>83</v>
      </c>
      <c r="E24" s="47" t="s">
        <v>84</v>
      </c>
      <c r="F24" s="45" t="s">
        <v>30</v>
      </c>
      <c r="G24" s="46" t="s">
        <v>87</v>
      </c>
      <c r="H24" s="45" t="s">
        <v>25</v>
      </c>
      <c r="I24" s="45" t="s">
        <v>26</v>
      </c>
      <c r="J24" s="43" t="str">
        <f>IFERROR(TEXT(INDEX(Sprints!$B$5:$B$8,MATCH(I24,Sprints!$A$5:$A$8,0)),"dd/mm")&amp;" – "&amp;TEXT(INDEX(Sprints!$C$5:$C$8,MATCH(I24,Sprints!$A$5:$A$8,0)),"dd/mm"),"")</f>
        <v>18/10 – 31/10</v>
      </c>
      <c r="K24" s="45" t="s">
        <v>41</v>
      </c>
      <c r="L24" s="45" t="s">
        <v>28</v>
      </c>
      <c r="M24" s="43" t="str">
        <f ca="1">IFERROR(IF(AND(L24&lt;&gt;"Done",TODAY()&gt;INDEX(Sprints!$C$5:$C$8,MATCH(I24,Sprints!$A$5:$A$8,0))),"Trễ",""),"")</f>
        <v/>
      </c>
      <c r="N24" s="48"/>
      <c r="O24" s="48"/>
      <c r="P24" s="46"/>
    </row>
    <row r="25" spans="1:16" customFormat="1" x14ac:dyDescent="0.3">
      <c r="A25" s="45" t="s">
        <v>88</v>
      </c>
      <c r="B25" s="45" t="s">
        <v>50</v>
      </c>
      <c r="C25" s="46" t="s">
        <v>51</v>
      </c>
      <c r="D25" s="46" t="s">
        <v>89</v>
      </c>
      <c r="E25" s="47" t="s">
        <v>90</v>
      </c>
      <c r="F25" s="45" t="s">
        <v>23</v>
      </c>
      <c r="G25" s="46" t="s">
        <v>91</v>
      </c>
      <c r="H25" s="45" t="s">
        <v>25</v>
      </c>
      <c r="I25" s="45" t="s">
        <v>26</v>
      </c>
      <c r="J25" s="43" t="str">
        <f>IFERROR(TEXT(INDEX(Sprints!$B$5:$B$8,MATCH(I25,Sprints!$A$5:$A$8,0)),"dd/mm")&amp;" – "&amp;TEXT(INDEX(Sprints!$C$5:$C$8,MATCH(I25,Sprints!$A$5:$A$8,0)),"dd/mm"),"")</f>
        <v>18/10 – 31/10</v>
      </c>
      <c r="K25" s="45" t="s">
        <v>36</v>
      </c>
      <c r="L25" s="45" t="s">
        <v>28</v>
      </c>
      <c r="M25" s="43" t="str">
        <f ca="1">IFERROR(IF(AND(L25&lt;&gt;"Done",TODAY()&gt;INDEX(Sprints!$C$5:$C$8,MATCH(I25,Sprints!$A$5:$A$8,0))),"Trễ",""),"")</f>
        <v/>
      </c>
      <c r="N25" s="48"/>
      <c r="O25" s="48"/>
      <c r="P25" s="46"/>
    </row>
    <row r="26" spans="1:16" customFormat="1" x14ac:dyDescent="0.3">
      <c r="A26" s="45" t="s">
        <v>92</v>
      </c>
      <c r="B26" s="45" t="s">
        <v>50</v>
      </c>
      <c r="C26" s="46" t="s">
        <v>51</v>
      </c>
      <c r="D26" s="46" t="s">
        <v>89</v>
      </c>
      <c r="E26" s="47" t="s">
        <v>90</v>
      </c>
      <c r="F26" s="45" t="s">
        <v>30</v>
      </c>
      <c r="G26" s="46" t="s">
        <v>93</v>
      </c>
      <c r="H26" s="45" t="s">
        <v>25</v>
      </c>
      <c r="I26" s="45" t="s">
        <v>26</v>
      </c>
      <c r="J26" s="43" t="str">
        <f>IFERROR(TEXT(INDEX(Sprints!$B$5:$B$8,MATCH(I26,Sprints!$A$5:$A$8,0)),"dd/mm")&amp;" – "&amp;TEXT(INDEX(Sprints!$C$5:$C$8,MATCH(I26,Sprints!$A$5:$A$8,0)),"dd/mm"),"")</f>
        <v>18/10 – 31/10</v>
      </c>
      <c r="K26" s="45" t="s">
        <v>41</v>
      </c>
      <c r="L26" s="45" t="s">
        <v>28</v>
      </c>
      <c r="M26" s="43" t="str">
        <f ca="1">IFERROR(IF(AND(L26&lt;&gt;"Done",TODAY()&gt;INDEX(Sprints!$C$5:$C$8,MATCH(I26,Sprints!$A$5:$A$8,0))),"Trễ",""),"")</f>
        <v/>
      </c>
      <c r="N26" s="48"/>
      <c r="O26" s="48"/>
      <c r="P26" s="46"/>
    </row>
    <row r="27" spans="1:16" customFormat="1" ht="26.4" x14ac:dyDescent="0.3">
      <c r="A27" s="45" t="s">
        <v>94</v>
      </c>
      <c r="B27" s="45" t="s">
        <v>50</v>
      </c>
      <c r="C27" s="46" t="s">
        <v>51</v>
      </c>
      <c r="D27" s="46" t="s">
        <v>89</v>
      </c>
      <c r="E27" s="47" t="s">
        <v>95</v>
      </c>
      <c r="F27" s="45" t="s">
        <v>23</v>
      </c>
      <c r="G27" s="46" t="s">
        <v>96</v>
      </c>
      <c r="H27" s="45" t="s">
        <v>25</v>
      </c>
      <c r="I27" s="45" t="s">
        <v>26</v>
      </c>
      <c r="J27" s="43" t="str">
        <f>IFERROR(TEXT(INDEX(Sprints!$B$5:$B$8,MATCH(I27,Sprints!$A$5:$A$8,0)),"dd/mm")&amp;" – "&amp;TEXT(INDEX(Sprints!$C$5:$C$8,MATCH(I27,Sprints!$A$5:$A$8,0)),"dd/mm"),"")</f>
        <v>18/10 – 31/10</v>
      </c>
      <c r="K27" s="45" t="s">
        <v>36</v>
      </c>
      <c r="L27" s="45" t="s">
        <v>28</v>
      </c>
      <c r="M27" s="43" t="str">
        <f ca="1">IFERROR(IF(AND(L27&lt;&gt;"Done",TODAY()&gt;INDEX(Sprints!$C$5:$C$8,MATCH(I27,Sprints!$A$5:$A$8,0))),"Trễ",""),"")</f>
        <v/>
      </c>
      <c r="N27" s="48"/>
      <c r="O27" s="48"/>
      <c r="P27" s="46"/>
    </row>
    <row r="28" spans="1:16" customFormat="1" x14ac:dyDescent="0.3">
      <c r="A28" s="45" t="s">
        <v>97</v>
      </c>
      <c r="B28" s="45" t="s">
        <v>50</v>
      </c>
      <c r="C28" s="46" t="s">
        <v>51</v>
      </c>
      <c r="D28" s="46" t="s">
        <v>89</v>
      </c>
      <c r="E28" s="47" t="s">
        <v>95</v>
      </c>
      <c r="F28" s="45" t="s">
        <v>30</v>
      </c>
      <c r="G28" s="46" t="s">
        <v>98</v>
      </c>
      <c r="H28" s="45" t="s">
        <v>25</v>
      </c>
      <c r="I28" s="45" t="s">
        <v>26</v>
      </c>
      <c r="J28" s="43" t="str">
        <f>IFERROR(TEXT(INDEX(Sprints!$B$5:$B$8,MATCH(I28,Sprints!$A$5:$A$8,0)),"dd/mm")&amp;" – "&amp;TEXT(INDEX(Sprints!$C$5:$C$8,MATCH(I28,Sprints!$A$5:$A$8,0)),"dd/mm"),"")</f>
        <v>18/10 – 31/10</v>
      </c>
      <c r="K28" s="45" t="s">
        <v>41</v>
      </c>
      <c r="L28" s="45" t="s">
        <v>28</v>
      </c>
      <c r="M28" s="43" t="str">
        <f ca="1">IFERROR(IF(AND(L28&lt;&gt;"Done",TODAY()&gt;INDEX(Sprints!$C$5:$C$8,MATCH(I28,Sprints!$A$5:$A$8,0))),"Trễ",""),"")</f>
        <v/>
      </c>
      <c r="N28" s="48"/>
      <c r="O28" s="48"/>
      <c r="P28" s="46"/>
    </row>
    <row r="29" spans="1:16" customFormat="1" ht="26.4" x14ac:dyDescent="0.3">
      <c r="A29" s="45" t="s">
        <v>99</v>
      </c>
      <c r="B29" s="45" t="s">
        <v>50</v>
      </c>
      <c r="C29" s="46" t="s">
        <v>51</v>
      </c>
      <c r="D29" s="46" t="s">
        <v>89</v>
      </c>
      <c r="E29" s="47" t="s">
        <v>100</v>
      </c>
      <c r="F29" s="45" t="s">
        <v>23</v>
      </c>
      <c r="G29" s="46" t="s">
        <v>101</v>
      </c>
      <c r="H29" s="45" t="s">
        <v>25</v>
      </c>
      <c r="I29" s="45" t="s">
        <v>102</v>
      </c>
      <c r="J29" s="43" t="str">
        <f>IFERROR(TEXT(INDEX(Sprints!$B$5:$B$8,MATCH(I29,Sprints!$A$5:$A$8,0)),"dd/mm")&amp;" – "&amp;TEXT(INDEX(Sprints!$C$5:$C$8,MATCH(I29,Sprints!$A$5:$A$8,0)),"dd/mm"),"")</f>
        <v>01/11 – 14/11</v>
      </c>
      <c r="K29" s="45" t="s">
        <v>36</v>
      </c>
      <c r="L29" s="45" t="s">
        <v>28</v>
      </c>
      <c r="M29" s="43" t="str">
        <f ca="1">IFERROR(IF(AND(L29&lt;&gt;"Done",TODAY()&gt;INDEX(Sprints!$C$5:$C$8,MATCH(I29,Sprints!$A$5:$A$8,0))),"Trễ",""),"")</f>
        <v/>
      </c>
      <c r="N29" s="48"/>
      <c r="O29" s="48"/>
      <c r="P29" s="46"/>
    </row>
    <row r="30" spans="1:16" customFormat="1" ht="26.4" x14ac:dyDescent="0.3">
      <c r="A30" s="45" t="s">
        <v>103</v>
      </c>
      <c r="B30" s="45" t="s">
        <v>50</v>
      </c>
      <c r="C30" s="46" t="s">
        <v>51</v>
      </c>
      <c r="D30" s="46" t="s">
        <v>89</v>
      </c>
      <c r="E30" s="47" t="s">
        <v>100</v>
      </c>
      <c r="F30" s="45" t="s">
        <v>39</v>
      </c>
      <c r="G30" s="46" t="s">
        <v>104</v>
      </c>
      <c r="H30" s="45" t="s">
        <v>25</v>
      </c>
      <c r="I30" s="45" t="s">
        <v>102</v>
      </c>
      <c r="J30" s="43" t="str">
        <f>IFERROR(TEXT(INDEX(Sprints!$B$5:$B$8,MATCH(I30,Sprints!$A$5:$A$8,0)),"dd/mm")&amp;" – "&amp;TEXT(INDEX(Sprints!$C$5:$C$8,MATCH(I30,Sprints!$A$5:$A$8,0)),"dd/mm"),"")</f>
        <v>01/11 – 14/11</v>
      </c>
      <c r="K30" s="45" t="s">
        <v>32</v>
      </c>
      <c r="L30" s="45" t="s">
        <v>28</v>
      </c>
      <c r="M30" s="43" t="str">
        <f ca="1">IFERROR(IF(AND(L30&lt;&gt;"Done",TODAY()&gt;INDEX(Sprints!$C$5:$C$8,MATCH(I30,Sprints!$A$5:$A$8,0))),"Trễ",""),"")</f>
        <v/>
      </c>
      <c r="N30" s="48"/>
      <c r="O30" s="48"/>
      <c r="P30" s="46"/>
    </row>
    <row r="31" spans="1:16" customFormat="1" x14ac:dyDescent="0.3">
      <c r="A31" s="45" t="s">
        <v>105</v>
      </c>
      <c r="B31" s="45" t="s">
        <v>50</v>
      </c>
      <c r="C31" s="46" t="s">
        <v>51</v>
      </c>
      <c r="D31" s="46" t="s">
        <v>89</v>
      </c>
      <c r="E31" s="47" t="s">
        <v>106</v>
      </c>
      <c r="F31" s="45" t="s">
        <v>23</v>
      </c>
      <c r="G31" s="46" t="s">
        <v>107</v>
      </c>
      <c r="H31" s="45" t="s">
        <v>108</v>
      </c>
      <c r="I31" s="45" t="s">
        <v>102</v>
      </c>
      <c r="J31" s="43" t="str">
        <f>IFERROR(TEXT(INDEX(Sprints!$B$5:$B$8,MATCH(I31,Sprints!$A$5:$A$8,0)),"dd/mm")&amp;" – "&amp;TEXT(INDEX(Sprints!$C$5:$C$8,MATCH(I31,Sprints!$A$5:$A$8,0)),"dd/mm"),"")</f>
        <v>01/11 – 14/11</v>
      </c>
      <c r="K31" s="45" t="s">
        <v>36</v>
      </c>
      <c r="L31" s="45" t="s">
        <v>28</v>
      </c>
      <c r="M31" s="43" t="str">
        <f ca="1">IFERROR(IF(AND(L31&lt;&gt;"Done",TODAY()&gt;INDEX(Sprints!$C$5:$C$8,MATCH(I31,Sprints!$A$5:$A$8,0))),"Trễ",""),"")</f>
        <v/>
      </c>
      <c r="N31" s="48"/>
      <c r="O31" s="48"/>
      <c r="P31" s="46"/>
    </row>
    <row r="32" spans="1:16" customFormat="1" x14ac:dyDescent="0.3">
      <c r="A32" s="45" t="s">
        <v>109</v>
      </c>
      <c r="B32" s="45" t="s">
        <v>50</v>
      </c>
      <c r="C32" s="46" t="s">
        <v>51</v>
      </c>
      <c r="D32" s="46" t="s">
        <v>89</v>
      </c>
      <c r="E32" s="47" t="s">
        <v>106</v>
      </c>
      <c r="F32" s="45" t="s">
        <v>30</v>
      </c>
      <c r="G32" s="46" t="s">
        <v>110</v>
      </c>
      <c r="H32" s="45" t="s">
        <v>108</v>
      </c>
      <c r="I32" s="45" t="s">
        <v>102</v>
      </c>
      <c r="J32" s="43" t="str">
        <f>IFERROR(TEXT(INDEX(Sprints!$B$5:$B$8,MATCH(I32,Sprints!$A$5:$A$8,0)),"dd/mm")&amp;" – "&amp;TEXT(INDEX(Sprints!$C$5:$C$8,MATCH(I32,Sprints!$A$5:$A$8,0)),"dd/mm"),"")</f>
        <v>01/11 – 14/11</v>
      </c>
      <c r="K32" s="45" t="s">
        <v>32</v>
      </c>
      <c r="L32" s="45" t="s">
        <v>28</v>
      </c>
      <c r="M32" s="43" t="str">
        <f ca="1">IFERROR(IF(AND(L32&lt;&gt;"Done",TODAY()&gt;INDEX(Sprints!$C$5:$C$8,MATCH(I32,Sprints!$A$5:$A$8,0))),"Trễ",""),"")</f>
        <v/>
      </c>
      <c r="N32" s="48"/>
      <c r="O32" s="48"/>
      <c r="P32" s="46"/>
    </row>
    <row r="33" spans="1:16" customFormat="1" x14ac:dyDescent="0.3">
      <c r="A33" s="45" t="s">
        <v>111</v>
      </c>
      <c r="B33" s="45" t="s">
        <v>50</v>
      </c>
      <c r="C33" s="46" t="s">
        <v>51</v>
      </c>
      <c r="D33" s="46" t="s">
        <v>89</v>
      </c>
      <c r="E33" s="47" t="s">
        <v>106</v>
      </c>
      <c r="F33" s="45" t="s">
        <v>39</v>
      </c>
      <c r="G33" s="46" t="s">
        <v>112</v>
      </c>
      <c r="H33" s="45" t="s">
        <v>108</v>
      </c>
      <c r="I33" s="45" t="s">
        <v>102</v>
      </c>
      <c r="J33" s="43" t="str">
        <f>IFERROR(TEXT(INDEX(Sprints!$B$5:$B$8,MATCH(I33,Sprints!$A$5:$A$8,0)),"dd/mm")&amp;" – "&amp;TEXT(INDEX(Sprints!$C$5:$C$8,MATCH(I33,Sprints!$A$5:$A$8,0)),"dd/mm"),"")</f>
        <v>01/11 – 14/11</v>
      </c>
      <c r="K33" s="45" t="s">
        <v>32</v>
      </c>
      <c r="L33" s="45" t="s">
        <v>28</v>
      </c>
      <c r="M33" s="43" t="str">
        <f ca="1">IFERROR(IF(AND(L33&lt;&gt;"Done",TODAY()&gt;INDEX(Sprints!$C$5:$C$8,MATCH(I33,Sprints!$A$5:$A$8,0))),"Trễ",""),"")</f>
        <v/>
      </c>
      <c r="N33" s="48"/>
      <c r="O33" s="48"/>
      <c r="P33" s="46"/>
    </row>
    <row r="34" spans="1:16" customFormat="1" ht="26.4" x14ac:dyDescent="0.3">
      <c r="A34" s="45" t="s">
        <v>113</v>
      </c>
      <c r="B34" s="45" t="s">
        <v>50</v>
      </c>
      <c r="C34" s="46" t="s">
        <v>51</v>
      </c>
      <c r="D34" s="46" t="s">
        <v>89</v>
      </c>
      <c r="E34" s="47" t="s">
        <v>114</v>
      </c>
      <c r="F34" s="45" t="s">
        <v>23</v>
      </c>
      <c r="G34" s="46" t="s">
        <v>115</v>
      </c>
      <c r="H34" s="45" t="s">
        <v>25</v>
      </c>
      <c r="I34" s="45" t="s">
        <v>26</v>
      </c>
      <c r="J34" s="43" t="str">
        <f>IFERROR(TEXT(INDEX(Sprints!$B$5:$B$8,MATCH(I34,Sprints!$A$5:$A$8,0)),"dd/mm")&amp;" – "&amp;TEXT(INDEX(Sprints!$C$5:$C$8,MATCH(I34,Sprints!$A$5:$A$8,0)),"dd/mm"),"")</f>
        <v>18/10 – 31/10</v>
      </c>
      <c r="K34" s="45" t="s">
        <v>36</v>
      </c>
      <c r="L34" s="45" t="s">
        <v>28</v>
      </c>
      <c r="M34" s="43" t="str">
        <f ca="1">IFERROR(IF(AND(L34&lt;&gt;"Done",TODAY()&gt;INDEX(Sprints!$C$5:$C$8,MATCH(I34,Sprints!$A$5:$A$8,0))),"Trễ",""),"")</f>
        <v/>
      </c>
      <c r="N34" s="48"/>
      <c r="O34" s="48"/>
      <c r="P34" s="46"/>
    </row>
    <row r="35" spans="1:16" customFormat="1" x14ac:dyDescent="0.3">
      <c r="A35" s="45" t="s">
        <v>116</v>
      </c>
      <c r="B35" s="45" t="s">
        <v>50</v>
      </c>
      <c r="C35" s="46" t="s">
        <v>51</v>
      </c>
      <c r="D35" s="46" t="s">
        <v>89</v>
      </c>
      <c r="E35" s="47" t="s">
        <v>114</v>
      </c>
      <c r="F35" s="45" t="s">
        <v>30</v>
      </c>
      <c r="G35" s="46" t="s">
        <v>117</v>
      </c>
      <c r="H35" s="45" t="s">
        <v>25</v>
      </c>
      <c r="I35" s="45" t="s">
        <v>26</v>
      </c>
      <c r="J35" s="43" t="str">
        <f>IFERROR(TEXT(INDEX(Sprints!$B$5:$B$8,MATCH(I35,Sprints!$A$5:$A$8,0)),"dd/mm")&amp;" – "&amp;TEXT(INDEX(Sprints!$C$5:$C$8,MATCH(I35,Sprints!$A$5:$A$8,0)),"dd/mm"),"")</f>
        <v>18/10 – 31/10</v>
      </c>
      <c r="K35" s="45" t="s">
        <v>41</v>
      </c>
      <c r="L35" s="45" t="s">
        <v>28</v>
      </c>
      <c r="M35" s="43" t="str">
        <f ca="1">IFERROR(IF(AND(L35&lt;&gt;"Done",TODAY()&gt;INDEX(Sprints!$C$5:$C$8,MATCH(I35,Sprints!$A$5:$A$8,0))),"Trễ",""),"")</f>
        <v/>
      </c>
      <c r="N35" s="48"/>
      <c r="O35" s="48"/>
      <c r="P35" s="46"/>
    </row>
    <row r="36" spans="1:16" customFormat="1" x14ac:dyDescent="0.3">
      <c r="A36" s="45" t="s">
        <v>118</v>
      </c>
      <c r="B36" s="45" t="s">
        <v>50</v>
      </c>
      <c r="C36" s="46" t="s">
        <v>51</v>
      </c>
      <c r="D36" s="46" t="s">
        <v>89</v>
      </c>
      <c r="E36" s="47" t="s">
        <v>119</v>
      </c>
      <c r="F36" s="45" t="s">
        <v>23</v>
      </c>
      <c r="G36" s="46" t="s">
        <v>120</v>
      </c>
      <c r="H36" s="45" t="s">
        <v>25</v>
      </c>
      <c r="I36" s="45" t="s">
        <v>26</v>
      </c>
      <c r="J36" s="43" t="str">
        <f>IFERROR(TEXT(INDEX(Sprints!$B$5:$B$8,MATCH(I36,Sprints!$A$5:$A$8,0)),"dd/mm")&amp;" – "&amp;TEXT(INDEX(Sprints!$C$5:$C$8,MATCH(I36,Sprints!$A$5:$A$8,0)),"dd/mm"),"")</f>
        <v>18/10 – 31/10</v>
      </c>
      <c r="K36" s="45" t="s">
        <v>36</v>
      </c>
      <c r="L36" s="45" t="s">
        <v>28</v>
      </c>
      <c r="M36" s="43" t="str">
        <f ca="1">IFERROR(IF(AND(L36&lt;&gt;"Done",TODAY()&gt;INDEX(Sprints!$C$5:$C$8,MATCH(I36,Sprints!$A$5:$A$8,0))),"Trễ",""),"")</f>
        <v/>
      </c>
      <c r="N36" s="48"/>
      <c r="O36" s="48"/>
      <c r="P36" s="46"/>
    </row>
    <row r="37" spans="1:16" customFormat="1" x14ac:dyDescent="0.3">
      <c r="A37" s="45" t="s">
        <v>121</v>
      </c>
      <c r="B37" s="45" t="s">
        <v>50</v>
      </c>
      <c r="C37" s="46" t="s">
        <v>51</v>
      </c>
      <c r="D37" s="46" t="s">
        <v>89</v>
      </c>
      <c r="E37" s="47" t="s">
        <v>119</v>
      </c>
      <c r="F37" s="45" t="s">
        <v>30</v>
      </c>
      <c r="G37" s="46" t="s">
        <v>122</v>
      </c>
      <c r="H37" s="45" t="s">
        <v>25</v>
      </c>
      <c r="I37" s="45" t="s">
        <v>26</v>
      </c>
      <c r="J37" s="43" t="str">
        <f>IFERROR(TEXT(INDEX(Sprints!$B$5:$B$8,MATCH(I37,Sprints!$A$5:$A$8,0)),"dd/mm")&amp;" – "&amp;TEXT(INDEX(Sprints!$C$5:$C$8,MATCH(I37,Sprints!$A$5:$A$8,0)),"dd/mm"),"")</f>
        <v>18/10 – 31/10</v>
      </c>
      <c r="K37" s="45" t="s">
        <v>41</v>
      </c>
      <c r="L37" s="45" t="s">
        <v>28</v>
      </c>
      <c r="M37" s="43" t="str">
        <f ca="1">IFERROR(IF(AND(L37&lt;&gt;"Done",TODAY()&gt;INDEX(Sprints!$C$5:$C$8,MATCH(I37,Sprints!$A$5:$A$8,0))),"Trễ",""),"")</f>
        <v/>
      </c>
      <c r="N37" s="48"/>
      <c r="O37" s="48"/>
      <c r="P37" s="46"/>
    </row>
    <row r="38" spans="1:16" customFormat="1" ht="26.4" x14ac:dyDescent="0.3">
      <c r="A38" s="40" t="s">
        <v>123</v>
      </c>
      <c r="B38" s="40" t="s">
        <v>124</v>
      </c>
      <c r="C38" s="41" t="s">
        <v>125</v>
      </c>
      <c r="D38" s="41" t="s">
        <v>126</v>
      </c>
      <c r="E38" s="42" t="s">
        <v>127</v>
      </c>
      <c r="F38" s="40" t="s">
        <v>23</v>
      </c>
      <c r="G38" s="41" t="s">
        <v>128</v>
      </c>
      <c r="H38" s="40" t="s">
        <v>25</v>
      </c>
      <c r="I38" s="40" t="s">
        <v>102</v>
      </c>
      <c r="J38" s="43" t="str">
        <f>IFERROR(TEXT(INDEX(Sprints!$B$5:$B$8,MATCH(I38,Sprints!$A$5:$A$8,0)),"dd/mm")&amp;" – "&amp;TEXT(INDEX(Sprints!$C$5:$C$8,MATCH(I38,Sprints!$A$5:$A$8,0)),"dd/mm"),"")</f>
        <v>01/11 – 14/11</v>
      </c>
      <c r="K38" s="40" t="s">
        <v>496</v>
      </c>
      <c r="L38" s="40" t="s">
        <v>28</v>
      </c>
      <c r="M38" s="43" t="str">
        <f ca="1">IFERROR(IF(AND(L38&lt;&gt;"Done",TODAY()&gt;INDEX(Sprints!$C$5:$C$8,MATCH(I38,Sprints!$A$5:$A$8,0))),"Trễ",""),"")</f>
        <v/>
      </c>
      <c r="N38" s="44"/>
      <c r="O38" s="44"/>
      <c r="P38" s="41"/>
    </row>
    <row r="39" spans="1:16" customFormat="1" ht="26.4" x14ac:dyDescent="0.3">
      <c r="A39" s="40" t="s">
        <v>129</v>
      </c>
      <c r="B39" s="40" t="s">
        <v>124</v>
      </c>
      <c r="C39" s="41" t="s">
        <v>125</v>
      </c>
      <c r="D39" s="41" t="s">
        <v>126</v>
      </c>
      <c r="E39" s="42" t="s">
        <v>127</v>
      </c>
      <c r="F39" s="40" t="s">
        <v>30</v>
      </c>
      <c r="G39" s="41" t="s">
        <v>130</v>
      </c>
      <c r="H39" s="40" t="s">
        <v>25</v>
      </c>
      <c r="I39" s="40" t="s">
        <v>102</v>
      </c>
      <c r="J39" s="43" t="str">
        <f>IFERROR(TEXT(INDEX(Sprints!$B$5:$B$8,MATCH(I39,Sprints!$A$5:$A$8,0)),"dd/mm")&amp;" – "&amp;TEXT(INDEX(Sprints!$C$5:$C$8,MATCH(I39,Sprints!$A$5:$A$8,0)),"dd/mm"),"")</f>
        <v>01/11 – 14/11</v>
      </c>
      <c r="K39" s="40" t="s">
        <v>496</v>
      </c>
      <c r="L39" s="40" t="s">
        <v>28</v>
      </c>
      <c r="M39" s="43" t="str">
        <f ca="1">IFERROR(IF(AND(L39&lt;&gt;"Done",TODAY()&gt;INDEX(Sprints!$C$5:$C$8,MATCH(I39,Sprints!$A$5:$A$8,0))),"Trễ",""),"")</f>
        <v/>
      </c>
      <c r="N39" s="44"/>
      <c r="O39" s="44"/>
      <c r="P39" s="41"/>
    </row>
    <row r="40" spans="1:16" customFormat="1" ht="26.4" x14ac:dyDescent="0.3">
      <c r="A40" s="40" t="s">
        <v>131</v>
      </c>
      <c r="B40" s="40" t="s">
        <v>124</v>
      </c>
      <c r="C40" s="41" t="s">
        <v>125</v>
      </c>
      <c r="D40" s="41" t="s">
        <v>126</v>
      </c>
      <c r="E40" s="42" t="s">
        <v>132</v>
      </c>
      <c r="F40" s="40" t="s">
        <v>23</v>
      </c>
      <c r="G40" s="41" t="s">
        <v>133</v>
      </c>
      <c r="H40" s="40" t="s">
        <v>25</v>
      </c>
      <c r="I40" s="40" t="s">
        <v>102</v>
      </c>
      <c r="J40" s="43" t="str">
        <f>IFERROR(TEXT(INDEX(Sprints!$B$5:$B$8,MATCH(I40,Sprints!$A$5:$A$8,0)),"dd/mm")&amp;" – "&amp;TEXT(INDEX(Sprints!$C$5:$C$8,MATCH(I40,Sprints!$A$5:$A$8,0)),"dd/mm"),"")</f>
        <v>01/11 – 14/11</v>
      </c>
      <c r="K40" s="40" t="s">
        <v>36</v>
      </c>
      <c r="L40" s="40" t="s">
        <v>28</v>
      </c>
      <c r="M40" s="43" t="str">
        <f ca="1">IFERROR(IF(AND(L40&lt;&gt;"Done",TODAY()&gt;INDEX(Sprints!$C$5:$C$8,MATCH(I40,Sprints!$A$5:$A$8,0))),"Trễ",""),"")</f>
        <v/>
      </c>
      <c r="N40" s="44"/>
      <c r="O40" s="44"/>
      <c r="P40" s="41" t="s">
        <v>134</v>
      </c>
    </row>
    <row r="41" spans="1:16" customFormat="1" ht="26.4" x14ac:dyDescent="0.3">
      <c r="A41" s="40" t="s">
        <v>135</v>
      </c>
      <c r="B41" s="40" t="s">
        <v>124</v>
      </c>
      <c r="C41" s="41" t="s">
        <v>125</v>
      </c>
      <c r="D41" s="41" t="s">
        <v>126</v>
      </c>
      <c r="E41" s="42" t="s">
        <v>132</v>
      </c>
      <c r="F41" s="40" t="s">
        <v>39</v>
      </c>
      <c r="G41" s="41" t="s">
        <v>136</v>
      </c>
      <c r="H41" s="40" t="s">
        <v>25</v>
      </c>
      <c r="I41" s="40" t="s">
        <v>102</v>
      </c>
      <c r="J41" s="43" t="str">
        <f>IFERROR(TEXT(INDEX(Sprints!$B$5:$B$8,MATCH(I41,Sprints!$A$5:$A$8,0)),"dd/mm")&amp;" – "&amp;TEXT(INDEX(Sprints!$C$5:$C$8,MATCH(I41,Sprints!$A$5:$A$8,0)),"dd/mm"),"")</f>
        <v>01/11 – 14/11</v>
      </c>
      <c r="K41" s="49" t="s">
        <v>32</v>
      </c>
      <c r="L41" s="40" t="s">
        <v>28</v>
      </c>
      <c r="M41" s="43" t="str">
        <f ca="1">IFERROR(IF(AND(L41&lt;&gt;"Done",TODAY()&gt;INDEX(Sprints!$C$5:$C$8,MATCH(I41,Sprints!$A$5:$A$8,0))),"Trễ",""),"")</f>
        <v/>
      </c>
      <c r="N41" s="44"/>
      <c r="O41" s="44"/>
      <c r="P41" s="41" t="s">
        <v>134</v>
      </c>
    </row>
    <row r="42" spans="1:16" customFormat="1" ht="26.4" x14ac:dyDescent="0.3">
      <c r="A42" s="40" t="s">
        <v>137</v>
      </c>
      <c r="B42" s="40" t="s">
        <v>124</v>
      </c>
      <c r="C42" s="41" t="s">
        <v>125</v>
      </c>
      <c r="D42" s="41" t="s">
        <v>126</v>
      </c>
      <c r="E42" s="42" t="s">
        <v>138</v>
      </c>
      <c r="F42" s="40" t="s">
        <v>39</v>
      </c>
      <c r="G42" s="41" t="s">
        <v>139</v>
      </c>
      <c r="H42" s="40" t="s">
        <v>25</v>
      </c>
      <c r="I42" s="40" t="s">
        <v>102</v>
      </c>
      <c r="J42" s="43" t="str">
        <f>IFERROR(TEXT(INDEX(Sprints!$B$5:$B$8,MATCH(I42,Sprints!$A$5:$A$8,0)),"dd/mm")&amp;" – "&amp;TEXT(INDEX(Sprints!$C$5:$C$8,MATCH(I42,Sprints!$A$5:$A$8,0)),"dd/mm"),"")</f>
        <v>01/11 – 14/11</v>
      </c>
      <c r="K42" s="49" t="s">
        <v>32</v>
      </c>
      <c r="L42" s="40" t="s">
        <v>28</v>
      </c>
      <c r="M42" s="43" t="str">
        <f ca="1">IFERROR(IF(AND(L42&lt;&gt;"Done",TODAY()&gt;INDEX(Sprints!$C$5:$C$8,MATCH(I42,Sprints!$A$5:$A$8,0))),"Trễ",""),"")</f>
        <v/>
      </c>
      <c r="N42" s="44"/>
      <c r="O42" s="44"/>
      <c r="P42" s="41"/>
    </row>
    <row r="43" spans="1:16" customFormat="1" ht="26.4" x14ac:dyDescent="0.3">
      <c r="A43" s="40" t="s">
        <v>140</v>
      </c>
      <c r="B43" s="40" t="s">
        <v>124</v>
      </c>
      <c r="C43" s="41" t="s">
        <v>125</v>
      </c>
      <c r="D43" s="41" t="s">
        <v>141</v>
      </c>
      <c r="E43" s="42" t="s">
        <v>142</v>
      </c>
      <c r="F43" s="40" t="s">
        <v>23</v>
      </c>
      <c r="G43" s="41" t="s">
        <v>143</v>
      </c>
      <c r="H43" s="40" t="s">
        <v>25</v>
      </c>
      <c r="I43" s="40" t="s">
        <v>102</v>
      </c>
      <c r="J43" s="43" t="str">
        <f>IFERROR(TEXT(INDEX(Sprints!$B$5:$B$8,MATCH(I43,Sprints!$A$5:$A$8,0)),"dd/mm")&amp;" – "&amp;TEXT(INDEX(Sprints!$C$5:$C$8,MATCH(I43,Sprints!$A$5:$A$8,0)),"dd/mm"),"")</f>
        <v>01/11 – 14/11</v>
      </c>
      <c r="K43" s="40" t="s">
        <v>36</v>
      </c>
      <c r="L43" s="40" t="s">
        <v>28</v>
      </c>
      <c r="M43" s="43" t="str">
        <f ca="1">IFERROR(IF(AND(L43&lt;&gt;"Done",TODAY()&gt;INDEX(Sprints!$C$5:$C$8,MATCH(I43,Sprints!$A$5:$A$8,0))),"Trễ",""),"")</f>
        <v/>
      </c>
      <c r="N43" s="44"/>
      <c r="O43" s="44"/>
      <c r="P43" s="41"/>
    </row>
    <row r="44" spans="1:16" customFormat="1" ht="26.4" x14ac:dyDescent="0.3">
      <c r="A44" s="40" t="s">
        <v>144</v>
      </c>
      <c r="B44" s="40" t="s">
        <v>124</v>
      </c>
      <c r="C44" s="41" t="s">
        <v>125</v>
      </c>
      <c r="D44" s="41" t="s">
        <v>141</v>
      </c>
      <c r="E44" s="42" t="s">
        <v>142</v>
      </c>
      <c r="F44" s="40" t="s">
        <v>39</v>
      </c>
      <c r="G44" s="41" t="s">
        <v>145</v>
      </c>
      <c r="H44" s="40" t="s">
        <v>25</v>
      </c>
      <c r="I44" s="40" t="s">
        <v>102</v>
      </c>
      <c r="J44" s="43" t="str">
        <f>IFERROR(TEXT(INDEX(Sprints!$B$5:$B$8,MATCH(I44,Sprints!$A$5:$A$8,0)),"dd/mm")&amp;" – "&amp;TEXT(INDEX(Sprints!$C$5:$C$8,MATCH(I44,Sprints!$A$5:$A$8,0)),"dd/mm"),"")</f>
        <v>01/11 – 14/11</v>
      </c>
      <c r="K44" s="49" t="s">
        <v>41</v>
      </c>
      <c r="L44" s="40" t="s">
        <v>28</v>
      </c>
      <c r="M44" s="43" t="str">
        <f ca="1">IFERROR(IF(AND(L44&lt;&gt;"Done",TODAY()&gt;INDEX(Sprints!$C$5:$C$8,MATCH(I44,Sprints!$A$5:$A$8,0))),"Trễ",""),"")</f>
        <v/>
      </c>
      <c r="N44" s="44"/>
      <c r="O44" s="44"/>
      <c r="P44" s="41"/>
    </row>
    <row r="45" spans="1:16" customFormat="1" ht="26.4" x14ac:dyDescent="0.3">
      <c r="A45" s="40" t="s">
        <v>146</v>
      </c>
      <c r="B45" s="40" t="s">
        <v>124</v>
      </c>
      <c r="C45" s="41" t="s">
        <v>125</v>
      </c>
      <c r="D45" s="41" t="s">
        <v>141</v>
      </c>
      <c r="E45" s="42" t="s">
        <v>147</v>
      </c>
      <c r="F45" s="40" t="s">
        <v>23</v>
      </c>
      <c r="G45" s="41" t="s">
        <v>148</v>
      </c>
      <c r="H45" s="40" t="s">
        <v>25</v>
      </c>
      <c r="I45" s="40" t="s">
        <v>102</v>
      </c>
      <c r="J45" s="43" t="str">
        <f>IFERROR(TEXT(INDEX(Sprints!$B$5:$B$8,MATCH(I45,Sprints!$A$5:$A$8,0)),"dd/mm")&amp;" – "&amp;TEXT(INDEX(Sprints!$C$5:$C$8,MATCH(I45,Sprints!$A$5:$A$8,0)),"dd/mm"),"")</f>
        <v>01/11 – 14/11</v>
      </c>
      <c r="K45" s="40" t="s">
        <v>36</v>
      </c>
      <c r="L45" s="40" t="s">
        <v>28</v>
      </c>
      <c r="M45" s="43" t="str">
        <f ca="1">IFERROR(IF(AND(L45&lt;&gt;"Done",TODAY()&gt;INDEX(Sprints!$C$5:$C$8,MATCH(I45,Sprints!$A$5:$A$8,0))),"Trễ",""),"")</f>
        <v/>
      </c>
      <c r="N45" s="44"/>
      <c r="O45" s="44"/>
      <c r="P45" s="41" t="s">
        <v>55</v>
      </c>
    </row>
    <row r="46" spans="1:16" customFormat="1" ht="26.4" x14ac:dyDescent="0.3">
      <c r="A46" s="40" t="s">
        <v>149</v>
      </c>
      <c r="B46" s="40" t="s">
        <v>124</v>
      </c>
      <c r="C46" s="41" t="s">
        <v>125</v>
      </c>
      <c r="D46" s="41" t="s">
        <v>141</v>
      </c>
      <c r="E46" s="42" t="s">
        <v>147</v>
      </c>
      <c r="F46" s="40" t="s">
        <v>39</v>
      </c>
      <c r="G46" s="41" t="s">
        <v>150</v>
      </c>
      <c r="H46" s="40" t="s">
        <v>25</v>
      </c>
      <c r="I46" s="40" t="s">
        <v>102</v>
      </c>
      <c r="J46" s="43" t="str">
        <f>IFERROR(TEXT(INDEX(Sprints!$B$5:$B$8,MATCH(I46,Sprints!$A$5:$A$8,0)),"dd/mm")&amp;" – "&amp;TEXT(INDEX(Sprints!$C$5:$C$8,MATCH(I46,Sprints!$A$5:$A$8,0)),"dd/mm"),"")</f>
        <v>01/11 – 14/11</v>
      </c>
      <c r="K46" s="49" t="s">
        <v>41</v>
      </c>
      <c r="L46" s="40" t="s">
        <v>28</v>
      </c>
      <c r="M46" s="43" t="str">
        <f ca="1">IFERROR(IF(AND(L46&lt;&gt;"Done",TODAY()&gt;INDEX(Sprints!$C$5:$C$8,MATCH(I46,Sprints!$A$5:$A$8,0))),"Trễ",""),"")</f>
        <v/>
      </c>
      <c r="N46" s="44"/>
      <c r="O46" s="44"/>
      <c r="P46" s="41" t="s">
        <v>55</v>
      </c>
    </row>
    <row r="47" spans="1:16" customFormat="1" ht="26.4" x14ac:dyDescent="0.3">
      <c r="A47" s="63" t="s">
        <v>151</v>
      </c>
      <c r="B47" s="63" t="s">
        <v>124</v>
      </c>
      <c r="C47" s="64" t="s">
        <v>125</v>
      </c>
      <c r="D47" s="64" t="s">
        <v>141</v>
      </c>
      <c r="E47" s="65" t="s">
        <v>152</v>
      </c>
      <c r="F47" s="63" t="s">
        <v>23</v>
      </c>
      <c r="G47" s="64" t="s">
        <v>153</v>
      </c>
      <c r="H47" s="63" t="s">
        <v>25</v>
      </c>
      <c r="I47" s="63" t="s">
        <v>154</v>
      </c>
      <c r="J47" s="66" t="str">
        <f>IFERROR(TEXT(INDEX(Sprints!$B$5:$B$8,MATCH(I47,Sprints!$A$5:$A$8,0)),"dd/mm")&amp;" – "&amp;TEXT(INDEX(Sprints!$C$5:$C$8,MATCH(I47,Sprints!$A$5:$A$8,0)),"dd/mm"),"")</f>
        <v>15/11 – 28/11</v>
      </c>
      <c r="K47" s="63"/>
      <c r="L47" s="63" t="s">
        <v>28</v>
      </c>
      <c r="M47" s="66" t="str">
        <f ca="1">IFERROR(IF(AND(L47&lt;&gt;"Done",TODAY()&gt;INDEX(Sprints!$C$5:$C$8,MATCH(I47,Sprints!$A$5:$A$8,0))),"Trễ",""),"")</f>
        <v/>
      </c>
      <c r="N47" s="67"/>
      <c r="O47" s="67"/>
      <c r="P47" s="64"/>
    </row>
    <row r="48" spans="1:16" customFormat="1" ht="26.4" x14ac:dyDescent="0.3">
      <c r="A48" s="5" t="s">
        <v>155</v>
      </c>
      <c r="B48" s="5" t="s">
        <v>124</v>
      </c>
      <c r="C48" s="6" t="s">
        <v>125</v>
      </c>
      <c r="D48" s="6" t="s">
        <v>141</v>
      </c>
      <c r="E48" s="7" t="s">
        <v>152</v>
      </c>
      <c r="F48" s="5" t="s">
        <v>39</v>
      </c>
      <c r="G48" s="6" t="s">
        <v>156</v>
      </c>
      <c r="H48" s="5" t="s">
        <v>25</v>
      </c>
      <c r="I48" s="5" t="s">
        <v>154</v>
      </c>
      <c r="J48" s="8" t="str">
        <f>IFERROR(TEXT(INDEX(Sprints!$B$5:$B$8,MATCH(I48,Sprints!$A$5:$A$8,0)),"dd/mm")&amp;" – "&amp;TEXT(INDEX(Sprints!$C$5:$C$8,MATCH(I48,Sprints!$A$5:$A$8,0)),"dd/mm"),"")</f>
        <v>15/11 – 28/11</v>
      </c>
      <c r="K48" s="5"/>
      <c r="L48" s="5" t="s">
        <v>28</v>
      </c>
      <c r="M48" s="8" t="str">
        <f ca="1">IFERROR(IF(AND(L48&lt;&gt;"Done",TODAY()&gt;INDEX(Sprints!$C$5:$C$8,MATCH(I48,Sprints!$A$5:$A$8,0))),"Trễ",""),"")</f>
        <v/>
      </c>
      <c r="N48" s="9"/>
      <c r="O48" s="9"/>
      <c r="P48" s="6"/>
    </row>
    <row r="49" spans="1:16" customFormat="1" ht="26.4" x14ac:dyDescent="0.3">
      <c r="A49" s="5" t="s">
        <v>157</v>
      </c>
      <c r="B49" s="5" t="s">
        <v>124</v>
      </c>
      <c r="C49" s="6" t="s">
        <v>125</v>
      </c>
      <c r="D49" s="6" t="s">
        <v>141</v>
      </c>
      <c r="E49" s="7" t="s">
        <v>158</v>
      </c>
      <c r="F49" s="5" t="s">
        <v>23</v>
      </c>
      <c r="G49" s="6" t="s">
        <v>159</v>
      </c>
      <c r="H49" s="5" t="s">
        <v>25</v>
      </c>
      <c r="I49" s="5" t="s">
        <v>154</v>
      </c>
      <c r="J49" s="8" t="str">
        <f>IFERROR(TEXT(INDEX(Sprints!$B$5:$B$8,MATCH(I49,Sprints!$A$5:$A$8,0)),"dd/mm")&amp;" – "&amp;TEXT(INDEX(Sprints!$C$5:$C$8,MATCH(I49,Sprints!$A$5:$A$8,0)),"dd/mm"),"")</f>
        <v>15/11 – 28/11</v>
      </c>
      <c r="K49" s="5"/>
      <c r="L49" s="5" t="s">
        <v>28</v>
      </c>
      <c r="M49" s="8" t="str">
        <f ca="1">IFERROR(IF(AND(L49&lt;&gt;"Done",TODAY()&gt;INDEX(Sprints!$C$5:$C$8,MATCH(I49,Sprints!$A$5:$A$8,0))),"Trễ",""),"")</f>
        <v/>
      </c>
      <c r="N49" s="9"/>
      <c r="O49" s="9"/>
      <c r="P49" s="6"/>
    </row>
    <row r="50" spans="1:16" customFormat="1" ht="26.4" x14ac:dyDescent="0.3">
      <c r="A50" s="5" t="s">
        <v>160</v>
      </c>
      <c r="B50" s="5" t="s">
        <v>124</v>
      </c>
      <c r="C50" s="6" t="s">
        <v>125</v>
      </c>
      <c r="D50" s="6" t="s">
        <v>141</v>
      </c>
      <c r="E50" s="7" t="s">
        <v>158</v>
      </c>
      <c r="F50" s="5" t="s">
        <v>39</v>
      </c>
      <c r="G50" s="6" t="s">
        <v>161</v>
      </c>
      <c r="H50" s="5" t="s">
        <v>25</v>
      </c>
      <c r="I50" s="5" t="s">
        <v>154</v>
      </c>
      <c r="J50" s="8" t="str">
        <f>IFERROR(TEXT(INDEX(Sprints!$B$5:$B$8,MATCH(I50,Sprints!$A$5:$A$8,0)),"dd/mm")&amp;" – "&amp;TEXT(INDEX(Sprints!$C$5:$C$8,MATCH(I50,Sprints!$A$5:$A$8,0)),"dd/mm"),"")</f>
        <v>15/11 – 28/11</v>
      </c>
      <c r="K50" s="5"/>
      <c r="L50" s="5" t="s">
        <v>28</v>
      </c>
      <c r="M50" s="8" t="str">
        <f ca="1">IFERROR(IF(AND(L50&lt;&gt;"Done",TODAY()&gt;INDEX(Sprints!$C$5:$C$8,MATCH(I50,Sprints!$A$5:$A$8,0))),"Trễ",""),"")</f>
        <v/>
      </c>
      <c r="N50" s="9"/>
      <c r="O50" s="9"/>
      <c r="P50" s="6"/>
    </row>
    <row r="51" spans="1:16" customFormat="1" ht="26.4" x14ac:dyDescent="0.3">
      <c r="A51" s="54" t="s">
        <v>162</v>
      </c>
      <c r="B51" s="54" t="s">
        <v>124</v>
      </c>
      <c r="C51" s="55" t="s">
        <v>125</v>
      </c>
      <c r="D51" s="55" t="s">
        <v>141</v>
      </c>
      <c r="E51" s="56" t="s">
        <v>163</v>
      </c>
      <c r="F51" s="54" t="s">
        <v>39</v>
      </c>
      <c r="G51" s="55" t="s">
        <v>164</v>
      </c>
      <c r="H51" s="54" t="s">
        <v>25</v>
      </c>
      <c r="I51" s="54" t="s">
        <v>154</v>
      </c>
      <c r="J51" s="57" t="str">
        <f>IFERROR(TEXT(INDEX(Sprints!$B$5:$B$8,MATCH(I51,Sprints!$A$5:$A$8,0)),"dd/mm")&amp;" – "&amp;TEXT(INDEX(Sprints!$C$5:$C$8,MATCH(I51,Sprints!$A$5:$A$8,0)),"dd/mm"),"")</f>
        <v>15/11 – 28/11</v>
      </c>
      <c r="K51" s="54"/>
      <c r="L51" s="54" t="s">
        <v>28</v>
      </c>
      <c r="M51" s="57" t="str">
        <f ca="1">IFERROR(IF(AND(L51&lt;&gt;"Done",TODAY()&gt;INDEX(Sprints!$C$5:$C$8,MATCH(I51,Sprints!$A$5:$A$8,0))),"Trễ",""),"")</f>
        <v/>
      </c>
      <c r="N51" s="58"/>
      <c r="O51" s="58"/>
      <c r="P51" s="55" t="s">
        <v>55</v>
      </c>
    </row>
    <row r="52" spans="1:16" customFormat="1" ht="26.4" x14ac:dyDescent="0.3">
      <c r="A52" s="40" t="s">
        <v>165</v>
      </c>
      <c r="B52" s="40" t="s">
        <v>124</v>
      </c>
      <c r="C52" s="41" t="s">
        <v>125</v>
      </c>
      <c r="D52" s="41" t="s">
        <v>141</v>
      </c>
      <c r="E52" s="42" t="s">
        <v>166</v>
      </c>
      <c r="F52" s="40" t="s">
        <v>23</v>
      </c>
      <c r="G52" s="41" t="s">
        <v>167</v>
      </c>
      <c r="H52" s="40" t="s">
        <v>25</v>
      </c>
      <c r="I52" s="40" t="s">
        <v>102</v>
      </c>
      <c r="J52" s="43" t="str">
        <f>IFERROR(TEXT(INDEX(Sprints!$B$5:$B$8,MATCH(I52,Sprints!$A$5:$A$8,0)),"dd/mm")&amp;" – "&amp;TEXT(INDEX(Sprints!$C$5:$C$8,MATCH(I52,Sprints!$A$5:$A$8,0)),"dd/mm"),"")</f>
        <v>01/11 – 14/11</v>
      </c>
      <c r="K52" s="40" t="s">
        <v>36</v>
      </c>
      <c r="L52" s="40" t="s">
        <v>28</v>
      </c>
      <c r="M52" s="43" t="str">
        <f ca="1">IFERROR(IF(AND(L52&lt;&gt;"Done",TODAY()&gt;INDEX(Sprints!$C$5:$C$8,MATCH(I52,Sprints!$A$5:$A$8,0))),"Trễ",""),"")</f>
        <v/>
      </c>
      <c r="N52" s="44"/>
      <c r="O52" s="44"/>
      <c r="P52" s="41"/>
    </row>
    <row r="53" spans="1:16" customFormat="1" ht="26.4" x14ac:dyDescent="0.3">
      <c r="A53" s="40" t="s">
        <v>168</v>
      </c>
      <c r="B53" s="40" t="s">
        <v>124</v>
      </c>
      <c r="C53" s="41" t="s">
        <v>125</v>
      </c>
      <c r="D53" s="41" t="s">
        <v>141</v>
      </c>
      <c r="E53" s="42" t="s">
        <v>166</v>
      </c>
      <c r="F53" s="40" t="s">
        <v>39</v>
      </c>
      <c r="G53" s="41" t="s">
        <v>169</v>
      </c>
      <c r="H53" s="40" t="s">
        <v>25</v>
      </c>
      <c r="I53" s="40" t="s">
        <v>102</v>
      </c>
      <c r="J53" s="43" t="str">
        <f>IFERROR(TEXT(INDEX(Sprints!$B$5:$B$8,MATCH(I53,Sprints!$A$5:$A$8,0)),"dd/mm")&amp;" – "&amp;TEXT(INDEX(Sprints!$C$5:$C$8,MATCH(I53,Sprints!$A$5:$A$8,0)),"dd/mm"),"")</f>
        <v>01/11 – 14/11</v>
      </c>
      <c r="K53" s="49" t="s">
        <v>32</v>
      </c>
      <c r="L53" s="40" t="s">
        <v>28</v>
      </c>
      <c r="M53" s="43" t="str">
        <f ca="1">IFERROR(IF(AND(L53&lt;&gt;"Done",TODAY()&gt;INDEX(Sprints!$C$5:$C$8,MATCH(I53,Sprints!$A$5:$A$8,0))),"Trễ",""),"")</f>
        <v/>
      </c>
      <c r="N53" s="44"/>
      <c r="O53" s="44"/>
      <c r="P53" s="41"/>
    </row>
    <row r="54" spans="1:16" customFormat="1" ht="26.4" x14ac:dyDescent="0.3">
      <c r="A54" s="40" t="s">
        <v>170</v>
      </c>
      <c r="B54" s="40" t="s">
        <v>124</v>
      </c>
      <c r="C54" s="41" t="s">
        <v>125</v>
      </c>
      <c r="D54" s="41" t="s">
        <v>171</v>
      </c>
      <c r="E54" s="42" t="s">
        <v>172</v>
      </c>
      <c r="F54" s="40" t="s">
        <v>23</v>
      </c>
      <c r="G54" s="41" t="s">
        <v>173</v>
      </c>
      <c r="H54" s="40" t="s">
        <v>25</v>
      </c>
      <c r="I54" s="40" t="s">
        <v>102</v>
      </c>
      <c r="J54" s="43" t="str">
        <f>IFERROR(TEXT(INDEX(Sprints!$B$5:$B$8,MATCH(I54,Sprints!$A$5:$A$8,0)),"dd/mm")&amp;" – "&amp;TEXT(INDEX(Sprints!$C$5:$C$8,MATCH(I54,Sprints!$A$5:$A$8,0)),"dd/mm"),"")</f>
        <v>01/11 – 14/11</v>
      </c>
      <c r="K54" s="40" t="s">
        <v>496</v>
      </c>
      <c r="L54" s="40" t="s">
        <v>28</v>
      </c>
      <c r="M54" s="43" t="str">
        <f ca="1">IFERROR(IF(AND(L54&lt;&gt;"Done",TODAY()&gt;INDEX(Sprints!$C$5:$C$8,MATCH(I54,Sprints!$A$5:$A$8,0))),"Trễ",""),"")</f>
        <v/>
      </c>
      <c r="N54" s="44"/>
      <c r="O54" s="44"/>
      <c r="P54" s="41" t="s">
        <v>174</v>
      </c>
    </row>
    <row r="55" spans="1:16" customFormat="1" ht="26.4" x14ac:dyDescent="0.3">
      <c r="A55" s="40" t="s">
        <v>175</v>
      </c>
      <c r="B55" s="40" t="s">
        <v>124</v>
      </c>
      <c r="C55" s="41" t="s">
        <v>125</v>
      </c>
      <c r="D55" s="41" t="s">
        <v>171</v>
      </c>
      <c r="E55" s="42" t="s">
        <v>176</v>
      </c>
      <c r="F55" s="40" t="s">
        <v>23</v>
      </c>
      <c r="G55" s="41" t="s">
        <v>177</v>
      </c>
      <c r="H55" s="40" t="s">
        <v>25</v>
      </c>
      <c r="I55" s="40" t="s">
        <v>102</v>
      </c>
      <c r="J55" s="43" t="str">
        <f>IFERROR(TEXT(INDEX(Sprints!$B$5:$B$8,MATCH(I55,Sprints!$A$5:$A$8,0)),"dd/mm")&amp;" – "&amp;TEXT(INDEX(Sprints!$C$5:$C$8,MATCH(I55,Sprints!$A$5:$A$8,0)),"dd/mm"),"")</f>
        <v>01/11 – 14/11</v>
      </c>
      <c r="K55" s="40" t="s">
        <v>496</v>
      </c>
      <c r="L55" s="40" t="s">
        <v>28</v>
      </c>
      <c r="M55" s="43" t="str">
        <f ca="1">IFERROR(IF(AND(L55&lt;&gt;"Done",TODAY()&gt;INDEX(Sprints!$C$5:$C$8,MATCH(I55,Sprints!$A$5:$A$8,0))),"Trễ",""),"")</f>
        <v/>
      </c>
      <c r="N55" s="44"/>
      <c r="O55" s="44"/>
      <c r="P55" s="41"/>
    </row>
    <row r="56" spans="1:16" customFormat="1" ht="26.4" x14ac:dyDescent="0.3">
      <c r="A56" s="40" t="s">
        <v>178</v>
      </c>
      <c r="B56" s="40" t="s">
        <v>124</v>
      </c>
      <c r="C56" s="41" t="s">
        <v>125</v>
      </c>
      <c r="D56" s="41" t="s">
        <v>171</v>
      </c>
      <c r="E56" s="42" t="s">
        <v>179</v>
      </c>
      <c r="F56" s="40" t="s">
        <v>23</v>
      </c>
      <c r="G56" s="41" t="s">
        <v>180</v>
      </c>
      <c r="H56" s="40" t="s">
        <v>25</v>
      </c>
      <c r="I56" s="40" t="s">
        <v>102</v>
      </c>
      <c r="J56" s="43" t="str">
        <f>IFERROR(TEXT(INDEX(Sprints!$B$5:$B$8,MATCH(I56,Sprints!$A$5:$A$8,0)),"dd/mm")&amp;" – "&amp;TEXT(INDEX(Sprints!$C$5:$C$8,MATCH(I56,Sprints!$A$5:$A$8,0)),"dd/mm"),"")</f>
        <v>01/11 – 14/11</v>
      </c>
      <c r="K56" s="40" t="s">
        <v>496</v>
      </c>
      <c r="L56" s="40" t="s">
        <v>28</v>
      </c>
      <c r="M56" s="43" t="str">
        <f ca="1">IFERROR(IF(AND(L56&lt;&gt;"Done",TODAY()&gt;INDEX(Sprints!$C$5:$C$8,MATCH(I56,Sprints!$A$5:$A$8,0))),"Trễ",""),"")</f>
        <v/>
      </c>
      <c r="N56" s="44"/>
      <c r="O56" s="44"/>
      <c r="P56" s="41"/>
    </row>
    <row r="57" spans="1:16" customFormat="1" ht="26.4" x14ac:dyDescent="0.3">
      <c r="A57" s="40" t="s">
        <v>181</v>
      </c>
      <c r="B57" s="40" t="s">
        <v>124</v>
      </c>
      <c r="C57" s="41" t="s">
        <v>125</v>
      </c>
      <c r="D57" s="41" t="s">
        <v>171</v>
      </c>
      <c r="E57" s="42" t="s">
        <v>179</v>
      </c>
      <c r="F57" s="40" t="s">
        <v>30</v>
      </c>
      <c r="G57" s="41" t="s">
        <v>182</v>
      </c>
      <c r="H57" s="40" t="s">
        <v>25</v>
      </c>
      <c r="I57" s="40" t="s">
        <v>102</v>
      </c>
      <c r="J57" s="43" t="str">
        <f>IFERROR(TEXT(INDEX(Sprints!$B$5:$B$8,MATCH(I57,Sprints!$A$5:$A$8,0)),"dd/mm")&amp;" – "&amp;TEXT(INDEX(Sprints!$C$5:$C$8,MATCH(I57,Sprints!$A$5:$A$8,0)),"dd/mm"),"")</f>
        <v>01/11 – 14/11</v>
      </c>
      <c r="K57" s="40" t="s">
        <v>496</v>
      </c>
      <c r="L57" s="40" t="s">
        <v>28</v>
      </c>
      <c r="M57" s="43" t="str">
        <f ca="1">IFERROR(IF(AND(L57&lt;&gt;"Done",TODAY()&gt;INDEX(Sprints!$C$5:$C$8,MATCH(I57,Sprints!$A$5:$A$8,0))),"Trễ",""),"")</f>
        <v/>
      </c>
      <c r="N57" s="44"/>
      <c r="O57" s="44"/>
      <c r="P57" s="41"/>
    </row>
    <row r="58" spans="1:16" customFormat="1" ht="26.4" x14ac:dyDescent="0.3">
      <c r="A58" s="40" t="s">
        <v>183</v>
      </c>
      <c r="B58" s="40" t="s">
        <v>124</v>
      </c>
      <c r="C58" s="41" t="s">
        <v>125</v>
      </c>
      <c r="D58" s="41" t="s">
        <v>171</v>
      </c>
      <c r="E58" s="42" t="s">
        <v>184</v>
      </c>
      <c r="F58" s="40" t="s">
        <v>23</v>
      </c>
      <c r="G58" s="41" t="s">
        <v>185</v>
      </c>
      <c r="H58" s="40" t="s">
        <v>25</v>
      </c>
      <c r="I58" s="40" t="s">
        <v>102</v>
      </c>
      <c r="J58" s="43" t="str">
        <f>IFERROR(TEXT(INDEX(Sprints!$B$5:$B$8,MATCH(I58,Sprints!$A$5:$A$8,0)),"dd/mm")&amp;" – "&amp;TEXT(INDEX(Sprints!$C$5:$C$8,MATCH(I58,Sprints!$A$5:$A$8,0)),"dd/mm"),"")</f>
        <v>01/11 – 14/11</v>
      </c>
      <c r="K58" s="40" t="s">
        <v>496</v>
      </c>
      <c r="L58" s="40" t="s">
        <v>28</v>
      </c>
      <c r="M58" s="43" t="str">
        <f ca="1">IFERROR(IF(AND(L58&lt;&gt;"Done",TODAY()&gt;INDEX(Sprints!$C$5:$C$8,MATCH(I58,Sprints!$A$5:$A$8,0))),"Trễ",""),"")</f>
        <v/>
      </c>
      <c r="N58" s="44"/>
      <c r="O58" s="44"/>
      <c r="P58" s="41"/>
    </row>
    <row r="59" spans="1:16" customFormat="1" ht="26.4" x14ac:dyDescent="0.3">
      <c r="A59" s="40" t="s">
        <v>186</v>
      </c>
      <c r="B59" s="40" t="s">
        <v>124</v>
      </c>
      <c r="C59" s="41" t="s">
        <v>125</v>
      </c>
      <c r="D59" s="41" t="s">
        <v>171</v>
      </c>
      <c r="E59" s="42" t="s">
        <v>184</v>
      </c>
      <c r="F59" s="40" t="s">
        <v>30</v>
      </c>
      <c r="G59" s="41" t="s">
        <v>187</v>
      </c>
      <c r="H59" s="40" t="s">
        <v>25</v>
      </c>
      <c r="I59" s="40" t="s">
        <v>102</v>
      </c>
      <c r="J59" s="43" t="str">
        <f>IFERROR(TEXT(INDEX(Sprints!$B$5:$B$8,MATCH(I59,Sprints!$A$5:$A$8,0)),"dd/mm")&amp;" – "&amp;TEXT(INDEX(Sprints!$C$5:$C$8,MATCH(I59,Sprints!$A$5:$A$8,0)),"dd/mm"),"")</f>
        <v>01/11 – 14/11</v>
      </c>
      <c r="K59" s="40" t="s">
        <v>496</v>
      </c>
      <c r="L59" s="40" t="s">
        <v>28</v>
      </c>
      <c r="M59" s="43" t="str">
        <f ca="1">IFERROR(IF(AND(L59&lt;&gt;"Done",TODAY()&gt;INDEX(Sprints!$C$5:$C$8,MATCH(I59,Sprints!$A$5:$A$8,0))),"Trễ",""),"")</f>
        <v/>
      </c>
      <c r="N59" s="44"/>
      <c r="O59" s="44"/>
      <c r="P59" s="41"/>
    </row>
    <row r="60" spans="1:16" customFormat="1" ht="26.4" x14ac:dyDescent="0.3">
      <c r="A60" s="40" t="s">
        <v>188</v>
      </c>
      <c r="B60" s="40" t="s">
        <v>124</v>
      </c>
      <c r="C60" s="41" t="s">
        <v>125</v>
      </c>
      <c r="D60" s="41" t="s">
        <v>171</v>
      </c>
      <c r="E60" s="42" t="s">
        <v>189</v>
      </c>
      <c r="F60" s="40" t="s">
        <v>23</v>
      </c>
      <c r="G60" s="41" t="s">
        <v>190</v>
      </c>
      <c r="H60" s="40" t="s">
        <v>25</v>
      </c>
      <c r="I60" s="40" t="s">
        <v>102</v>
      </c>
      <c r="J60" s="43" t="str">
        <f>IFERROR(TEXT(INDEX(Sprints!$B$5:$B$8,MATCH(I60,Sprints!$A$5:$A$8,0)),"dd/mm")&amp;" – "&amp;TEXT(INDEX(Sprints!$C$5:$C$8,MATCH(I60,Sprints!$A$5:$A$8,0)),"dd/mm"),"")</f>
        <v>01/11 – 14/11</v>
      </c>
      <c r="K60" s="40" t="s">
        <v>36</v>
      </c>
      <c r="L60" s="40" t="s">
        <v>28</v>
      </c>
      <c r="M60" s="43" t="str">
        <f ca="1">IFERROR(IF(AND(L60&lt;&gt;"Done",TODAY()&gt;INDEX(Sprints!$C$5:$C$8,MATCH(I60,Sprints!$A$5:$A$8,0))),"Trễ",""),"")</f>
        <v/>
      </c>
      <c r="N60" s="44"/>
      <c r="O60" s="44"/>
      <c r="P60" s="41"/>
    </row>
    <row r="61" spans="1:16" customFormat="1" ht="26.4" x14ac:dyDescent="0.3">
      <c r="A61" s="40" t="s">
        <v>191</v>
      </c>
      <c r="B61" s="40" t="s">
        <v>124</v>
      </c>
      <c r="C61" s="41" t="s">
        <v>125</v>
      </c>
      <c r="D61" s="41" t="s">
        <v>171</v>
      </c>
      <c r="E61" s="42" t="s">
        <v>189</v>
      </c>
      <c r="F61" s="40" t="s">
        <v>30</v>
      </c>
      <c r="G61" s="41" t="s">
        <v>192</v>
      </c>
      <c r="H61" s="40" t="s">
        <v>25</v>
      </c>
      <c r="I61" s="40" t="s">
        <v>102</v>
      </c>
      <c r="J61" s="43" t="str">
        <f>IFERROR(TEXT(INDEX(Sprints!$B$5:$B$8,MATCH(I61,Sprints!$A$5:$A$8,0)),"dd/mm")&amp;" – "&amp;TEXT(INDEX(Sprints!$C$5:$C$8,MATCH(I61,Sprints!$A$5:$A$8,0)),"dd/mm"),"")</f>
        <v>01/11 – 14/11</v>
      </c>
      <c r="K61" s="40" t="s">
        <v>36</v>
      </c>
      <c r="L61" s="40" t="s">
        <v>28</v>
      </c>
      <c r="M61" s="43" t="str">
        <f ca="1">IFERROR(IF(AND(L61&lt;&gt;"Done",TODAY()&gt;INDEX(Sprints!$C$5:$C$8,MATCH(I61,Sprints!$A$5:$A$8,0))),"Trễ",""),"")</f>
        <v/>
      </c>
      <c r="N61" s="44"/>
      <c r="O61" s="44"/>
      <c r="P61" s="41"/>
    </row>
    <row r="62" spans="1:16" customFormat="1" ht="26.4" x14ac:dyDescent="0.3">
      <c r="A62" s="40" t="s">
        <v>193</v>
      </c>
      <c r="B62" s="40" t="s">
        <v>124</v>
      </c>
      <c r="C62" s="41" t="s">
        <v>125</v>
      </c>
      <c r="D62" s="41" t="s">
        <v>171</v>
      </c>
      <c r="E62" s="42" t="s">
        <v>194</v>
      </c>
      <c r="F62" s="40" t="s">
        <v>23</v>
      </c>
      <c r="G62" s="41" t="s">
        <v>195</v>
      </c>
      <c r="H62" s="40" t="s">
        <v>108</v>
      </c>
      <c r="I62" s="40" t="s">
        <v>102</v>
      </c>
      <c r="J62" s="43" t="str">
        <f>IFERROR(TEXT(INDEX(Sprints!$B$5:$B$8,MATCH(I62,Sprints!$A$5:$A$8,0)),"dd/mm")&amp;" – "&amp;TEXT(INDEX(Sprints!$C$5:$C$8,MATCH(I62,Sprints!$A$5:$A$8,0)),"dd/mm"),"")</f>
        <v>01/11 – 14/11</v>
      </c>
      <c r="K62" s="40" t="s">
        <v>496</v>
      </c>
      <c r="L62" s="40" t="s">
        <v>28</v>
      </c>
      <c r="M62" s="43" t="str">
        <f ca="1">IFERROR(IF(AND(L62&lt;&gt;"Done",TODAY()&gt;INDEX(Sprints!$C$5:$C$8,MATCH(I62,Sprints!$A$5:$A$8,0))),"Trễ",""),"")</f>
        <v/>
      </c>
      <c r="N62" s="44"/>
      <c r="O62" s="44"/>
      <c r="P62" s="41"/>
    </row>
    <row r="63" spans="1:16" customFormat="1" ht="26.4" x14ac:dyDescent="0.3">
      <c r="A63" s="40" t="s">
        <v>196</v>
      </c>
      <c r="B63" s="40" t="s">
        <v>124</v>
      </c>
      <c r="C63" s="41" t="s">
        <v>125</v>
      </c>
      <c r="D63" s="41" t="s">
        <v>171</v>
      </c>
      <c r="E63" s="42" t="s">
        <v>194</v>
      </c>
      <c r="F63" s="40" t="s">
        <v>30</v>
      </c>
      <c r="G63" s="41" t="s">
        <v>197</v>
      </c>
      <c r="H63" s="40" t="s">
        <v>108</v>
      </c>
      <c r="I63" s="40" t="s">
        <v>102</v>
      </c>
      <c r="J63" s="43" t="str">
        <f>IFERROR(TEXT(INDEX(Sprints!$B$5:$B$8,MATCH(I63,Sprints!$A$5:$A$8,0)),"dd/mm")&amp;" – "&amp;TEXT(INDEX(Sprints!$C$5:$C$8,MATCH(I63,Sprints!$A$5:$A$8,0)),"dd/mm"),"")</f>
        <v>01/11 – 14/11</v>
      </c>
      <c r="K63" s="40" t="s">
        <v>496</v>
      </c>
      <c r="L63" s="40" t="s">
        <v>28</v>
      </c>
      <c r="M63" s="43" t="str">
        <f ca="1">IFERROR(IF(AND(L63&lt;&gt;"Done",TODAY()&gt;INDEX(Sprints!$C$5:$C$8,MATCH(I63,Sprints!$A$5:$A$8,0))),"Trễ",""),"")</f>
        <v/>
      </c>
      <c r="N63" s="44"/>
      <c r="O63" s="44"/>
      <c r="P63" s="41"/>
    </row>
    <row r="64" spans="1:16" customFormat="1" x14ac:dyDescent="0.3">
      <c r="A64" s="45" t="s">
        <v>198</v>
      </c>
      <c r="B64" s="45" t="s">
        <v>199</v>
      </c>
      <c r="C64" s="46" t="s">
        <v>200</v>
      </c>
      <c r="D64" s="46" t="s">
        <v>201</v>
      </c>
      <c r="E64" s="47" t="s">
        <v>202</v>
      </c>
      <c r="F64" s="45" t="s">
        <v>23</v>
      </c>
      <c r="G64" s="46" t="s">
        <v>203</v>
      </c>
      <c r="H64" s="45" t="s">
        <v>25</v>
      </c>
      <c r="I64" s="45" t="s">
        <v>102</v>
      </c>
      <c r="J64" s="43" t="str">
        <f>IFERROR(TEXT(INDEX(Sprints!$B$5:$B$8,MATCH(I64,Sprints!$A$5:$A$8,0)),"dd/mm")&amp;" – "&amp;TEXT(INDEX(Sprints!$C$5:$C$8,MATCH(I64,Sprints!$A$5:$A$8,0)),"dd/mm"),"")</f>
        <v>01/11 – 14/11</v>
      </c>
      <c r="K64" s="45" t="s">
        <v>36</v>
      </c>
      <c r="L64" s="45" t="s">
        <v>28</v>
      </c>
      <c r="M64" s="43" t="str">
        <f ca="1">IFERROR(IF(AND(L64&lt;&gt;"Done",TODAY()&gt;INDEX(Sprints!$C$5:$C$8,MATCH(I64,Sprints!$A$5:$A$8,0))),"Trễ",""),"")</f>
        <v/>
      </c>
      <c r="N64" s="48"/>
      <c r="O64" s="48"/>
      <c r="P64" s="46"/>
    </row>
    <row r="65" spans="1:16" customFormat="1" x14ac:dyDescent="0.3">
      <c r="A65" s="45" t="s">
        <v>204</v>
      </c>
      <c r="B65" s="45" t="s">
        <v>199</v>
      </c>
      <c r="C65" s="46" t="s">
        <v>200</v>
      </c>
      <c r="D65" s="46" t="s">
        <v>201</v>
      </c>
      <c r="E65" s="47" t="s">
        <v>202</v>
      </c>
      <c r="F65" s="45" t="s">
        <v>30</v>
      </c>
      <c r="G65" s="46" t="s">
        <v>205</v>
      </c>
      <c r="H65" s="45" t="s">
        <v>25</v>
      </c>
      <c r="I65" s="45" t="s">
        <v>102</v>
      </c>
      <c r="J65" s="43" t="str">
        <f>IFERROR(TEXT(INDEX(Sprints!$B$5:$B$8,MATCH(I65,Sprints!$A$5:$A$8,0)),"dd/mm")&amp;" – "&amp;TEXT(INDEX(Sprints!$C$5:$C$8,MATCH(I65,Sprints!$A$5:$A$8,0)),"dd/mm"),"")</f>
        <v>01/11 – 14/11</v>
      </c>
      <c r="K65" s="45" t="s">
        <v>41</v>
      </c>
      <c r="L65" s="45" t="s">
        <v>28</v>
      </c>
      <c r="M65" s="43" t="str">
        <f ca="1">IFERROR(IF(AND(L65&lt;&gt;"Done",TODAY()&gt;INDEX(Sprints!$C$5:$C$8,MATCH(I65,Sprints!$A$5:$A$8,0))),"Trễ",""),"")</f>
        <v/>
      </c>
      <c r="N65" s="48"/>
      <c r="O65" s="48"/>
      <c r="P65" s="46"/>
    </row>
    <row r="66" spans="1:16" customFormat="1" x14ac:dyDescent="0.3">
      <c r="A66" s="45" t="s">
        <v>206</v>
      </c>
      <c r="B66" s="45" t="s">
        <v>199</v>
      </c>
      <c r="C66" s="46" t="s">
        <v>200</v>
      </c>
      <c r="D66" s="46" t="s">
        <v>201</v>
      </c>
      <c r="E66" s="47" t="s">
        <v>207</v>
      </c>
      <c r="F66" s="45" t="s">
        <v>23</v>
      </c>
      <c r="G66" s="46" t="s">
        <v>208</v>
      </c>
      <c r="H66" s="45" t="s">
        <v>25</v>
      </c>
      <c r="I66" s="45" t="s">
        <v>102</v>
      </c>
      <c r="J66" s="43" t="str">
        <f>IFERROR(TEXT(INDEX(Sprints!$B$5:$B$8,MATCH(I66,Sprints!$A$5:$A$8,0)),"dd/mm")&amp;" – "&amp;TEXT(INDEX(Sprints!$C$5:$C$8,MATCH(I66,Sprints!$A$5:$A$8,0)),"dd/mm"),"")</f>
        <v>01/11 – 14/11</v>
      </c>
      <c r="K66" s="45" t="s">
        <v>27</v>
      </c>
      <c r="L66" s="45" t="s">
        <v>28</v>
      </c>
      <c r="M66" s="43" t="str">
        <f ca="1">IFERROR(IF(AND(L66&lt;&gt;"Done",TODAY()&gt;INDEX(Sprints!$C$5:$C$8,MATCH(I66,Sprints!$A$5:$A$8,0))),"Trễ",""),"")</f>
        <v/>
      </c>
      <c r="N66" s="48"/>
      <c r="O66" s="48"/>
      <c r="P66" s="46"/>
    </row>
    <row r="67" spans="1:16" customFormat="1" x14ac:dyDescent="0.3">
      <c r="A67" s="45" t="s">
        <v>209</v>
      </c>
      <c r="B67" s="45" t="s">
        <v>199</v>
      </c>
      <c r="C67" s="46" t="s">
        <v>200</v>
      </c>
      <c r="D67" s="46" t="s">
        <v>201</v>
      </c>
      <c r="E67" s="47" t="s">
        <v>207</v>
      </c>
      <c r="F67" s="45" t="s">
        <v>30</v>
      </c>
      <c r="G67" s="46" t="s">
        <v>210</v>
      </c>
      <c r="H67" s="45" t="s">
        <v>25</v>
      </c>
      <c r="I67" s="45" t="s">
        <v>102</v>
      </c>
      <c r="J67" s="43" t="str">
        <f>IFERROR(TEXT(INDEX(Sprints!$B$5:$B$8,MATCH(I67,Sprints!$A$5:$A$8,0)),"dd/mm")&amp;" – "&amp;TEXT(INDEX(Sprints!$C$5:$C$8,MATCH(I67,Sprints!$A$5:$A$8,0)),"dd/mm"),"")</f>
        <v>01/11 – 14/11</v>
      </c>
      <c r="K67" s="45" t="s">
        <v>32</v>
      </c>
      <c r="L67" s="45" t="s">
        <v>28</v>
      </c>
      <c r="M67" s="43" t="str">
        <f ca="1">IFERROR(IF(AND(L67&lt;&gt;"Done",TODAY()&gt;INDEX(Sprints!$C$5:$C$8,MATCH(I67,Sprints!$A$5:$A$8,0))),"Trễ",""),"")</f>
        <v/>
      </c>
      <c r="N67" s="48"/>
      <c r="O67" s="48"/>
      <c r="P67" s="46"/>
    </row>
    <row r="68" spans="1:16" customFormat="1" x14ac:dyDescent="0.3">
      <c r="A68" s="45" t="s">
        <v>211</v>
      </c>
      <c r="B68" s="45" t="s">
        <v>199</v>
      </c>
      <c r="C68" s="46" t="s">
        <v>200</v>
      </c>
      <c r="D68" s="46" t="s">
        <v>201</v>
      </c>
      <c r="E68" s="47" t="s">
        <v>212</v>
      </c>
      <c r="F68" s="45" t="s">
        <v>23</v>
      </c>
      <c r="G68" s="46" t="s">
        <v>213</v>
      </c>
      <c r="H68" s="45" t="s">
        <v>108</v>
      </c>
      <c r="I68" s="45" t="s">
        <v>102</v>
      </c>
      <c r="J68" s="43" t="str">
        <f>IFERROR(TEXT(INDEX(Sprints!$B$5:$B$8,MATCH(I68,Sprints!$A$5:$A$8,0)),"dd/mm")&amp;" – "&amp;TEXT(INDEX(Sprints!$C$5:$C$8,MATCH(I68,Sprints!$A$5:$A$8,0)),"dd/mm"),"")</f>
        <v>01/11 – 14/11</v>
      </c>
      <c r="K68" s="45" t="s">
        <v>27</v>
      </c>
      <c r="L68" s="45" t="s">
        <v>28</v>
      </c>
      <c r="M68" s="43" t="str">
        <f ca="1">IFERROR(IF(AND(L68&lt;&gt;"Done",TODAY()&gt;INDEX(Sprints!$C$5:$C$8,MATCH(I68,Sprints!$A$5:$A$8,0))),"Trễ",""),"")</f>
        <v/>
      </c>
      <c r="N68" s="48"/>
      <c r="O68" s="48"/>
      <c r="P68" s="46"/>
    </row>
    <row r="69" spans="1:16" customFormat="1" x14ac:dyDescent="0.3">
      <c r="A69" s="45" t="s">
        <v>214</v>
      </c>
      <c r="B69" s="45" t="s">
        <v>199</v>
      </c>
      <c r="C69" s="46" t="s">
        <v>200</v>
      </c>
      <c r="D69" s="46" t="s">
        <v>201</v>
      </c>
      <c r="E69" s="47" t="s">
        <v>212</v>
      </c>
      <c r="F69" s="45" t="s">
        <v>30</v>
      </c>
      <c r="G69" s="46" t="s">
        <v>215</v>
      </c>
      <c r="H69" s="45" t="s">
        <v>108</v>
      </c>
      <c r="I69" s="45" t="s">
        <v>102</v>
      </c>
      <c r="J69" s="43" t="str">
        <f>IFERROR(TEXT(INDEX(Sprints!$B$5:$B$8,MATCH(I69,Sprints!$A$5:$A$8,0)),"dd/mm")&amp;" – "&amp;TEXT(INDEX(Sprints!$C$5:$C$8,MATCH(I69,Sprints!$A$5:$A$8,0)),"dd/mm"),"")</f>
        <v>01/11 – 14/11</v>
      </c>
      <c r="K69" s="45" t="s">
        <v>41</v>
      </c>
      <c r="L69" s="45" t="s">
        <v>28</v>
      </c>
      <c r="M69" s="43" t="str">
        <f ca="1">IFERROR(IF(AND(L69&lt;&gt;"Done",TODAY()&gt;INDEX(Sprints!$C$5:$C$8,MATCH(I69,Sprints!$A$5:$A$8,0))),"Trễ",""),"")</f>
        <v/>
      </c>
      <c r="N69" s="48"/>
      <c r="O69" s="48"/>
      <c r="P69" s="46"/>
    </row>
    <row r="70" spans="1:16" customFormat="1" x14ac:dyDescent="0.3">
      <c r="A70" s="45" t="s">
        <v>216</v>
      </c>
      <c r="B70" s="45" t="s">
        <v>199</v>
      </c>
      <c r="C70" s="46" t="s">
        <v>200</v>
      </c>
      <c r="D70" s="46" t="s">
        <v>201</v>
      </c>
      <c r="E70" s="47" t="s">
        <v>217</v>
      </c>
      <c r="F70" s="45" t="s">
        <v>23</v>
      </c>
      <c r="G70" s="46" t="s">
        <v>218</v>
      </c>
      <c r="H70" s="45" t="s">
        <v>25</v>
      </c>
      <c r="I70" s="45" t="s">
        <v>102</v>
      </c>
      <c r="J70" s="43" t="str">
        <f>IFERROR(TEXT(INDEX(Sprints!$B$5:$B$8,MATCH(I70,Sprints!$A$5:$A$8,0)),"dd/mm")&amp;" – "&amp;TEXT(INDEX(Sprints!$C$5:$C$8,MATCH(I70,Sprints!$A$5:$A$8,0)),"dd/mm"),"")</f>
        <v>01/11 – 14/11</v>
      </c>
      <c r="K70" s="45" t="s">
        <v>27</v>
      </c>
      <c r="L70" s="45" t="s">
        <v>28</v>
      </c>
      <c r="M70" s="43" t="str">
        <f ca="1">IFERROR(IF(AND(L70&lt;&gt;"Done",TODAY()&gt;INDEX(Sprints!$C$5:$C$8,MATCH(I70,Sprints!$A$5:$A$8,0))),"Trễ",""),"")</f>
        <v/>
      </c>
      <c r="N70" s="48"/>
      <c r="O70" s="48"/>
      <c r="P70" s="46"/>
    </row>
    <row r="71" spans="1:16" customFormat="1" x14ac:dyDescent="0.3">
      <c r="A71" s="45" t="s">
        <v>219</v>
      </c>
      <c r="B71" s="45" t="s">
        <v>199</v>
      </c>
      <c r="C71" s="46" t="s">
        <v>200</v>
      </c>
      <c r="D71" s="46" t="s">
        <v>220</v>
      </c>
      <c r="E71" s="47" t="s">
        <v>221</v>
      </c>
      <c r="F71" s="45" t="s">
        <v>23</v>
      </c>
      <c r="G71" s="46" t="s">
        <v>222</v>
      </c>
      <c r="H71" s="45" t="s">
        <v>25</v>
      </c>
      <c r="I71" s="45" t="s">
        <v>102</v>
      </c>
      <c r="J71" s="43" t="str">
        <f>IFERROR(TEXT(INDEX(Sprints!$B$5:$B$8,MATCH(I71,Sprints!$A$5:$A$8,0)),"dd/mm")&amp;" – "&amp;TEXT(INDEX(Sprints!$C$5:$C$8,MATCH(I71,Sprints!$A$5:$A$8,0)),"dd/mm"),"")</f>
        <v>01/11 – 14/11</v>
      </c>
      <c r="K71" s="45" t="s">
        <v>27</v>
      </c>
      <c r="L71" s="45" t="s">
        <v>28</v>
      </c>
      <c r="M71" s="43" t="str">
        <f ca="1">IFERROR(IF(AND(L71&lt;&gt;"Done",TODAY()&gt;INDEX(Sprints!$C$5:$C$8,MATCH(I71,Sprints!$A$5:$A$8,0))),"Trễ",""),"")</f>
        <v/>
      </c>
      <c r="N71" s="48"/>
      <c r="O71" s="48"/>
      <c r="P71" s="46"/>
    </row>
    <row r="72" spans="1:16" customFormat="1" x14ac:dyDescent="0.3">
      <c r="A72" s="45" t="s">
        <v>223</v>
      </c>
      <c r="B72" s="45" t="s">
        <v>199</v>
      </c>
      <c r="C72" s="46" t="s">
        <v>200</v>
      </c>
      <c r="D72" s="46" t="s">
        <v>220</v>
      </c>
      <c r="E72" s="47" t="s">
        <v>221</v>
      </c>
      <c r="F72" s="45" t="s">
        <v>30</v>
      </c>
      <c r="G72" s="46" t="s">
        <v>224</v>
      </c>
      <c r="H72" s="45" t="s">
        <v>25</v>
      </c>
      <c r="I72" s="45" t="s">
        <v>102</v>
      </c>
      <c r="J72" s="43" t="str">
        <f>IFERROR(TEXT(INDEX(Sprints!$B$5:$B$8,MATCH(I72,Sprints!$A$5:$A$8,0)),"dd/mm")&amp;" – "&amp;TEXT(INDEX(Sprints!$C$5:$C$8,MATCH(I72,Sprints!$A$5:$A$8,0)),"dd/mm"),"")</f>
        <v>01/11 – 14/11</v>
      </c>
      <c r="K72" s="45" t="s">
        <v>32</v>
      </c>
      <c r="L72" s="45" t="s">
        <v>28</v>
      </c>
      <c r="M72" s="43" t="str">
        <f ca="1">IFERROR(IF(AND(L72&lt;&gt;"Done",TODAY()&gt;INDEX(Sprints!$C$5:$C$8,MATCH(I72,Sprints!$A$5:$A$8,0))),"Trễ",""),"")</f>
        <v/>
      </c>
      <c r="N72" s="48"/>
      <c r="O72" s="48"/>
      <c r="P72" s="46"/>
    </row>
    <row r="73" spans="1:16" customFormat="1" x14ac:dyDescent="0.3">
      <c r="A73" s="45" t="s">
        <v>225</v>
      </c>
      <c r="B73" s="45" t="s">
        <v>199</v>
      </c>
      <c r="C73" s="46" t="s">
        <v>200</v>
      </c>
      <c r="D73" s="46" t="s">
        <v>220</v>
      </c>
      <c r="E73" s="47" t="s">
        <v>221</v>
      </c>
      <c r="F73" s="45" t="s">
        <v>39</v>
      </c>
      <c r="G73" s="46" t="s">
        <v>226</v>
      </c>
      <c r="H73" s="45" t="s">
        <v>25</v>
      </c>
      <c r="I73" s="45" t="s">
        <v>102</v>
      </c>
      <c r="J73" s="43" t="str">
        <f>IFERROR(TEXT(INDEX(Sprints!$B$5:$B$8,MATCH(I73,Sprints!$A$5:$A$8,0)),"dd/mm")&amp;" – "&amp;TEXT(INDEX(Sprints!$C$5:$C$8,MATCH(I73,Sprints!$A$5:$A$8,0)),"dd/mm"),"")</f>
        <v>01/11 – 14/11</v>
      </c>
      <c r="K73" s="45" t="s">
        <v>32</v>
      </c>
      <c r="L73" s="45" t="s">
        <v>28</v>
      </c>
      <c r="M73" s="43" t="str">
        <f ca="1">IFERROR(IF(AND(L73&lt;&gt;"Done",TODAY()&gt;INDEX(Sprints!$C$5:$C$8,MATCH(I73,Sprints!$A$5:$A$8,0))),"Trễ",""),"")</f>
        <v/>
      </c>
      <c r="N73" s="48"/>
      <c r="O73" s="48"/>
      <c r="P73" s="46"/>
    </row>
    <row r="74" spans="1:16" customFormat="1" x14ac:dyDescent="0.3">
      <c r="A74" s="45" t="s">
        <v>227</v>
      </c>
      <c r="B74" s="45" t="s">
        <v>199</v>
      </c>
      <c r="C74" s="46" t="s">
        <v>200</v>
      </c>
      <c r="D74" s="46" t="s">
        <v>220</v>
      </c>
      <c r="E74" s="47" t="s">
        <v>228</v>
      </c>
      <c r="F74" s="45" t="s">
        <v>23</v>
      </c>
      <c r="G74" s="46" t="s">
        <v>229</v>
      </c>
      <c r="H74" s="45" t="s">
        <v>25</v>
      </c>
      <c r="I74" s="45" t="s">
        <v>102</v>
      </c>
      <c r="J74" s="43" t="str">
        <f>IFERROR(TEXT(INDEX(Sprints!$B$5:$B$8,MATCH(I74,Sprints!$A$5:$A$8,0)),"dd/mm")&amp;" – "&amp;TEXT(INDEX(Sprints!$C$5:$C$8,MATCH(I74,Sprints!$A$5:$A$8,0)),"dd/mm"),"")</f>
        <v>01/11 – 14/11</v>
      </c>
      <c r="K74" s="45" t="s">
        <v>36</v>
      </c>
      <c r="L74" s="45" t="s">
        <v>28</v>
      </c>
      <c r="M74" s="43" t="str">
        <f ca="1">IFERROR(IF(AND(L74&lt;&gt;"Done",TODAY()&gt;INDEX(Sprints!$C$5:$C$8,MATCH(I74,Sprints!$A$5:$A$8,0))),"Trễ",""),"")</f>
        <v/>
      </c>
      <c r="N74" s="48"/>
      <c r="O74" s="48"/>
      <c r="P74" s="46"/>
    </row>
    <row r="75" spans="1:16" customFormat="1" x14ac:dyDescent="0.3">
      <c r="A75" s="45" t="s">
        <v>230</v>
      </c>
      <c r="B75" s="45" t="s">
        <v>199</v>
      </c>
      <c r="C75" s="46" t="s">
        <v>200</v>
      </c>
      <c r="D75" s="46" t="s">
        <v>220</v>
      </c>
      <c r="E75" s="47" t="s">
        <v>228</v>
      </c>
      <c r="F75" s="45" t="s">
        <v>39</v>
      </c>
      <c r="G75" s="46" t="s">
        <v>231</v>
      </c>
      <c r="H75" s="45" t="s">
        <v>25</v>
      </c>
      <c r="I75" s="45" t="s">
        <v>102</v>
      </c>
      <c r="J75" s="43" t="str">
        <f>IFERROR(TEXT(INDEX(Sprints!$B$5:$B$8,MATCH(I75,Sprints!$A$5:$A$8,0)),"dd/mm")&amp;" – "&amp;TEXT(INDEX(Sprints!$C$5:$C$8,MATCH(I75,Sprints!$A$5:$A$8,0)),"dd/mm"),"")</f>
        <v>01/11 – 14/11</v>
      </c>
      <c r="K75" s="45" t="s">
        <v>41</v>
      </c>
      <c r="L75" s="45" t="s">
        <v>28</v>
      </c>
      <c r="M75" s="43" t="str">
        <f ca="1">IFERROR(IF(AND(L75&lt;&gt;"Done",TODAY()&gt;INDEX(Sprints!$C$5:$C$8,MATCH(I75,Sprints!$A$5:$A$8,0))),"Trễ",""),"")</f>
        <v/>
      </c>
      <c r="N75" s="48"/>
      <c r="O75" s="48"/>
      <c r="P75" s="46"/>
    </row>
    <row r="76" spans="1:16" customFormat="1" x14ac:dyDescent="0.3">
      <c r="A76" s="45" t="s">
        <v>232</v>
      </c>
      <c r="B76" s="45" t="s">
        <v>199</v>
      </c>
      <c r="C76" s="46" t="s">
        <v>200</v>
      </c>
      <c r="D76" s="46" t="s">
        <v>220</v>
      </c>
      <c r="E76" s="47" t="s">
        <v>233</v>
      </c>
      <c r="F76" s="45" t="s">
        <v>23</v>
      </c>
      <c r="G76" s="46" t="s">
        <v>234</v>
      </c>
      <c r="H76" s="45" t="s">
        <v>108</v>
      </c>
      <c r="I76" s="45" t="s">
        <v>102</v>
      </c>
      <c r="J76" s="43" t="str">
        <f>IFERROR(TEXT(INDEX(Sprints!$B$5:$B$8,MATCH(I76,Sprints!$A$5:$A$8,0)),"dd/mm")&amp;" – "&amp;TEXT(INDEX(Sprints!$C$5:$C$8,MATCH(I76,Sprints!$A$5:$A$8,0)),"dd/mm"),"")</f>
        <v>01/11 – 14/11</v>
      </c>
      <c r="K76" s="45" t="s">
        <v>36</v>
      </c>
      <c r="L76" s="45" t="s">
        <v>28</v>
      </c>
      <c r="M76" s="43" t="str">
        <f ca="1">IFERROR(IF(AND(L76&lt;&gt;"Done",TODAY()&gt;INDEX(Sprints!$C$5:$C$8,MATCH(I76,Sprints!$A$5:$A$8,0))),"Trễ",""),"")</f>
        <v/>
      </c>
      <c r="N76" s="48"/>
      <c r="O76" s="48"/>
      <c r="P76" s="46"/>
    </row>
    <row r="77" spans="1:16" customFormat="1" x14ac:dyDescent="0.3">
      <c r="A77" s="45" t="s">
        <v>235</v>
      </c>
      <c r="B77" s="45" t="s">
        <v>199</v>
      </c>
      <c r="C77" s="46" t="s">
        <v>200</v>
      </c>
      <c r="D77" s="46" t="s">
        <v>220</v>
      </c>
      <c r="E77" s="47" t="s">
        <v>233</v>
      </c>
      <c r="F77" s="45" t="s">
        <v>39</v>
      </c>
      <c r="G77" s="46" t="s">
        <v>236</v>
      </c>
      <c r="H77" s="45" t="s">
        <v>108</v>
      </c>
      <c r="I77" s="45" t="s">
        <v>102</v>
      </c>
      <c r="J77" s="43" t="str">
        <f>IFERROR(TEXT(INDEX(Sprints!$B$5:$B$8,MATCH(I77,Sprints!$A$5:$A$8,0)),"dd/mm")&amp;" – "&amp;TEXT(INDEX(Sprints!$C$5:$C$8,MATCH(I77,Sprints!$A$5:$A$8,0)),"dd/mm"),"")</f>
        <v>01/11 – 14/11</v>
      </c>
      <c r="K77" s="45" t="s">
        <v>32</v>
      </c>
      <c r="L77" s="45" t="s">
        <v>28</v>
      </c>
      <c r="M77" s="43" t="str">
        <f ca="1">IFERROR(IF(AND(L77&lt;&gt;"Done",TODAY()&gt;INDEX(Sprints!$C$5:$C$8,MATCH(I77,Sprints!$A$5:$A$8,0))),"Trễ",""),"")</f>
        <v/>
      </c>
      <c r="N77" s="48"/>
      <c r="O77" s="48"/>
      <c r="P77" s="46"/>
    </row>
    <row r="78" spans="1:16" customFormat="1" x14ac:dyDescent="0.3">
      <c r="A78" s="68" t="s">
        <v>237</v>
      </c>
      <c r="B78" s="68" t="s">
        <v>199</v>
      </c>
      <c r="C78" s="69" t="s">
        <v>200</v>
      </c>
      <c r="D78" s="69" t="s">
        <v>238</v>
      </c>
      <c r="E78" s="70" t="s">
        <v>239</v>
      </c>
      <c r="F78" s="68" t="s">
        <v>23</v>
      </c>
      <c r="G78" s="69" t="s">
        <v>240</v>
      </c>
      <c r="H78" s="68" t="s">
        <v>25</v>
      </c>
      <c r="I78" s="68" t="s">
        <v>154</v>
      </c>
      <c r="J78" s="66" t="str">
        <f>IFERROR(TEXT(INDEX(Sprints!$B$5:$B$8,MATCH(I78,Sprints!$A$5:$A$8,0)),"dd/mm")&amp;" – "&amp;TEXT(INDEX(Sprints!$C$5:$C$8,MATCH(I78,Sprints!$A$5:$A$8,0)),"dd/mm"),"")</f>
        <v>15/11 – 28/11</v>
      </c>
      <c r="K78" s="68"/>
      <c r="L78" s="68" t="s">
        <v>28</v>
      </c>
      <c r="M78" s="66" t="str">
        <f ca="1">IFERROR(IF(AND(L78&lt;&gt;"Done",TODAY()&gt;INDEX(Sprints!$C$5:$C$8,MATCH(I78,Sprints!$A$5:$A$8,0))),"Trễ",""),"")</f>
        <v/>
      </c>
      <c r="N78" s="71"/>
      <c r="O78" s="71"/>
      <c r="P78" s="69" t="s">
        <v>55</v>
      </c>
    </row>
    <row r="79" spans="1:16" customFormat="1" x14ac:dyDescent="0.3">
      <c r="A79" s="10" t="s">
        <v>241</v>
      </c>
      <c r="B79" s="10" t="s">
        <v>199</v>
      </c>
      <c r="C79" s="11" t="s">
        <v>200</v>
      </c>
      <c r="D79" s="11" t="s">
        <v>238</v>
      </c>
      <c r="E79" s="12" t="s">
        <v>239</v>
      </c>
      <c r="F79" s="10" t="s">
        <v>30</v>
      </c>
      <c r="G79" s="11" t="s">
        <v>242</v>
      </c>
      <c r="H79" s="10" t="s">
        <v>25</v>
      </c>
      <c r="I79" s="10" t="s">
        <v>154</v>
      </c>
      <c r="J79" s="8" t="str">
        <f>IFERROR(TEXT(INDEX(Sprints!$B$5:$B$8,MATCH(I79,Sprints!$A$5:$A$8,0)),"dd/mm")&amp;" – "&amp;TEXT(INDEX(Sprints!$C$5:$C$8,MATCH(I79,Sprints!$A$5:$A$8,0)),"dd/mm"),"")</f>
        <v>15/11 – 28/11</v>
      </c>
      <c r="K79" s="10"/>
      <c r="L79" s="10" t="s">
        <v>28</v>
      </c>
      <c r="M79" s="8" t="str">
        <f ca="1">IFERROR(IF(AND(L79&lt;&gt;"Done",TODAY()&gt;INDEX(Sprints!$C$5:$C$8,MATCH(I79,Sprints!$A$5:$A$8,0))),"Trễ",""),"")</f>
        <v/>
      </c>
      <c r="N79" s="13"/>
      <c r="O79" s="13"/>
      <c r="P79" s="11" t="s">
        <v>55</v>
      </c>
    </row>
    <row r="80" spans="1:16" customFormat="1" x14ac:dyDescent="0.3">
      <c r="A80" s="10" t="s">
        <v>243</v>
      </c>
      <c r="B80" s="10" t="s">
        <v>199</v>
      </c>
      <c r="C80" s="11" t="s">
        <v>200</v>
      </c>
      <c r="D80" s="11" t="s">
        <v>238</v>
      </c>
      <c r="E80" s="12" t="s">
        <v>244</v>
      </c>
      <c r="F80" s="10" t="s">
        <v>23</v>
      </c>
      <c r="G80" s="11" t="s">
        <v>245</v>
      </c>
      <c r="H80" s="10" t="s">
        <v>108</v>
      </c>
      <c r="I80" s="10" t="s">
        <v>154</v>
      </c>
      <c r="J80" s="8" t="str">
        <f>IFERROR(TEXT(INDEX(Sprints!$B$5:$B$8,MATCH(I80,Sprints!$A$5:$A$8,0)),"dd/mm")&amp;" – "&amp;TEXT(INDEX(Sprints!$C$5:$C$8,MATCH(I80,Sprints!$A$5:$A$8,0)),"dd/mm"),"")</f>
        <v>15/11 – 28/11</v>
      </c>
      <c r="K80" s="10"/>
      <c r="L80" s="10" t="s">
        <v>28</v>
      </c>
      <c r="M80" s="8" t="str">
        <f ca="1">IFERROR(IF(AND(L80&lt;&gt;"Done",TODAY()&gt;INDEX(Sprints!$C$5:$C$8,MATCH(I80,Sprints!$A$5:$A$8,0))),"Trễ",""),"")</f>
        <v/>
      </c>
      <c r="N80" s="13"/>
      <c r="O80" s="13"/>
      <c r="P80" s="11"/>
    </row>
    <row r="81" spans="1:16" customFormat="1" x14ac:dyDescent="0.3">
      <c r="A81" s="10" t="s">
        <v>246</v>
      </c>
      <c r="B81" s="10" t="s">
        <v>199</v>
      </c>
      <c r="C81" s="11" t="s">
        <v>200</v>
      </c>
      <c r="D81" s="11" t="s">
        <v>238</v>
      </c>
      <c r="E81" s="12" t="s">
        <v>244</v>
      </c>
      <c r="F81" s="10" t="s">
        <v>30</v>
      </c>
      <c r="G81" s="11" t="s">
        <v>247</v>
      </c>
      <c r="H81" s="10" t="s">
        <v>108</v>
      </c>
      <c r="I81" s="10" t="s">
        <v>154</v>
      </c>
      <c r="J81" s="8" t="str">
        <f>IFERROR(TEXT(INDEX(Sprints!$B$5:$B$8,MATCH(I81,Sprints!$A$5:$A$8,0)),"dd/mm")&amp;" – "&amp;TEXT(INDEX(Sprints!$C$5:$C$8,MATCH(I81,Sprints!$A$5:$A$8,0)),"dd/mm"),"")</f>
        <v>15/11 – 28/11</v>
      </c>
      <c r="K81" s="10"/>
      <c r="L81" s="10" t="s">
        <v>28</v>
      </c>
      <c r="M81" s="8" t="str">
        <f ca="1">IFERROR(IF(AND(L81&lt;&gt;"Done",TODAY()&gt;INDEX(Sprints!$C$5:$C$8,MATCH(I81,Sprints!$A$5:$A$8,0))),"Trễ",""),"")</f>
        <v/>
      </c>
      <c r="N81" s="13"/>
      <c r="O81" s="13"/>
      <c r="P81" s="11"/>
    </row>
    <row r="82" spans="1:16" customFormat="1" ht="26.4" x14ac:dyDescent="0.3">
      <c r="A82" s="10" t="s">
        <v>248</v>
      </c>
      <c r="B82" s="10" t="s">
        <v>199</v>
      </c>
      <c r="C82" s="11" t="s">
        <v>200</v>
      </c>
      <c r="D82" s="11" t="s">
        <v>249</v>
      </c>
      <c r="E82" s="12" t="s">
        <v>250</v>
      </c>
      <c r="F82" s="10" t="s">
        <v>23</v>
      </c>
      <c r="G82" s="11" t="s">
        <v>251</v>
      </c>
      <c r="H82" s="10" t="s">
        <v>108</v>
      </c>
      <c r="I82" s="10" t="s">
        <v>154</v>
      </c>
      <c r="J82" s="8" t="str">
        <f>IFERROR(TEXT(INDEX(Sprints!$B$5:$B$8,MATCH(I82,Sprints!$A$5:$A$8,0)),"dd/mm")&amp;" – "&amp;TEXT(INDEX(Sprints!$C$5:$C$8,MATCH(I82,Sprints!$A$5:$A$8,0)),"dd/mm"),"")</f>
        <v>15/11 – 28/11</v>
      </c>
      <c r="K82" s="10"/>
      <c r="L82" s="10" t="s">
        <v>28</v>
      </c>
      <c r="M82" s="8" t="str">
        <f ca="1">IFERROR(IF(AND(L82&lt;&gt;"Done",TODAY()&gt;INDEX(Sprints!$C$5:$C$8,MATCH(I82,Sprints!$A$5:$A$8,0))),"Trễ",""),"")</f>
        <v/>
      </c>
      <c r="N82" s="13"/>
      <c r="O82" s="13"/>
      <c r="P82" s="11"/>
    </row>
    <row r="83" spans="1:16" customFormat="1" ht="26.4" x14ac:dyDescent="0.3">
      <c r="A83" s="10" t="s">
        <v>252</v>
      </c>
      <c r="B83" s="10" t="s">
        <v>199</v>
      </c>
      <c r="C83" s="11" t="s">
        <v>200</v>
      </c>
      <c r="D83" s="11" t="s">
        <v>249</v>
      </c>
      <c r="E83" s="12" t="s">
        <v>250</v>
      </c>
      <c r="F83" s="10" t="s">
        <v>30</v>
      </c>
      <c r="G83" s="11" t="s">
        <v>253</v>
      </c>
      <c r="H83" s="10" t="s">
        <v>108</v>
      </c>
      <c r="I83" s="10" t="s">
        <v>154</v>
      </c>
      <c r="J83" s="8" t="str">
        <f>IFERROR(TEXT(INDEX(Sprints!$B$5:$B$8,MATCH(I83,Sprints!$A$5:$A$8,0)),"dd/mm")&amp;" – "&amp;TEXT(INDEX(Sprints!$C$5:$C$8,MATCH(I83,Sprints!$A$5:$A$8,0)),"dd/mm"),"")</f>
        <v>15/11 – 28/11</v>
      </c>
      <c r="K83" s="10"/>
      <c r="L83" s="10" t="s">
        <v>28</v>
      </c>
      <c r="M83" s="8" t="str">
        <f ca="1">IFERROR(IF(AND(L83&lt;&gt;"Done",TODAY()&gt;INDEX(Sprints!$C$5:$C$8,MATCH(I83,Sprints!$A$5:$A$8,0))),"Trễ",""),"")</f>
        <v/>
      </c>
      <c r="N83" s="13"/>
      <c r="O83" s="13"/>
      <c r="P83" s="11"/>
    </row>
    <row r="84" spans="1:16" customFormat="1" ht="26.4" x14ac:dyDescent="0.3">
      <c r="A84" s="10" t="s">
        <v>254</v>
      </c>
      <c r="B84" s="10" t="s">
        <v>199</v>
      </c>
      <c r="C84" s="11" t="s">
        <v>200</v>
      </c>
      <c r="D84" s="11" t="s">
        <v>249</v>
      </c>
      <c r="E84" s="12" t="s">
        <v>255</v>
      </c>
      <c r="F84" s="10" t="s">
        <v>23</v>
      </c>
      <c r="G84" s="11" t="s">
        <v>256</v>
      </c>
      <c r="H84" s="10" t="s">
        <v>108</v>
      </c>
      <c r="I84" s="10" t="s">
        <v>154</v>
      </c>
      <c r="J84" s="8" t="str">
        <f>IFERROR(TEXT(INDEX(Sprints!$B$5:$B$8,MATCH(I84,Sprints!$A$5:$A$8,0)),"dd/mm")&amp;" – "&amp;TEXT(INDEX(Sprints!$C$5:$C$8,MATCH(I84,Sprints!$A$5:$A$8,0)),"dd/mm"),"")</f>
        <v>15/11 – 28/11</v>
      </c>
      <c r="K84" s="10"/>
      <c r="L84" s="10" t="s">
        <v>28</v>
      </c>
      <c r="M84" s="8" t="str">
        <f ca="1">IFERROR(IF(AND(L84&lt;&gt;"Done",TODAY()&gt;INDEX(Sprints!$C$5:$C$8,MATCH(I84,Sprints!$A$5:$A$8,0))),"Trễ",""),"")</f>
        <v/>
      </c>
      <c r="N84" s="13"/>
      <c r="O84" s="13"/>
      <c r="P84" s="11"/>
    </row>
    <row r="85" spans="1:16" customFormat="1" ht="26.4" x14ac:dyDescent="0.3">
      <c r="A85" s="10" t="s">
        <v>257</v>
      </c>
      <c r="B85" s="10" t="s">
        <v>199</v>
      </c>
      <c r="C85" s="11" t="s">
        <v>200</v>
      </c>
      <c r="D85" s="11" t="s">
        <v>249</v>
      </c>
      <c r="E85" s="12" t="s">
        <v>255</v>
      </c>
      <c r="F85" s="10" t="s">
        <v>39</v>
      </c>
      <c r="G85" s="11" t="s">
        <v>258</v>
      </c>
      <c r="H85" s="10" t="s">
        <v>108</v>
      </c>
      <c r="I85" s="10" t="s">
        <v>154</v>
      </c>
      <c r="J85" s="8" t="str">
        <f>IFERROR(TEXT(INDEX(Sprints!$B$5:$B$8,MATCH(I85,Sprints!$A$5:$A$8,0)),"dd/mm")&amp;" – "&amp;TEXT(INDEX(Sprints!$C$5:$C$8,MATCH(I85,Sprints!$A$5:$A$8,0)),"dd/mm"),"")</f>
        <v>15/11 – 28/11</v>
      </c>
      <c r="K85" s="10"/>
      <c r="L85" s="10" t="s">
        <v>28</v>
      </c>
      <c r="M85" s="8" t="str">
        <f ca="1">IFERROR(IF(AND(L85&lt;&gt;"Done",TODAY()&gt;INDEX(Sprints!$C$5:$C$8,MATCH(I85,Sprints!$A$5:$A$8,0))),"Trễ",""),"")</f>
        <v/>
      </c>
      <c r="N85" s="13"/>
      <c r="O85" s="13"/>
      <c r="P85" s="11"/>
    </row>
    <row r="86" spans="1:16" customFormat="1" ht="26.4" x14ac:dyDescent="0.3">
      <c r="A86" s="10" t="s">
        <v>259</v>
      </c>
      <c r="B86" s="10" t="s">
        <v>199</v>
      </c>
      <c r="C86" s="11" t="s">
        <v>200</v>
      </c>
      <c r="D86" s="11" t="s">
        <v>249</v>
      </c>
      <c r="E86" s="12" t="s">
        <v>260</v>
      </c>
      <c r="F86" s="10" t="s">
        <v>23</v>
      </c>
      <c r="G86" s="11" t="s">
        <v>261</v>
      </c>
      <c r="H86" s="10" t="s">
        <v>25</v>
      </c>
      <c r="I86" s="10" t="s">
        <v>154</v>
      </c>
      <c r="J86" s="8" t="str">
        <f>IFERROR(TEXT(INDEX(Sprints!$B$5:$B$8,MATCH(I86,Sprints!$A$5:$A$8,0)),"dd/mm")&amp;" – "&amp;TEXT(INDEX(Sprints!$C$5:$C$8,MATCH(I86,Sprints!$A$5:$A$8,0)),"dd/mm"),"")</f>
        <v>15/11 – 28/11</v>
      </c>
      <c r="K86" s="10"/>
      <c r="L86" s="10" t="s">
        <v>28</v>
      </c>
      <c r="M86" s="8" t="str">
        <f ca="1">IFERROR(IF(AND(L86&lt;&gt;"Done",TODAY()&gt;INDEX(Sprints!$C$5:$C$8,MATCH(I86,Sprints!$A$5:$A$8,0))),"Trễ",""),"")</f>
        <v/>
      </c>
      <c r="N86" s="13"/>
      <c r="O86" s="13"/>
      <c r="P86" s="11" t="s">
        <v>262</v>
      </c>
    </row>
    <row r="87" spans="1:16" customFormat="1" ht="26.4" x14ac:dyDescent="0.3">
      <c r="A87" s="10" t="s">
        <v>263</v>
      </c>
      <c r="B87" s="10" t="s">
        <v>199</v>
      </c>
      <c r="C87" s="11" t="s">
        <v>200</v>
      </c>
      <c r="D87" s="11" t="s">
        <v>249</v>
      </c>
      <c r="E87" s="12" t="s">
        <v>264</v>
      </c>
      <c r="F87" s="10" t="s">
        <v>23</v>
      </c>
      <c r="G87" s="11" t="s">
        <v>265</v>
      </c>
      <c r="H87" s="10" t="s">
        <v>25</v>
      </c>
      <c r="I87" s="10" t="s">
        <v>154</v>
      </c>
      <c r="J87" s="8" t="str">
        <f>IFERROR(TEXT(INDEX(Sprints!$B$5:$B$8,MATCH(I87,Sprints!$A$5:$A$8,0)),"dd/mm")&amp;" – "&amp;TEXT(INDEX(Sprints!$C$5:$C$8,MATCH(I87,Sprints!$A$5:$A$8,0)),"dd/mm"),"")</f>
        <v>15/11 – 28/11</v>
      </c>
      <c r="K87" s="10"/>
      <c r="L87" s="10" t="s">
        <v>28</v>
      </c>
      <c r="M87" s="8" t="str">
        <f ca="1">IFERROR(IF(AND(L87&lt;&gt;"Done",TODAY()&gt;INDEX(Sprints!$C$5:$C$8,MATCH(I87,Sprints!$A$5:$A$8,0))),"Trễ",""),"")</f>
        <v/>
      </c>
      <c r="N87" s="13"/>
      <c r="O87" s="13"/>
      <c r="P87" s="11"/>
    </row>
    <row r="88" spans="1:16" customFormat="1" ht="26.4" x14ac:dyDescent="0.3">
      <c r="A88" s="10" t="s">
        <v>266</v>
      </c>
      <c r="B88" s="10" t="s">
        <v>199</v>
      </c>
      <c r="C88" s="11" t="s">
        <v>200</v>
      </c>
      <c r="D88" s="11" t="s">
        <v>249</v>
      </c>
      <c r="E88" s="12" t="s">
        <v>264</v>
      </c>
      <c r="F88" s="10" t="s">
        <v>30</v>
      </c>
      <c r="G88" s="11" t="s">
        <v>267</v>
      </c>
      <c r="H88" s="10" t="s">
        <v>25</v>
      </c>
      <c r="I88" s="10" t="s">
        <v>154</v>
      </c>
      <c r="J88" s="8" t="str">
        <f>IFERROR(TEXT(INDEX(Sprints!$B$5:$B$8,MATCH(I88,Sprints!$A$5:$A$8,0)),"dd/mm")&amp;" – "&amp;TEXT(INDEX(Sprints!$C$5:$C$8,MATCH(I88,Sprints!$A$5:$A$8,0)),"dd/mm"),"")</f>
        <v>15/11 – 28/11</v>
      </c>
      <c r="K88" s="10"/>
      <c r="L88" s="10" t="s">
        <v>28</v>
      </c>
      <c r="M88" s="8" t="str">
        <f ca="1">IFERROR(IF(AND(L88&lt;&gt;"Done",TODAY()&gt;INDEX(Sprints!$C$5:$C$8,MATCH(I88,Sprints!$A$5:$A$8,0))),"Trễ",""),"")</f>
        <v/>
      </c>
      <c r="N88" s="13"/>
      <c r="O88" s="13"/>
      <c r="P88" s="11"/>
    </row>
    <row r="89" spans="1:16" customFormat="1" ht="26.4" x14ac:dyDescent="0.3">
      <c r="A89" s="10" t="s">
        <v>268</v>
      </c>
      <c r="B89" s="10" t="s">
        <v>199</v>
      </c>
      <c r="C89" s="11" t="s">
        <v>200</v>
      </c>
      <c r="D89" s="11" t="s">
        <v>249</v>
      </c>
      <c r="E89" s="12" t="s">
        <v>269</v>
      </c>
      <c r="F89" s="10" t="s">
        <v>23</v>
      </c>
      <c r="G89" s="11" t="s">
        <v>270</v>
      </c>
      <c r="H89" s="10" t="s">
        <v>108</v>
      </c>
      <c r="I89" s="10" t="s">
        <v>154</v>
      </c>
      <c r="J89" s="8" t="str">
        <f>IFERROR(TEXT(INDEX(Sprints!$B$5:$B$8,MATCH(I89,Sprints!$A$5:$A$8,0)),"dd/mm")&amp;" – "&amp;TEXT(INDEX(Sprints!$C$5:$C$8,MATCH(I89,Sprints!$A$5:$A$8,0)),"dd/mm"),"")</f>
        <v>15/11 – 28/11</v>
      </c>
      <c r="K89" s="10"/>
      <c r="L89" s="10" t="s">
        <v>28</v>
      </c>
      <c r="M89" s="8" t="str">
        <f ca="1">IFERROR(IF(AND(L89&lt;&gt;"Done",TODAY()&gt;INDEX(Sprints!$C$5:$C$8,MATCH(I89,Sprints!$A$5:$A$8,0))),"Trễ",""),"")</f>
        <v/>
      </c>
      <c r="N89" s="13"/>
      <c r="O89" s="13"/>
      <c r="P89" s="11"/>
    </row>
    <row r="90" spans="1:16" customFormat="1" ht="26.4" x14ac:dyDescent="0.3">
      <c r="A90" s="10" t="s">
        <v>271</v>
      </c>
      <c r="B90" s="10" t="s">
        <v>199</v>
      </c>
      <c r="C90" s="11" t="s">
        <v>200</v>
      </c>
      <c r="D90" s="11" t="s">
        <v>249</v>
      </c>
      <c r="E90" s="12" t="s">
        <v>269</v>
      </c>
      <c r="F90" s="10" t="s">
        <v>30</v>
      </c>
      <c r="G90" s="11" t="s">
        <v>272</v>
      </c>
      <c r="H90" s="10" t="s">
        <v>108</v>
      </c>
      <c r="I90" s="10" t="s">
        <v>154</v>
      </c>
      <c r="J90" s="8" t="str">
        <f>IFERROR(TEXT(INDEX(Sprints!$B$5:$B$8,MATCH(I90,Sprints!$A$5:$A$8,0)),"dd/mm")&amp;" – "&amp;TEXT(INDEX(Sprints!$C$5:$C$8,MATCH(I90,Sprints!$A$5:$A$8,0)),"dd/mm"),"")</f>
        <v>15/11 – 28/11</v>
      </c>
      <c r="K90" s="10"/>
      <c r="L90" s="10" t="s">
        <v>28</v>
      </c>
      <c r="M90" s="8" t="str">
        <f ca="1">IFERROR(IF(AND(L90&lt;&gt;"Done",TODAY()&gt;INDEX(Sprints!$C$5:$C$8,MATCH(I90,Sprints!$A$5:$A$8,0))),"Trễ",""),"")</f>
        <v/>
      </c>
      <c r="N90" s="13"/>
      <c r="O90" s="13"/>
      <c r="P90" s="11"/>
    </row>
    <row r="91" spans="1:16" customFormat="1" ht="26.4" x14ac:dyDescent="0.3">
      <c r="A91" s="59" t="s">
        <v>273</v>
      </c>
      <c r="B91" s="59" t="s">
        <v>199</v>
      </c>
      <c r="C91" s="60" t="s">
        <v>200</v>
      </c>
      <c r="D91" s="60" t="s">
        <v>249</v>
      </c>
      <c r="E91" s="61" t="s">
        <v>274</v>
      </c>
      <c r="F91" s="59" t="s">
        <v>23</v>
      </c>
      <c r="G91" s="60" t="s">
        <v>275</v>
      </c>
      <c r="H91" s="59" t="s">
        <v>25</v>
      </c>
      <c r="I91" s="59" t="s">
        <v>154</v>
      </c>
      <c r="J91" s="57" t="str">
        <f>IFERROR(TEXT(INDEX(Sprints!$B$5:$B$8,MATCH(I91,Sprints!$A$5:$A$8,0)),"dd/mm")&amp;" – "&amp;TEXT(INDEX(Sprints!$C$5:$C$8,MATCH(I91,Sprints!$A$5:$A$8,0)),"dd/mm"),"")</f>
        <v>15/11 – 28/11</v>
      </c>
      <c r="K91" s="59"/>
      <c r="L91" s="59" t="s">
        <v>28</v>
      </c>
      <c r="M91" s="57" t="str">
        <f ca="1">IFERROR(IF(AND(L91&lt;&gt;"Done",TODAY()&gt;INDEX(Sprints!$C$5:$C$8,MATCH(I91,Sprints!$A$5:$A$8,0))),"Trễ",""),"")</f>
        <v/>
      </c>
      <c r="N91" s="62"/>
      <c r="O91" s="62"/>
      <c r="P91" s="60" t="s">
        <v>277</v>
      </c>
    </row>
    <row r="92" spans="1:16" customFormat="1" ht="26.4" x14ac:dyDescent="0.3">
      <c r="A92" s="40" t="s">
        <v>278</v>
      </c>
      <c r="B92" s="40" t="s">
        <v>279</v>
      </c>
      <c r="C92" s="41" t="s">
        <v>280</v>
      </c>
      <c r="D92" s="41" t="s">
        <v>281</v>
      </c>
      <c r="E92" s="42" t="s">
        <v>282</v>
      </c>
      <c r="F92" s="40" t="s">
        <v>23</v>
      </c>
      <c r="G92" s="41" t="s">
        <v>283</v>
      </c>
      <c r="H92" s="40" t="s">
        <v>25</v>
      </c>
      <c r="I92" s="40" t="s">
        <v>26</v>
      </c>
      <c r="J92" s="43" t="str">
        <f>IFERROR(TEXT(INDEX(Sprints!$B$5:$B$8,MATCH(I92,Sprints!$A$5:$A$8,0)),"dd/mm")&amp;" – "&amp;TEXT(INDEX(Sprints!$C$5:$C$8,MATCH(I92,Sprints!$A$5:$A$8,0)),"dd/mm"),"")</f>
        <v>18/10 – 31/10</v>
      </c>
      <c r="K92" s="40" t="s">
        <v>496</v>
      </c>
      <c r="L92" s="40" t="s">
        <v>28</v>
      </c>
      <c r="M92" s="43" t="str">
        <f ca="1">IFERROR(IF(AND(L92&lt;&gt;"Done",TODAY()&gt;INDEX(Sprints!$C$5:$C$8,MATCH(I92,Sprints!$A$5:$A$8,0))),"Trễ",""),"")</f>
        <v/>
      </c>
      <c r="N92" s="44"/>
      <c r="O92" s="44"/>
      <c r="P92" s="41" t="s">
        <v>284</v>
      </c>
    </row>
    <row r="93" spans="1:16" customFormat="1" ht="26.4" x14ac:dyDescent="0.3">
      <c r="A93" s="40" t="s">
        <v>285</v>
      </c>
      <c r="B93" s="40" t="s">
        <v>279</v>
      </c>
      <c r="C93" s="41" t="s">
        <v>280</v>
      </c>
      <c r="D93" s="41" t="s">
        <v>281</v>
      </c>
      <c r="E93" s="42" t="s">
        <v>282</v>
      </c>
      <c r="F93" s="40" t="s">
        <v>30</v>
      </c>
      <c r="G93" s="41" t="s">
        <v>286</v>
      </c>
      <c r="H93" s="40" t="s">
        <v>25</v>
      </c>
      <c r="I93" s="40" t="s">
        <v>26</v>
      </c>
      <c r="J93" s="43" t="str">
        <f>IFERROR(TEXT(INDEX(Sprints!$B$5:$B$8,MATCH(I93,Sprints!$A$5:$A$8,0)),"dd/mm")&amp;" – "&amp;TEXT(INDEX(Sprints!$C$5:$C$8,MATCH(I93,Sprints!$A$5:$A$8,0)),"dd/mm"),"")</f>
        <v>18/10 – 31/10</v>
      </c>
      <c r="K93" s="40" t="s">
        <v>496</v>
      </c>
      <c r="L93" s="40" t="s">
        <v>28</v>
      </c>
      <c r="M93" s="43" t="str">
        <f ca="1">IFERROR(IF(AND(L93&lt;&gt;"Done",TODAY()&gt;INDEX(Sprints!$C$5:$C$8,MATCH(I93,Sprints!$A$5:$A$8,0))),"Trễ",""),"")</f>
        <v/>
      </c>
      <c r="N93" s="44"/>
      <c r="O93" s="44"/>
      <c r="P93" s="41" t="s">
        <v>284</v>
      </c>
    </row>
    <row r="94" spans="1:16" customFormat="1" ht="26.4" x14ac:dyDescent="0.3">
      <c r="A94" s="40" t="s">
        <v>287</v>
      </c>
      <c r="B94" s="40" t="s">
        <v>279</v>
      </c>
      <c r="C94" s="41" t="s">
        <v>280</v>
      </c>
      <c r="D94" s="41" t="s">
        <v>281</v>
      </c>
      <c r="E94" s="42" t="s">
        <v>288</v>
      </c>
      <c r="F94" s="40" t="s">
        <v>23</v>
      </c>
      <c r="G94" s="41" t="s">
        <v>289</v>
      </c>
      <c r="H94" s="40" t="s">
        <v>25</v>
      </c>
      <c r="I94" s="40" t="s">
        <v>26</v>
      </c>
      <c r="J94" s="43" t="str">
        <f>IFERROR(TEXT(INDEX(Sprints!$B$5:$B$8,MATCH(I94,Sprints!$A$5:$A$8,0)),"dd/mm")&amp;" – "&amp;TEXT(INDEX(Sprints!$C$5:$C$8,MATCH(I94,Sprints!$A$5:$A$8,0)),"dd/mm"),"")</f>
        <v>18/10 – 31/10</v>
      </c>
      <c r="K94" s="40" t="s">
        <v>496</v>
      </c>
      <c r="L94" s="40" t="s">
        <v>28</v>
      </c>
      <c r="M94" s="43" t="str">
        <f ca="1">IFERROR(IF(AND(L94&lt;&gt;"Done",TODAY()&gt;INDEX(Sprints!$C$5:$C$8,MATCH(I94,Sprints!$A$5:$A$8,0))),"Trễ",""),"")</f>
        <v/>
      </c>
      <c r="N94" s="44"/>
      <c r="O94" s="44"/>
      <c r="P94" s="41"/>
    </row>
    <row r="95" spans="1:16" customFormat="1" ht="26.4" x14ac:dyDescent="0.3">
      <c r="A95" s="40" t="s">
        <v>290</v>
      </c>
      <c r="B95" s="40" t="s">
        <v>279</v>
      </c>
      <c r="C95" s="41" t="s">
        <v>280</v>
      </c>
      <c r="D95" s="41" t="s">
        <v>281</v>
      </c>
      <c r="E95" s="42" t="s">
        <v>291</v>
      </c>
      <c r="F95" s="40" t="s">
        <v>23</v>
      </c>
      <c r="G95" s="41" t="s">
        <v>292</v>
      </c>
      <c r="H95" s="40" t="s">
        <v>25</v>
      </c>
      <c r="I95" s="40" t="s">
        <v>26</v>
      </c>
      <c r="J95" s="43" t="str">
        <f>IFERROR(TEXT(INDEX(Sprints!$B$5:$B$8,MATCH(I95,Sprints!$A$5:$A$8,0)),"dd/mm")&amp;" – "&amp;TEXT(INDEX(Sprints!$C$5:$C$8,MATCH(I95,Sprints!$A$5:$A$8,0)),"dd/mm"),"")</f>
        <v>18/10 – 31/10</v>
      </c>
      <c r="K95" s="40" t="s">
        <v>496</v>
      </c>
      <c r="L95" s="40" t="s">
        <v>28</v>
      </c>
      <c r="M95" s="43" t="str">
        <f ca="1">IFERROR(IF(AND(L95&lt;&gt;"Done",TODAY()&gt;INDEX(Sprints!$C$5:$C$8,MATCH(I95,Sprints!$A$5:$A$8,0))),"Trễ",""),"")</f>
        <v/>
      </c>
      <c r="N95" s="44"/>
      <c r="O95" s="44"/>
      <c r="P95" s="41"/>
    </row>
    <row r="96" spans="1:16" customFormat="1" ht="26.4" x14ac:dyDescent="0.3">
      <c r="A96" s="63" t="s">
        <v>293</v>
      </c>
      <c r="B96" s="63" t="s">
        <v>279</v>
      </c>
      <c r="C96" s="64" t="s">
        <v>280</v>
      </c>
      <c r="D96" s="64" t="s">
        <v>294</v>
      </c>
      <c r="E96" s="65" t="s">
        <v>295</v>
      </c>
      <c r="F96" s="63" t="s">
        <v>23</v>
      </c>
      <c r="G96" s="64" t="s">
        <v>296</v>
      </c>
      <c r="H96" s="63" t="s">
        <v>25</v>
      </c>
      <c r="I96" s="63" t="s">
        <v>154</v>
      </c>
      <c r="J96" s="66" t="str">
        <f>IFERROR(TEXT(INDEX(Sprints!$B$5:$B$8,MATCH(I96,Sprints!$A$5:$A$8,0)),"dd/mm")&amp;" – "&amp;TEXT(INDEX(Sprints!$C$5:$C$8,MATCH(I96,Sprints!$A$5:$A$8,0)),"dd/mm"),"")</f>
        <v>15/11 – 28/11</v>
      </c>
      <c r="K96" s="63"/>
      <c r="L96" s="63" t="s">
        <v>28</v>
      </c>
      <c r="M96" s="66" t="str">
        <f ca="1">IFERROR(IF(AND(L96&lt;&gt;"Done",TODAY()&gt;INDEX(Sprints!$C$5:$C$8,MATCH(I96,Sprints!$A$5:$A$8,0))),"Trễ",""),"")</f>
        <v/>
      </c>
      <c r="N96" s="67"/>
      <c r="O96" s="67"/>
      <c r="P96" s="64" t="s">
        <v>297</v>
      </c>
    </row>
    <row r="97" spans="1:16" customFormat="1" ht="26.4" x14ac:dyDescent="0.3">
      <c r="A97" s="5" t="s">
        <v>298</v>
      </c>
      <c r="B97" s="5" t="s">
        <v>279</v>
      </c>
      <c r="C97" s="6" t="s">
        <v>280</v>
      </c>
      <c r="D97" s="6" t="s">
        <v>294</v>
      </c>
      <c r="E97" s="7" t="s">
        <v>295</v>
      </c>
      <c r="F97" s="5" t="s">
        <v>30</v>
      </c>
      <c r="G97" s="6" t="s">
        <v>299</v>
      </c>
      <c r="H97" s="5" t="s">
        <v>25</v>
      </c>
      <c r="I97" s="5" t="s">
        <v>154</v>
      </c>
      <c r="J97" s="8" t="str">
        <f>IFERROR(TEXT(INDEX(Sprints!$B$5:$B$8,MATCH(I97,Sprints!$A$5:$A$8,0)),"dd/mm")&amp;" – "&amp;TEXT(INDEX(Sprints!$C$5:$C$8,MATCH(I97,Sprints!$A$5:$A$8,0)),"dd/mm"),"")</f>
        <v>15/11 – 28/11</v>
      </c>
      <c r="K97" s="5"/>
      <c r="L97" s="5" t="s">
        <v>28</v>
      </c>
      <c r="M97" s="8" t="str">
        <f ca="1">IFERROR(IF(AND(L97&lt;&gt;"Done",TODAY()&gt;INDEX(Sprints!$C$5:$C$8,MATCH(I97,Sprints!$A$5:$A$8,0))),"Trễ",""),"")</f>
        <v/>
      </c>
      <c r="N97" s="9"/>
      <c r="O97" s="9"/>
      <c r="P97" s="6" t="s">
        <v>297</v>
      </c>
    </row>
    <row r="98" spans="1:16" customFormat="1" ht="26.4" x14ac:dyDescent="0.3">
      <c r="A98" s="5" t="s">
        <v>300</v>
      </c>
      <c r="B98" s="5" t="s">
        <v>279</v>
      </c>
      <c r="C98" s="6" t="s">
        <v>280</v>
      </c>
      <c r="D98" s="6" t="s">
        <v>294</v>
      </c>
      <c r="E98" s="7" t="s">
        <v>301</v>
      </c>
      <c r="F98" s="5" t="s">
        <v>23</v>
      </c>
      <c r="G98" s="6" t="s">
        <v>302</v>
      </c>
      <c r="H98" s="5" t="s">
        <v>25</v>
      </c>
      <c r="I98" s="5" t="s">
        <v>154</v>
      </c>
      <c r="J98" s="8" t="str">
        <f>IFERROR(TEXT(INDEX(Sprints!$B$5:$B$8,MATCH(I98,Sprints!$A$5:$A$8,0)),"dd/mm")&amp;" – "&amp;TEXT(INDEX(Sprints!$C$5:$C$8,MATCH(I98,Sprints!$A$5:$A$8,0)),"dd/mm"),"")</f>
        <v>15/11 – 28/11</v>
      </c>
      <c r="K98" s="5"/>
      <c r="L98" s="5" t="s">
        <v>28</v>
      </c>
      <c r="M98" s="8" t="str">
        <f ca="1">IFERROR(IF(AND(L98&lt;&gt;"Done",TODAY()&gt;INDEX(Sprints!$C$5:$C$8,MATCH(I98,Sprints!$A$5:$A$8,0))),"Trễ",""),"")</f>
        <v/>
      </c>
      <c r="N98" s="9"/>
      <c r="O98" s="9"/>
      <c r="P98" s="6"/>
    </row>
    <row r="99" spans="1:16" customFormat="1" ht="26.4" x14ac:dyDescent="0.3">
      <c r="A99" s="5" t="s">
        <v>303</v>
      </c>
      <c r="B99" s="5" t="s">
        <v>279</v>
      </c>
      <c r="C99" s="6" t="s">
        <v>280</v>
      </c>
      <c r="D99" s="6" t="s">
        <v>294</v>
      </c>
      <c r="E99" s="7" t="s">
        <v>301</v>
      </c>
      <c r="F99" s="5" t="s">
        <v>30</v>
      </c>
      <c r="G99" s="6" t="s">
        <v>304</v>
      </c>
      <c r="H99" s="5" t="s">
        <v>25</v>
      </c>
      <c r="I99" s="5" t="s">
        <v>154</v>
      </c>
      <c r="J99" s="8" t="str">
        <f>IFERROR(TEXT(INDEX(Sprints!$B$5:$B$8,MATCH(I99,Sprints!$A$5:$A$8,0)),"dd/mm")&amp;" – "&amp;TEXT(INDEX(Sprints!$C$5:$C$8,MATCH(I99,Sprints!$A$5:$A$8,0)),"dd/mm"),"")</f>
        <v>15/11 – 28/11</v>
      </c>
      <c r="K99" s="5"/>
      <c r="L99" s="5" t="s">
        <v>28</v>
      </c>
      <c r="M99" s="8" t="str">
        <f ca="1">IFERROR(IF(AND(L99&lt;&gt;"Done",TODAY()&gt;INDEX(Sprints!$C$5:$C$8,MATCH(I99,Sprints!$A$5:$A$8,0))),"Trễ",""),"")</f>
        <v/>
      </c>
      <c r="N99" s="9"/>
      <c r="O99" s="9"/>
      <c r="P99" s="6"/>
    </row>
    <row r="100" spans="1:16" customFormat="1" ht="26.4" x14ac:dyDescent="0.3">
      <c r="A100" s="5" t="s">
        <v>305</v>
      </c>
      <c r="B100" s="5" t="s">
        <v>279</v>
      </c>
      <c r="C100" s="6" t="s">
        <v>280</v>
      </c>
      <c r="D100" s="6" t="s">
        <v>294</v>
      </c>
      <c r="E100" s="7" t="s">
        <v>306</v>
      </c>
      <c r="F100" s="5" t="s">
        <v>23</v>
      </c>
      <c r="G100" s="6" t="s">
        <v>307</v>
      </c>
      <c r="H100" s="5" t="s">
        <v>108</v>
      </c>
      <c r="I100" s="5" t="s">
        <v>154</v>
      </c>
      <c r="J100" s="8" t="str">
        <f>IFERROR(TEXT(INDEX(Sprints!$B$5:$B$8,MATCH(I100,Sprints!$A$5:$A$8,0)),"dd/mm")&amp;" – "&amp;TEXT(INDEX(Sprints!$C$5:$C$8,MATCH(I100,Sprints!$A$5:$A$8,0)),"dd/mm"),"")</f>
        <v>15/11 – 28/11</v>
      </c>
      <c r="K100" s="5"/>
      <c r="L100" s="5" t="s">
        <v>28</v>
      </c>
      <c r="M100" s="8" t="str">
        <f ca="1">IFERROR(IF(AND(L100&lt;&gt;"Done",TODAY()&gt;INDEX(Sprints!$C$5:$C$8,MATCH(I100,Sprints!$A$5:$A$8,0))),"Trễ",""),"")</f>
        <v/>
      </c>
      <c r="N100" s="9"/>
      <c r="O100" s="9"/>
      <c r="P100" s="6"/>
    </row>
    <row r="101" spans="1:16" customFormat="1" ht="26.4" x14ac:dyDescent="0.3">
      <c r="A101" s="5" t="s">
        <v>308</v>
      </c>
      <c r="B101" s="5" t="s">
        <v>279</v>
      </c>
      <c r="C101" s="6" t="s">
        <v>280</v>
      </c>
      <c r="D101" s="6" t="s">
        <v>294</v>
      </c>
      <c r="E101" s="7" t="s">
        <v>306</v>
      </c>
      <c r="F101" s="5" t="s">
        <v>30</v>
      </c>
      <c r="G101" s="6" t="s">
        <v>309</v>
      </c>
      <c r="H101" s="5" t="s">
        <v>108</v>
      </c>
      <c r="I101" s="5" t="s">
        <v>154</v>
      </c>
      <c r="J101" s="8" t="str">
        <f>IFERROR(TEXT(INDEX(Sprints!$B$5:$B$8,MATCH(I101,Sprints!$A$5:$A$8,0)),"dd/mm")&amp;" – "&amp;TEXT(INDEX(Sprints!$C$5:$C$8,MATCH(I101,Sprints!$A$5:$A$8,0)),"dd/mm"),"")</f>
        <v>15/11 – 28/11</v>
      </c>
      <c r="K101" s="5"/>
      <c r="L101" s="5" t="s">
        <v>28</v>
      </c>
      <c r="M101" s="8" t="str">
        <f ca="1">IFERROR(IF(AND(L101&lt;&gt;"Done",TODAY()&gt;INDEX(Sprints!$C$5:$C$8,MATCH(I101,Sprints!$A$5:$A$8,0))),"Trễ",""),"")</f>
        <v/>
      </c>
      <c r="N101" s="9"/>
      <c r="O101" s="9"/>
      <c r="P101" s="6"/>
    </row>
    <row r="102" spans="1:16" customFormat="1" ht="26.4" x14ac:dyDescent="0.3">
      <c r="A102" s="5" t="s">
        <v>310</v>
      </c>
      <c r="B102" s="5" t="s">
        <v>279</v>
      </c>
      <c r="C102" s="6" t="s">
        <v>280</v>
      </c>
      <c r="D102" s="6" t="s">
        <v>311</v>
      </c>
      <c r="E102" s="7" t="s">
        <v>312</v>
      </c>
      <c r="F102" s="5" t="s">
        <v>23</v>
      </c>
      <c r="G102" s="6" t="s">
        <v>313</v>
      </c>
      <c r="H102" s="5" t="s">
        <v>25</v>
      </c>
      <c r="I102" s="5" t="s">
        <v>154</v>
      </c>
      <c r="J102" s="8" t="str">
        <f>IFERROR(TEXT(INDEX(Sprints!$B$5:$B$8,MATCH(I102,Sprints!$A$5:$A$8,0)),"dd/mm")&amp;" – "&amp;TEXT(INDEX(Sprints!$C$5:$C$8,MATCH(I102,Sprints!$A$5:$A$8,0)),"dd/mm"),"")</f>
        <v>15/11 – 28/11</v>
      </c>
      <c r="K102" s="5"/>
      <c r="L102" s="5" t="s">
        <v>28</v>
      </c>
      <c r="M102" s="8" t="str">
        <f ca="1">IFERROR(IF(AND(L102&lt;&gt;"Done",TODAY()&gt;INDEX(Sprints!$C$5:$C$8,MATCH(I102,Sprints!$A$5:$A$8,0))),"Trễ",""),"")</f>
        <v/>
      </c>
      <c r="N102" s="9"/>
      <c r="O102" s="9"/>
      <c r="P102" s="6"/>
    </row>
    <row r="103" spans="1:16" customFormat="1" ht="26.4" x14ac:dyDescent="0.3">
      <c r="A103" s="5" t="s">
        <v>314</v>
      </c>
      <c r="B103" s="5" t="s">
        <v>279</v>
      </c>
      <c r="C103" s="6" t="s">
        <v>280</v>
      </c>
      <c r="D103" s="6" t="s">
        <v>311</v>
      </c>
      <c r="E103" s="7" t="s">
        <v>312</v>
      </c>
      <c r="F103" s="5" t="s">
        <v>39</v>
      </c>
      <c r="G103" s="6" t="s">
        <v>315</v>
      </c>
      <c r="H103" s="5" t="s">
        <v>25</v>
      </c>
      <c r="I103" s="5" t="s">
        <v>154</v>
      </c>
      <c r="J103" s="8" t="str">
        <f>IFERROR(TEXT(INDEX(Sprints!$B$5:$B$8,MATCH(I103,Sprints!$A$5:$A$8,0)),"dd/mm")&amp;" – "&amp;TEXT(INDEX(Sprints!$C$5:$C$8,MATCH(I103,Sprints!$A$5:$A$8,0)),"dd/mm"),"")</f>
        <v>15/11 – 28/11</v>
      </c>
      <c r="K103" s="5"/>
      <c r="L103" s="5" t="s">
        <v>28</v>
      </c>
      <c r="M103" s="8" t="str">
        <f ca="1">IFERROR(IF(AND(L103&lt;&gt;"Done",TODAY()&gt;INDEX(Sprints!$C$5:$C$8,MATCH(I103,Sprints!$A$5:$A$8,0))),"Trễ",""),"")</f>
        <v/>
      </c>
      <c r="N103" s="9"/>
      <c r="O103" s="9"/>
      <c r="P103" s="6"/>
    </row>
    <row r="104" spans="1:16" customFormat="1" ht="26.4" x14ac:dyDescent="0.3">
      <c r="A104" s="5" t="s">
        <v>316</v>
      </c>
      <c r="B104" s="5" t="s">
        <v>279</v>
      </c>
      <c r="C104" s="6" t="s">
        <v>280</v>
      </c>
      <c r="D104" s="6" t="s">
        <v>311</v>
      </c>
      <c r="E104" s="7" t="s">
        <v>317</v>
      </c>
      <c r="F104" s="5" t="s">
        <v>23</v>
      </c>
      <c r="G104" s="6" t="s">
        <v>318</v>
      </c>
      <c r="H104" s="5" t="s">
        <v>25</v>
      </c>
      <c r="I104" s="5" t="s">
        <v>154</v>
      </c>
      <c r="J104" s="8" t="str">
        <f>IFERROR(TEXT(INDEX(Sprints!$B$5:$B$8,MATCH(I104,Sprints!$A$5:$A$8,0)),"dd/mm")&amp;" – "&amp;TEXT(INDEX(Sprints!$C$5:$C$8,MATCH(I104,Sprints!$A$5:$A$8,0)),"dd/mm"),"")</f>
        <v>15/11 – 28/11</v>
      </c>
      <c r="K104" s="5"/>
      <c r="L104" s="5" t="s">
        <v>28</v>
      </c>
      <c r="M104" s="8" t="str">
        <f ca="1">IFERROR(IF(AND(L104&lt;&gt;"Done",TODAY()&gt;INDEX(Sprints!$C$5:$C$8,MATCH(I104,Sprints!$A$5:$A$8,0))),"Trễ",""),"")</f>
        <v/>
      </c>
      <c r="N104" s="9"/>
      <c r="O104" s="9"/>
      <c r="P104" s="6"/>
    </row>
    <row r="105" spans="1:16" customFormat="1" ht="26.4" x14ac:dyDescent="0.3">
      <c r="A105" s="5" t="s">
        <v>319</v>
      </c>
      <c r="B105" s="5" t="s">
        <v>279</v>
      </c>
      <c r="C105" s="6" t="s">
        <v>280</v>
      </c>
      <c r="D105" s="6" t="s">
        <v>311</v>
      </c>
      <c r="E105" s="7" t="s">
        <v>317</v>
      </c>
      <c r="F105" s="5" t="s">
        <v>39</v>
      </c>
      <c r="G105" s="6" t="s">
        <v>320</v>
      </c>
      <c r="H105" s="5" t="s">
        <v>25</v>
      </c>
      <c r="I105" s="5" t="s">
        <v>154</v>
      </c>
      <c r="J105" s="8" t="str">
        <f>IFERROR(TEXT(INDEX(Sprints!$B$5:$B$8,MATCH(I105,Sprints!$A$5:$A$8,0)),"dd/mm")&amp;" – "&amp;TEXT(INDEX(Sprints!$C$5:$C$8,MATCH(I105,Sprints!$A$5:$A$8,0)),"dd/mm"),"")</f>
        <v>15/11 – 28/11</v>
      </c>
      <c r="K105" s="5"/>
      <c r="L105" s="5" t="s">
        <v>28</v>
      </c>
      <c r="M105" s="8" t="str">
        <f ca="1">IFERROR(IF(AND(L105&lt;&gt;"Done",TODAY()&gt;INDEX(Sprints!$C$5:$C$8,MATCH(I105,Sprints!$A$5:$A$8,0))),"Trễ",""),"")</f>
        <v/>
      </c>
      <c r="N105" s="9"/>
      <c r="O105" s="9"/>
      <c r="P105" s="6"/>
    </row>
    <row r="106" spans="1:16" customFormat="1" ht="26.4" x14ac:dyDescent="0.3">
      <c r="A106" s="5" t="s">
        <v>321</v>
      </c>
      <c r="B106" s="5" t="s">
        <v>279</v>
      </c>
      <c r="C106" s="6" t="s">
        <v>280</v>
      </c>
      <c r="D106" s="6" t="s">
        <v>311</v>
      </c>
      <c r="E106" s="7" t="s">
        <v>322</v>
      </c>
      <c r="F106" s="5" t="s">
        <v>23</v>
      </c>
      <c r="G106" s="6" t="s">
        <v>323</v>
      </c>
      <c r="H106" s="5" t="s">
        <v>108</v>
      </c>
      <c r="I106" s="5" t="s">
        <v>154</v>
      </c>
      <c r="J106" s="8" t="str">
        <f>IFERROR(TEXT(INDEX(Sprints!$B$5:$B$8,MATCH(I106,Sprints!$A$5:$A$8,0)),"dd/mm")&amp;" – "&amp;TEXT(INDEX(Sprints!$C$5:$C$8,MATCH(I106,Sprints!$A$5:$A$8,0)),"dd/mm"),"")</f>
        <v>15/11 – 28/11</v>
      </c>
      <c r="K106" s="5"/>
      <c r="L106" s="5" t="s">
        <v>28</v>
      </c>
      <c r="M106" s="8" t="str">
        <f ca="1">IFERROR(IF(AND(L106&lt;&gt;"Done",TODAY()&gt;INDEX(Sprints!$C$5:$C$8,MATCH(I106,Sprints!$A$5:$A$8,0))),"Trễ",""),"")</f>
        <v/>
      </c>
      <c r="N106" s="9"/>
      <c r="O106" s="9"/>
      <c r="P106" s="6" t="s">
        <v>324</v>
      </c>
    </row>
    <row r="107" spans="1:16" customFormat="1" ht="26.4" x14ac:dyDescent="0.3">
      <c r="A107" s="5" t="s">
        <v>325</v>
      </c>
      <c r="B107" s="5" t="s">
        <v>279</v>
      </c>
      <c r="C107" s="6" t="s">
        <v>280</v>
      </c>
      <c r="D107" s="6" t="s">
        <v>311</v>
      </c>
      <c r="E107" s="7" t="s">
        <v>322</v>
      </c>
      <c r="F107" s="5" t="s">
        <v>30</v>
      </c>
      <c r="G107" s="6" t="s">
        <v>326</v>
      </c>
      <c r="H107" s="5" t="s">
        <v>108</v>
      </c>
      <c r="I107" s="5" t="s">
        <v>154</v>
      </c>
      <c r="J107" s="8" t="str">
        <f>IFERROR(TEXT(INDEX(Sprints!$B$5:$B$8,MATCH(I107,Sprints!$A$5:$A$8,0)),"dd/mm")&amp;" – "&amp;TEXT(INDEX(Sprints!$C$5:$C$8,MATCH(I107,Sprints!$A$5:$A$8,0)),"dd/mm"),"")</f>
        <v>15/11 – 28/11</v>
      </c>
      <c r="K107" s="5"/>
      <c r="L107" s="5" t="s">
        <v>28</v>
      </c>
      <c r="M107" s="8" t="str">
        <f ca="1">IFERROR(IF(AND(L107&lt;&gt;"Done",TODAY()&gt;INDEX(Sprints!$C$5:$C$8,MATCH(I107,Sprints!$A$5:$A$8,0))),"Trễ",""),"")</f>
        <v/>
      </c>
      <c r="N107" s="9"/>
      <c r="O107" s="9"/>
      <c r="P107" s="6" t="s">
        <v>324</v>
      </c>
    </row>
    <row r="108" spans="1:16" customFormat="1" ht="26.4" x14ac:dyDescent="0.3">
      <c r="A108" s="54" t="s">
        <v>327</v>
      </c>
      <c r="B108" s="54" t="s">
        <v>279</v>
      </c>
      <c r="C108" s="55" t="s">
        <v>280</v>
      </c>
      <c r="D108" s="55" t="s">
        <v>311</v>
      </c>
      <c r="E108" s="56" t="s">
        <v>322</v>
      </c>
      <c r="F108" s="54" t="s">
        <v>39</v>
      </c>
      <c r="G108" s="55" t="s">
        <v>328</v>
      </c>
      <c r="H108" s="54" t="s">
        <v>108</v>
      </c>
      <c r="I108" s="54" t="s">
        <v>154</v>
      </c>
      <c r="J108" s="57" t="str">
        <f>IFERROR(TEXT(INDEX(Sprints!$B$5:$B$8,MATCH(I108,Sprints!$A$5:$A$8,0)),"dd/mm")&amp;" – "&amp;TEXT(INDEX(Sprints!$C$5:$C$8,MATCH(I108,Sprints!$A$5:$A$8,0)),"dd/mm"),"")</f>
        <v>15/11 – 28/11</v>
      </c>
      <c r="K108" s="54"/>
      <c r="L108" s="54" t="s">
        <v>28</v>
      </c>
      <c r="M108" s="57" t="str">
        <f ca="1">IFERROR(IF(AND(L108&lt;&gt;"Done",TODAY()&gt;INDEX(Sprints!$C$5:$C$8,MATCH(I108,Sprints!$A$5:$A$8,0))),"Trễ",""),"")</f>
        <v/>
      </c>
      <c r="N108" s="58"/>
      <c r="O108" s="58"/>
      <c r="P108" s="55" t="s">
        <v>324</v>
      </c>
    </row>
    <row r="109" spans="1:16" customFormat="1" ht="26.4" x14ac:dyDescent="0.3">
      <c r="A109" s="45" t="s">
        <v>329</v>
      </c>
      <c r="B109" s="45" t="s">
        <v>330</v>
      </c>
      <c r="C109" s="46" t="s">
        <v>331</v>
      </c>
      <c r="D109" s="46" t="s">
        <v>332</v>
      </c>
      <c r="E109" s="47" t="s">
        <v>333</v>
      </c>
      <c r="F109" s="45" t="s">
        <v>23</v>
      </c>
      <c r="G109" s="46" t="s">
        <v>334</v>
      </c>
      <c r="H109" s="45" t="s">
        <v>25</v>
      </c>
      <c r="I109" s="45" t="s">
        <v>102</v>
      </c>
      <c r="J109" s="43" t="str">
        <f>IFERROR(TEXT(INDEX(Sprints!$B$5:$B$8,MATCH(I109,Sprints!$A$5:$A$8,0)),"dd/mm")&amp;" – "&amp;TEXT(INDEX(Sprints!$C$5:$C$8,MATCH(I109,Sprints!$A$5:$A$8,0)),"dd/mm"),"")</f>
        <v>01/11 – 14/11</v>
      </c>
      <c r="K109" s="45" t="s">
        <v>27</v>
      </c>
      <c r="L109" s="45" t="s">
        <v>28</v>
      </c>
      <c r="M109" s="43" t="str">
        <f ca="1">IFERROR(IF(AND(L109&lt;&gt;"Done",TODAY()&gt;INDEX(Sprints!$C$5:$C$8,MATCH(I109,Sprints!$A$5:$A$8,0))),"Trễ",""),"")</f>
        <v/>
      </c>
      <c r="N109" s="48"/>
      <c r="O109" s="48"/>
      <c r="P109" s="46"/>
    </row>
    <row r="110" spans="1:16" customFormat="1" ht="26.4" x14ac:dyDescent="0.3">
      <c r="A110" s="45" t="s">
        <v>335</v>
      </c>
      <c r="B110" s="45" t="s">
        <v>330</v>
      </c>
      <c r="C110" s="46" t="s">
        <v>331</v>
      </c>
      <c r="D110" s="46" t="s">
        <v>332</v>
      </c>
      <c r="E110" s="47" t="s">
        <v>333</v>
      </c>
      <c r="F110" s="45" t="s">
        <v>30</v>
      </c>
      <c r="G110" s="46" t="s">
        <v>336</v>
      </c>
      <c r="H110" s="45" t="s">
        <v>25</v>
      </c>
      <c r="I110" s="50" t="s">
        <v>102</v>
      </c>
      <c r="J110" s="43" t="str">
        <f>IFERROR(TEXT(INDEX(Sprints!$B$5:$B$8,MATCH(I110,Sprints!$A$5:$A$8,0)),"dd/mm")&amp;" – "&amp;TEXT(INDEX(Sprints!$C$5:$C$8,MATCH(I110,Sprints!$A$5:$A$8,0)),"dd/mm"),"")</f>
        <v>01/11 – 14/11</v>
      </c>
      <c r="K110" s="45" t="s">
        <v>41</v>
      </c>
      <c r="L110" s="45" t="s">
        <v>28</v>
      </c>
      <c r="M110" s="43" t="str">
        <f ca="1">IFERROR(IF(AND(L110&lt;&gt;"Done",TODAY()&gt;INDEX(Sprints!$C$5:$C$8,MATCH(I110,Sprints!$A$5:$A$8,0))),"Trễ",""),"")</f>
        <v/>
      </c>
      <c r="N110" s="48"/>
      <c r="O110" s="48"/>
      <c r="P110" s="46"/>
    </row>
    <row r="111" spans="1:16" customFormat="1" ht="26.4" x14ac:dyDescent="0.3">
      <c r="A111" s="45" t="s">
        <v>337</v>
      </c>
      <c r="B111" s="45" t="s">
        <v>330</v>
      </c>
      <c r="C111" s="46" t="s">
        <v>331</v>
      </c>
      <c r="D111" s="46" t="s">
        <v>332</v>
      </c>
      <c r="E111" s="47" t="s">
        <v>333</v>
      </c>
      <c r="F111" s="45" t="s">
        <v>39</v>
      </c>
      <c r="G111" s="46" t="s">
        <v>338</v>
      </c>
      <c r="H111" s="45" t="s">
        <v>25</v>
      </c>
      <c r="I111" s="50" t="s">
        <v>102</v>
      </c>
      <c r="J111" s="43" t="str">
        <f>IFERROR(TEXT(INDEX(Sprints!$B$5:$B$8,MATCH(I111,Sprints!$A$5:$A$8,0)),"dd/mm")&amp;" – "&amp;TEXT(INDEX(Sprints!$C$5:$C$8,MATCH(I111,Sprints!$A$5:$A$8,0)),"dd/mm"),"")</f>
        <v>01/11 – 14/11</v>
      </c>
      <c r="K111" s="45" t="s">
        <v>41</v>
      </c>
      <c r="L111" s="45" t="s">
        <v>28</v>
      </c>
      <c r="M111" s="43" t="str">
        <f ca="1">IFERROR(IF(AND(L111&lt;&gt;"Done",TODAY()&gt;INDEX(Sprints!$C$5:$C$8,MATCH(I111,Sprints!$A$5:$A$8,0))),"Trễ",""),"")</f>
        <v/>
      </c>
      <c r="N111" s="48"/>
      <c r="O111" s="48"/>
      <c r="P111" s="46"/>
    </row>
    <row r="112" spans="1:16" customFormat="1" ht="26.4" x14ac:dyDescent="0.3">
      <c r="A112" s="68" t="s">
        <v>339</v>
      </c>
      <c r="B112" s="68" t="s">
        <v>330</v>
      </c>
      <c r="C112" s="69" t="s">
        <v>331</v>
      </c>
      <c r="D112" s="69" t="s">
        <v>340</v>
      </c>
      <c r="E112" s="70" t="s">
        <v>341</v>
      </c>
      <c r="F112" s="68" t="s">
        <v>23</v>
      </c>
      <c r="G112" s="69" t="s">
        <v>342</v>
      </c>
      <c r="H112" s="68" t="s">
        <v>25</v>
      </c>
      <c r="I112" s="68" t="s">
        <v>154</v>
      </c>
      <c r="J112" s="66" t="str">
        <f>IFERROR(TEXT(INDEX(Sprints!$B$5:$B$8,MATCH(I112,Sprints!$A$5:$A$8,0)),"dd/mm")&amp;" – "&amp;TEXT(INDEX(Sprints!$C$5:$C$8,MATCH(I112,Sprints!$A$5:$A$8,0)),"dd/mm"),"")</f>
        <v>15/11 – 28/11</v>
      </c>
      <c r="K112" s="68"/>
      <c r="L112" s="68" t="s">
        <v>28</v>
      </c>
      <c r="M112" s="66" t="str">
        <f ca="1">IFERROR(IF(AND(L112&lt;&gt;"Done",TODAY()&gt;INDEX(Sprints!$C$5:$C$8,MATCH(I112,Sprints!$A$5:$A$8,0))),"Trễ",""),"")</f>
        <v/>
      </c>
      <c r="N112" s="71"/>
      <c r="O112" s="71"/>
      <c r="P112" s="69" t="s">
        <v>343</v>
      </c>
    </row>
    <row r="113" spans="1:16" customFormat="1" ht="26.4" x14ac:dyDescent="0.3">
      <c r="A113" s="10" t="s">
        <v>344</v>
      </c>
      <c r="B113" s="10" t="s">
        <v>330</v>
      </c>
      <c r="C113" s="11" t="s">
        <v>331</v>
      </c>
      <c r="D113" s="11" t="s">
        <v>340</v>
      </c>
      <c r="E113" s="12" t="s">
        <v>341</v>
      </c>
      <c r="F113" s="10" t="s">
        <v>30</v>
      </c>
      <c r="G113" s="11" t="s">
        <v>345</v>
      </c>
      <c r="H113" s="10" t="s">
        <v>25</v>
      </c>
      <c r="I113" s="10" t="s">
        <v>154</v>
      </c>
      <c r="J113" s="8" t="str">
        <f>IFERROR(TEXT(INDEX(Sprints!$B$5:$B$8,MATCH(I113,Sprints!$A$5:$A$8,0)),"dd/mm")&amp;" – "&amp;TEXT(INDEX(Sprints!$C$5:$C$8,MATCH(I113,Sprints!$A$5:$A$8,0)),"dd/mm"),"")</f>
        <v>15/11 – 28/11</v>
      </c>
      <c r="K113" s="10"/>
      <c r="L113" s="10" t="s">
        <v>28</v>
      </c>
      <c r="M113" s="8" t="str">
        <f ca="1">IFERROR(IF(AND(L113&lt;&gt;"Done",TODAY()&gt;INDEX(Sprints!$C$5:$C$8,MATCH(I113,Sprints!$A$5:$A$8,0))),"Trễ",""),"")</f>
        <v/>
      </c>
      <c r="N113" s="13"/>
      <c r="O113" s="13"/>
      <c r="P113" s="11" t="s">
        <v>343</v>
      </c>
    </row>
    <row r="114" spans="1:16" customFormat="1" ht="26.4" x14ac:dyDescent="0.3">
      <c r="A114" s="10" t="s">
        <v>346</v>
      </c>
      <c r="B114" s="10" t="s">
        <v>330</v>
      </c>
      <c r="C114" s="11" t="s">
        <v>331</v>
      </c>
      <c r="D114" s="11" t="s">
        <v>340</v>
      </c>
      <c r="E114" s="12" t="s">
        <v>347</v>
      </c>
      <c r="F114" s="10" t="s">
        <v>23</v>
      </c>
      <c r="G114" s="11" t="s">
        <v>348</v>
      </c>
      <c r="H114" s="10" t="s">
        <v>25</v>
      </c>
      <c r="I114" s="10" t="s">
        <v>154</v>
      </c>
      <c r="J114" s="8" t="str">
        <f>IFERROR(TEXT(INDEX(Sprints!$B$5:$B$8,MATCH(I114,Sprints!$A$5:$A$8,0)),"dd/mm")&amp;" – "&amp;TEXT(INDEX(Sprints!$C$5:$C$8,MATCH(I114,Sprints!$A$5:$A$8,0)),"dd/mm"),"")</f>
        <v>15/11 – 28/11</v>
      </c>
      <c r="K114" s="10"/>
      <c r="L114" s="10" t="s">
        <v>28</v>
      </c>
      <c r="M114" s="8" t="str">
        <f ca="1">IFERROR(IF(AND(L114&lt;&gt;"Done",TODAY()&gt;INDEX(Sprints!$C$5:$C$8,MATCH(I114,Sprints!$A$5:$A$8,0))),"Trễ",""),"")</f>
        <v/>
      </c>
      <c r="N114" s="13"/>
      <c r="O114" s="13"/>
      <c r="P114" s="11" t="s">
        <v>349</v>
      </c>
    </row>
    <row r="115" spans="1:16" customFormat="1" ht="26.4" x14ac:dyDescent="0.3">
      <c r="A115" s="10" t="s">
        <v>350</v>
      </c>
      <c r="B115" s="10" t="s">
        <v>330</v>
      </c>
      <c r="C115" s="11" t="s">
        <v>331</v>
      </c>
      <c r="D115" s="11" t="s">
        <v>340</v>
      </c>
      <c r="E115" s="12" t="s">
        <v>347</v>
      </c>
      <c r="F115" s="10" t="s">
        <v>30</v>
      </c>
      <c r="G115" s="11" t="s">
        <v>351</v>
      </c>
      <c r="H115" s="10" t="s">
        <v>25</v>
      </c>
      <c r="I115" s="10" t="s">
        <v>154</v>
      </c>
      <c r="J115" s="8" t="str">
        <f>IFERROR(TEXT(INDEX(Sprints!$B$5:$B$8,MATCH(I115,Sprints!$A$5:$A$8,0)),"dd/mm")&amp;" – "&amp;TEXT(INDEX(Sprints!$C$5:$C$8,MATCH(I115,Sprints!$A$5:$A$8,0)),"dd/mm"),"")</f>
        <v>15/11 – 28/11</v>
      </c>
      <c r="K115" s="10"/>
      <c r="L115" s="10" t="s">
        <v>28</v>
      </c>
      <c r="M115" s="8" t="str">
        <f ca="1">IFERROR(IF(AND(L115&lt;&gt;"Done",TODAY()&gt;INDEX(Sprints!$C$5:$C$8,MATCH(I115,Sprints!$A$5:$A$8,0))),"Trễ",""),"")</f>
        <v/>
      </c>
      <c r="N115" s="13"/>
      <c r="O115" s="13"/>
      <c r="P115" s="11" t="s">
        <v>349</v>
      </c>
    </row>
    <row r="116" spans="1:16" customFormat="1" ht="26.4" x14ac:dyDescent="0.3">
      <c r="A116" s="10" t="s">
        <v>352</v>
      </c>
      <c r="B116" s="10" t="s">
        <v>330</v>
      </c>
      <c r="C116" s="11" t="s">
        <v>331</v>
      </c>
      <c r="D116" s="11" t="s">
        <v>340</v>
      </c>
      <c r="E116" s="12" t="s">
        <v>353</v>
      </c>
      <c r="F116" s="10" t="s">
        <v>23</v>
      </c>
      <c r="G116" s="11" t="s">
        <v>354</v>
      </c>
      <c r="H116" s="10" t="s">
        <v>108</v>
      </c>
      <c r="I116" s="10" t="s">
        <v>154</v>
      </c>
      <c r="J116" s="8" t="str">
        <f>IFERROR(TEXT(INDEX(Sprints!$B$5:$B$8,MATCH(I116,Sprints!$A$5:$A$8,0)),"dd/mm")&amp;" – "&amp;TEXT(INDEX(Sprints!$C$5:$C$8,MATCH(I116,Sprints!$A$5:$A$8,0)),"dd/mm"),"")</f>
        <v>15/11 – 28/11</v>
      </c>
      <c r="K116" s="10"/>
      <c r="L116" s="10" t="s">
        <v>28</v>
      </c>
      <c r="M116" s="8" t="str">
        <f ca="1">IFERROR(IF(AND(L116&lt;&gt;"Done",TODAY()&gt;INDEX(Sprints!$C$5:$C$8,MATCH(I116,Sprints!$A$5:$A$8,0))),"Trễ",""),"")</f>
        <v/>
      </c>
      <c r="N116" s="13"/>
      <c r="O116" s="13"/>
      <c r="P116" s="11"/>
    </row>
    <row r="117" spans="1:16" customFormat="1" ht="26.4" x14ac:dyDescent="0.3">
      <c r="A117" s="10" t="s">
        <v>355</v>
      </c>
      <c r="B117" s="10" t="s">
        <v>330</v>
      </c>
      <c r="C117" s="11" t="s">
        <v>331</v>
      </c>
      <c r="D117" s="11" t="s">
        <v>340</v>
      </c>
      <c r="E117" s="12" t="s">
        <v>356</v>
      </c>
      <c r="F117" s="10" t="s">
        <v>23</v>
      </c>
      <c r="G117" s="11" t="s">
        <v>357</v>
      </c>
      <c r="H117" s="10" t="s">
        <v>108</v>
      </c>
      <c r="I117" s="10" t="s">
        <v>154</v>
      </c>
      <c r="J117" s="8" t="str">
        <f>IFERROR(TEXT(INDEX(Sprints!$B$5:$B$8,MATCH(I117,Sprints!$A$5:$A$8,0)),"dd/mm")&amp;" – "&amp;TEXT(INDEX(Sprints!$C$5:$C$8,MATCH(I117,Sprints!$A$5:$A$8,0)),"dd/mm"),"")</f>
        <v>15/11 – 28/11</v>
      </c>
      <c r="K117" s="10"/>
      <c r="L117" s="10" t="s">
        <v>28</v>
      </c>
      <c r="M117" s="8" t="str">
        <f ca="1">IFERROR(IF(AND(L117&lt;&gt;"Done",TODAY()&gt;INDEX(Sprints!$C$5:$C$8,MATCH(I117,Sprints!$A$5:$A$8,0))),"Trễ",""),"")</f>
        <v/>
      </c>
      <c r="N117" s="13"/>
      <c r="O117" s="13"/>
      <c r="P117" s="11"/>
    </row>
    <row r="118" spans="1:16" customFormat="1" ht="26.4" x14ac:dyDescent="0.3">
      <c r="A118" s="10" t="s">
        <v>358</v>
      </c>
      <c r="B118" s="10" t="s">
        <v>330</v>
      </c>
      <c r="C118" s="11" t="s">
        <v>331</v>
      </c>
      <c r="D118" s="11" t="s">
        <v>340</v>
      </c>
      <c r="E118" s="12" t="s">
        <v>356</v>
      </c>
      <c r="F118" s="10" t="s">
        <v>39</v>
      </c>
      <c r="G118" s="11" t="s">
        <v>359</v>
      </c>
      <c r="H118" s="10" t="s">
        <v>108</v>
      </c>
      <c r="I118" s="10" t="s">
        <v>154</v>
      </c>
      <c r="J118" s="8" t="str">
        <f>IFERROR(TEXT(INDEX(Sprints!$B$5:$B$8,MATCH(I118,Sprints!$A$5:$A$8,0)),"dd/mm")&amp;" – "&amp;TEXT(INDEX(Sprints!$C$5:$C$8,MATCH(I118,Sprints!$A$5:$A$8,0)),"dd/mm"),"")</f>
        <v>15/11 – 28/11</v>
      </c>
      <c r="K118" s="10"/>
      <c r="L118" s="10" t="s">
        <v>28</v>
      </c>
      <c r="M118" s="8" t="str">
        <f ca="1">IFERROR(IF(AND(L118&lt;&gt;"Done",TODAY()&gt;INDEX(Sprints!$C$5:$C$8,MATCH(I118,Sprints!$A$5:$A$8,0))),"Trễ",""),"")</f>
        <v/>
      </c>
      <c r="N118" s="13"/>
      <c r="O118" s="13"/>
      <c r="P118" s="11"/>
    </row>
    <row r="119" spans="1:16" customFormat="1" ht="26.4" x14ac:dyDescent="0.3">
      <c r="A119" s="10" t="s">
        <v>360</v>
      </c>
      <c r="B119" s="10" t="s">
        <v>330</v>
      </c>
      <c r="C119" s="11" t="s">
        <v>331</v>
      </c>
      <c r="D119" s="11" t="s">
        <v>340</v>
      </c>
      <c r="E119" s="12" t="s">
        <v>361</v>
      </c>
      <c r="F119" s="10" t="s">
        <v>23</v>
      </c>
      <c r="G119" s="11" t="s">
        <v>362</v>
      </c>
      <c r="H119" s="10" t="s">
        <v>108</v>
      </c>
      <c r="I119" s="10" t="s">
        <v>154</v>
      </c>
      <c r="J119" s="8" t="str">
        <f>IFERROR(TEXT(INDEX(Sprints!$B$5:$B$8,MATCH(I119,Sprints!$A$5:$A$8,0)),"dd/mm")&amp;" – "&amp;TEXT(INDEX(Sprints!$C$5:$C$8,MATCH(I119,Sprints!$A$5:$A$8,0)),"dd/mm"),"")</f>
        <v>15/11 – 28/11</v>
      </c>
      <c r="K119" s="10"/>
      <c r="L119" s="10" t="s">
        <v>28</v>
      </c>
      <c r="M119" s="8" t="str">
        <f ca="1">IFERROR(IF(AND(L119&lt;&gt;"Done",TODAY()&gt;INDEX(Sprints!$C$5:$C$8,MATCH(I119,Sprints!$A$5:$A$8,0))),"Trễ",""),"")</f>
        <v/>
      </c>
      <c r="N119" s="13"/>
      <c r="O119" s="13"/>
      <c r="P119" s="11"/>
    </row>
    <row r="120" spans="1:16" customFormat="1" ht="26.4" x14ac:dyDescent="0.3">
      <c r="A120" s="10" t="s">
        <v>363</v>
      </c>
      <c r="B120" s="10" t="s">
        <v>330</v>
      </c>
      <c r="C120" s="11" t="s">
        <v>331</v>
      </c>
      <c r="D120" s="11" t="s">
        <v>340</v>
      </c>
      <c r="E120" s="12" t="s">
        <v>361</v>
      </c>
      <c r="F120" s="10" t="s">
        <v>39</v>
      </c>
      <c r="G120" s="11" t="s">
        <v>364</v>
      </c>
      <c r="H120" s="10" t="s">
        <v>108</v>
      </c>
      <c r="I120" s="10" t="s">
        <v>154</v>
      </c>
      <c r="J120" s="8" t="str">
        <f>IFERROR(TEXT(INDEX(Sprints!$B$5:$B$8,MATCH(I120,Sprints!$A$5:$A$8,0)),"dd/mm")&amp;" – "&amp;TEXT(INDEX(Sprints!$C$5:$C$8,MATCH(I120,Sprints!$A$5:$A$8,0)),"dd/mm"),"")</f>
        <v>15/11 – 28/11</v>
      </c>
      <c r="K120" s="10"/>
      <c r="L120" s="10" t="s">
        <v>28</v>
      </c>
      <c r="M120" s="8" t="str">
        <f ca="1">IFERROR(IF(AND(L120&lt;&gt;"Done",TODAY()&gt;INDEX(Sprints!$C$5:$C$8,MATCH(I120,Sprints!$A$5:$A$8,0))),"Trễ",""),"")</f>
        <v/>
      </c>
      <c r="N120" s="13"/>
      <c r="O120" s="13"/>
      <c r="P120" s="11"/>
    </row>
    <row r="121" spans="1:16" customFormat="1" ht="26.4" x14ac:dyDescent="0.3">
      <c r="A121" s="5" t="s">
        <v>365</v>
      </c>
      <c r="B121" s="5" t="s">
        <v>366</v>
      </c>
      <c r="C121" s="6" t="s">
        <v>367</v>
      </c>
      <c r="D121" s="6" t="s">
        <v>368</v>
      </c>
      <c r="E121" s="7" t="s">
        <v>369</v>
      </c>
      <c r="F121" s="5" t="s">
        <v>23</v>
      </c>
      <c r="G121" s="6" t="s">
        <v>370</v>
      </c>
      <c r="H121" s="5" t="s">
        <v>25</v>
      </c>
      <c r="I121" s="5" t="s">
        <v>154</v>
      </c>
      <c r="J121" s="8" t="str">
        <f>IFERROR(TEXT(INDEX(Sprints!$B$5:$B$8,MATCH(I121,Sprints!$A$5:$A$8,0)),"dd/mm")&amp;" – "&amp;TEXT(INDEX(Sprints!$C$5:$C$8,MATCH(I121,Sprints!$A$5:$A$8,0)),"dd/mm"),"")</f>
        <v>15/11 – 28/11</v>
      </c>
      <c r="K121" s="5"/>
      <c r="L121" s="5" t="s">
        <v>28</v>
      </c>
      <c r="M121" s="8" t="str">
        <f ca="1">IFERROR(IF(AND(L121&lt;&gt;"Done",TODAY()&gt;INDEX(Sprints!$C$5:$C$8,MATCH(I121,Sprints!$A$5:$A$8,0))),"Trễ",""),"")</f>
        <v/>
      </c>
      <c r="N121" s="9"/>
      <c r="O121" s="9"/>
      <c r="P121" s="6"/>
    </row>
    <row r="122" spans="1:16" customFormat="1" x14ac:dyDescent="0.3">
      <c r="A122" s="5" t="s">
        <v>371</v>
      </c>
      <c r="B122" s="5" t="s">
        <v>366</v>
      </c>
      <c r="C122" s="6" t="s">
        <v>367</v>
      </c>
      <c r="D122" s="6" t="s">
        <v>368</v>
      </c>
      <c r="E122" s="7" t="s">
        <v>369</v>
      </c>
      <c r="F122" s="5" t="s">
        <v>30</v>
      </c>
      <c r="G122" s="6" t="s">
        <v>372</v>
      </c>
      <c r="H122" s="5" t="s">
        <v>25</v>
      </c>
      <c r="I122" s="5" t="s">
        <v>154</v>
      </c>
      <c r="J122" s="8" t="str">
        <f>IFERROR(TEXT(INDEX(Sprints!$B$5:$B$8,MATCH(I122,Sprints!$A$5:$A$8,0)),"dd/mm")&amp;" – "&amp;TEXT(INDEX(Sprints!$C$5:$C$8,MATCH(I122,Sprints!$A$5:$A$8,0)),"dd/mm"),"")</f>
        <v>15/11 – 28/11</v>
      </c>
      <c r="K122" s="5"/>
      <c r="L122" s="5" t="s">
        <v>28</v>
      </c>
      <c r="M122" s="8" t="str">
        <f ca="1">IFERROR(IF(AND(L122&lt;&gt;"Done",TODAY()&gt;INDEX(Sprints!$C$5:$C$8,MATCH(I122,Sprints!$A$5:$A$8,0))),"Trễ",""),"")</f>
        <v/>
      </c>
      <c r="N122" s="9"/>
      <c r="O122" s="9"/>
      <c r="P122" s="6"/>
    </row>
    <row r="123" spans="1:16" customFormat="1" ht="26.4" x14ac:dyDescent="0.3">
      <c r="A123" s="5" t="s">
        <v>373</v>
      </c>
      <c r="B123" s="5" t="s">
        <v>366</v>
      </c>
      <c r="C123" s="6" t="s">
        <v>367</v>
      </c>
      <c r="D123" s="6" t="s">
        <v>368</v>
      </c>
      <c r="E123" s="7" t="s">
        <v>374</v>
      </c>
      <c r="F123" s="5" t="s">
        <v>23</v>
      </c>
      <c r="G123" s="6" t="s">
        <v>375</v>
      </c>
      <c r="H123" s="5" t="s">
        <v>25</v>
      </c>
      <c r="I123" s="5" t="s">
        <v>154</v>
      </c>
      <c r="J123" s="8" t="str">
        <f>IFERROR(TEXT(INDEX(Sprints!$B$5:$B$8,MATCH(I123,Sprints!$A$5:$A$8,0)),"dd/mm")&amp;" – "&amp;TEXT(INDEX(Sprints!$C$5:$C$8,MATCH(I123,Sprints!$A$5:$A$8,0)),"dd/mm"),"")</f>
        <v>15/11 – 28/11</v>
      </c>
      <c r="K123" s="5"/>
      <c r="L123" s="5" t="s">
        <v>28</v>
      </c>
      <c r="M123" s="8" t="str">
        <f ca="1">IFERROR(IF(AND(L123&lt;&gt;"Done",TODAY()&gt;INDEX(Sprints!$C$5:$C$8,MATCH(I123,Sprints!$A$5:$A$8,0))),"Trễ",""),"")</f>
        <v/>
      </c>
      <c r="N123" s="9"/>
      <c r="O123" s="9"/>
      <c r="P123" s="6"/>
    </row>
    <row r="124" spans="1:16" customFormat="1" x14ac:dyDescent="0.3">
      <c r="A124" s="5" t="s">
        <v>376</v>
      </c>
      <c r="B124" s="5" t="s">
        <v>366</v>
      </c>
      <c r="C124" s="6" t="s">
        <v>367</v>
      </c>
      <c r="D124" s="6" t="s">
        <v>368</v>
      </c>
      <c r="E124" s="7" t="s">
        <v>377</v>
      </c>
      <c r="F124" s="5" t="s">
        <v>23</v>
      </c>
      <c r="G124" s="6" t="s">
        <v>378</v>
      </c>
      <c r="H124" s="5" t="s">
        <v>25</v>
      </c>
      <c r="I124" s="5" t="s">
        <v>154</v>
      </c>
      <c r="J124" s="8" t="str">
        <f>IFERROR(TEXT(INDEX(Sprints!$B$5:$B$8,MATCH(I124,Sprints!$A$5:$A$8,0)),"dd/mm")&amp;" – "&amp;TEXT(INDEX(Sprints!$C$5:$C$8,MATCH(I124,Sprints!$A$5:$A$8,0)),"dd/mm"),"")</f>
        <v>15/11 – 28/11</v>
      </c>
      <c r="K124" s="5"/>
      <c r="L124" s="5" t="s">
        <v>28</v>
      </c>
      <c r="M124" s="8" t="str">
        <f ca="1">IFERROR(IF(AND(L124&lt;&gt;"Done",TODAY()&gt;INDEX(Sprints!$C$5:$C$8,MATCH(I124,Sprints!$A$5:$A$8,0))),"Trễ",""),"")</f>
        <v/>
      </c>
      <c r="N124" s="9"/>
      <c r="O124" s="9"/>
      <c r="P124" s="6"/>
    </row>
    <row r="125" spans="1:16" customFormat="1" x14ac:dyDescent="0.3">
      <c r="A125" s="5" t="s">
        <v>379</v>
      </c>
      <c r="B125" s="5" t="s">
        <v>366</v>
      </c>
      <c r="C125" s="6" t="s">
        <v>367</v>
      </c>
      <c r="D125" s="6" t="s">
        <v>368</v>
      </c>
      <c r="E125" s="7" t="s">
        <v>377</v>
      </c>
      <c r="F125" s="5" t="s">
        <v>30</v>
      </c>
      <c r="G125" s="6" t="s">
        <v>380</v>
      </c>
      <c r="H125" s="5" t="s">
        <v>25</v>
      </c>
      <c r="I125" s="5" t="s">
        <v>154</v>
      </c>
      <c r="J125" s="8" t="str">
        <f>IFERROR(TEXT(INDEX(Sprints!$B$5:$B$8,MATCH(I125,Sprints!$A$5:$A$8,0)),"dd/mm")&amp;" – "&amp;TEXT(INDEX(Sprints!$C$5:$C$8,MATCH(I125,Sprints!$A$5:$A$8,0)),"dd/mm"),"")</f>
        <v>15/11 – 28/11</v>
      </c>
      <c r="K125" s="5"/>
      <c r="L125" s="5" t="s">
        <v>28</v>
      </c>
      <c r="M125" s="8" t="str">
        <f ca="1">IFERROR(IF(AND(L125&lt;&gt;"Done",TODAY()&gt;INDEX(Sprints!$C$5:$C$8,MATCH(I125,Sprints!$A$5:$A$8,0))),"Trễ",""),"")</f>
        <v/>
      </c>
      <c r="N125" s="9"/>
      <c r="O125" s="9"/>
      <c r="P125" s="6"/>
    </row>
    <row r="126" spans="1:16" customFormat="1" x14ac:dyDescent="0.3">
      <c r="A126" s="5" t="s">
        <v>381</v>
      </c>
      <c r="B126" s="5" t="s">
        <v>366</v>
      </c>
      <c r="C126" s="6" t="s">
        <v>367</v>
      </c>
      <c r="D126" s="6" t="s">
        <v>368</v>
      </c>
      <c r="E126" s="7" t="s">
        <v>377</v>
      </c>
      <c r="F126" s="5" t="s">
        <v>39</v>
      </c>
      <c r="G126" s="6" t="s">
        <v>382</v>
      </c>
      <c r="H126" s="5" t="s">
        <v>25</v>
      </c>
      <c r="I126" s="5" t="s">
        <v>154</v>
      </c>
      <c r="J126" s="8" t="str">
        <f>IFERROR(TEXT(INDEX(Sprints!$B$5:$B$8,MATCH(I126,Sprints!$A$5:$A$8,0)),"dd/mm")&amp;" – "&amp;TEXT(INDEX(Sprints!$C$5:$C$8,MATCH(I126,Sprints!$A$5:$A$8,0)),"dd/mm"),"")</f>
        <v>15/11 – 28/11</v>
      </c>
      <c r="K126" s="5"/>
      <c r="L126" s="5" t="s">
        <v>28</v>
      </c>
      <c r="M126" s="8" t="str">
        <f ca="1">IFERROR(IF(AND(L126&lt;&gt;"Done",TODAY()&gt;INDEX(Sprints!$C$5:$C$8,MATCH(I126,Sprints!$A$5:$A$8,0))),"Trễ",""),"")</f>
        <v/>
      </c>
      <c r="N126" s="9"/>
      <c r="O126" s="9"/>
      <c r="P126" s="6"/>
    </row>
    <row r="127" spans="1:16" customFormat="1" x14ac:dyDescent="0.3">
      <c r="A127" s="5" t="s">
        <v>383</v>
      </c>
      <c r="B127" s="5" t="s">
        <v>366</v>
      </c>
      <c r="C127" s="6" t="s">
        <v>367</v>
      </c>
      <c r="D127" s="6" t="s">
        <v>384</v>
      </c>
      <c r="E127" s="7" t="s">
        <v>385</v>
      </c>
      <c r="F127" s="5" t="s">
        <v>23</v>
      </c>
      <c r="G127" s="6" t="s">
        <v>386</v>
      </c>
      <c r="H127" s="5" t="s">
        <v>25</v>
      </c>
      <c r="I127" s="5" t="s">
        <v>154</v>
      </c>
      <c r="J127" s="8" t="str">
        <f>IFERROR(TEXT(INDEX(Sprints!$B$5:$B$8,MATCH(I127,Sprints!$A$5:$A$8,0)),"dd/mm")&amp;" – "&amp;TEXT(INDEX(Sprints!$C$5:$C$8,MATCH(I127,Sprints!$A$5:$A$8,0)),"dd/mm"),"")</f>
        <v>15/11 – 28/11</v>
      </c>
      <c r="K127" s="5"/>
      <c r="L127" s="5" t="s">
        <v>28</v>
      </c>
      <c r="M127" s="8" t="str">
        <f ca="1">IFERROR(IF(AND(L127&lt;&gt;"Done",TODAY()&gt;INDEX(Sprints!$C$5:$C$8,MATCH(I127,Sprints!$A$5:$A$8,0))),"Trễ",""),"")</f>
        <v/>
      </c>
      <c r="N127" s="9"/>
      <c r="O127" s="9"/>
      <c r="P127" s="6"/>
    </row>
    <row r="128" spans="1:16" customFormat="1" x14ac:dyDescent="0.3">
      <c r="A128" s="5" t="s">
        <v>387</v>
      </c>
      <c r="B128" s="5" t="s">
        <v>366</v>
      </c>
      <c r="C128" s="6" t="s">
        <v>367</v>
      </c>
      <c r="D128" s="6" t="s">
        <v>384</v>
      </c>
      <c r="E128" s="7" t="s">
        <v>385</v>
      </c>
      <c r="F128" s="5" t="s">
        <v>30</v>
      </c>
      <c r="G128" s="6" t="s">
        <v>388</v>
      </c>
      <c r="H128" s="5" t="s">
        <v>25</v>
      </c>
      <c r="I128" s="5" t="s">
        <v>154</v>
      </c>
      <c r="J128" s="8" t="str">
        <f>IFERROR(TEXT(INDEX(Sprints!$B$5:$B$8,MATCH(I128,Sprints!$A$5:$A$8,0)),"dd/mm")&amp;" – "&amp;TEXT(INDEX(Sprints!$C$5:$C$8,MATCH(I128,Sprints!$A$5:$A$8,0)),"dd/mm"),"")</f>
        <v>15/11 – 28/11</v>
      </c>
      <c r="K128" s="5"/>
      <c r="L128" s="5" t="s">
        <v>28</v>
      </c>
      <c r="M128" s="8" t="str">
        <f ca="1">IFERROR(IF(AND(L128&lt;&gt;"Done",TODAY()&gt;INDEX(Sprints!$C$5:$C$8,MATCH(I128,Sprints!$A$5:$A$8,0))),"Trễ",""),"")</f>
        <v/>
      </c>
      <c r="N128" s="9"/>
      <c r="O128" s="9"/>
      <c r="P128" s="6"/>
    </row>
    <row r="129" spans="1:16" customFormat="1" x14ac:dyDescent="0.3">
      <c r="A129" s="5" t="s">
        <v>389</v>
      </c>
      <c r="B129" s="5" t="s">
        <v>366</v>
      </c>
      <c r="C129" s="6" t="s">
        <v>367</v>
      </c>
      <c r="D129" s="6" t="s">
        <v>384</v>
      </c>
      <c r="E129" s="7" t="s">
        <v>390</v>
      </c>
      <c r="F129" s="5" t="s">
        <v>23</v>
      </c>
      <c r="G129" s="6" t="s">
        <v>391</v>
      </c>
      <c r="H129" s="5" t="s">
        <v>25</v>
      </c>
      <c r="I129" s="5" t="s">
        <v>154</v>
      </c>
      <c r="J129" s="8" t="str">
        <f>IFERROR(TEXT(INDEX(Sprints!$B$5:$B$8,MATCH(I129,Sprints!$A$5:$A$8,0)),"dd/mm")&amp;" – "&amp;TEXT(INDEX(Sprints!$C$5:$C$8,MATCH(I129,Sprints!$A$5:$A$8,0)),"dd/mm"),"")</f>
        <v>15/11 – 28/11</v>
      </c>
      <c r="K129" s="5"/>
      <c r="L129" s="5" t="s">
        <v>28</v>
      </c>
      <c r="M129" s="8" t="str">
        <f ca="1">IFERROR(IF(AND(L129&lt;&gt;"Done",TODAY()&gt;INDEX(Sprints!$C$5:$C$8,MATCH(I129,Sprints!$A$5:$A$8,0))),"Trễ",""),"")</f>
        <v/>
      </c>
      <c r="N129" s="9"/>
      <c r="O129" s="9"/>
      <c r="P129" s="6"/>
    </row>
    <row r="130" spans="1:16" customFormat="1" x14ac:dyDescent="0.3">
      <c r="A130" s="5" t="s">
        <v>392</v>
      </c>
      <c r="B130" s="5" t="s">
        <v>366</v>
      </c>
      <c r="C130" s="6" t="s">
        <v>367</v>
      </c>
      <c r="D130" s="6" t="s">
        <v>384</v>
      </c>
      <c r="E130" s="7" t="s">
        <v>390</v>
      </c>
      <c r="F130" s="5" t="s">
        <v>39</v>
      </c>
      <c r="G130" s="6" t="s">
        <v>393</v>
      </c>
      <c r="H130" s="5" t="s">
        <v>25</v>
      </c>
      <c r="I130" s="5" t="s">
        <v>154</v>
      </c>
      <c r="J130" s="8" t="str">
        <f>IFERROR(TEXT(INDEX(Sprints!$B$5:$B$8,MATCH(I130,Sprints!$A$5:$A$8,0)),"dd/mm")&amp;" – "&amp;TEXT(INDEX(Sprints!$C$5:$C$8,MATCH(I130,Sprints!$A$5:$A$8,0)),"dd/mm"),"")</f>
        <v>15/11 – 28/11</v>
      </c>
      <c r="K130" s="5"/>
      <c r="L130" s="5" t="s">
        <v>28</v>
      </c>
      <c r="M130" s="8" t="str">
        <f ca="1">IFERROR(IF(AND(L130&lt;&gt;"Done",TODAY()&gt;INDEX(Sprints!$C$5:$C$8,MATCH(I130,Sprints!$A$5:$A$8,0))),"Trễ",""),"")</f>
        <v/>
      </c>
      <c r="N130" s="9"/>
      <c r="O130" s="9"/>
      <c r="P130" s="6"/>
    </row>
    <row r="131" spans="1:16" customFormat="1" x14ac:dyDescent="0.3">
      <c r="A131" s="5" t="s">
        <v>394</v>
      </c>
      <c r="B131" s="5" t="s">
        <v>366</v>
      </c>
      <c r="C131" s="6" t="s">
        <v>367</v>
      </c>
      <c r="D131" s="6" t="s">
        <v>384</v>
      </c>
      <c r="E131" s="7" t="s">
        <v>395</v>
      </c>
      <c r="F131" s="5" t="s">
        <v>23</v>
      </c>
      <c r="G131" s="6" t="s">
        <v>396</v>
      </c>
      <c r="H131" s="5" t="s">
        <v>25</v>
      </c>
      <c r="I131" s="5" t="s">
        <v>154</v>
      </c>
      <c r="J131" s="8" t="str">
        <f>IFERROR(TEXT(INDEX(Sprints!$B$5:$B$8,MATCH(I131,Sprints!$A$5:$A$8,0)),"dd/mm")&amp;" – "&amp;TEXT(INDEX(Sprints!$C$5:$C$8,MATCH(I131,Sprints!$A$5:$A$8,0)),"dd/mm"),"")</f>
        <v>15/11 – 28/11</v>
      </c>
      <c r="K131" s="5"/>
      <c r="L131" s="5" t="s">
        <v>28</v>
      </c>
      <c r="M131" s="8" t="str">
        <f ca="1">IFERROR(IF(AND(L131&lt;&gt;"Done",TODAY()&gt;INDEX(Sprints!$C$5:$C$8,MATCH(I131,Sprints!$A$5:$A$8,0))),"Trễ",""),"")</f>
        <v/>
      </c>
      <c r="N131" s="9"/>
      <c r="O131" s="9"/>
      <c r="P131" s="6"/>
    </row>
    <row r="132" spans="1:16" customFormat="1" x14ac:dyDescent="0.3">
      <c r="A132" s="5" t="s">
        <v>397</v>
      </c>
      <c r="B132" s="5" t="s">
        <v>366</v>
      </c>
      <c r="C132" s="6" t="s">
        <v>367</v>
      </c>
      <c r="D132" s="6" t="s">
        <v>384</v>
      </c>
      <c r="E132" s="7" t="s">
        <v>395</v>
      </c>
      <c r="F132" s="5" t="s">
        <v>30</v>
      </c>
      <c r="G132" s="6" t="s">
        <v>398</v>
      </c>
      <c r="H132" s="5" t="s">
        <v>25</v>
      </c>
      <c r="I132" s="5" t="s">
        <v>154</v>
      </c>
      <c r="J132" s="8" t="str">
        <f>IFERROR(TEXT(INDEX(Sprints!$B$5:$B$8,MATCH(I132,Sprints!$A$5:$A$8,0)),"dd/mm")&amp;" – "&amp;TEXT(INDEX(Sprints!$C$5:$C$8,MATCH(I132,Sprints!$A$5:$A$8,0)),"dd/mm"),"")</f>
        <v>15/11 – 28/11</v>
      </c>
      <c r="K132" s="5"/>
      <c r="L132" s="5" t="s">
        <v>28</v>
      </c>
      <c r="M132" s="8" t="str">
        <f ca="1">IFERROR(IF(AND(L132&lt;&gt;"Done",TODAY()&gt;INDEX(Sprints!$C$5:$C$8,MATCH(I132,Sprints!$A$5:$A$8,0))),"Trễ",""),"")</f>
        <v/>
      </c>
      <c r="N132" s="9"/>
      <c r="O132" s="9"/>
      <c r="P132" s="6"/>
    </row>
    <row r="133" spans="1:16" customFormat="1" ht="26.4" x14ac:dyDescent="0.3">
      <c r="A133" s="10" t="s">
        <v>399</v>
      </c>
      <c r="B133" s="10" t="s">
        <v>400</v>
      </c>
      <c r="C133" s="11" t="s">
        <v>401</v>
      </c>
      <c r="D133" s="11" t="s">
        <v>402</v>
      </c>
      <c r="E133" s="12" t="s">
        <v>403</v>
      </c>
      <c r="F133" s="10" t="s">
        <v>23</v>
      </c>
      <c r="G133" s="11" t="s">
        <v>404</v>
      </c>
      <c r="H133" s="10" t="s">
        <v>25</v>
      </c>
      <c r="I133" s="10" t="s">
        <v>154</v>
      </c>
      <c r="J133" s="8" t="str">
        <f>IFERROR(TEXT(INDEX(Sprints!$B$5:$B$8,MATCH(I133,Sprints!$A$5:$A$8,0)),"dd/mm")&amp;" – "&amp;TEXT(INDEX(Sprints!$C$5:$C$8,MATCH(I133,Sprints!$A$5:$A$8,0)),"dd/mm"),"")</f>
        <v>15/11 – 28/11</v>
      </c>
      <c r="K133" s="10"/>
      <c r="L133" s="10" t="s">
        <v>28</v>
      </c>
      <c r="M133" s="8" t="str">
        <f ca="1">IFERROR(IF(AND(L133&lt;&gt;"Done",TODAY()&gt;INDEX(Sprints!$C$5:$C$8,MATCH(I133,Sprints!$A$5:$A$8,0))),"Trễ",""),"")</f>
        <v/>
      </c>
      <c r="N133" s="13"/>
      <c r="O133" s="13"/>
      <c r="P133" s="11"/>
    </row>
    <row r="134" spans="1:16" customFormat="1" ht="26.4" x14ac:dyDescent="0.3">
      <c r="A134" s="10" t="s">
        <v>405</v>
      </c>
      <c r="B134" s="10" t="s">
        <v>400</v>
      </c>
      <c r="C134" s="11" t="s">
        <v>401</v>
      </c>
      <c r="D134" s="11" t="s">
        <v>402</v>
      </c>
      <c r="E134" s="12" t="s">
        <v>403</v>
      </c>
      <c r="F134" s="10" t="s">
        <v>30</v>
      </c>
      <c r="G134" s="11" t="s">
        <v>406</v>
      </c>
      <c r="H134" s="10" t="s">
        <v>25</v>
      </c>
      <c r="I134" s="10" t="s">
        <v>154</v>
      </c>
      <c r="J134" s="8" t="str">
        <f>IFERROR(TEXT(INDEX(Sprints!$B$5:$B$8,MATCH(I134,Sprints!$A$5:$A$8,0)),"dd/mm")&amp;" – "&amp;TEXT(INDEX(Sprints!$C$5:$C$8,MATCH(I134,Sprints!$A$5:$A$8,0)),"dd/mm"),"")</f>
        <v>15/11 – 28/11</v>
      </c>
      <c r="K134" s="10"/>
      <c r="L134" s="10" t="s">
        <v>28</v>
      </c>
      <c r="M134" s="8" t="str">
        <f ca="1">IFERROR(IF(AND(L134&lt;&gt;"Done",TODAY()&gt;INDEX(Sprints!$C$5:$C$8,MATCH(I134,Sprints!$A$5:$A$8,0))),"Trễ",""),"")</f>
        <v/>
      </c>
      <c r="N134" s="13"/>
      <c r="O134" s="13"/>
      <c r="P134" s="11"/>
    </row>
    <row r="135" spans="1:16" customFormat="1" ht="26.4" x14ac:dyDescent="0.3">
      <c r="A135" s="10" t="s">
        <v>407</v>
      </c>
      <c r="B135" s="10" t="s">
        <v>400</v>
      </c>
      <c r="C135" s="11" t="s">
        <v>401</v>
      </c>
      <c r="D135" s="11" t="s">
        <v>402</v>
      </c>
      <c r="E135" s="12" t="s">
        <v>408</v>
      </c>
      <c r="F135" s="10" t="s">
        <v>23</v>
      </c>
      <c r="G135" s="11" t="s">
        <v>409</v>
      </c>
      <c r="H135" s="10" t="s">
        <v>25</v>
      </c>
      <c r="I135" s="10" t="s">
        <v>154</v>
      </c>
      <c r="J135" s="8" t="str">
        <f>IFERROR(TEXT(INDEX(Sprints!$B$5:$B$8,MATCH(I135,Sprints!$A$5:$A$8,0)),"dd/mm")&amp;" – "&amp;TEXT(INDEX(Sprints!$C$5:$C$8,MATCH(I135,Sprints!$A$5:$A$8,0)),"dd/mm"),"")</f>
        <v>15/11 – 28/11</v>
      </c>
      <c r="K135" s="10"/>
      <c r="L135" s="10" t="s">
        <v>28</v>
      </c>
      <c r="M135" s="8" t="str">
        <f ca="1">IFERROR(IF(AND(L135&lt;&gt;"Done",TODAY()&gt;INDEX(Sprints!$C$5:$C$8,MATCH(I135,Sprints!$A$5:$A$8,0))),"Trễ",""),"")</f>
        <v/>
      </c>
      <c r="N135" s="13"/>
      <c r="O135" s="13"/>
      <c r="P135" s="11" t="s">
        <v>55</v>
      </c>
    </row>
    <row r="136" spans="1:16" customFormat="1" ht="26.4" x14ac:dyDescent="0.3">
      <c r="A136" s="10" t="s">
        <v>410</v>
      </c>
      <c r="B136" s="10" t="s">
        <v>400</v>
      </c>
      <c r="C136" s="11" t="s">
        <v>401</v>
      </c>
      <c r="D136" s="11" t="s">
        <v>402</v>
      </c>
      <c r="E136" s="12" t="s">
        <v>408</v>
      </c>
      <c r="F136" s="10" t="s">
        <v>30</v>
      </c>
      <c r="G136" s="11" t="s">
        <v>411</v>
      </c>
      <c r="H136" s="10" t="s">
        <v>25</v>
      </c>
      <c r="I136" s="10" t="s">
        <v>154</v>
      </c>
      <c r="J136" s="8" t="str">
        <f>IFERROR(TEXT(INDEX(Sprints!$B$5:$B$8,MATCH(I136,Sprints!$A$5:$A$8,0)),"dd/mm")&amp;" – "&amp;TEXT(INDEX(Sprints!$C$5:$C$8,MATCH(I136,Sprints!$A$5:$A$8,0)),"dd/mm"),"")</f>
        <v>15/11 – 28/11</v>
      </c>
      <c r="K136" s="10"/>
      <c r="L136" s="10" t="s">
        <v>28</v>
      </c>
      <c r="M136" s="8" t="str">
        <f ca="1">IFERROR(IF(AND(L136&lt;&gt;"Done",TODAY()&gt;INDEX(Sprints!$C$5:$C$8,MATCH(I136,Sprints!$A$5:$A$8,0))),"Trễ",""),"")</f>
        <v/>
      </c>
      <c r="N136" s="13"/>
      <c r="O136" s="13"/>
      <c r="P136" s="11" t="s">
        <v>55</v>
      </c>
    </row>
    <row r="137" spans="1:16" customFormat="1" ht="26.4" x14ac:dyDescent="0.3">
      <c r="A137" s="10" t="s">
        <v>412</v>
      </c>
      <c r="B137" s="10" t="s">
        <v>400</v>
      </c>
      <c r="C137" s="11" t="s">
        <v>401</v>
      </c>
      <c r="D137" s="11" t="s">
        <v>402</v>
      </c>
      <c r="E137" s="12" t="s">
        <v>413</v>
      </c>
      <c r="F137" s="10" t="s">
        <v>39</v>
      </c>
      <c r="G137" s="11" t="s">
        <v>414</v>
      </c>
      <c r="H137" s="10" t="s">
        <v>108</v>
      </c>
      <c r="I137" s="10" t="s">
        <v>154</v>
      </c>
      <c r="J137" s="8" t="str">
        <f>IFERROR(TEXT(INDEX(Sprints!$B$5:$B$8,MATCH(I137,Sprints!$A$5:$A$8,0)),"dd/mm")&amp;" – "&amp;TEXT(INDEX(Sprints!$C$5:$C$8,MATCH(I137,Sprints!$A$5:$A$8,0)),"dd/mm"),"")</f>
        <v>15/11 – 28/11</v>
      </c>
      <c r="K137" s="10"/>
      <c r="L137" s="10" t="s">
        <v>28</v>
      </c>
      <c r="M137" s="8" t="str">
        <f ca="1">IFERROR(IF(AND(L137&lt;&gt;"Done",TODAY()&gt;INDEX(Sprints!$C$5:$C$8,MATCH(I137,Sprints!$A$5:$A$8,0))),"Trễ",""),"")</f>
        <v/>
      </c>
      <c r="N137" s="13"/>
      <c r="O137" s="13"/>
      <c r="P137" s="11"/>
    </row>
    <row r="138" spans="1:16" customFormat="1" ht="26.4" x14ac:dyDescent="0.3">
      <c r="A138" s="10" t="s">
        <v>415</v>
      </c>
      <c r="B138" s="10" t="s">
        <v>400</v>
      </c>
      <c r="C138" s="11" t="s">
        <v>401</v>
      </c>
      <c r="D138" s="11" t="s">
        <v>402</v>
      </c>
      <c r="E138" s="12" t="s">
        <v>416</v>
      </c>
      <c r="F138" s="10" t="s">
        <v>23</v>
      </c>
      <c r="G138" s="11" t="s">
        <v>417</v>
      </c>
      <c r="H138" s="10" t="s">
        <v>25</v>
      </c>
      <c r="I138" s="10" t="s">
        <v>154</v>
      </c>
      <c r="J138" s="8" t="str">
        <f>IFERROR(TEXT(INDEX(Sprints!$B$5:$B$8,MATCH(I138,Sprints!$A$5:$A$8,0)),"dd/mm")&amp;" – "&amp;TEXT(INDEX(Sprints!$C$5:$C$8,MATCH(I138,Sprints!$A$5:$A$8,0)),"dd/mm"),"")</f>
        <v>15/11 – 28/11</v>
      </c>
      <c r="K138" s="10"/>
      <c r="L138" s="10" t="s">
        <v>28</v>
      </c>
      <c r="M138" s="8" t="str">
        <f ca="1">IFERROR(IF(AND(L138&lt;&gt;"Done",TODAY()&gt;INDEX(Sprints!$C$5:$C$8,MATCH(I138,Sprints!$A$5:$A$8,0))),"Trễ",""),"")</f>
        <v/>
      </c>
      <c r="N138" s="13"/>
      <c r="O138" s="13"/>
      <c r="P138" s="11"/>
    </row>
    <row r="139" spans="1:16" customFormat="1" ht="26.4" x14ac:dyDescent="0.3">
      <c r="A139" s="10" t="s">
        <v>418</v>
      </c>
      <c r="B139" s="10" t="s">
        <v>400</v>
      </c>
      <c r="C139" s="11" t="s">
        <v>401</v>
      </c>
      <c r="D139" s="11" t="s">
        <v>402</v>
      </c>
      <c r="E139" s="12" t="s">
        <v>416</v>
      </c>
      <c r="F139" s="10" t="s">
        <v>30</v>
      </c>
      <c r="G139" s="11" t="s">
        <v>419</v>
      </c>
      <c r="H139" s="10" t="s">
        <v>25</v>
      </c>
      <c r="I139" s="10" t="s">
        <v>154</v>
      </c>
      <c r="J139" s="8" t="str">
        <f>IFERROR(TEXT(INDEX(Sprints!$B$5:$B$8,MATCH(I139,Sprints!$A$5:$A$8,0)),"dd/mm")&amp;" – "&amp;TEXT(INDEX(Sprints!$C$5:$C$8,MATCH(I139,Sprints!$A$5:$A$8,0)),"dd/mm"),"")</f>
        <v>15/11 – 28/11</v>
      </c>
      <c r="K139" s="10"/>
      <c r="L139" s="10" t="s">
        <v>28</v>
      </c>
      <c r="M139" s="8" t="str">
        <f ca="1">IFERROR(IF(AND(L139&lt;&gt;"Done",TODAY()&gt;INDEX(Sprints!$C$5:$C$8,MATCH(I139,Sprints!$A$5:$A$8,0))),"Trễ",""),"")</f>
        <v/>
      </c>
      <c r="N139" s="13"/>
      <c r="O139" s="13"/>
      <c r="P139" s="11"/>
    </row>
    <row r="140" spans="1:16" customFormat="1" ht="26.4" x14ac:dyDescent="0.3">
      <c r="A140" s="10" t="s">
        <v>420</v>
      </c>
      <c r="B140" s="10" t="s">
        <v>400</v>
      </c>
      <c r="C140" s="11" t="s">
        <v>401</v>
      </c>
      <c r="D140" s="11" t="s">
        <v>421</v>
      </c>
      <c r="E140" s="12" t="s">
        <v>422</v>
      </c>
      <c r="F140" s="10" t="s">
        <v>23</v>
      </c>
      <c r="G140" s="11" t="s">
        <v>423</v>
      </c>
      <c r="H140" s="10" t="s">
        <v>108</v>
      </c>
      <c r="I140" s="10" t="s">
        <v>154</v>
      </c>
      <c r="J140" s="8" t="str">
        <f>IFERROR(TEXT(INDEX(Sprints!$B$5:$B$8,MATCH(I140,Sprints!$A$5:$A$8,0)),"dd/mm")&amp;" – "&amp;TEXT(INDEX(Sprints!$C$5:$C$8,MATCH(I140,Sprints!$A$5:$A$8,0)),"dd/mm"),"")</f>
        <v>15/11 – 28/11</v>
      </c>
      <c r="K140" s="10"/>
      <c r="L140" s="10" t="s">
        <v>28</v>
      </c>
      <c r="M140" s="8" t="str">
        <f ca="1">IFERROR(IF(AND(L140&lt;&gt;"Done",TODAY()&gt;INDEX(Sprints!$C$5:$C$8,MATCH(I140,Sprints!$A$5:$A$8,0))),"Trễ",""),"")</f>
        <v/>
      </c>
      <c r="N140" s="13"/>
      <c r="O140" s="13"/>
      <c r="P140" s="11"/>
    </row>
    <row r="141" spans="1:16" customFormat="1" ht="26.4" x14ac:dyDescent="0.3">
      <c r="A141" s="10" t="s">
        <v>424</v>
      </c>
      <c r="B141" s="10" t="s">
        <v>400</v>
      </c>
      <c r="C141" s="11" t="s">
        <v>401</v>
      </c>
      <c r="D141" s="11" t="s">
        <v>421</v>
      </c>
      <c r="E141" s="12" t="s">
        <v>422</v>
      </c>
      <c r="F141" s="10" t="s">
        <v>30</v>
      </c>
      <c r="G141" s="11" t="s">
        <v>425</v>
      </c>
      <c r="H141" s="10" t="s">
        <v>108</v>
      </c>
      <c r="I141" s="10" t="s">
        <v>154</v>
      </c>
      <c r="J141" s="8" t="str">
        <f>IFERROR(TEXT(INDEX(Sprints!$B$5:$B$8,MATCH(I141,Sprints!$A$5:$A$8,0)),"dd/mm")&amp;" – "&amp;TEXT(INDEX(Sprints!$C$5:$C$8,MATCH(I141,Sprints!$A$5:$A$8,0)),"dd/mm"),"")</f>
        <v>15/11 – 28/11</v>
      </c>
      <c r="K141" s="10"/>
      <c r="L141" s="10" t="s">
        <v>28</v>
      </c>
      <c r="M141" s="8" t="str">
        <f ca="1">IFERROR(IF(AND(L141&lt;&gt;"Done",TODAY()&gt;INDEX(Sprints!$C$5:$C$8,MATCH(I141,Sprints!$A$5:$A$8,0))),"Trễ",""),"")</f>
        <v/>
      </c>
      <c r="N141" s="13"/>
      <c r="O141" s="13"/>
      <c r="P141" s="11"/>
    </row>
    <row r="142" spans="1:16" customFormat="1" ht="26.4" x14ac:dyDescent="0.3">
      <c r="A142" s="10" t="s">
        <v>426</v>
      </c>
      <c r="B142" s="10" t="s">
        <v>400</v>
      </c>
      <c r="C142" s="11" t="s">
        <v>401</v>
      </c>
      <c r="D142" s="11" t="s">
        <v>427</v>
      </c>
      <c r="E142" s="12" t="s">
        <v>428</v>
      </c>
      <c r="F142" s="10" t="s">
        <v>23</v>
      </c>
      <c r="G142" s="11" t="s">
        <v>429</v>
      </c>
      <c r="H142" s="10" t="s">
        <v>108</v>
      </c>
      <c r="I142" s="10" t="s">
        <v>154</v>
      </c>
      <c r="J142" s="8" t="str">
        <f>IFERROR(TEXT(INDEX(Sprints!$B$5:$B$8,MATCH(I142,Sprints!$A$5:$A$8,0)),"dd/mm")&amp;" – "&amp;TEXT(INDEX(Sprints!$C$5:$C$8,MATCH(I142,Sprints!$A$5:$A$8,0)),"dd/mm"),"")</f>
        <v>15/11 – 28/11</v>
      </c>
      <c r="K142" s="10"/>
      <c r="L142" s="10" t="s">
        <v>28</v>
      </c>
      <c r="M142" s="8" t="str">
        <f ca="1">IFERROR(IF(AND(L142&lt;&gt;"Done",TODAY()&gt;INDEX(Sprints!$C$5:$C$8,MATCH(I142,Sprints!$A$5:$A$8,0))),"Trễ",""),"")</f>
        <v/>
      </c>
      <c r="N142" s="13"/>
      <c r="O142" s="13"/>
      <c r="P142" s="11"/>
    </row>
    <row r="143" spans="1:16" customFormat="1" ht="26.4" x14ac:dyDescent="0.3">
      <c r="A143" s="10" t="s">
        <v>430</v>
      </c>
      <c r="B143" s="10" t="s">
        <v>400</v>
      </c>
      <c r="C143" s="11" t="s">
        <v>401</v>
      </c>
      <c r="D143" s="11" t="s">
        <v>427</v>
      </c>
      <c r="E143" s="12" t="s">
        <v>428</v>
      </c>
      <c r="F143" s="10" t="s">
        <v>30</v>
      </c>
      <c r="G143" s="11" t="s">
        <v>431</v>
      </c>
      <c r="H143" s="10" t="s">
        <v>108</v>
      </c>
      <c r="I143" s="10" t="s">
        <v>154</v>
      </c>
      <c r="J143" s="8" t="str">
        <f>IFERROR(TEXT(INDEX(Sprints!$B$5:$B$8,MATCH(I143,Sprints!$A$5:$A$8,0)),"dd/mm")&amp;" – "&amp;TEXT(INDEX(Sprints!$C$5:$C$8,MATCH(I143,Sprints!$A$5:$A$8,0)),"dd/mm"),"")</f>
        <v>15/11 – 28/11</v>
      </c>
      <c r="K143" s="10"/>
      <c r="L143" s="10" t="s">
        <v>28</v>
      </c>
      <c r="M143" s="8" t="str">
        <f ca="1">IFERROR(IF(AND(L143&lt;&gt;"Done",TODAY()&gt;INDEX(Sprints!$C$5:$C$8,MATCH(I143,Sprints!$A$5:$A$8,0))),"Trễ",""),"")</f>
        <v/>
      </c>
      <c r="N143" s="13"/>
      <c r="O143" s="13"/>
      <c r="P143" s="11"/>
    </row>
    <row r="144" spans="1:16" customFormat="1" ht="26.4" x14ac:dyDescent="0.3">
      <c r="A144" s="10" t="s">
        <v>432</v>
      </c>
      <c r="B144" s="10" t="s">
        <v>400</v>
      </c>
      <c r="C144" s="11" t="s">
        <v>401</v>
      </c>
      <c r="D144" s="11" t="s">
        <v>427</v>
      </c>
      <c r="E144" s="12" t="s">
        <v>428</v>
      </c>
      <c r="F144" s="10" t="s">
        <v>39</v>
      </c>
      <c r="G144" s="11" t="s">
        <v>433</v>
      </c>
      <c r="H144" s="10" t="s">
        <v>108</v>
      </c>
      <c r="I144" s="10" t="s">
        <v>154</v>
      </c>
      <c r="J144" s="8" t="str">
        <f>IFERROR(TEXT(INDEX(Sprints!$B$5:$B$8,MATCH(I144,Sprints!$A$5:$A$8,0)),"dd/mm")&amp;" – "&amp;TEXT(INDEX(Sprints!$C$5:$C$8,MATCH(I144,Sprints!$A$5:$A$8,0)),"dd/mm"),"")</f>
        <v>15/11 – 28/11</v>
      </c>
      <c r="K144" s="10"/>
      <c r="L144" s="10" t="s">
        <v>28</v>
      </c>
      <c r="M144" s="8" t="str">
        <f ca="1">IFERROR(IF(AND(L144&lt;&gt;"Done",TODAY()&gt;INDEX(Sprints!$C$5:$C$8,MATCH(I144,Sprints!$A$5:$A$8,0))),"Trễ",""),"")</f>
        <v/>
      </c>
      <c r="N144" s="13"/>
      <c r="O144" s="13"/>
      <c r="P144" s="11"/>
    </row>
    <row r="145" spans="1:16" customFormat="1" ht="26.4" x14ac:dyDescent="0.3">
      <c r="A145" s="10" t="s">
        <v>434</v>
      </c>
      <c r="B145" s="10" t="s">
        <v>400</v>
      </c>
      <c r="C145" s="11" t="s">
        <v>401</v>
      </c>
      <c r="D145" s="11" t="s">
        <v>427</v>
      </c>
      <c r="E145" s="12" t="s">
        <v>435</v>
      </c>
      <c r="F145" s="10" t="s">
        <v>23</v>
      </c>
      <c r="G145" s="11" t="s">
        <v>436</v>
      </c>
      <c r="H145" s="10" t="s">
        <v>108</v>
      </c>
      <c r="I145" s="10" t="s">
        <v>154</v>
      </c>
      <c r="J145" s="8" t="str">
        <f>IFERROR(TEXT(INDEX(Sprints!$B$5:$B$8,MATCH(I145,Sprints!$A$5:$A$8,0)),"dd/mm")&amp;" – "&amp;TEXT(INDEX(Sprints!$C$5:$C$8,MATCH(I145,Sprints!$A$5:$A$8,0)),"dd/mm"),"")</f>
        <v>15/11 – 28/11</v>
      </c>
      <c r="K145" s="10"/>
      <c r="L145" s="10" t="s">
        <v>28</v>
      </c>
      <c r="M145" s="8" t="str">
        <f ca="1">IFERROR(IF(AND(L145&lt;&gt;"Done",TODAY()&gt;INDEX(Sprints!$C$5:$C$8,MATCH(I145,Sprints!$A$5:$A$8,0))),"Trễ",""),"")</f>
        <v/>
      </c>
      <c r="N145" s="13"/>
      <c r="O145" s="13"/>
      <c r="P145" s="11"/>
    </row>
    <row r="146" spans="1:16" customFormat="1" ht="26.4" x14ac:dyDescent="0.3">
      <c r="A146" s="10" t="s">
        <v>437</v>
      </c>
      <c r="B146" s="10" t="s">
        <v>400</v>
      </c>
      <c r="C146" s="11" t="s">
        <v>401</v>
      </c>
      <c r="D146" s="11" t="s">
        <v>427</v>
      </c>
      <c r="E146" s="12" t="s">
        <v>435</v>
      </c>
      <c r="F146" s="10" t="s">
        <v>39</v>
      </c>
      <c r="G146" s="11" t="s">
        <v>438</v>
      </c>
      <c r="H146" s="10" t="s">
        <v>108</v>
      </c>
      <c r="I146" s="10" t="s">
        <v>154</v>
      </c>
      <c r="J146" s="8" t="str">
        <f>IFERROR(TEXT(INDEX(Sprints!$B$5:$B$8,MATCH(I146,Sprints!$A$5:$A$8,0)),"dd/mm")&amp;" – "&amp;TEXT(INDEX(Sprints!$C$5:$C$8,MATCH(I146,Sprints!$A$5:$A$8,0)),"dd/mm"),"")</f>
        <v>15/11 – 28/11</v>
      </c>
      <c r="K146" s="10"/>
      <c r="L146" s="10" t="s">
        <v>28</v>
      </c>
      <c r="M146" s="8" t="str">
        <f ca="1">IFERROR(IF(AND(L146&lt;&gt;"Done",TODAY()&gt;INDEX(Sprints!$C$5:$C$8,MATCH(I146,Sprints!$A$5:$A$8,0))),"Trễ",""),"")</f>
        <v/>
      </c>
      <c r="N146" s="13"/>
      <c r="O146" s="13"/>
      <c r="P146" s="11"/>
    </row>
    <row r="147" spans="1:16" customFormat="1" x14ac:dyDescent="0.3">
      <c r="A147" s="5" t="s">
        <v>439</v>
      </c>
      <c r="B147" s="5" t="s">
        <v>440</v>
      </c>
      <c r="C147" s="6" t="s">
        <v>441</v>
      </c>
      <c r="D147" s="6" t="s">
        <v>441</v>
      </c>
      <c r="E147" s="7" t="s">
        <v>442</v>
      </c>
      <c r="F147" s="5" t="s">
        <v>23</v>
      </c>
      <c r="G147" s="6" t="s">
        <v>443</v>
      </c>
      <c r="H147" s="5" t="s">
        <v>25</v>
      </c>
      <c r="I147" s="5" t="s">
        <v>276</v>
      </c>
      <c r="J147" s="8" t="str">
        <f>IFERROR(TEXT(INDEX(Sprints!$B$5:$B$8,MATCH(I147,Sprints!$A$5:$A$8,0)),"dd/mm")&amp;" – "&amp;TEXT(INDEX(Sprints!$C$5:$C$8,MATCH(I147,Sprints!$A$5:$A$8,0)),"dd/mm"),"")</f>
        <v>29/11 – 12/12</v>
      </c>
      <c r="K147" s="5"/>
      <c r="L147" s="5" t="s">
        <v>28</v>
      </c>
      <c r="M147" s="8" t="str">
        <f ca="1">IFERROR(IF(AND(L147&lt;&gt;"Done",TODAY()&gt;INDEX(Sprints!$C$5:$C$8,MATCH(I147,Sprints!$A$5:$A$8,0))),"Trễ",""),"")</f>
        <v/>
      </c>
      <c r="N147" s="9"/>
      <c r="O147" s="9"/>
      <c r="P147" s="6"/>
    </row>
    <row r="148" spans="1:16" customFormat="1" ht="26.4" x14ac:dyDescent="0.3">
      <c r="A148" s="5" t="s">
        <v>444</v>
      </c>
      <c r="B148" s="5" t="s">
        <v>440</v>
      </c>
      <c r="C148" s="6" t="s">
        <v>441</v>
      </c>
      <c r="D148" s="6" t="s">
        <v>441</v>
      </c>
      <c r="E148" s="7" t="s">
        <v>445</v>
      </c>
      <c r="F148" s="5" t="s">
        <v>23</v>
      </c>
      <c r="G148" s="6" t="s">
        <v>446</v>
      </c>
      <c r="H148" s="5" t="s">
        <v>25</v>
      </c>
      <c r="I148" s="5" t="s">
        <v>276</v>
      </c>
      <c r="J148" s="8" t="str">
        <f>IFERROR(TEXT(INDEX(Sprints!$B$5:$B$8,MATCH(I148,Sprints!$A$5:$A$8,0)),"dd/mm")&amp;" – "&amp;TEXT(INDEX(Sprints!$C$5:$C$8,MATCH(I148,Sprints!$A$5:$A$8,0)),"dd/mm"),"")</f>
        <v>29/11 – 12/12</v>
      </c>
      <c r="K148" s="5"/>
      <c r="L148" s="5" t="s">
        <v>28</v>
      </c>
      <c r="M148" s="8" t="str">
        <f ca="1">IFERROR(IF(AND(L148&lt;&gt;"Done",TODAY()&gt;INDEX(Sprints!$C$5:$C$8,MATCH(I148,Sprints!$A$5:$A$8,0))),"Trễ",""),"")</f>
        <v/>
      </c>
      <c r="N148" s="9"/>
      <c r="O148" s="9"/>
      <c r="P148" s="6"/>
    </row>
    <row r="149" spans="1:16" customFormat="1" x14ac:dyDescent="0.3">
      <c r="A149" s="5" t="s">
        <v>447</v>
      </c>
      <c r="B149" s="5" t="s">
        <v>440</v>
      </c>
      <c r="C149" s="6" t="s">
        <v>441</v>
      </c>
      <c r="D149" s="6" t="s">
        <v>441</v>
      </c>
      <c r="E149" s="7" t="s">
        <v>445</v>
      </c>
      <c r="F149" s="5" t="s">
        <v>30</v>
      </c>
      <c r="G149" s="6" t="s">
        <v>448</v>
      </c>
      <c r="H149" s="5" t="s">
        <v>25</v>
      </c>
      <c r="I149" s="5" t="s">
        <v>276</v>
      </c>
      <c r="J149" s="8" t="str">
        <f>IFERROR(TEXT(INDEX(Sprints!$B$5:$B$8,MATCH(I149,Sprints!$A$5:$A$8,0)),"dd/mm")&amp;" – "&amp;TEXT(INDEX(Sprints!$C$5:$C$8,MATCH(I149,Sprints!$A$5:$A$8,0)),"dd/mm"),"")</f>
        <v>29/11 – 12/12</v>
      </c>
      <c r="K149" s="5"/>
      <c r="L149" s="5" t="s">
        <v>28</v>
      </c>
      <c r="M149" s="8" t="str">
        <f ca="1">IFERROR(IF(AND(L149&lt;&gt;"Done",TODAY()&gt;INDEX(Sprints!$C$5:$C$8,MATCH(I149,Sprints!$A$5:$A$8,0))),"Trễ",""),"")</f>
        <v/>
      </c>
      <c r="N149" s="9"/>
      <c r="O149" s="9"/>
      <c r="P149" s="6"/>
    </row>
    <row r="150" spans="1:16" customFormat="1" x14ac:dyDescent="0.3">
      <c r="A150" s="5" t="s">
        <v>449</v>
      </c>
      <c r="B150" s="5" t="s">
        <v>440</v>
      </c>
      <c r="C150" s="6" t="s">
        <v>441</v>
      </c>
      <c r="D150" s="6" t="s">
        <v>441</v>
      </c>
      <c r="E150" s="7" t="s">
        <v>445</v>
      </c>
      <c r="F150" s="5" t="s">
        <v>39</v>
      </c>
      <c r="G150" s="6" t="s">
        <v>450</v>
      </c>
      <c r="H150" s="5" t="s">
        <v>25</v>
      </c>
      <c r="I150" s="5" t="s">
        <v>276</v>
      </c>
      <c r="J150" s="8" t="str">
        <f>IFERROR(TEXT(INDEX(Sprints!$B$5:$B$8,MATCH(I150,Sprints!$A$5:$A$8,0)),"dd/mm")&amp;" – "&amp;TEXT(INDEX(Sprints!$C$5:$C$8,MATCH(I150,Sprints!$A$5:$A$8,0)),"dd/mm"),"")</f>
        <v>29/11 – 12/12</v>
      </c>
      <c r="K150" s="5"/>
      <c r="L150" s="5" t="s">
        <v>28</v>
      </c>
      <c r="M150" s="8" t="str">
        <f ca="1">IFERROR(IF(AND(L150&lt;&gt;"Done",TODAY()&gt;INDEX(Sprints!$C$5:$C$8,MATCH(I150,Sprints!$A$5:$A$8,0))),"Trễ",""),"")</f>
        <v/>
      </c>
      <c r="N150" s="9"/>
      <c r="O150" s="9"/>
      <c r="P150" s="6"/>
    </row>
    <row r="151" spans="1:16" customFormat="1" x14ac:dyDescent="0.3">
      <c r="A151" s="5" t="s">
        <v>451</v>
      </c>
      <c r="B151" s="5" t="s">
        <v>440</v>
      </c>
      <c r="C151" s="6" t="s">
        <v>441</v>
      </c>
      <c r="D151" s="6" t="s">
        <v>441</v>
      </c>
      <c r="E151" s="7" t="s">
        <v>452</v>
      </c>
      <c r="F151" s="5" t="s">
        <v>23</v>
      </c>
      <c r="G151" s="6" t="s">
        <v>453</v>
      </c>
      <c r="H151" s="5" t="s">
        <v>25</v>
      </c>
      <c r="I151" s="5" t="s">
        <v>276</v>
      </c>
      <c r="J151" s="8" t="str">
        <f>IFERROR(TEXT(INDEX(Sprints!$B$5:$B$8,MATCH(I151,Sprints!$A$5:$A$8,0)),"dd/mm")&amp;" – "&amp;TEXT(INDEX(Sprints!$C$5:$C$8,MATCH(I151,Sprints!$A$5:$A$8,0)),"dd/mm"),"")</f>
        <v>29/11 – 12/12</v>
      </c>
      <c r="K151" s="5"/>
      <c r="L151" s="5" t="s">
        <v>28</v>
      </c>
      <c r="M151" s="8" t="str">
        <f ca="1">IFERROR(IF(AND(L151&lt;&gt;"Done",TODAY()&gt;INDEX(Sprints!$C$5:$C$8,MATCH(I151,Sprints!$A$5:$A$8,0))),"Trễ",""),"")</f>
        <v/>
      </c>
      <c r="N151" s="9"/>
      <c r="O151" s="9"/>
      <c r="P151" s="6"/>
    </row>
    <row r="152" spans="1:16" customFormat="1" x14ac:dyDescent="0.3">
      <c r="A152" s="5" t="s">
        <v>454</v>
      </c>
      <c r="B152" s="5" t="s">
        <v>440</v>
      </c>
      <c r="C152" s="6" t="s">
        <v>441</v>
      </c>
      <c r="D152" s="6" t="s">
        <v>441</v>
      </c>
      <c r="E152" s="7" t="s">
        <v>452</v>
      </c>
      <c r="F152" s="5" t="s">
        <v>30</v>
      </c>
      <c r="G152" s="6" t="s">
        <v>455</v>
      </c>
      <c r="H152" s="5" t="s">
        <v>25</v>
      </c>
      <c r="I152" s="5" t="s">
        <v>276</v>
      </c>
      <c r="J152" s="8" t="str">
        <f>IFERROR(TEXT(INDEX(Sprints!$B$5:$B$8,MATCH(I152,Sprints!$A$5:$A$8,0)),"dd/mm")&amp;" – "&amp;TEXT(INDEX(Sprints!$C$5:$C$8,MATCH(I152,Sprints!$A$5:$A$8,0)),"dd/mm"),"")</f>
        <v>29/11 – 12/12</v>
      </c>
      <c r="K152" s="5"/>
      <c r="L152" s="5" t="s">
        <v>28</v>
      </c>
      <c r="M152" s="8" t="str">
        <f ca="1">IFERROR(IF(AND(L152&lt;&gt;"Done",TODAY()&gt;INDEX(Sprints!$C$5:$C$8,MATCH(I152,Sprints!$A$5:$A$8,0))),"Trễ",""),"")</f>
        <v/>
      </c>
      <c r="N152" s="9"/>
      <c r="O152" s="9"/>
      <c r="P152" s="6"/>
    </row>
    <row r="153" spans="1:16" customFormat="1" x14ac:dyDescent="0.3">
      <c r="A153" s="5" t="s">
        <v>456</v>
      </c>
      <c r="B153" s="5" t="s">
        <v>440</v>
      </c>
      <c r="C153" s="6" t="s">
        <v>441</v>
      </c>
      <c r="D153" s="6" t="s">
        <v>441</v>
      </c>
      <c r="E153" s="7" t="s">
        <v>452</v>
      </c>
      <c r="F153" s="5" t="s">
        <v>39</v>
      </c>
      <c r="G153" s="6" t="s">
        <v>457</v>
      </c>
      <c r="H153" s="5" t="s">
        <v>25</v>
      </c>
      <c r="I153" s="5" t="s">
        <v>276</v>
      </c>
      <c r="J153" s="8" t="str">
        <f>IFERROR(TEXT(INDEX(Sprints!$B$5:$B$8,MATCH(I153,Sprints!$A$5:$A$8,0)),"dd/mm")&amp;" – "&amp;TEXT(INDEX(Sprints!$C$5:$C$8,MATCH(I153,Sprints!$A$5:$A$8,0)),"dd/mm"),"")</f>
        <v>29/11 – 12/12</v>
      </c>
      <c r="K153" s="5"/>
      <c r="L153" s="5" t="s">
        <v>28</v>
      </c>
      <c r="M153" s="8" t="str">
        <f ca="1">IFERROR(IF(AND(L153&lt;&gt;"Done",TODAY()&gt;INDEX(Sprints!$C$5:$C$8,MATCH(I153,Sprints!$A$5:$A$8,0))),"Trễ",""),"")</f>
        <v/>
      </c>
      <c r="N153" s="9"/>
      <c r="O153" s="9"/>
      <c r="P153" s="6"/>
    </row>
    <row r="154" spans="1:16" x14ac:dyDescent="0.3">
      <c r="J154" s="53" t="str">
        <f>IF(I154="","",IFERROR(TEXT(INDEX(Sprints!$B$5:$B$8,MATCH(I154,Sprints!$A$5:$A$8,0)),"dd/mm")&amp;" – "&amp;TEXT(INDEX(Sprints!$C$5:$C$8,MATCH(I154,Sprints!$A$5:$A$8,0)),"dd/mm"),""))</f>
        <v/>
      </c>
      <c r="M154" s="53" t="str">
        <f ca="1">IF(G154="","",IFERROR(IF(AND(L154&lt;&gt;"Done",TODAY()&gt;INDEX(Sprints!$C$5:$C$8,MATCH(I154,Sprints!$A$5:$A$8,0))),"Trễ",""),""))</f>
        <v/>
      </c>
    </row>
    <row r="155" spans="1:16" x14ac:dyDescent="0.3">
      <c r="J155" s="53" t="str">
        <f>IF(I155="","",IFERROR(TEXT(INDEX(Sprints!$B$5:$B$8,MATCH(I155,Sprints!$A$5:$A$8,0)),"dd/mm")&amp;" – "&amp;TEXT(INDEX(Sprints!$C$5:$C$8,MATCH(I155,Sprints!$A$5:$A$8,0)),"dd/mm"),""))</f>
        <v/>
      </c>
      <c r="M155" s="53" t="str">
        <f ca="1">IF(G155="","",IFERROR(IF(AND(L155&lt;&gt;"Done",TODAY()&gt;INDEX(Sprints!$C$5:$C$8,MATCH(I155,Sprints!$A$5:$A$8,0))),"Trễ",""),""))</f>
        <v/>
      </c>
    </row>
    <row r="156" spans="1:16" x14ac:dyDescent="0.3">
      <c r="J156" s="53" t="str">
        <f>IF(I156="","",IFERROR(TEXT(INDEX(Sprints!$B$5:$B$8,MATCH(I156,Sprints!$A$5:$A$8,0)),"dd/mm")&amp;" – "&amp;TEXT(INDEX(Sprints!$C$5:$C$8,MATCH(I156,Sprints!$A$5:$A$8,0)),"dd/mm"),""))</f>
        <v/>
      </c>
      <c r="M156" s="53" t="str">
        <f ca="1">IF(G156="","",IFERROR(IF(AND(L156&lt;&gt;"Done",TODAY()&gt;INDEX(Sprints!$C$5:$C$8,MATCH(I156,Sprints!$A$5:$A$8,0))),"Trễ",""),""))</f>
        <v/>
      </c>
    </row>
    <row r="157" spans="1:16" x14ac:dyDescent="0.3">
      <c r="J157" s="53" t="str">
        <f>IF(I157="","",IFERROR(TEXT(INDEX(Sprints!$B$5:$B$8,MATCH(I157,Sprints!$A$5:$A$8,0)),"dd/mm")&amp;" – "&amp;TEXT(INDEX(Sprints!$C$5:$C$8,MATCH(I157,Sprints!$A$5:$A$8,0)),"dd/mm"),""))</f>
        <v/>
      </c>
      <c r="M157" s="53" t="str">
        <f ca="1">IF(G157="","",IFERROR(IF(AND(L157&lt;&gt;"Done",TODAY()&gt;INDEX(Sprints!$C$5:$C$8,MATCH(I157,Sprints!$A$5:$A$8,0))),"Trễ",""),""))</f>
        <v/>
      </c>
    </row>
    <row r="158" spans="1:16" x14ac:dyDescent="0.3">
      <c r="J158" s="53" t="str">
        <f>IF(I158="","",IFERROR(TEXT(INDEX(Sprints!$B$5:$B$8,MATCH(I158,Sprints!$A$5:$A$8,0)),"dd/mm")&amp;" – "&amp;TEXT(INDEX(Sprints!$C$5:$C$8,MATCH(I158,Sprints!$A$5:$A$8,0)),"dd/mm"),""))</f>
        <v/>
      </c>
      <c r="M158" s="53" t="str">
        <f ca="1">IF(G158="","",IFERROR(IF(AND(L158&lt;&gt;"Done",TODAY()&gt;INDEX(Sprints!$C$5:$C$8,MATCH(I158,Sprints!$A$5:$A$8,0))),"Trễ",""),""))</f>
        <v/>
      </c>
    </row>
    <row r="159" spans="1:16" x14ac:dyDescent="0.3">
      <c r="J159" s="53" t="str">
        <f>IF(I159="","",IFERROR(TEXT(INDEX(Sprints!$B$5:$B$8,MATCH(I159,Sprints!$A$5:$A$8,0)),"dd/mm")&amp;" – "&amp;TEXT(INDEX(Sprints!$C$5:$C$8,MATCH(I159,Sprints!$A$5:$A$8,0)),"dd/mm"),""))</f>
        <v/>
      </c>
      <c r="M159" s="53" t="str">
        <f ca="1">IF(G159="","",IFERROR(IF(AND(L159&lt;&gt;"Done",TODAY()&gt;INDEX(Sprints!$C$5:$C$8,MATCH(I159,Sprints!$A$5:$A$8,0))),"Trễ",""),""))</f>
        <v/>
      </c>
    </row>
    <row r="160" spans="1:16" x14ac:dyDescent="0.3">
      <c r="J160" s="53" t="str">
        <f>IF(I160="","",IFERROR(TEXT(INDEX(Sprints!$B$5:$B$8,MATCH(I160,Sprints!$A$5:$A$8,0)),"dd/mm")&amp;" – "&amp;TEXT(INDEX(Sprints!$C$5:$C$8,MATCH(I160,Sprints!$A$5:$A$8,0)),"dd/mm"),""))</f>
        <v/>
      </c>
      <c r="M160" s="53" t="str">
        <f ca="1">IF(G160="","",IFERROR(IF(AND(L160&lt;&gt;"Done",TODAY()&gt;INDEX(Sprints!$C$5:$C$8,MATCH(I160,Sprints!$A$5:$A$8,0))),"Trễ",""),""))</f>
        <v/>
      </c>
    </row>
    <row r="161" spans="10:13" x14ac:dyDescent="0.3">
      <c r="J161" s="53" t="str">
        <f>IF(I161="","",IFERROR(TEXT(INDEX(Sprints!$B$5:$B$8,MATCH(I161,Sprints!$A$5:$A$8,0)),"dd/mm")&amp;" – "&amp;TEXT(INDEX(Sprints!$C$5:$C$8,MATCH(I161,Sprints!$A$5:$A$8,0)),"dd/mm"),""))</f>
        <v/>
      </c>
      <c r="M161" s="53" t="str">
        <f ca="1">IF(G161="","",IFERROR(IF(AND(L161&lt;&gt;"Done",TODAY()&gt;INDEX(Sprints!$C$5:$C$8,MATCH(I161,Sprints!$A$5:$A$8,0))),"Trễ",""),""))</f>
        <v/>
      </c>
    </row>
    <row r="162" spans="10:13" x14ac:dyDescent="0.3">
      <c r="J162" s="53" t="str">
        <f>IF(I162="","",IFERROR(TEXT(INDEX(Sprints!$B$5:$B$8,MATCH(I162,Sprints!$A$5:$A$8,0)),"dd/mm")&amp;" – "&amp;TEXT(INDEX(Sprints!$C$5:$C$8,MATCH(I162,Sprints!$A$5:$A$8,0)),"dd/mm"),""))</f>
        <v/>
      </c>
      <c r="M162" s="53" t="str">
        <f ca="1">IF(G162="","",IFERROR(IF(AND(L162&lt;&gt;"Done",TODAY()&gt;INDEX(Sprints!$C$5:$C$8,MATCH(I162,Sprints!$A$5:$A$8,0))),"Trễ",""),""))</f>
        <v/>
      </c>
    </row>
    <row r="163" spans="10:13" x14ac:dyDescent="0.3">
      <c r="J163" s="53" t="str">
        <f>IF(I163="","",IFERROR(TEXT(INDEX(Sprints!$B$5:$B$8,MATCH(I163,Sprints!$A$5:$A$8,0)),"dd/mm")&amp;" – "&amp;TEXT(INDEX(Sprints!$C$5:$C$8,MATCH(I163,Sprints!$A$5:$A$8,0)),"dd/mm"),""))</f>
        <v/>
      </c>
      <c r="M163" s="53" t="str">
        <f ca="1">IF(G163="","",IFERROR(IF(AND(L163&lt;&gt;"Done",TODAY()&gt;INDEX(Sprints!$C$5:$C$8,MATCH(I163,Sprints!$A$5:$A$8,0))),"Trễ",""),""))</f>
        <v/>
      </c>
    </row>
    <row r="164" spans="10:13" x14ac:dyDescent="0.3">
      <c r="J164" s="53" t="str">
        <f>IF(I164="","",IFERROR(TEXT(INDEX(Sprints!$B$5:$B$8,MATCH(I164,Sprints!$A$5:$A$8,0)),"dd/mm")&amp;" – "&amp;TEXT(INDEX(Sprints!$C$5:$C$8,MATCH(I164,Sprints!$A$5:$A$8,0)),"dd/mm"),""))</f>
        <v/>
      </c>
      <c r="M164" s="53" t="str">
        <f ca="1">IF(G164="","",IFERROR(IF(AND(L164&lt;&gt;"Done",TODAY()&gt;INDEX(Sprints!$C$5:$C$8,MATCH(I164,Sprints!$A$5:$A$8,0))),"Trễ",""),""))</f>
        <v/>
      </c>
    </row>
    <row r="165" spans="10:13" x14ac:dyDescent="0.3">
      <c r="J165" s="53" t="str">
        <f>IF(I165="","",IFERROR(TEXT(INDEX(Sprints!$B$5:$B$8,MATCH(I165,Sprints!$A$5:$A$8,0)),"dd/mm")&amp;" – "&amp;TEXT(INDEX(Sprints!$C$5:$C$8,MATCH(I165,Sprints!$A$5:$A$8,0)),"dd/mm"),""))</f>
        <v/>
      </c>
      <c r="M165" s="53" t="str">
        <f ca="1">IF(G165="","",IFERROR(IF(AND(L165&lt;&gt;"Done",TODAY()&gt;INDEX(Sprints!$C$5:$C$8,MATCH(I165,Sprints!$A$5:$A$8,0))),"Trễ",""),""))</f>
        <v/>
      </c>
    </row>
    <row r="166" spans="10:13" x14ac:dyDescent="0.3">
      <c r="J166" s="53" t="str">
        <f>IF(I166="","",IFERROR(TEXT(INDEX(Sprints!$B$5:$B$8,MATCH(I166,Sprints!$A$5:$A$8,0)),"dd/mm")&amp;" – "&amp;TEXT(INDEX(Sprints!$C$5:$C$8,MATCH(I166,Sprints!$A$5:$A$8,0)),"dd/mm"),""))</f>
        <v/>
      </c>
      <c r="M166" s="53" t="str">
        <f ca="1">IF(G166="","",IFERROR(IF(AND(L166&lt;&gt;"Done",TODAY()&gt;INDEX(Sprints!$C$5:$C$8,MATCH(I166,Sprints!$A$5:$A$8,0))),"Trễ",""),""))</f>
        <v/>
      </c>
    </row>
    <row r="167" spans="10:13" x14ac:dyDescent="0.3">
      <c r="J167" s="53" t="str">
        <f>IF(I167="","",IFERROR(TEXT(INDEX(Sprints!$B$5:$B$8,MATCH(I167,Sprints!$A$5:$A$8,0)),"dd/mm")&amp;" – "&amp;TEXT(INDEX(Sprints!$C$5:$C$8,MATCH(I167,Sprints!$A$5:$A$8,0)),"dd/mm"),""))</f>
        <v/>
      </c>
      <c r="M167" s="53" t="str">
        <f ca="1">IF(G167="","",IFERROR(IF(AND(L167&lt;&gt;"Done",TODAY()&gt;INDEX(Sprints!$C$5:$C$8,MATCH(I167,Sprints!$A$5:$A$8,0))),"Trễ",""),""))</f>
        <v/>
      </c>
    </row>
    <row r="168" spans="10:13" x14ac:dyDescent="0.3">
      <c r="J168" s="53" t="str">
        <f>IF(I168="","",IFERROR(TEXT(INDEX(Sprints!$B$5:$B$8,MATCH(I168,Sprints!$A$5:$A$8,0)),"dd/mm")&amp;" – "&amp;TEXT(INDEX(Sprints!$C$5:$C$8,MATCH(I168,Sprints!$A$5:$A$8,0)),"dd/mm"),""))</f>
        <v/>
      </c>
      <c r="M168" s="53" t="str">
        <f ca="1">IF(G168="","",IFERROR(IF(AND(L168&lt;&gt;"Done",TODAY()&gt;INDEX(Sprints!$C$5:$C$8,MATCH(I168,Sprints!$A$5:$A$8,0))),"Trễ",""),""))</f>
        <v/>
      </c>
    </row>
    <row r="169" spans="10:13" x14ac:dyDescent="0.3">
      <c r="J169" s="53" t="str">
        <f>IF(I169="","",IFERROR(TEXT(INDEX(Sprints!$B$5:$B$8,MATCH(I169,Sprints!$A$5:$A$8,0)),"dd/mm")&amp;" – "&amp;TEXT(INDEX(Sprints!$C$5:$C$8,MATCH(I169,Sprints!$A$5:$A$8,0)),"dd/mm"),""))</f>
        <v/>
      </c>
      <c r="M169" s="53" t="str">
        <f ca="1">IF(G169="","",IFERROR(IF(AND(L169&lt;&gt;"Done",TODAY()&gt;INDEX(Sprints!$C$5:$C$8,MATCH(I169,Sprints!$A$5:$A$8,0))),"Trễ",""),""))</f>
        <v/>
      </c>
    </row>
    <row r="170" spans="10:13" x14ac:dyDescent="0.3">
      <c r="J170" s="53" t="str">
        <f>IF(I170="","",IFERROR(TEXT(INDEX(Sprints!$B$5:$B$8,MATCH(I170,Sprints!$A$5:$A$8,0)),"dd/mm")&amp;" – "&amp;TEXT(INDEX(Sprints!$C$5:$C$8,MATCH(I170,Sprints!$A$5:$A$8,0)),"dd/mm"),""))</f>
        <v/>
      </c>
      <c r="M170" s="53" t="str">
        <f ca="1">IF(G170="","",IFERROR(IF(AND(L170&lt;&gt;"Done",TODAY()&gt;INDEX(Sprints!$C$5:$C$8,MATCH(I170,Sprints!$A$5:$A$8,0))),"Trễ",""),""))</f>
        <v/>
      </c>
    </row>
    <row r="171" spans="10:13" x14ac:dyDescent="0.3">
      <c r="J171" s="53" t="str">
        <f>IF(I171="","",IFERROR(TEXT(INDEX(Sprints!$B$5:$B$8,MATCH(I171,Sprints!$A$5:$A$8,0)),"dd/mm")&amp;" – "&amp;TEXT(INDEX(Sprints!$C$5:$C$8,MATCH(I171,Sprints!$A$5:$A$8,0)),"dd/mm"),""))</f>
        <v/>
      </c>
      <c r="M171" s="53" t="str">
        <f ca="1">IF(G171="","",IFERROR(IF(AND(L171&lt;&gt;"Done",TODAY()&gt;INDEX(Sprints!$C$5:$C$8,MATCH(I171,Sprints!$A$5:$A$8,0))),"Trễ",""),""))</f>
        <v/>
      </c>
    </row>
    <row r="172" spans="10:13" x14ac:dyDescent="0.3">
      <c r="J172" s="53" t="str">
        <f>IF(I172="","",IFERROR(TEXT(INDEX(Sprints!$B$5:$B$8,MATCH(I172,Sprints!$A$5:$A$8,0)),"dd/mm")&amp;" – "&amp;TEXT(INDEX(Sprints!$C$5:$C$8,MATCH(I172,Sprints!$A$5:$A$8,0)),"dd/mm"),""))</f>
        <v/>
      </c>
      <c r="M172" s="53" t="str">
        <f ca="1">IF(G172="","",IFERROR(IF(AND(L172&lt;&gt;"Done",TODAY()&gt;INDEX(Sprints!$C$5:$C$8,MATCH(I172,Sprints!$A$5:$A$8,0))),"Trễ",""),""))</f>
        <v/>
      </c>
    </row>
    <row r="173" spans="10:13" x14ac:dyDescent="0.3">
      <c r="J173" s="53" t="str">
        <f>IF(I173="","",IFERROR(TEXT(INDEX(Sprints!$B$5:$B$8,MATCH(I173,Sprints!$A$5:$A$8,0)),"dd/mm")&amp;" – "&amp;TEXT(INDEX(Sprints!$C$5:$C$8,MATCH(I173,Sprints!$A$5:$A$8,0)),"dd/mm"),""))</f>
        <v/>
      </c>
      <c r="M173" s="53" t="str">
        <f ca="1">IF(G173="","",IFERROR(IF(AND(L173&lt;&gt;"Done",TODAY()&gt;INDEX(Sprints!$C$5:$C$8,MATCH(I173,Sprints!$A$5:$A$8,0))),"Trễ",""),""))</f>
        <v/>
      </c>
    </row>
    <row r="174" spans="10:13" x14ac:dyDescent="0.3">
      <c r="J174" s="53" t="str">
        <f>IF(I174="","",IFERROR(TEXT(INDEX(Sprints!$B$5:$B$8,MATCH(I174,Sprints!$A$5:$A$8,0)),"dd/mm")&amp;" – "&amp;TEXT(INDEX(Sprints!$C$5:$C$8,MATCH(I174,Sprints!$A$5:$A$8,0)),"dd/mm"),""))</f>
        <v/>
      </c>
      <c r="M174" s="53" t="str">
        <f ca="1">IF(G174="","",IFERROR(IF(AND(L174&lt;&gt;"Done",TODAY()&gt;INDEX(Sprints!$C$5:$C$8,MATCH(I174,Sprints!$A$5:$A$8,0))),"Trễ",""),""))</f>
        <v/>
      </c>
    </row>
    <row r="175" spans="10:13" x14ac:dyDescent="0.3">
      <c r="J175" s="53" t="str">
        <f>IF(I175="","",IFERROR(TEXT(INDEX(Sprints!$B$5:$B$8,MATCH(I175,Sprints!$A$5:$A$8,0)),"dd/mm")&amp;" – "&amp;TEXT(INDEX(Sprints!$C$5:$C$8,MATCH(I175,Sprints!$A$5:$A$8,0)),"dd/mm"),""))</f>
        <v/>
      </c>
      <c r="M175" s="53" t="str">
        <f ca="1">IF(G175="","",IFERROR(IF(AND(L175&lt;&gt;"Done",TODAY()&gt;INDEX(Sprints!$C$5:$C$8,MATCH(I175,Sprints!$A$5:$A$8,0))),"Trễ",""),""))</f>
        <v/>
      </c>
    </row>
    <row r="176" spans="10:13" x14ac:dyDescent="0.3">
      <c r="J176" s="53" t="str">
        <f>IF(I176="","",IFERROR(TEXT(INDEX(Sprints!$B$5:$B$8,MATCH(I176,Sprints!$A$5:$A$8,0)),"dd/mm")&amp;" – "&amp;TEXT(INDEX(Sprints!$C$5:$C$8,MATCH(I176,Sprints!$A$5:$A$8,0)),"dd/mm"),""))</f>
        <v/>
      </c>
      <c r="M176" s="53" t="str">
        <f ca="1">IF(G176="","",IFERROR(IF(AND(L176&lt;&gt;"Done",TODAY()&gt;INDEX(Sprints!$C$5:$C$8,MATCH(I176,Sprints!$A$5:$A$8,0))),"Trễ",""),""))</f>
        <v/>
      </c>
    </row>
    <row r="177" spans="10:13" x14ac:dyDescent="0.3">
      <c r="J177" s="53" t="str">
        <f>IF(I177="","",IFERROR(TEXT(INDEX(Sprints!$B$5:$B$8,MATCH(I177,Sprints!$A$5:$A$8,0)),"dd/mm")&amp;" – "&amp;TEXT(INDEX(Sprints!$C$5:$C$8,MATCH(I177,Sprints!$A$5:$A$8,0)),"dd/mm"),""))</f>
        <v/>
      </c>
      <c r="M177" s="53" t="str">
        <f ca="1">IF(G177="","",IFERROR(IF(AND(L177&lt;&gt;"Done",TODAY()&gt;INDEX(Sprints!$C$5:$C$8,MATCH(I177,Sprints!$A$5:$A$8,0))),"Trễ",""),""))</f>
        <v/>
      </c>
    </row>
    <row r="178" spans="10:13" x14ac:dyDescent="0.3">
      <c r="J178" s="53" t="str">
        <f>IF(I178="","",IFERROR(TEXT(INDEX(Sprints!$B$5:$B$8,MATCH(I178,Sprints!$A$5:$A$8,0)),"dd/mm")&amp;" – "&amp;TEXT(INDEX(Sprints!$C$5:$C$8,MATCH(I178,Sprints!$A$5:$A$8,0)),"dd/mm"),""))</f>
        <v/>
      </c>
      <c r="M178" s="53" t="str">
        <f ca="1">IF(G178="","",IFERROR(IF(AND(L178&lt;&gt;"Done",TODAY()&gt;INDEX(Sprints!$C$5:$C$8,MATCH(I178,Sprints!$A$5:$A$8,0))),"Trễ",""),""))</f>
        <v/>
      </c>
    </row>
    <row r="179" spans="10:13" x14ac:dyDescent="0.3">
      <c r="J179" s="53" t="str">
        <f>IF(I179="","",IFERROR(TEXT(INDEX(Sprints!$B$5:$B$8,MATCH(I179,Sprints!$A$5:$A$8,0)),"dd/mm")&amp;" – "&amp;TEXT(INDEX(Sprints!$C$5:$C$8,MATCH(I179,Sprints!$A$5:$A$8,0)),"dd/mm"),""))</f>
        <v/>
      </c>
      <c r="M179" s="53" t="str">
        <f ca="1">IF(G179="","",IFERROR(IF(AND(L179&lt;&gt;"Done",TODAY()&gt;INDEX(Sprints!$C$5:$C$8,MATCH(I179,Sprints!$A$5:$A$8,0))),"Trễ",""),""))</f>
        <v/>
      </c>
    </row>
    <row r="180" spans="10:13" x14ac:dyDescent="0.3">
      <c r="J180" s="53" t="str">
        <f>IF(I180="","",IFERROR(TEXT(INDEX(Sprints!$B$5:$B$8,MATCH(I180,Sprints!$A$5:$A$8,0)),"dd/mm")&amp;" – "&amp;TEXT(INDEX(Sprints!$C$5:$C$8,MATCH(I180,Sprints!$A$5:$A$8,0)),"dd/mm"),""))</f>
        <v/>
      </c>
      <c r="M180" s="53" t="str">
        <f ca="1">IF(G180="","",IFERROR(IF(AND(L180&lt;&gt;"Done",TODAY()&gt;INDEX(Sprints!$C$5:$C$8,MATCH(I180,Sprints!$A$5:$A$8,0))),"Trễ",""),""))</f>
        <v/>
      </c>
    </row>
    <row r="181" spans="10:13" x14ac:dyDescent="0.3">
      <c r="J181" s="53" t="str">
        <f>IF(I181="","",IFERROR(TEXT(INDEX(Sprints!$B$5:$B$8,MATCH(I181,Sprints!$A$5:$A$8,0)),"dd/mm")&amp;" – "&amp;TEXT(INDEX(Sprints!$C$5:$C$8,MATCH(I181,Sprints!$A$5:$A$8,0)),"dd/mm"),""))</f>
        <v/>
      </c>
      <c r="M181" s="53" t="str">
        <f ca="1">IF(G181="","",IFERROR(IF(AND(L181&lt;&gt;"Done",TODAY()&gt;INDEX(Sprints!$C$5:$C$8,MATCH(I181,Sprints!$A$5:$A$8,0))),"Trễ",""),""))</f>
        <v/>
      </c>
    </row>
    <row r="182" spans="10:13" x14ac:dyDescent="0.3">
      <c r="J182" s="53" t="str">
        <f>IF(I182="","",IFERROR(TEXT(INDEX(Sprints!$B$5:$B$8,MATCH(I182,Sprints!$A$5:$A$8,0)),"dd/mm")&amp;" – "&amp;TEXT(INDEX(Sprints!$C$5:$C$8,MATCH(I182,Sprints!$A$5:$A$8,0)),"dd/mm"),""))</f>
        <v/>
      </c>
      <c r="M182" s="53" t="str">
        <f ca="1">IF(G182="","",IFERROR(IF(AND(L182&lt;&gt;"Done",TODAY()&gt;INDEX(Sprints!$C$5:$C$8,MATCH(I182,Sprints!$A$5:$A$8,0))),"Trễ",""),""))</f>
        <v/>
      </c>
    </row>
    <row r="183" spans="10:13" x14ac:dyDescent="0.3">
      <c r="J183" s="53" t="str">
        <f>IF(I183="","",IFERROR(TEXT(INDEX(Sprints!$B$5:$B$8,MATCH(I183,Sprints!$A$5:$A$8,0)),"dd/mm")&amp;" – "&amp;TEXT(INDEX(Sprints!$C$5:$C$8,MATCH(I183,Sprints!$A$5:$A$8,0)),"dd/mm"),""))</f>
        <v/>
      </c>
      <c r="M183" s="53" t="str">
        <f ca="1">IF(G183="","",IFERROR(IF(AND(L183&lt;&gt;"Done",TODAY()&gt;INDEX(Sprints!$C$5:$C$8,MATCH(I183,Sprints!$A$5:$A$8,0))),"Trễ",""),""))</f>
        <v/>
      </c>
    </row>
    <row r="184" spans="10:13" x14ac:dyDescent="0.3">
      <c r="J184" s="53" t="str">
        <f>IF(I184="","",IFERROR(TEXT(INDEX(Sprints!$B$5:$B$8,MATCH(I184,Sprints!$A$5:$A$8,0)),"dd/mm")&amp;" – "&amp;TEXT(INDEX(Sprints!$C$5:$C$8,MATCH(I184,Sprints!$A$5:$A$8,0)),"dd/mm"),""))</f>
        <v/>
      </c>
      <c r="M184" s="53" t="str">
        <f ca="1">IF(G184="","",IFERROR(IF(AND(L184&lt;&gt;"Done",TODAY()&gt;INDEX(Sprints!$C$5:$C$8,MATCH(I184,Sprints!$A$5:$A$8,0))),"Trễ",""),""))</f>
        <v/>
      </c>
    </row>
    <row r="185" spans="10:13" x14ac:dyDescent="0.3">
      <c r="J185" s="53" t="str">
        <f>IF(I185="","",IFERROR(TEXT(INDEX(Sprints!$B$5:$B$8,MATCH(I185,Sprints!$A$5:$A$8,0)),"dd/mm")&amp;" – "&amp;TEXT(INDEX(Sprints!$C$5:$C$8,MATCH(I185,Sprints!$A$5:$A$8,0)),"dd/mm"),""))</f>
        <v/>
      </c>
      <c r="M185" s="53" t="str">
        <f ca="1">IF(G185="","",IFERROR(IF(AND(L185&lt;&gt;"Done",TODAY()&gt;INDEX(Sprints!$C$5:$C$8,MATCH(I185,Sprints!$A$5:$A$8,0))),"Trễ",""),""))</f>
        <v/>
      </c>
    </row>
    <row r="186" spans="10:13" x14ac:dyDescent="0.3">
      <c r="J186" s="53" t="str">
        <f>IF(I186="","",IFERROR(TEXT(INDEX(Sprints!$B$5:$B$8,MATCH(I186,Sprints!$A$5:$A$8,0)),"dd/mm")&amp;" – "&amp;TEXT(INDEX(Sprints!$C$5:$C$8,MATCH(I186,Sprints!$A$5:$A$8,0)),"dd/mm"),""))</f>
        <v/>
      </c>
      <c r="M186" s="53" t="str">
        <f ca="1">IF(G186="","",IFERROR(IF(AND(L186&lt;&gt;"Done",TODAY()&gt;INDEX(Sprints!$C$5:$C$8,MATCH(I186,Sprints!$A$5:$A$8,0))),"Trễ",""),""))</f>
        <v/>
      </c>
    </row>
    <row r="187" spans="10:13" x14ac:dyDescent="0.3">
      <c r="J187" s="53" t="str">
        <f>IF(I187="","",IFERROR(TEXT(INDEX(Sprints!$B$5:$B$8,MATCH(I187,Sprints!$A$5:$A$8,0)),"dd/mm")&amp;" – "&amp;TEXT(INDEX(Sprints!$C$5:$C$8,MATCH(I187,Sprints!$A$5:$A$8,0)),"dd/mm"),""))</f>
        <v/>
      </c>
      <c r="M187" s="53" t="str">
        <f ca="1">IF(G187="","",IFERROR(IF(AND(L187&lt;&gt;"Done",TODAY()&gt;INDEX(Sprints!$C$5:$C$8,MATCH(I187,Sprints!$A$5:$A$8,0))),"Trễ",""),""))</f>
        <v/>
      </c>
    </row>
    <row r="188" spans="10:13" x14ac:dyDescent="0.3">
      <c r="J188" s="53" t="str">
        <f>IF(I188="","",IFERROR(TEXT(INDEX(Sprints!$B$5:$B$8,MATCH(I188,Sprints!$A$5:$A$8,0)),"dd/mm")&amp;" – "&amp;TEXT(INDEX(Sprints!$C$5:$C$8,MATCH(I188,Sprints!$A$5:$A$8,0)),"dd/mm"),""))</f>
        <v/>
      </c>
      <c r="M188" s="53" t="str">
        <f ca="1">IF(G188="","",IFERROR(IF(AND(L188&lt;&gt;"Done",TODAY()&gt;INDEX(Sprints!$C$5:$C$8,MATCH(I188,Sprints!$A$5:$A$8,0))),"Trễ",""),""))</f>
        <v/>
      </c>
    </row>
    <row r="189" spans="10:13" x14ac:dyDescent="0.3">
      <c r="J189" s="53" t="str">
        <f>IF(I189="","",IFERROR(TEXT(INDEX(Sprints!$B$5:$B$8,MATCH(I189,Sprints!$A$5:$A$8,0)),"dd/mm")&amp;" – "&amp;TEXT(INDEX(Sprints!$C$5:$C$8,MATCH(I189,Sprints!$A$5:$A$8,0)),"dd/mm"),""))</f>
        <v/>
      </c>
      <c r="M189" s="53" t="str">
        <f ca="1">IF(G189="","",IFERROR(IF(AND(L189&lt;&gt;"Done",TODAY()&gt;INDEX(Sprints!$C$5:$C$8,MATCH(I189,Sprints!$A$5:$A$8,0))),"Trễ",""),""))</f>
        <v/>
      </c>
    </row>
    <row r="190" spans="10:13" x14ac:dyDescent="0.3">
      <c r="J190" s="53" t="str">
        <f>IF(I190="","",IFERROR(TEXT(INDEX(Sprints!$B$5:$B$8,MATCH(I190,Sprints!$A$5:$A$8,0)),"dd/mm")&amp;" – "&amp;TEXT(INDEX(Sprints!$C$5:$C$8,MATCH(I190,Sprints!$A$5:$A$8,0)),"dd/mm"),""))</f>
        <v/>
      </c>
      <c r="M190" s="53" t="str">
        <f ca="1">IF(G190="","",IFERROR(IF(AND(L190&lt;&gt;"Done",TODAY()&gt;INDEX(Sprints!$C$5:$C$8,MATCH(I190,Sprints!$A$5:$A$8,0))),"Trễ",""),""))</f>
        <v/>
      </c>
    </row>
    <row r="191" spans="10:13" x14ac:dyDescent="0.3">
      <c r="J191" s="53" t="str">
        <f>IF(I191="","",IFERROR(TEXT(INDEX(Sprints!$B$5:$B$8,MATCH(I191,Sprints!$A$5:$A$8,0)),"dd/mm")&amp;" – "&amp;TEXT(INDEX(Sprints!$C$5:$C$8,MATCH(I191,Sprints!$A$5:$A$8,0)),"dd/mm"),""))</f>
        <v/>
      </c>
      <c r="M191" s="53" t="str">
        <f ca="1">IF(G191="","",IFERROR(IF(AND(L191&lt;&gt;"Done",TODAY()&gt;INDEX(Sprints!$C$5:$C$8,MATCH(I191,Sprints!$A$5:$A$8,0))),"Trễ",""),""))</f>
        <v/>
      </c>
    </row>
    <row r="192" spans="10:13" x14ac:dyDescent="0.3">
      <c r="J192" s="53" t="str">
        <f>IF(I192="","",IFERROR(TEXT(INDEX(Sprints!$B$5:$B$8,MATCH(I192,Sprints!$A$5:$A$8,0)),"dd/mm")&amp;" – "&amp;TEXT(INDEX(Sprints!$C$5:$C$8,MATCH(I192,Sprints!$A$5:$A$8,0)),"dd/mm"),""))</f>
        <v/>
      </c>
      <c r="M192" s="53" t="str">
        <f ca="1">IF(G192="","",IFERROR(IF(AND(L192&lt;&gt;"Done",TODAY()&gt;INDEX(Sprints!$C$5:$C$8,MATCH(I192,Sprints!$A$5:$A$8,0))),"Trễ",""),""))</f>
        <v/>
      </c>
    </row>
    <row r="193" spans="10:13" x14ac:dyDescent="0.3">
      <c r="J193" s="53" t="str">
        <f>IF(I193="","",IFERROR(TEXT(INDEX(Sprints!$B$5:$B$8,MATCH(I193,Sprints!$A$5:$A$8,0)),"dd/mm")&amp;" – "&amp;TEXT(INDEX(Sprints!$C$5:$C$8,MATCH(I193,Sprints!$A$5:$A$8,0)),"dd/mm"),""))</f>
        <v/>
      </c>
      <c r="M193" s="53" t="str">
        <f ca="1">IF(G193="","",IFERROR(IF(AND(L193&lt;&gt;"Done",TODAY()&gt;INDEX(Sprints!$C$5:$C$8,MATCH(I193,Sprints!$A$5:$A$8,0))),"Trễ",""),""))</f>
        <v/>
      </c>
    </row>
    <row r="194" spans="10:13" x14ac:dyDescent="0.3">
      <c r="J194" s="53" t="str">
        <f>IF(I194="","",IFERROR(TEXT(INDEX(Sprints!$B$5:$B$8,MATCH(I194,Sprints!$A$5:$A$8,0)),"dd/mm")&amp;" – "&amp;TEXT(INDEX(Sprints!$C$5:$C$8,MATCH(I194,Sprints!$A$5:$A$8,0)),"dd/mm"),""))</f>
        <v/>
      </c>
      <c r="M194" s="53" t="str">
        <f ca="1">IF(G194="","",IFERROR(IF(AND(L194&lt;&gt;"Done",TODAY()&gt;INDEX(Sprints!$C$5:$C$8,MATCH(I194,Sprints!$A$5:$A$8,0))),"Trễ",""),""))</f>
        <v/>
      </c>
    </row>
    <row r="195" spans="10:13" x14ac:dyDescent="0.3">
      <c r="J195" s="53" t="str">
        <f>IF(I195="","",IFERROR(TEXT(INDEX(Sprints!$B$5:$B$8,MATCH(I195,Sprints!$A$5:$A$8,0)),"dd/mm")&amp;" – "&amp;TEXT(INDEX(Sprints!$C$5:$C$8,MATCH(I195,Sprints!$A$5:$A$8,0)),"dd/mm"),""))</f>
        <v/>
      </c>
      <c r="M195" s="53" t="str">
        <f ca="1">IF(G195="","",IFERROR(IF(AND(L195&lt;&gt;"Done",TODAY()&gt;INDEX(Sprints!$C$5:$C$8,MATCH(I195,Sprints!$A$5:$A$8,0))),"Trễ",""),""))</f>
        <v/>
      </c>
    </row>
    <row r="196" spans="10:13" x14ac:dyDescent="0.3">
      <c r="J196" s="53" t="str">
        <f>IF(I196="","",IFERROR(TEXT(INDEX(Sprints!$B$5:$B$8,MATCH(I196,Sprints!$A$5:$A$8,0)),"dd/mm")&amp;" – "&amp;TEXT(INDEX(Sprints!$C$5:$C$8,MATCH(I196,Sprints!$A$5:$A$8,0)),"dd/mm"),""))</f>
        <v/>
      </c>
      <c r="M196" s="53" t="str">
        <f ca="1">IF(G196="","",IFERROR(IF(AND(L196&lt;&gt;"Done",TODAY()&gt;INDEX(Sprints!$C$5:$C$8,MATCH(I196,Sprints!$A$5:$A$8,0))),"Trễ",""),""))</f>
        <v/>
      </c>
    </row>
    <row r="197" spans="10:13" x14ac:dyDescent="0.3">
      <c r="J197" s="53" t="str">
        <f>IF(I197="","",IFERROR(TEXT(INDEX(Sprints!$B$5:$B$8,MATCH(I197,Sprints!$A$5:$A$8,0)),"dd/mm")&amp;" – "&amp;TEXT(INDEX(Sprints!$C$5:$C$8,MATCH(I197,Sprints!$A$5:$A$8,0)),"dd/mm"),""))</f>
        <v/>
      </c>
      <c r="M197" s="53" t="str">
        <f ca="1">IF(G197="","",IFERROR(IF(AND(L197&lt;&gt;"Done",TODAY()&gt;INDEX(Sprints!$C$5:$C$8,MATCH(I197,Sprints!$A$5:$A$8,0))),"Trễ",""),""))</f>
        <v/>
      </c>
    </row>
    <row r="198" spans="10:13" x14ac:dyDescent="0.3">
      <c r="J198" s="53" t="str">
        <f>IF(I198="","",IFERROR(TEXT(INDEX(Sprints!$B$5:$B$8,MATCH(I198,Sprints!$A$5:$A$8,0)),"dd/mm")&amp;" – "&amp;TEXT(INDEX(Sprints!$C$5:$C$8,MATCH(I198,Sprints!$A$5:$A$8,0)),"dd/mm"),""))</f>
        <v/>
      </c>
      <c r="M198" s="53" t="str">
        <f ca="1">IF(G198="","",IFERROR(IF(AND(L198&lt;&gt;"Done",TODAY()&gt;INDEX(Sprints!$C$5:$C$8,MATCH(I198,Sprints!$A$5:$A$8,0))),"Trễ",""),""))</f>
        <v/>
      </c>
    </row>
    <row r="199" spans="10:13" x14ac:dyDescent="0.3">
      <c r="J199" s="53" t="str">
        <f>IF(I199="","",IFERROR(TEXT(INDEX(Sprints!$B$5:$B$8,MATCH(I199,Sprints!$A$5:$A$8,0)),"dd/mm")&amp;" – "&amp;TEXT(INDEX(Sprints!$C$5:$C$8,MATCH(I199,Sprints!$A$5:$A$8,0)),"dd/mm"),""))</f>
        <v/>
      </c>
      <c r="M199" s="53" t="str">
        <f ca="1">IF(G199="","",IFERROR(IF(AND(L199&lt;&gt;"Done",TODAY()&gt;INDEX(Sprints!$C$5:$C$8,MATCH(I199,Sprints!$A$5:$A$8,0))),"Trễ",""),""))</f>
        <v/>
      </c>
    </row>
    <row r="200" spans="10:13" x14ac:dyDescent="0.3">
      <c r="J200" s="53" t="str">
        <f>IF(I200="","",IFERROR(TEXT(INDEX(Sprints!$B$5:$B$8,MATCH(I200,Sprints!$A$5:$A$8,0)),"dd/mm")&amp;" – "&amp;TEXT(INDEX(Sprints!$C$5:$C$8,MATCH(I200,Sprints!$A$5:$A$8,0)),"dd/mm"),""))</f>
        <v/>
      </c>
      <c r="M200" s="53" t="str">
        <f ca="1">IF(G200="","",IFERROR(IF(AND(L200&lt;&gt;"Done",TODAY()&gt;INDEX(Sprints!$C$5:$C$8,MATCH(I200,Sprints!$A$5:$A$8,0))),"Trễ",""),""))</f>
        <v/>
      </c>
    </row>
    <row r="201" spans="10:13" x14ac:dyDescent="0.3">
      <c r="J201" s="53" t="str">
        <f>IF(I201="","",IFERROR(TEXT(INDEX(Sprints!$B$5:$B$8,MATCH(I201,Sprints!$A$5:$A$8,0)),"dd/mm")&amp;" – "&amp;TEXT(INDEX(Sprints!$C$5:$C$8,MATCH(I201,Sprints!$A$5:$A$8,0)),"dd/mm"),""))</f>
        <v/>
      </c>
      <c r="M201" s="53" t="str">
        <f ca="1">IF(G201="","",IFERROR(IF(AND(L201&lt;&gt;"Done",TODAY()&gt;INDEX(Sprints!$C$5:$C$8,MATCH(I201,Sprints!$A$5:$A$8,0))),"Trễ",""),""))</f>
        <v/>
      </c>
    </row>
    <row r="202" spans="10:13" x14ac:dyDescent="0.3">
      <c r="J202" s="53" t="str">
        <f>IF(I202="","",IFERROR(TEXT(INDEX(Sprints!$B$5:$B$8,MATCH(I202,Sprints!$A$5:$A$8,0)),"dd/mm")&amp;" – "&amp;TEXT(INDEX(Sprints!$C$5:$C$8,MATCH(I202,Sprints!$A$5:$A$8,0)),"dd/mm"),""))</f>
        <v/>
      </c>
      <c r="M202" s="53" t="str">
        <f ca="1">IF(G202="","",IFERROR(IF(AND(L202&lt;&gt;"Done",TODAY()&gt;INDEX(Sprints!$C$5:$C$8,MATCH(I202,Sprints!$A$5:$A$8,0))),"Trễ",""),""))</f>
        <v/>
      </c>
    </row>
    <row r="203" spans="10:13" x14ac:dyDescent="0.3">
      <c r="J203" s="53" t="str">
        <f>IF(I203="","",IFERROR(TEXT(INDEX(Sprints!$B$5:$B$8,MATCH(I203,Sprints!$A$5:$A$8,0)),"dd/mm")&amp;" – "&amp;TEXT(INDEX(Sprints!$C$5:$C$8,MATCH(I203,Sprints!$A$5:$A$8,0)),"dd/mm"),""))</f>
        <v/>
      </c>
      <c r="M203" s="53" t="str">
        <f ca="1">IF(G203="","",IFERROR(IF(AND(L203&lt;&gt;"Done",TODAY()&gt;INDEX(Sprints!$C$5:$C$8,MATCH(I203,Sprints!$A$5:$A$8,0))),"Trễ",""),""))</f>
        <v/>
      </c>
    </row>
    <row r="204" spans="10:13" x14ac:dyDescent="0.3">
      <c r="J204" s="53" t="str">
        <f>IF(I204="","",IFERROR(TEXT(INDEX(Sprints!$B$5:$B$8,MATCH(I204,Sprints!$A$5:$A$8,0)),"dd/mm")&amp;" – "&amp;TEXT(INDEX(Sprints!$C$5:$C$8,MATCH(I204,Sprints!$A$5:$A$8,0)),"dd/mm"),""))</f>
        <v/>
      </c>
      <c r="M204" s="53" t="str">
        <f ca="1">IF(G204="","",IFERROR(IF(AND(L204&lt;&gt;"Done",TODAY()&gt;INDEX(Sprints!$C$5:$C$8,MATCH(I204,Sprints!$A$5:$A$8,0))),"Trễ",""),""))</f>
        <v/>
      </c>
    </row>
    <row r="205" spans="10:13" x14ac:dyDescent="0.3">
      <c r="J205" s="53" t="str">
        <f>IF(I205="","",IFERROR(TEXT(INDEX(Sprints!$B$5:$B$8,MATCH(I205,Sprints!$A$5:$A$8,0)),"dd/mm")&amp;" – "&amp;TEXT(INDEX(Sprints!$C$5:$C$8,MATCH(I205,Sprints!$A$5:$A$8,0)),"dd/mm"),""))</f>
        <v/>
      </c>
      <c r="M205" s="53" t="str">
        <f ca="1">IF(G205="","",IFERROR(IF(AND(L205&lt;&gt;"Done",TODAY()&gt;INDEX(Sprints!$C$5:$C$8,MATCH(I205,Sprints!$A$5:$A$8,0))),"Trễ",""),""))</f>
        <v/>
      </c>
    </row>
    <row r="206" spans="10:13" x14ac:dyDescent="0.3">
      <c r="J206" s="53" t="str">
        <f>IF(I206="","",IFERROR(TEXT(INDEX(Sprints!$B$5:$B$8,MATCH(I206,Sprints!$A$5:$A$8,0)),"dd/mm")&amp;" – "&amp;TEXT(INDEX(Sprints!$C$5:$C$8,MATCH(I206,Sprints!$A$5:$A$8,0)),"dd/mm"),""))</f>
        <v/>
      </c>
      <c r="M206" s="53" t="str">
        <f ca="1">IF(G206="","",IFERROR(IF(AND(L206&lt;&gt;"Done",TODAY()&gt;INDEX(Sprints!$C$5:$C$8,MATCH(I206,Sprints!$A$5:$A$8,0))),"Trễ",""),""))</f>
        <v/>
      </c>
    </row>
    <row r="207" spans="10:13" x14ac:dyDescent="0.3">
      <c r="J207" s="53" t="str">
        <f>IF(I207="","",IFERROR(TEXT(INDEX(Sprints!$B$5:$B$8,MATCH(I207,Sprints!$A$5:$A$8,0)),"dd/mm")&amp;" – "&amp;TEXT(INDEX(Sprints!$C$5:$C$8,MATCH(I207,Sprints!$A$5:$A$8,0)),"dd/mm"),""))</f>
        <v/>
      </c>
      <c r="M207" s="53" t="str">
        <f ca="1">IF(G207="","",IFERROR(IF(AND(L207&lt;&gt;"Done",TODAY()&gt;INDEX(Sprints!$C$5:$C$8,MATCH(I207,Sprints!$A$5:$A$8,0))),"Trễ",""),""))</f>
        <v/>
      </c>
    </row>
    <row r="208" spans="10:13" x14ac:dyDescent="0.3">
      <c r="J208" s="53" t="str">
        <f>IF(I208="","",IFERROR(TEXT(INDEX(Sprints!$B$5:$B$8,MATCH(I208,Sprints!$A$5:$A$8,0)),"dd/mm")&amp;" – "&amp;TEXT(INDEX(Sprints!$C$5:$C$8,MATCH(I208,Sprints!$A$5:$A$8,0)),"dd/mm"),""))</f>
        <v/>
      </c>
      <c r="M208" s="53" t="str">
        <f ca="1">IF(G208="","",IFERROR(IF(AND(L208&lt;&gt;"Done",TODAY()&gt;INDEX(Sprints!$C$5:$C$8,MATCH(I208,Sprints!$A$5:$A$8,0))),"Trễ",""),""))</f>
        <v/>
      </c>
    </row>
    <row r="209" spans="10:13" x14ac:dyDescent="0.3">
      <c r="J209" s="53" t="str">
        <f>IF(I209="","",IFERROR(TEXT(INDEX(Sprints!$B$5:$B$8,MATCH(I209,Sprints!$A$5:$A$8,0)),"dd/mm")&amp;" – "&amp;TEXT(INDEX(Sprints!$C$5:$C$8,MATCH(I209,Sprints!$A$5:$A$8,0)),"dd/mm"),""))</f>
        <v/>
      </c>
      <c r="M209" s="53" t="str">
        <f ca="1">IF(G209="","",IFERROR(IF(AND(L209&lt;&gt;"Done",TODAY()&gt;INDEX(Sprints!$C$5:$C$8,MATCH(I209,Sprints!$A$5:$A$8,0))),"Trễ",""),""))</f>
        <v/>
      </c>
    </row>
    <row r="210" spans="10:13" x14ac:dyDescent="0.3">
      <c r="J210" s="53" t="str">
        <f>IF(I210="","",IFERROR(TEXT(INDEX(Sprints!$B$5:$B$8,MATCH(I210,Sprints!$A$5:$A$8,0)),"dd/mm")&amp;" – "&amp;TEXT(INDEX(Sprints!$C$5:$C$8,MATCH(I210,Sprints!$A$5:$A$8,0)),"dd/mm"),""))</f>
        <v/>
      </c>
      <c r="M210" s="53" t="str">
        <f ca="1">IF(G210="","",IFERROR(IF(AND(L210&lt;&gt;"Done",TODAY()&gt;INDEX(Sprints!$C$5:$C$8,MATCH(I210,Sprints!$A$5:$A$8,0))),"Trễ",""),""))</f>
        <v/>
      </c>
    </row>
    <row r="211" spans="10:13" x14ac:dyDescent="0.3">
      <c r="J211" s="53" t="str">
        <f>IF(I211="","",IFERROR(TEXT(INDEX(Sprints!$B$5:$B$8,MATCH(I211,Sprints!$A$5:$A$8,0)),"dd/mm")&amp;" – "&amp;TEXT(INDEX(Sprints!$C$5:$C$8,MATCH(I211,Sprints!$A$5:$A$8,0)),"dd/mm"),""))</f>
        <v/>
      </c>
      <c r="M211" s="53" t="str">
        <f ca="1">IF(G211="","",IFERROR(IF(AND(L211&lt;&gt;"Done",TODAY()&gt;INDEX(Sprints!$C$5:$C$8,MATCH(I211,Sprints!$A$5:$A$8,0))),"Trễ",""),""))</f>
        <v/>
      </c>
    </row>
    <row r="212" spans="10:13" x14ac:dyDescent="0.3">
      <c r="J212" s="53" t="str">
        <f>IF(I212="","",IFERROR(TEXT(INDEX(Sprints!$B$5:$B$8,MATCH(I212,Sprints!$A$5:$A$8,0)),"dd/mm")&amp;" – "&amp;TEXT(INDEX(Sprints!$C$5:$C$8,MATCH(I212,Sprints!$A$5:$A$8,0)),"dd/mm"),""))</f>
        <v/>
      </c>
      <c r="M212" s="53" t="str">
        <f ca="1">IF(G212="","",IFERROR(IF(AND(L212&lt;&gt;"Done",TODAY()&gt;INDEX(Sprints!$C$5:$C$8,MATCH(I212,Sprints!$A$5:$A$8,0))),"Trễ",""),""))</f>
        <v/>
      </c>
    </row>
    <row r="213" spans="10:13" x14ac:dyDescent="0.3">
      <c r="J213" s="53" t="str">
        <f>IF(I213="","",IFERROR(TEXT(INDEX(Sprints!$B$5:$B$8,MATCH(I213,Sprints!$A$5:$A$8,0)),"dd/mm")&amp;" – "&amp;TEXT(INDEX(Sprints!$C$5:$C$8,MATCH(I213,Sprints!$A$5:$A$8,0)),"dd/mm"),""))</f>
        <v/>
      </c>
      <c r="M213" s="53" t="str">
        <f ca="1">IF(G213="","",IFERROR(IF(AND(L213&lt;&gt;"Done",TODAY()&gt;INDEX(Sprints!$C$5:$C$8,MATCH(I213,Sprints!$A$5:$A$8,0))),"Trễ",""),""))</f>
        <v/>
      </c>
    </row>
    <row r="214" spans="10:13" x14ac:dyDescent="0.3">
      <c r="J214" s="53" t="str">
        <f>IF(I214="","",IFERROR(TEXT(INDEX(Sprints!$B$5:$B$8,MATCH(I214,Sprints!$A$5:$A$8,0)),"dd/mm")&amp;" – "&amp;TEXT(INDEX(Sprints!$C$5:$C$8,MATCH(I214,Sprints!$A$5:$A$8,0)),"dd/mm"),""))</f>
        <v/>
      </c>
      <c r="M214" s="53" t="str">
        <f ca="1">IF(G214="","",IFERROR(IF(AND(L214&lt;&gt;"Done",TODAY()&gt;INDEX(Sprints!$C$5:$C$8,MATCH(I214,Sprints!$A$5:$A$8,0))),"Trễ",""),""))</f>
        <v/>
      </c>
    </row>
    <row r="215" spans="10:13" x14ac:dyDescent="0.3">
      <c r="J215" s="53" t="str">
        <f>IF(I215="","",IFERROR(TEXT(INDEX(Sprints!$B$5:$B$8,MATCH(I215,Sprints!$A$5:$A$8,0)),"dd/mm")&amp;" – "&amp;TEXT(INDEX(Sprints!$C$5:$C$8,MATCH(I215,Sprints!$A$5:$A$8,0)),"dd/mm"),""))</f>
        <v/>
      </c>
      <c r="M215" s="53" t="str">
        <f ca="1">IF(G215="","",IFERROR(IF(AND(L215&lt;&gt;"Done",TODAY()&gt;INDEX(Sprints!$C$5:$C$8,MATCH(I215,Sprints!$A$5:$A$8,0))),"Trễ",""),""))</f>
        <v/>
      </c>
    </row>
    <row r="216" spans="10:13" x14ac:dyDescent="0.3">
      <c r="J216" s="53" t="str">
        <f>IF(I216="","",IFERROR(TEXT(INDEX(Sprints!$B$5:$B$8,MATCH(I216,Sprints!$A$5:$A$8,0)),"dd/mm")&amp;" – "&amp;TEXT(INDEX(Sprints!$C$5:$C$8,MATCH(I216,Sprints!$A$5:$A$8,0)),"dd/mm"),""))</f>
        <v/>
      </c>
      <c r="M216" s="53" t="str">
        <f ca="1">IF(G216="","",IFERROR(IF(AND(L216&lt;&gt;"Done",TODAY()&gt;INDEX(Sprints!$C$5:$C$8,MATCH(I216,Sprints!$A$5:$A$8,0))),"Trễ",""),""))</f>
        <v/>
      </c>
    </row>
    <row r="217" spans="10:13" x14ac:dyDescent="0.3">
      <c r="J217" s="53" t="str">
        <f>IF(I217="","",IFERROR(TEXT(INDEX(Sprints!$B$5:$B$8,MATCH(I217,Sprints!$A$5:$A$8,0)),"dd/mm")&amp;" – "&amp;TEXT(INDEX(Sprints!$C$5:$C$8,MATCH(I217,Sprints!$A$5:$A$8,0)),"dd/mm"),""))</f>
        <v/>
      </c>
      <c r="M217" s="53" t="str">
        <f ca="1">IF(G217="","",IFERROR(IF(AND(L217&lt;&gt;"Done",TODAY()&gt;INDEX(Sprints!$C$5:$C$8,MATCH(I217,Sprints!$A$5:$A$8,0))),"Trễ",""),""))</f>
        <v/>
      </c>
    </row>
    <row r="218" spans="10:13" x14ac:dyDescent="0.3">
      <c r="J218" s="53" t="str">
        <f>IF(I218="","",IFERROR(TEXT(INDEX(Sprints!$B$5:$B$8,MATCH(I218,Sprints!$A$5:$A$8,0)),"dd/mm")&amp;" – "&amp;TEXT(INDEX(Sprints!$C$5:$C$8,MATCH(I218,Sprints!$A$5:$A$8,0)),"dd/mm"),""))</f>
        <v/>
      </c>
      <c r="M218" s="53" t="str">
        <f ca="1">IF(G218="","",IFERROR(IF(AND(L218&lt;&gt;"Done",TODAY()&gt;INDEX(Sprints!$C$5:$C$8,MATCH(I218,Sprints!$A$5:$A$8,0))),"Trễ",""),""))</f>
        <v/>
      </c>
    </row>
    <row r="219" spans="10:13" x14ac:dyDescent="0.3">
      <c r="J219" s="53" t="str">
        <f>IF(I219="","",IFERROR(TEXT(INDEX(Sprints!$B$5:$B$8,MATCH(I219,Sprints!$A$5:$A$8,0)),"dd/mm")&amp;" – "&amp;TEXT(INDEX(Sprints!$C$5:$C$8,MATCH(I219,Sprints!$A$5:$A$8,0)),"dd/mm"),""))</f>
        <v/>
      </c>
      <c r="M219" s="53" t="str">
        <f ca="1">IF(G219="","",IFERROR(IF(AND(L219&lt;&gt;"Done",TODAY()&gt;INDEX(Sprints!$C$5:$C$8,MATCH(I219,Sprints!$A$5:$A$8,0))),"Trễ",""),""))</f>
        <v/>
      </c>
    </row>
    <row r="220" spans="10:13" x14ac:dyDescent="0.3">
      <c r="J220" s="53" t="str">
        <f>IF(I220="","",IFERROR(TEXT(INDEX(Sprints!$B$5:$B$8,MATCH(I220,Sprints!$A$5:$A$8,0)),"dd/mm")&amp;" – "&amp;TEXT(INDEX(Sprints!$C$5:$C$8,MATCH(I220,Sprints!$A$5:$A$8,0)),"dd/mm"),""))</f>
        <v/>
      </c>
      <c r="M220" s="53" t="str">
        <f ca="1">IF(G220="","",IFERROR(IF(AND(L220&lt;&gt;"Done",TODAY()&gt;INDEX(Sprints!$C$5:$C$8,MATCH(I220,Sprints!$A$5:$A$8,0))),"Trễ",""),""))</f>
        <v/>
      </c>
    </row>
    <row r="221" spans="10:13" x14ac:dyDescent="0.3">
      <c r="J221" s="53" t="str">
        <f>IF(I221="","",IFERROR(TEXT(INDEX(Sprints!$B$5:$B$8,MATCH(I221,Sprints!$A$5:$A$8,0)),"dd/mm")&amp;" – "&amp;TEXT(INDEX(Sprints!$C$5:$C$8,MATCH(I221,Sprints!$A$5:$A$8,0)),"dd/mm"),""))</f>
        <v/>
      </c>
      <c r="M221" s="53" t="str">
        <f ca="1">IF(G221="","",IFERROR(IF(AND(L221&lt;&gt;"Done",TODAY()&gt;INDEX(Sprints!$C$5:$C$8,MATCH(I221,Sprints!$A$5:$A$8,0))),"Trễ",""),""))</f>
        <v/>
      </c>
    </row>
    <row r="222" spans="10:13" x14ac:dyDescent="0.3">
      <c r="J222" s="53" t="str">
        <f>IF(I222="","",IFERROR(TEXT(INDEX(Sprints!$B$5:$B$8,MATCH(I222,Sprints!$A$5:$A$8,0)),"dd/mm")&amp;" – "&amp;TEXT(INDEX(Sprints!$C$5:$C$8,MATCH(I222,Sprints!$A$5:$A$8,0)),"dd/mm"),""))</f>
        <v/>
      </c>
      <c r="M222" s="53" t="str">
        <f ca="1">IF(G222="","",IFERROR(IF(AND(L222&lt;&gt;"Done",TODAY()&gt;INDEX(Sprints!$C$5:$C$8,MATCH(I222,Sprints!$A$5:$A$8,0))),"Trễ",""),""))</f>
        <v/>
      </c>
    </row>
    <row r="223" spans="10:13" x14ac:dyDescent="0.3">
      <c r="J223" s="53" t="str">
        <f>IF(I223="","",IFERROR(TEXT(INDEX(Sprints!$B$5:$B$8,MATCH(I223,Sprints!$A$5:$A$8,0)),"dd/mm")&amp;" – "&amp;TEXT(INDEX(Sprints!$C$5:$C$8,MATCH(I223,Sprints!$A$5:$A$8,0)),"dd/mm"),""))</f>
        <v/>
      </c>
      <c r="M223" s="53" t="str">
        <f ca="1">IF(G223="","",IFERROR(IF(AND(L223&lt;&gt;"Done",TODAY()&gt;INDEX(Sprints!$C$5:$C$8,MATCH(I223,Sprints!$A$5:$A$8,0))),"Trễ",""),""))</f>
        <v/>
      </c>
    </row>
    <row r="224" spans="10:13" x14ac:dyDescent="0.3">
      <c r="J224" s="53" t="str">
        <f>IF(I224="","",IFERROR(TEXT(INDEX(Sprints!$B$5:$B$8,MATCH(I224,Sprints!$A$5:$A$8,0)),"dd/mm")&amp;" – "&amp;TEXT(INDEX(Sprints!$C$5:$C$8,MATCH(I224,Sprints!$A$5:$A$8,0)),"dd/mm"),""))</f>
        <v/>
      </c>
      <c r="M224" s="53" t="str">
        <f ca="1">IF(G224="","",IFERROR(IF(AND(L224&lt;&gt;"Done",TODAY()&gt;INDEX(Sprints!$C$5:$C$8,MATCH(I224,Sprints!$A$5:$A$8,0))),"Trễ",""),""))</f>
        <v/>
      </c>
    </row>
    <row r="225" spans="10:13" x14ac:dyDescent="0.3">
      <c r="J225" s="53" t="str">
        <f>IF(I225="","",IFERROR(TEXT(INDEX(Sprints!$B$5:$B$8,MATCH(I225,Sprints!$A$5:$A$8,0)),"dd/mm")&amp;" – "&amp;TEXT(INDEX(Sprints!$C$5:$C$8,MATCH(I225,Sprints!$A$5:$A$8,0)),"dd/mm"),""))</f>
        <v/>
      </c>
      <c r="M225" s="53" t="str">
        <f ca="1">IF(G225="","",IFERROR(IF(AND(L225&lt;&gt;"Done",TODAY()&gt;INDEX(Sprints!$C$5:$C$8,MATCH(I225,Sprints!$A$5:$A$8,0))),"Trễ",""),""))</f>
        <v/>
      </c>
    </row>
    <row r="226" spans="10:13" x14ac:dyDescent="0.3">
      <c r="J226" s="53" t="str">
        <f>IF(I226="","",IFERROR(TEXT(INDEX(Sprints!$B$5:$B$8,MATCH(I226,Sprints!$A$5:$A$8,0)),"dd/mm")&amp;" – "&amp;TEXT(INDEX(Sprints!$C$5:$C$8,MATCH(I226,Sprints!$A$5:$A$8,0)),"dd/mm"),""))</f>
        <v/>
      </c>
      <c r="M226" s="53" t="str">
        <f ca="1">IF(G226="","",IFERROR(IF(AND(L226&lt;&gt;"Done",TODAY()&gt;INDEX(Sprints!$C$5:$C$8,MATCH(I226,Sprints!$A$5:$A$8,0))),"Trễ",""),""))</f>
        <v/>
      </c>
    </row>
    <row r="227" spans="10:13" x14ac:dyDescent="0.3">
      <c r="J227" s="53" t="str">
        <f>IF(I227="","",IFERROR(TEXT(INDEX(Sprints!$B$5:$B$8,MATCH(I227,Sprints!$A$5:$A$8,0)),"dd/mm")&amp;" – "&amp;TEXT(INDEX(Sprints!$C$5:$C$8,MATCH(I227,Sprints!$A$5:$A$8,0)),"dd/mm"),""))</f>
        <v/>
      </c>
      <c r="M227" s="53" t="str">
        <f ca="1">IF(G227="","",IFERROR(IF(AND(L227&lt;&gt;"Done",TODAY()&gt;INDEX(Sprints!$C$5:$C$8,MATCH(I227,Sprints!$A$5:$A$8,0))),"Trễ",""),""))</f>
        <v/>
      </c>
    </row>
    <row r="228" spans="10:13" x14ac:dyDescent="0.3">
      <c r="J228" s="53" t="str">
        <f>IF(I228="","",IFERROR(TEXT(INDEX(Sprints!$B$5:$B$8,MATCH(I228,Sprints!$A$5:$A$8,0)),"dd/mm")&amp;" – "&amp;TEXT(INDEX(Sprints!$C$5:$C$8,MATCH(I228,Sprints!$A$5:$A$8,0)),"dd/mm"),""))</f>
        <v/>
      </c>
      <c r="M228" s="53" t="str">
        <f ca="1">IF(G228="","",IFERROR(IF(AND(L228&lt;&gt;"Done",TODAY()&gt;INDEX(Sprints!$C$5:$C$8,MATCH(I228,Sprints!$A$5:$A$8,0))),"Trễ",""),""))</f>
        <v/>
      </c>
    </row>
    <row r="229" spans="10:13" x14ac:dyDescent="0.3">
      <c r="J229" s="53" t="str">
        <f>IF(I229="","",IFERROR(TEXT(INDEX(Sprints!$B$5:$B$8,MATCH(I229,Sprints!$A$5:$A$8,0)),"dd/mm")&amp;" – "&amp;TEXT(INDEX(Sprints!$C$5:$C$8,MATCH(I229,Sprints!$A$5:$A$8,0)),"dd/mm"),""))</f>
        <v/>
      </c>
      <c r="M229" s="53" t="str">
        <f ca="1">IF(G229="","",IFERROR(IF(AND(L229&lt;&gt;"Done",TODAY()&gt;INDEX(Sprints!$C$5:$C$8,MATCH(I229,Sprints!$A$5:$A$8,0))),"Trễ",""),""))</f>
        <v/>
      </c>
    </row>
    <row r="230" spans="10:13" x14ac:dyDescent="0.3">
      <c r="J230" s="53" t="str">
        <f>IF(I230="","",IFERROR(TEXT(INDEX(Sprints!$B$5:$B$8,MATCH(I230,Sprints!$A$5:$A$8,0)),"dd/mm")&amp;" – "&amp;TEXT(INDEX(Sprints!$C$5:$C$8,MATCH(I230,Sprints!$A$5:$A$8,0)),"dd/mm"),""))</f>
        <v/>
      </c>
      <c r="M230" s="53" t="str">
        <f ca="1">IF(G230="","",IFERROR(IF(AND(L230&lt;&gt;"Done",TODAY()&gt;INDEX(Sprints!$C$5:$C$8,MATCH(I230,Sprints!$A$5:$A$8,0))),"Trễ",""),""))</f>
        <v/>
      </c>
    </row>
    <row r="231" spans="10:13" x14ac:dyDescent="0.3">
      <c r="J231" s="53" t="str">
        <f>IF(I231="","",IFERROR(TEXT(INDEX(Sprints!$B$5:$B$8,MATCH(I231,Sprints!$A$5:$A$8,0)),"dd/mm")&amp;" – "&amp;TEXT(INDEX(Sprints!$C$5:$C$8,MATCH(I231,Sprints!$A$5:$A$8,0)),"dd/mm"),""))</f>
        <v/>
      </c>
      <c r="M231" s="53" t="str">
        <f ca="1">IF(G231="","",IFERROR(IF(AND(L231&lt;&gt;"Done",TODAY()&gt;INDEX(Sprints!$C$5:$C$8,MATCH(I231,Sprints!$A$5:$A$8,0))),"Trễ",""),""))</f>
        <v/>
      </c>
    </row>
    <row r="232" spans="10:13" x14ac:dyDescent="0.3">
      <c r="J232" s="53" t="str">
        <f>IF(I232="","",IFERROR(TEXT(INDEX(Sprints!$B$5:$B$8,MATCH(I232,Sprints!$A$5:$A$8,0)),"dd/mm")&amp;" – "&amp;TEXT(INDEX(Sprints!$C$5:$C$8,MATCH(I232,Sprints!$A$5:$A$8,0)),"dd/mm"),""))</f>
        <v/>
      </c>
      <c r="M232" s="53" t="str">
        <f ca="1">IF(G232="","",IFERROR(IF(AND(L232&lt;&gt;"Done",TODAY()&gt;INDEX(Sprints!$C$5:$C$8,MATCH(I232,Sprints!$A$5:$A$8,0))),"Trễ",""),""))</f>
        <v/>
      </c>
    </row>
    <row r="233" spans="10:13" x14ac:dyDescent="0.3">
      <c r="J233" s="53" t="str">
        <f>IF(I233="","",IFERROR(TEXT(INDEX(Sprints!$B$5:$B$8,MATCH(I233,Sprints!$A$5:$A$8,0)),"dd/mm")&amp;" – "&amp;TEXT(INDEX(Sprints!$C$5:$C$8,MATCH(I233,Sprints!$A$5:$A$8,0)),"dd/mm"),""))</f>
        <v/>
      </c>
      <c r="M233" s="53" t="str">
        <f ca="1">IF(G233="","",IFERROR(IF(AND(L233&lt;&gt;"Done",TODAY()&gt;INDEX(Sprints!$C$5:$C$8,MATCH(I233,Sprints!$A$5:$A$8,0))),"Trễ",""),""))</f>
        <v/>
      </c>
    </row>
    <row r="234" spans="10:13" x14ac:dyDescent="0.3">
      <c r="J234" s="53" t="str">
        <f>IF(I234="","",IFERROR(TEXT(INDEX(Sprints!$B$5:$B$8,MATCH(I234,Sprints!$A$5:$A$8,0)),"dd/mm")&amp;" – "&amp;TEXT(INDEX(Sprints!$C$5:$C$8,MATCH(I234,Sprints!$A$5:$A$8,0)),"dd/mm"),""))</f>
        <v/>
      </c>
      <c r="M234" s="53" t="str">
        <f ca="1">IF(G234="","",IFERROR(IF(AND(L234&lt;&gt;"Done",TODAY()&gt;INDEX(Sprints!$C$5:$C$8,MATCH(I234,Sprints!$A$5:$A$8,0))),"Trễ",""),""))</f>
        <v/>
      </c>
    </row>
    <row r="235" spans="10:13" x14ac:dyDescent="0.3">
      <c r="J235" s="53" t="str">
        <f>IF(I235="","",IFERROR(TEXT(INDEX(Sprints!$B$5:$B$8,MATCH(I235,Sprints!$A$5:$A$8,0)),"dd/mm")&amp;" – "&amp;TEXT(INDEX(Sprints!$C$5:$C$8,MATCH(I235,Sprints!$A$5:$A$8,0)),"dd/mm"),""))</f>
        <v/>
      </c>
      <c r="M235" s="53" t="str">
        <f ca="1">IF(G235="","",IFERROR(IF(AND(L235&lt;&gt;"Done",TODAY()&gt;INDEX(Sprints!$C$5:$C$8,MATCH(I235,Sprints!$A$5:$A$8,0))),"Trễ",""),""))</f>
        <v/>
      </c>
    </row>
    <row r="236" spans="10:13" x14ac:dyDescent="0.3">
      <c r="J236" s="53" t="str">
        <f>IF(I236="","",IFERROR(TEXT(INDEX(Sprints!$B$5:$B$8,MATCH(I236,Sprints!$A$5:$A$8,0)),"dd/mm")&amp;" – "&amp;TEXT(INDEX(Sprints!$C$5:$C$8,MATCH(I236,Sprints!$A$5:$A$8,0)),"dd/mm"),""))</f>
        <v/>
      </c>
      <c r="M236" s="53" t="str">
        <f ca="1">IF(G236="","",IFERROR(IF(AND(L236&lt;&gt;"Done",TODAY()&gt;INDEX(Sprints!$C$5:$C$8,MATCH(I236,Sprints!$A$5:$A$8,0))),"Trễ",""),""))</f>
        <v/>
      </c>
    </row>
    <row r="237" spans="10:13" x14ac:dyDescent="0.3">
      <c r="J237" s="53" t="str">
        <f>IF(I237="","",IFERROR(TEXT(INDEX(Sprints!$B$5:$B$8,MATCH(I237,Sprints!$A$5:$A$8,0)),"dd/mm")&amp;" – "&amp;TEXT(INDEX(Sprints!$C$5:$C$8,MATCH(I237,Sprints!$A$5:$A$8,0)),"dd/mm"),""))</f>
        <v/>
      </c>
      <c r="M237" s="53" t="str">
        <f ca="1">IF(G237="","",IFERROR(IF(AND(L237&lt;&gt;"Done",TODAY()&gt;INDEX(Sprints!$C$5:$C$8,MATCH(I237,Sprints!$A$5:$A$8,0))),"Trễ",""),""))</f>
        <v/>
      </c>
    </row>
    <row r="238" spans="10:13" x14ac:dyDescent="0.3">
      <c r="J238" s="53" t="str">
        <f>IF(I238="","",IFERROR(TEXT(INDEX(Sprints!$B$5:$B$8,MATCH(I238,Sprints!$A$5:$A$8,0)),"dd/mm")&amp;" – "&amp;TEXT(INDEX(Sprints!$C$5:$C$8,MATCH(I238,Sprints!$A$5:$A$8,0)),"dd/mm"),""))</f>
        <v/>
      </c>
      <c r="M238" s="53" t="str">
        <f ca="1">IF(G238="","",IFERROR(IF(AND(L238&lt;&gt;"Done",TODAY()&gt;INDEX(Sprints!$C$5:$C$8,MATCH(I238,Sprints!$A$5:$A$8,0))),"Trễ",""),""))</f>
        <v/>
      </c>
    </row>
    <row r="239" spans="10:13" x14ac:dyDescent="0.3">
      <c r="J239" s="53" t="str">
        <f>IF(I239="","",IFERROR(TEXT(INDEX(Sprints!$B$5:$B$8,MATCH(I239,Sprints!$A$5:$A$8,0)),"dd/mm")&amp;" – "&amp;TEXT(INDEX(Sprints!$C$5:$C$8,MATCH(I239,Sprints!$A$5:$A$8,0)),"dd/mm"),""))</f>
        <v/>
      </c>
      <c r="M239" s="53" t="str">
        <f ca="1">IF(G239="","",IFERROR(IF(AND(L239&lt;&gt;"Done",TODAY()&gt;INDEX(Sprints!$C$5:$C$8,MATCH(I239,Sprints!$A$5:$A$8,0))),"Trễ",""),""))</f>
        <v/>
      </c>
    </row>
    <row r="240" spans="10:13" x14ac:dyDescent="0.3">
      <c r="J240" s="53" t="str">
        <f>IF(I240="","",IFERROR(TEXT(INDEX(Sprints!$B$5:$B$8,MATCH(I240,Sprints!$A$5:$A$8,0)),"dd/mm")&amp;" – "&amp;TEXT(INDEX(Sprints!$C$5:$C$8,MATCH(I240,Sprints!$A$5:$A$8,0)),"dd/mm"),""))</f>
        <v/>
      </c>
      <c r="M240" s="53" t="str">
        <f ca="1">IF(G240="","",IFERROR(IF(AND(L240&lt;&gt;"Done",TODAY()&gt;INDEX(Sprints!$C$5:$C$8,MATCH(I240,Sprints!$A$5:$A$8,0))),"Trễ",""),""))</f>
        <v/>
      </c>
    </row>
    <row r="241" spans="10:13" x14ac:dyDescent="0.3">
      <c r="J241" s="53" t="str">
        <f>IF(I241="","",IFERROR(TEXT(INDEX(Sprints!$B$5:$B$8,MATCH(I241,Sprints!$A$5:$A$8,0)),"dd/mm")&amp;" – "&amp;TEXT(INDEX(Sprints!$C$5:$C$8,MATCH(I241,Sprints!$A$5:$A$8,0)),"dd/mm"),""))</f>
        <v/>
      </c>
      <c r="M241" s="53" t="str">
        <f ca="1">IF(G241="","",IFERROR(IF(AND(L241&lt;&gt;"Done",TODAY()&gt;INDEX(Sprints!$C$5:$C$8,MATCH(I241,Sprints!$A$5:$A$8,0))),"Trễ",""),""))</f>
        <v/>
      </c>
    </row>
    <row r="242" spans="10:13" x14ac:dyDescent="0.3">
      <c r="J242" s="53" t="str">
        <f>IF(I242="","",IFERROR(TEXT(INDEX(Sprints!$B$5:$B$8,MATCH(I242,Sprints!$A$5:$A$8,0)),"dd/mm")&amp;" – "&amp;TEXT(INDEX(Sprints!$C$5:$C$8,MATCH(I242,Sprints!$A$5:$A$8,0)),"dd/mm"),""))</f>
        <v/>
      </c>
      <c r="M242" s="53" t="str">
        <f ca="1">IF(G242="","",IFERROR(IF(AND(L242&lt;&gt;"Done",TODAY()&gt;INDEX(Sprints!$C$5:$C$8,MATCH(I242,Sprints!$A$5:$A$8,0))),"Trễ",""),""))</f>
        <v/>
      </c>
    </row>
    <row r="243" spans="10:13" x14ac:dyDescent="0.3">
      <c r="J243" s="53" t="str">
        <f>IF(I243="","",IFERROR(TEXT(INDEX(Sprints!$B$5:$B$8,MATCH(I243,Sprints!$A$5:$A$8,0)),"dd/mm")&amp;" – "&amp;TEXT(INDEX(Sprints!$C$5:$C$8,MATCH(I243,Sprints!$A$5:$A$8,0)),"dd/mm"),""))</f>
        <v/>
      </c>
      <c r="M243" s="53" t="str">
        <f ca="1">IF(G243="","",IFERROR(IF(AND(L243&lt;&gt;"Done",TODAY()&gt;INDEX(Sprints!$C$5:$C$8,MATCH(I243,Sprints!$A$5:$A$8,0))),"Trễ",""),""))</f>
        <v/>
      </c>
    </row>
    <row r="244" spans="10:13" x14ac:dyDescent="0.3">
      <c r="J244" s="53" t="str">
        <f>IF(I244="","",IFERROR(TEXT(INDEX(Sprints!$B$5:$B$8,MATCH(I244,Sprints!$A$5:$A$8,0)),"dd/mm")&amp;" – "&amp;TEXT(INDEX(Sprints!$C$5:$C$8,MATCH(I244,Sprints!$A$5:$A$8,0)),"dd/mm"),""))</f>
        <v/>
      </c>
      <c r="M244" s="53" t="str">
        <f ca="1">IF(G244="","",IFERROR(IF(AND(L244&lt;&gt;"Done",TODAY()&gt;INDEX(Sprints!$C$5:$C$8,MATCH(I244,Sprints!$A$5:$A$8,0))),"Trễ",""),""))</f>
        <v/>
      </c>
    </row>
    <row r="245" spans="10:13" x14ac:dyDescent="0.3">
      <c r="J245" s="53" t="str">
        <f>IF(I245="","",IFERROR(TEXT(INDEX(Sprints!$B$5:$B$8,MATCH(I245,Sprints!$A$5:$A$8,0)),"dd/mm")&amp;" – "&amp;TEXT(INDEX(Sprints!$C$5:$C$8,MATCH(I245,Sprints!$A$5:$A$8,0)),"dd/mm"),""))</f>
        <v/>
      </c>
      <c r="M245" s="53" t="str">
        <f ca="1">IF(G245="","",IFERROR(IF(AND(L245&lt;&gt;"Done",TODAY()&gt;INDEX(Sprints!$C$5:$C$8,MATCH(I245,Sprints!$A$5:$A$8,0))),"Trễ",""),""))</f>
        <v/>
      </c>
    </row>
    <row r="246" spans="10:13" x14ac:dyDescent="0.3">
      <c r="J246" s="53" t="str">
        <f>IF(I246="","",IFERROR(TEXT(INDEX(Sprints!$B$5:$B$8,MATCH(I246,Sprints!$A$5:$A$8,0)),"dd/mm")&amp;" – "&amp;TEXT(INDEX(Sprints!$C$5:$C$8,MATCH(I246,Sprints!$A$5:$A$8,0)),"dd/mm"),""))</f>
        <v/>
      </c>
      <c r="M246" s="53" t="str">
        <f ca="1">IF(G246="","",IFERROR(IF(AND(L246&lt;&gt;"Done",TODAY()&gt;INDEX(Sprints!$C$5:$C$8,MATCH(I246,Sprints!$A$5:$A$8,0))),"Trễ",""),""))</f>
        <v/>
      </c>
    </row>
    <row r="247" spans="10:13" x14ac:dyDescent="0.3">
      <c r="J247" s="53" t="str">
        <f>IF(I247="","",IFERROR(TEXT(INDEX(Sprints!$B$5:$B$8,MATCH(I247,Sprints!$A$5:$A$8,0)),"dd/mm")&amp;" – "&amp;TEXT(INDEX(Sprints!$C$5:$C$8,MATCH(I247,Sprints!$A$5:$A$8,0)),"dd/mm"),""))</f>
        <v/>
      </c>
      <c r="M247" s="53" t="str">
        <f ca="1">IF(G247="","",IFERROR(IF(AND(L247&lt;&gt;"Done",TODAY()&gt;INDEX(Sprints!$C$5:$C$8,MATCH(I247,Sprints!$A$5:$A$8,0))),"Trễ",""),""))</f>
        <v/>
      </c>
    </row>
    <row r="248" spans="10:13" x14ac:dyDescent="0.3">
      <c r="J248" s="53" t="str">
        <f>IF(I248="","",IFERROR(TEXT(INDEX(Sprints!$B$5:$B$8,MATCH(I248,Sprints!$A$5:$A$8,0)),"dd/mm")&amp;" – "&amp;TEXT(INDEX(Sprints!$C$5:$C$8,MATCH(I248,Sprints!$A$5:$A$8,0)),"dd/mm"),""))</f>
        <v/>
      </c>
      <c r="M248" s="53" t="str">
        <f ca="1">IF(G248="","",IFERROR(IF(AND(L248&lt;&gt;"Done",TODAY()&gt;INDEX(Sprints!$C$5:$C$8,MATCH(I248,Sprints!$A$5:$A$8,0))),"Trễ",""),""))</f>
        <v/>
      </c>
    </row>
    <row r="249" spans="10:13" x14ac:dyDescent="0.3">
      <c r="J249" s="53" t="str">
        <f>IF(I249="","",IFERROR(TEXT(INDEX(Sprints!$B$5:$B$8,MATCH(I249,Sprints!$A$5:$A$8,0)),"dd/mm")&amp;" – "&amp;TEXT(INDEX(Sprints!$C$5:$C$8,MATCH(I249,Sprints!$A$5:$A$8,0)),"dd/mm"),""))</f>
        <v/>
      </c>
      <c r="M249" s="53" t="str">
        <f ca="1">IF(G249="","",IFERROR(IF(AND(L249&lt;&gt;"Done",TODAY()&gt;INDEX(Sprints!$C$5:$C$8,MATCH(I249,Sprints!$A$5:$A$8,0))),"Trễ",""),""))</f>
        <v/>
      </c>
    </row>
    <row r="250" spans="10:13" x14ac:dyDescent="0.3">
      <c r="J250" s="53" t="str">
        <f>IF(I250="","",IFERROR(TEXT(INDEX(Sprints!$B$5:$B$8,MATCH(I250,Sprints!$A$5:$A$8,0)),"dd/mm")&amp;" – "&amp;TEXT(INDEX(Sprints!$C$5:$C$8,MATCH(I250,Sprints!$A$5:$A$8,0)),"dd/mm"),""))</f>
        <v/>
      </c>
      <c r="M250" s="53" t="str">
        <f ca="1">IF(G250="","",IFERROR(IF(AND(L250&lt;&gt;"Done",TODAY()&gt;INDEX(Sprints!$C$5:$C$8,MATCH(I250,Sprints!$A$5:$A$8,0))),"Trễ",""),""))</f>
        <v/>
      </c>
    </row>
    <row r="251" spans="10:13" x14ac:dyDescent="0.3">
      <c r="J251" s="53" t="str">
        <f>IF(I251="","",IFERROR(TEXT(INDEX(Sprints!$B$5:$B$8,MATCH(I251,Sprints!$A$5:$A$8,0)),"dd/mm")&amp;" – "&amp;TEXT(INDEX(Sprints!$C$5:$C$8,MATCH(I251,Sprints!$A$5:$A$8,0)),"dd/mm"),""))</f>
        <v/>
      </c>
      <c r="M251" s="53" t="str">
        <f ca="1">IF(G251="","",IFERROR(IF(AND(L251&lt;&gt;"Done",TODAY()&gt;INDEX(Sprints!$C$5:$C$8,MATCH(I251,Sprints!$A$5:$A$8,0))),"Trễ",""),""))</f>
        <v/>
      </c>
    </row>
    <row r="252" spans="10:13" x14ac:dyDescent="0.3">
      <c r="J252" s="53" t="str">
        <f>IF(I252="","",IFERROR(TEXT(INDEX(Sprints!$B$5:$B$8,MATCH(I252,Sprints!$A$5:$A$8,0)),"dd/mm")&amp;" – "&amp;TEXT(INDEX(Sprints!$C$5:$C$8,MATCH(I252,Sprints!$A$5:$A$8,0)),"dd/mm"),""))</f>
        <v/>
      </c>
      <c r="M252" s="53" t="str">
        <f ca="1">IF(G252="","",IFERROR(IF(AND(L252&lt;&gt;"Done",TODAY()&gt;INDEX(Sprints!$C$5:$C$8,MATCH(I252,Sprints!$A$5:$A$8,0))),"Trễ",""),""))</f>
        <v/>
      </c>
    </row>
    <row r="253" spans="10:13" x14ac:dyDescent="0.3">
      <c r="J253" s="53" t="str">
        <f>IF(I253="","",IFERROR(TEXT(INDEX(Sprints!$B$5:$B$8,MATCH(I253,Sprints!$A$5:$A$8,0)),"dd/mm")&amp;" – "&amp;TEXT(INDEX(Sprints!$C$5:$C$8,MATCH(I253,Sprints!$A$5:$A$8,0)),"dd/mm"),""))</f>
        <v/>
      </c>
      <c r="M253" s="53" t="str">
        <f ca="1">IF(G253="","",IFERROR(IF(AND(L253&lt;&gt;"Done",TODAY()&gt;INDEX(Sprints!$C$5:$C$8,MATCH(I253,Sprints!$A$5:$A$8,0))),"Trễ",""),""))</f>
        <v/>
      </c>
    </row>
    <row r="254" spans="10:13" x14ac:dyDescent="0.3">
      <c r="J254" s="53" t="str">
        <f>IF(I254="","",IFERROR(TEXT(INDEX(Sprints!$B$5:$B$8,MATCH(I254,Sprints!$A$5:$A$8,0)),"dd/mm")&amp;" – "&amp;TEXT(INDEX(Sprints!$C$5:$C$8,MATCH(I254,Sprints!$A$5:$A$8,0)),"dd/mm"),""))</f>
        <v/>
      </c>
      <c r="M254" s="53" t="str">
        <f ca="1">IF(G254="","",IFERROR(IF(AND(L254&lt;&gt;"Done",TODAY()&gt;INDEX(Sprints!$C$5:$C$8,MATCH(I254,Sprints!$A$5:$A$8,0))),"Trễ",""),""))</f>
        <v/>
      </c>
    </row>
    <row r="255" spans="10:13" x14ac:dyDescent="0.3">
      <c r="J255" s="53" t="str">
        <f>IF(I255="","",IFERROR(TEXT(INDEX(Sprints!$B$5:$B$8,MATCH(I255,Sprints!$A$5:$A$8,0)),"dd/mm")&amp;" – "&amp;TEXT(INDEX(Sprints!$C$5:$C$8,MATCH(I255,Sprints!$A$5:$A$8,0)),"dd/mm"),""))</f>
        <v/>
      </c>
      <c r="M255" s="53" t="str">
        <f ca="1">IF(G255="","",IFERROR(IF(AND(L255&lt;&gt;"Done",TODAY()&gt;INDEX(Sprints!$C$5:$C$8,MATCH(I255,Sprints!$A$5:$A$8,0))),"Trễ",""),""))</f>
        <v/>
      </c>
    </row>
    <row r="256" spans="10:13" x14ac:dyDescent="0.3">
      <c r="J256" s="53" t="str">
        <f>IF(I256="","",IFERROR(TEXT(INDEX(Sprints!$B$5:$B$8,MATCH(I256,Sprints!$A$5:$A$8,0)),"dd/mm")&amp;" – "&amp;TEXT(INDEX(Sprints!$C$5:$C$8,MATCH(I256,Sprints!$A$5:$A$8,0)),"dd/mm"),""))</f>
        <v/>
      </c>
      <c r="M256" s="53" t="str">
        <f ca="1">IF(G256="","",IFERROR(IF(AND(L256&lt;&gt;"Done",TODAY()&gt;INDEX(Sprints!$C$5:$C$8,MATCH(I256,Sprints!$A$5:$A$8,0))),"Trễ",""),""))</f>
        <v/>
      </c>
    </row>
    <row r="257" spans="10:13" x14ac:dyDescent="0.3">
      <c r="J257" s="53" t="str">
        <f>IF(I257="","",IFERROR(TEXT(INDEX(Sprints!$B$5:$B$8,MATCH(I257,Sprints!$A$5:$A$8,0)),"dd/mm")&amp;" – "&amp;TEXT(INDEX(Sprints!$C$5:$C$8,MATCH(I257,Sprints!$A$5:$A$8,0)),"dd/mm"),""))</f>
        <v/>
      </c>
      <c r="M257" s="53" t="str">
        <f ca="1">IF(G257="","",IFERROR(IF(AND(L257&lt;&gt;"Done",TODAY()&gt;INDEX(Sprints!$C$5:$C$8,MATCH(I257,Sprints!$A$5:$A$8,0))),"Trễ",""),""))</f>
        <v/>
      </c>
    </row>
    <row r="258" spans="10:13" x14ac:dyDescent="0.3">
      <c r="J258" s="53" t="str">
        <f>IF(I258="","",IFERROR(TEXT(INDEX(Sprints!$B$5:$B$8,MATCH(I258,Sprints!$A$5:$A$8,0)),"dd/mm")&amp;" – "&amp;TEXT(INDEX(Sprints!$C$5:$C$8,MATCH(I258,Sprints!$A$5:$A$8,0)),"dd/mm"),""))</f>
        <v/>
      </c>
      <c r="M258" s="53" t="str">
        <f ca="1">IF(G258="","",IFERROR(IF(AND(L258&lt;&gt;"Done",TODAY()&gt;INDEX(Sprints!$C$5:$C$8,MATCH(I258,Sprints!$A$5:$A$8,0))),"Trễ",""),""))</f>
        <v/>
      </c>
    </row>
    <row r="259" spans="10:13" x14ac:dyDescent="0.3">
      <c r="J259" s="53" t="str">
        <f>IF(I259="","",IFERROR(TEXT(INDEX(Sprints!$B$5:$B$8,MATCH(I259,Sprints!$A$5:$A$8,0)),"dd/mm")&amp;" – "&amp;TEXT(INDEX(Sprints!$C$5:$C$8,MATCH(I259,Sprints!$A$5:$A$8,0)),"dd/mm"),""))</f>
        <v/>
      </c>
      <c r="M259" s="53" t="str">
        <f ca="1">IF(G259="","",IFERROR(IF(AND(L259&lt;&gt;"Done",TODAY()&gt;INDEX(Sprints!$C$5:$C$8,MATCH(I259,Sprints!$A$5:$A$8,0))),"Trễ",""),""))</f>
        <v/>
      </c>
    </row>
    <row r="260" spans="10:13" x14ac:dyDescent="0.3">
      <c r="J260" s="53" t="str">
        <f>IF(I260="","",IFERROR(TEXT(INDEX(Sprints!$B$5:$B$8,MATCH(I260,Sprints!$A$5:$A$8,0)),"dd/mm")&amp;" – "&amp;TEXT(INDEX(Sprints!$C$5:$C$8,MATCH(I260,Sprints!$A$5:$A$8,0)),"dd/mm"),""))</f>
        <v/>
      </c>
      <c r="M260" s="53" t="str">
        <f ca="1">IF(G260="","",IFERROR(IF(AND(L260&lt;&gt;"Done",TODAY()&gt;INDEX(Sprints!$C$5:$C$8,MATCH(I260,Sprints!$A$5:$A$8,0))),"Trễ",""),""))</f>
        <v/>
      </c>
    </row>
    <row r="261" spans="10:13" x14ac:dyDescent="0.3">
      <c r="J261" s="53" t="str">
        <f>IF(I261="","",IFERROR(TEXT(INDEX(Sprints!$B$5:$B$8,MATCH(I261,Sprints!$A$5:$A$8,0)),"dd/mm")&amp;" – "&amp;TEXT(INDEX(Sprints!$C$5:$C$8,MATCH(I261,Sprints!$A$5:$A$8,0)),"dd/mm"),""))</f>
        <v/>
      </c>
      <c r="M261" s="53" t="str">
        <f ca="1">IF(G261="","",IFERROR(IF(AND(L261&lt;&gt;"Done",TODAY()&gt;INDEX(Sprints!$C$5:$C$8,MATCH(I261,Sprints!$A$5:$A$8,0))),"Trễ",""),""))</f>
        <v/>
      </c>
    </row>
    <row r="262" spans="10:13" x14ac:dyDescent="0.3">
      <c r="J262" s="53" t="str">
        <f>IF(I262="","",IFERROR(TEXT(INDEX(Sprints!$B$5:$B$8,MATCH(I262,Sprints!$A$5:$A$8,0)),"dd/mm")&amp;" – "&amp;TEXT(INDEX(Sprints!$C$5:$C$8,MATCH(I262,Sprints!$A$5:$A$8,0)),"dd/mm"),""))</f>
        <v/>
      </c>
      <c r="M262" s="53" t="str">
        <f ca="1">IF(G262="","",IFERROR(IF(AND(L262&lt;&gt;"Done",TODAY()&gt;INDEX(Sprints!$C$5:$C$8,MATCH(I262,Sprints!$A$5:$A$8,0))),"Trễ",""),""))</f>
        <v/>
      </c>
    </row>
    <row r="263" spans="10:13" x14ac:dyDescent="0.3">
      <c r="J263" s="53" t="str">
        <f>IF(I263="","",IFERROR(TEXT(INDEX(Sprints!$B$5:$B$8,MATCH(I263,Sprints!$A$5:$A$8,0)),"dd/mm")&amp;" – "&amp;TEXT(INDEX(Sprints!$C$5:$C$8,MATCH(I263,Sprints!$A$5:$A$8,0)),"dd/mm"),""))</f>
        <v/>
      </c>
      <c r="M263" s="53" t="str">
        <f ca="1">IF(G263="","",IFERROR(IF(AND(L263&lt;&gt;"Done",TODAY()&gt;INDEX(Sprints!$C$5:$C$8,MATCH(I263,Sprints!$A$5:$A$8,0))),"Trễ",""),""))</f>
        <v/>
      </c>
    </row>
    <row r="264" spans="10:13" x14ac:dyDescent="0.3">
      <c r="J264" s="53" t="str">
        <f>IF(I264="","",IFERROR(TEXT(INDEX(Sprints!$B$5:$B$8,MATCH(I264,Sprints!$A$5:$A$8,0)),"dd/mm")&amp;" – "&amp;TEXT(INDEX(Sprints!$C$5:$C$8,MATCH(I264,Sprints!$A$5:$A$8,0)),"dd/mm"),""))</f>
        <v/>
      </c>
      <c r="M264" s="53" t="str">
        <f ca="1">IF(G264="","",IFERROR(IF(AND(L264&lt;&gt;"Done",TODAY()&gt;INDEX(Sprints!$C$5:$C$8,MATCH(I264,Sprints!$A$5:$A$8,0))),"Trễ",""),""))</f>
        <v/>
      </c>
    </row>
    <row r="265" spans="10:13" x14ac:dyDescent="0.3">
      <c r="J265" s="53" t="str">
        <f>IF(I265="","",IFERROR(TEXT(INDEX(Sprints!$B$5:$B$8,MATCH(I265,Sprints!$A$5:$A$8,0)),"dd/mm")&amp;" – "&amp;TEXT(INDEX(Sprints!$C$5:$C$8,MATCH(I265,Sprints!$A$5:$A$8,0)),"dd/mm"),""))</f>
        <v/>
      </c>
      <c r="M265" s="53" t="str">
        <f ca="1">IF(G265="","",IFERROR(IF(AND(L265&lt;&gt;"Done",TODAY()&gt;INDEX(Sprints!$C$5:$C$8,MATCH(I265,Sprints!$A$5:$A$8,0))),"Trễ",""),""))</f>
        <v/>
      </c>
    </row>
    <row r="266" spans="10:13" x14ac:dyDescent="0.3">
      <c r="J266" s="53" t="str">
        <f>IF(I266="","",IFERROR(TEXT(INDEX(Sprints!$B$5:$B$8,MATCH(I266,Sprints!$A$5:$A$8,0)),"dd/mm")&amp;" – "&amp;TEXT(INDEX(Sprints!$C$5:$C$8,MATCH(I266,Sprints!$A$5:$A$8,0)),"dd/mm"),""))</f>
        <v/>
      </c>
      <c r="M266" s="53" t="str">
        <f ca="1">IF(G266="","",IFERROR(IF(AND(L266&lt;&gt;"Done",TODAY()&gt;INDEX(Sprints!$C$5:$C$8,MATCH(I266,Sprints!$A$5:$A$8,0))),"Trễ",""),""))</f>
        <v/>
      </c>
    </row>
    <row r="267" spans="10:13" x14ac:dyDescent="0.3">
      <c r="J267" s="53" t="str">
        <f>IF(I267="","",IFERROR(TEXT(INDEX(Sprints!$B$5:$B$8,MATCH(I267,Sprints!$A$5:$A$8,0)),"dd/mm")&amp;" – "&amp;TEXT(INDEX(Sprints!$C$5:$C$8,MATCH(I267,Sprints!$A$5:$A$8,0)),"dd/mm"),""))</f>
        <v/>
      </c>
      <c r="M267" s="53" t="str">
        <f ca="1">IF(G267="","",IFERROR(IF(AND(L267&lt;&gt;"Done",TODAY()&gt;INDEX(Sprints!$C$5:$C$8,MATCH(I267,Sprints!$A$5:$A$8,0))),"Trễ",""),""))</f>
        <v/>
      </c>
    </row>
    <row r="268" spans="10:13" x14ac:dyDescent="0.3">
      <c r="J268" s="53" t="str">
        <f>IF(I268="","",IFERROR(TEXT(INDEX(Sprints!$B$5:$B$8,MATCH(I268,Sprints!$A$5:$A$8,0)),"dd/mm")&amp;" – "&amp;TEXT(INDEX(Sprints!$C$5:$C$8,MATCH(I268,Sprints!$A$5:$A$8,0)),"dd/mm"),""))</f>
        <v/>
      </c>
      <c r="M268" s="53" t="str">
        <f ca="1">IF(G268="","",IFERROR(IF(AND(L268&lt;&gt;"Done",TODAY()&gt;INDEX(Sprints!$C$5:$C$8,MATCH(I268,Sprints!$A$5:$A$8,0))),"Trễ",""),""))</f>
        <v/>
      </c>
    </row>
    <row r="269" spans="10:13" x14ac:dyDescent="0.3">
      <c r="J269" s="53" t="str">
        <f>IF(I269="","",IFERROR(TEXT(INDEX(Sprints!$B$5:$B$8,MATCH(I269,Sprints!$A$5:$A$8,0)),"dd/mm")&amp;" – "&amp;TEXT(INDEX(Sprints!$C$5:$C$8,MATCH(I269,Sprints!$A$5:$A$8,0)),"dd/mm"),""))</f>
        <v/>
      </c>
      <c r="M269" s="53" t="str">
        <f ca="1">IF(G269="","",IFERROR(IF(AND(L269&lt;&gt;"Done",TODAY()&gt;INDEX(Sprints!$C$5:$C$8,MATCH(I269,Sprints!$A$5:$A$8,0))),"Trễ",""),""))</f>
        <v/>
      </c>
    </row>
    <row r="270" spans="10:13" x14ac:dyDescent="0.3">
      <c r="J270" s="53" t="str">
        <f>IF(I270="","",IFERROR(TEXT(INDEX(Sprints!$B$5:$B$8,MATCH(I270,Sprints!$A$5:$A$8,0)),"dd/mm")&amp;" – "&amp;TEXT(INDEX(Sprints!$C$5:$C$8,MATCH(I270,Sprints!$A$5:$A$8,0)),"dd/mm"),""))</f>
        <v/>
      </c>
      <c r="M270" s="53" t="str">
        <f ca="1">IF(G270="","",IFERROR(IF(AND(L270&lt;&gt;"Done",TODAY()&gt;INDEX(Sprints!$C$5:$C$8,MATCH(I270,Sprints!$A$5:$A$8,0))),"Trễ",""),""))</f>
        <v/>
      </c>
    </row>
    <row r="271" spans="10:13" x14ac:dyDescent="0.3">
      <c r="J271" s="53" t="str">
        <f>IF(I271="","",IFERROR(TEXT(INDEX(Sprints!$B$5:$B$8,MATCH(I271,Sprints!$A$5:$A$8,0)),"dd/mm")&amp;" – "&amp;TEXT(INDEX(Sprints!$C$5:$C$8,MATCH(I271,Sprints!$A$5:$A$8,0)),"dd/mm"),""))</f>
        <v/>
      </c>
      <c r="M271" s="53" t="str">
        <f ca="1">IF(G271="","",IFERROR(IF(AND(L271&lt;&gt;"Done",TODAY()&gt;INDEX(Sprints!$C$5:$C$8,MATCH(I271,Sprints!$A$5:$A$8,0))),"Trễ",""),""))</f>
        <v/>
      </c>
    </row>
    <row r="272" spans="10:13" x14ac:dyDescent="0.3">
      <c r="J272" s="53" t="str">
        <f>IF(I272="","",IFERROR(TEXT(INDEX(Sprints!$B$5:$B$8,MATCH(I272,Sprints!$A$5:$A$8,0)),"dd/mm")&amp;" – "&amp;TEXT(INDEX(Sprints!$C$5:$C$8,MATCH(I272,Sprints!$A$5:$A$8,0)),"dd/mm"),""))</f>
        <v/>
      </c>
      <c r="M272" s="53" t="str">
        <f ca="1">IF(G272="","",IFERROR(IF(AND(L272&lt;&gt;"Done",TODAY()&gt;INDEX(Sprints!$C$5:$C$8,MATCH(I272,Sprints!$A$5:$A$8,0))),"Trễ",""),""))</f>
        <v/>
      </c>
    </row>
    <row r="273" spans="10:13" x14ac:dyDescent="0.3">
      <c r="J273" s="53" t="str">
        <f>IF(I273="","",IFERROR(TEXT(INDEX(Sprints!$B$5:$B$8,MATCH(I273,Sprints!$A$5:$A$8,0)),"dd/mm")&amp;" – "&amp;TEXT(INDEX(Sprints!$C$5:$C$8,MATCH(I273,Sprints!$A$5:$A$8,0)),"dd/mm"),""))</f>
        <v/>
      </c>
      <c r="M273" s="53" t="str">
        <f ca="1">IF(G273="","",IFERROR(IF(AND(L273&lt;&gt;"Done",TODAY()&gt;INDEX(Sprints!$C$5:$C$8,MATCH(I273,Sprints!$A$5:$A$8,0))),"Trễ",""),""))</f>
        <v/>
      </c>
    </row>
    <row r="274" spans="10:13" x14ac:dyDescent="0.3">
      <c r="J274" s="53" t="str">
        <f>IF(I274="","",IFERROR(TEXT(INDEX(Sprints!$B$5:$B$8,MATCH(I274,Sprints!$A$5:$A$8,0)),"dd/mm")&amp;" – "&amp;TEXT(INDEX(Sprints!$C$5:$C$8,MATCH(I274,Sprints!$A$5:$A$8,0)),"dd/mm"),""))</f>
        <v/>
      </c>
      <c r="M274" s="53" t="str">
        <f ca="1">IF(G274="","",IFERROR(IF(AND(L274&lt;&gt;"Done",TODAY()&gt;INDEX(Sprints!$C$5:$C$8,MATCH(I274,Sprints!$A$5:$A$8,0))),"Trễ",""),""))</f>
        <v/>
      </c>
    </row>
    <row r="275" spans="10:13" x14ac:dyDescent="0.3">
      <c r="J275" s="53" t="str">
        <f>IF(I275="","",IFERROR(TEXT(INDEX(Sprints!$B$5:$B$8,MATCH(I275,Sprints!$A$5:$A$8,0)),"dd/mm")&amp;" – "&amp;TEXT(INDEX(Sprints!$C$5:$C$8,MATCH(I275,Sprints!$A$5:$A$8,0)),"dd/mm"),""))</f>
        <v/>
      </c>
      <c r="M275" s="53" t="str">
        <f ca="1">IF(G275="","",IFERROR(IF(AND(L275&lt;&gt;"Done",TODAY()&gt;INDEX(Sprints!$C$5:$C$8,MATCH(I275,Sprints!$A$5:$A$8,0))),"Trễ",""),""))</f>
        <v/>
      </c>
    </row>
    <row r="276" spans="10:13" x14ac:dyDescent="0.3">
      <c r="J276" s="53" t="str">
        <f>IF(I276="","",IFERROR(TEXT(INDEX(Sprints!$B$5:$B$8,MATCH(I276,Sprints!$A$5:$A$8,0)),"dd/mm")&amp;" – "&amp;TEXT(INDEX(Sprints!$C$5:$C$8,MATCH(I276,Sprints!$A$5:$A$8,0)),"dd/mm"),""))</f>
        <v/>
      </c>
      <c r="M276" s="53" t="str">
        <f ca="1">IF(G276="","",IFERROR(IF(AND(L276&lt;&gt;"Done",TODAY()&gt;INDEX(Sprints!$C$5:$C$8,MATCH(I276,Sprints!$A$5:$A$8,0))),"Trễ",""),""))</f>
        <v/>
      </c>
    </row>
    <row r="277" spans="10:13" x14ac:dyDescent="0.3">
      <c r="J277" s="53" t="str">
        <f>IF(I277="","",IFERROR(TEXT(INDEX(Sprints!$B$5:$B$8,MATCH(I277,Sprints!$A$5:$A$8,0)),"dd/mm")&amp;" – "&amp;TEXT(INDEX(Sprints!$C$5:$C$8,MATCH(I277,Sprints!$A$5:$A$8,0)),"dd/mm"),""))</f>
        <v/>
      </c>
      <c r="M277" s="53" t="str">
        <f ca="1">IF(G277="","",IFERROR(IF(AND(L277&lt;&gt;"Done",TODAY()&gt;INDEX(Sprints!$C$5:$C$8,MATCH(I277,Sprints!$A$5:$A$8,0))),"Trễ",""),""))</f>
        <v/>
      </c>
    </row>
    <row r="278" spans="10:13" x14ac:dyDescent="0.3">
      <c r="J278" s="53" t="str">
        <f>IF(I278="","",IFERROR(TEXT(INDEX(Sprints!$B$5:$B$8,MATCH(I278,Sprints!$A$5:$A$8,0)),"dd/mm")&amp;" – "&amp;TEXT(INDEX(Sprints!$C$5:$C$8,MATCH(I278,Sprints!$A$5:$A$8,0)),"dd/mm"),""))</f>
        <v/>
      </c>
      <c r="M278" s="53" t="str">
        <f ca="1">IF(G278="","",IFERROR(IF(AND(L278&lt;&gt;"Done",TODAY()&gt;INDEX(Sprints!$C$5:$C$8,MATCH(I278,Sprints!$A$5:$A$8,0))),"Trễ",""),""))</f>
        <v/>
      </c>
    </row>
    <row r="279" spans="10:13" x14ac:dyDescent="0.3">
      <c r="J279" s="53" t="str">
        <f>IF(I279="","",IFERROR(TEXT(INDEX(Sprints!$B$5:$B$8,MATCH(I279,Sprints!$A$5:$A$8,0)),"dd/mm")&amp;" – "&amp;TEXT(INDEX(Sprints!$C$5:$C$8,MATCH(I279,Sprints!$A$5:$A$8,0)),"dd/mm"),""))</f>
        <v/>
      </c>
      <c r="M279" s="53" t="str">
        <f ca="1">IF(G279="","",IFERROR(IF(AND(L279&lt;&gt;"Done",TODAY()&gt;INDEX(Sprints!$C$5:$C$8,MATCH(I279,Sprints!$A$5:$A$8,0))),"Trễ",""),""))</f>
        <v/>
      </c>
    </row>
    <row r="280" spans="10:13" x14ac:dyDescent="0.3">
      <c r="J280" s="53" t="str">
        <f>IF(I280="","",IFERROR(TEXT(INDEX(Sprints!$B$5:$B$8,MATCH(I280,Sprints!$A$5:$A$8,0)),"dd/mm")&amp;" – "&amp;TEXT(INDEX(Sprints!$C$5:$C$8,MATCH(I280,Sprints!$A$5:$A$8,0)),"dd/mm"),""))</f>
        <v/>
      </c>
      <c r="M280" s="53" t="str">
        <f ca="1">IF(G280="","",IFERROR(IF(AND(L280&lt;&gt;"Done",TODAY()&gt;INDEX(Sprints!$C$5:$C$8,MATCH(I280,Sprints!$A$5:$A$8,0))),"Trễ",""),""))</f>
        <v/>
      </c>
    </row>
    <row r="281" spans="10:13" x14ac:dyDescent="0.3">
      <c r="J281" s="53" t="str">
        <f>IF(I281="","",IFERROR(TEXT(INDEX(Sprints!$B$5:$B$8,MATCH(I281,Sprints!$A$5:$A$8,0)),"dd/mm")&amp;" – "&amp;TEXT(INDEX(Sprints!$C$5:$C$8,MATCH(I281,Sprints!$A$5:$A$8,0)),"dd/mm"),""))</f>
        <v/>
      </c>
      <c r="M281" s="53" t="str">
        <f ca="1">IF(G281="","",IFERROR(IF(AND(L281&lt;&gt;"Done",TODAY()&gt;INDEX(Sprints!$C$5:$C$8,MATCH(I281,Sprints!$A$5:$A$8,0))),"Trễ",""),""))</f>
        <v/>
      </c>
    </row>
    <row r="282" spans="10:13" x14ac:dyDescent="0.3">
      <c r="J282" s="53" t="str">
        <f>IF(I282="","",IFERROR(TEXT(INDEX(Sprints!$B$5:$B$8,MATCH(I282,Sprints!$A$5:$A$8,0)),"dd/mm")&amp;" – "&amp;TEXT(INDEX(Sprints!$C$5:$C$8,MATCH(I282,Sprints!$A$5:$A$8,0)),"dd/mm"),""))</f>
        <v/>
      </c>
      <c r="M282" s="53" t="str">
        <f ca="1">IF(G282="","",IFERROR(IF(AND(L282&lt;&gt;"Done",TODAY()&gt;INDEX(Sprints!$C$5:$C$8,MATCH(I282,Sprints!$A$5:$A$8,0))),"Trễ",""),""))</f>
        <v/>
      </c>
    </row>
    <row r="283" spans="10:13" x14ac:dyDescent="0.3">
      <c r="J283" s="53" t="str">
        <f>IF(I283="","",IFERROR(TEXT(INDEX(Sprints!$B$5:$B$8,MATCH(I283,Sprints!$A$5:$A$8,0)),"dd/mm")&amp;" – "&amp;TEXT(INDEX(Sprints!$C$5:$C$8,MATCH(I283,Sprints!$A$5:$A$8,0)),"dd/mm"),""))</f>
        <v/>
      </c>
      <c r="M283" s="53" t="str">
        <f ca="1">IF(G283="","",IFERROR(IF(AND(L283&lt;&gt;"Done",TODAY()&gt;INDEX(Sprints!$C$5:$C$8,MATCH(I283,Sprints!$A$5:$A$8,0))),"Trễ",""),""))</f>
        <v/>
      </c>
    </row>
    <row r="284" spans="10:13" x14ac:dyDescent="0.3">
      <c r="J284" s="53" t="str">
        <f>IF(I284="","",IFERROR(TEXT(INDEX(Sprints!$B$5:$B$8,MATCH(I284,Sprints!$A$5:$A$8,0)),"dd/mm")&amp;" – "&amp;TEXT(INDEX(Sprints!$C$5:$C$8,MATCH(I284,Sprints!$A$5:$A$8,0)),"dd/mm"),""))</f>
        <v/>
      </c>
      <c r="M284" s="53" t="str">
        <f ca="1">IF(G284="","",IFERROR(IF(AND(L284&lt;&gt;"Done",TODAY()&gt;INDEX(Sprints!$C$5:$C$8,MATCH(I284,Sprints!$A$5:$A$8,0))),"Trễ",""),""))</f>
        <v/>
      </c>
    </row>
    <row r="285" spans="10:13" x14ac:dyDescent="0.3">
      <c r="J285" s="53" t="str">
        <f>IF(I285="","",IFERROR(TEXT(INDEX(Sprints!$B$5:$B$8,MATCH(I285,Sprints!$A$5:$A$8,0)),"dd/mm")&amp;" – "&amp;TEXT(INDEX(Sprints!$C$5:$C$8,MATCH(I285,Sprints!$A$5:$A$8,0)),"dd/mm"),""))</f>
        <v/>
      </c>
      <c r="M285" s="53" t="str">
        <f ca="1">IF(G285="","",IFERROR(IF(AND(L285&lt;&gt;"Done",TODAY()&gt;INDEX(Sprints!$C$5:$C$8,MATCH(I285,Sprints!$A$5:$A$8,0))),"Trễ",""),""))</f>
        <v/>
      </c>
    </row>
    <row r="286" spans="10:13" x14ac:dyDescent="0.3">
      <c r="J286" s="53" t="str">
        <f>IF(I286="","",IFERROR(TEXT(INDEX(Sprints!$B$5:$B$8,MATCH(I286,Sprints!$A$5:$A$8,0)),"dd/mm")&amp;" – "&amp;TEXT(INDEX(Sprints!$C$5:$C$8,MATCH(I286,Sprints!$A$5:$A$8,0)),"dd/mm"),""))</f>
        <v/>
      </c>
      <c r="M286" s="53" t="str">
        <f ca="1">IF(G286="","",IFERROR(IF(AND(L286&lt;&gt;"Done",TODAY()&gt;INDEX(Sprints!$C$5:$C$8,MATCH(I286,Sprints!$A$5:$A$8,0))),"Trễ",""),""))</f>
        <v/>
      </c>
    </row>
    <row r="287" spans="10:13" x14ac:dyDescent="0.3">
      <c r="J287" s="53" t="str">
        <f>IF(I287="","",IFERROR(TEXT(INDEX(Sprints!$B$5:$B$8,MATCH(I287,Sprints!$A$5:$A$8,0)),"dd/mm")&amp;" – "&amp;TEXT(INDEX(Sprints!$C$5:$C$8,MATCH(I287,Sprints!$A$5:$A$8,0)),"dd/mm"),""))</f>
        <v/>
      </c>
      <c r="M287" s="53" t="str">
        <f ca="1">IF(G287="","",IFERROR(IF(AND(L287&lt;&gt;"Done",TODAY()&gt;INDEX(Sprints!$C$5:$C$8,MATCH(I287,Sprints!$A$5:$A$8,0))),"Trễ",""),""))</f>
        <v/>
      </c>
    </row>
    <row r="288" spans="10:13" x14ac:dyDescent="0.3">
      <c r="J288" s="53" t="str">
        <f>IF(I288="","",IFERROR(TEXT(INDEX(Sprints!$B$5:$B$8,MATCH(I288,Sprints!$A$5:$A$8,0)),"dd/mm")&amp;" – "&amp;TEXT(INDEX(Sprints!$C$5:$C$8,MATCH(I288,Sprints!$A$5:$A$8,0)),"dd/mm"),""))</f>
        <v/>
      </c>
      <c r="M288" s="53" t="str">
        <f ca="1">IF(G288="","",IFERROR(IF(AND(L288&lt;&gt;"Done",TODAY()&gt;INDEX(Sprints!$C$5:$C$8,MATCH(I288,Sprints!$A$5:$A$8,0))),"Trễ",""),""))</f>
        <v/>
      </c>
    </row>
    <row r="289" spans="10:13" x14ac:dyDescent="0.3">
      <c r="J289" s="53" t="str">
        <f>IF(I289="","",IFERROR(TEXT(INDEX(Sprints!$B$5:$B$8,MATCH(I289,Sprints!$A$5:$A$8,0)),"dd/mm")&amp;" – "&amp;TEXT(INDEX(Sprints!$C$5:$C$8,MATCH(I289,Sprints!$A$5:$A$8,0)),"dd/mm"),""))</f>
        <v/>
      </c>
      <c r="M289" s="53" t="str">
        <f ca="1">IF(G289="","",IFERROR(IF(AND(L289&lt;&gt;"Done",TODAY()&gt;INDEX(Sprints!$C$5:$C$8,MATCH(I289,Sprints!$A$5:$A$8,0))),"Trễ",""),""))</f>
        <v/>
      </c>
    </row>
    <row r="290" spans="10:13" x14ac:dyDescent="0.3">
      <c r="J290" s="53" t="str">
        <f>IF(I290="","",IFERROR(TEXT(INDEX(Sprints!$B$5:$B$8,MATCH(I290,Sprints!$A$5:$A$8,0)),"dd/mm")&amp;" – "&amp;TEXT(INDEX(Sprints!$C$5:$C$8,MATCH(I290,Sprints!$A$5:$A$8,0)),"dd/mm"),""))</f>
        <v/>
      </c>
      <c r="M290" s="53" t="str">
        <f ca="1">IF(G290="","",IFERROR(IF(AND(L290&lt;&gt;"Done",TODAY()&gt;INDEX(Sprints!$C$5:$C$8,MATCH(I290,Sprints!$A$5:$A$8,0))),"Trễ",""),""))</f>
        <v/>
      </c>
    </row>
    <row r="291" spans="10:13" x14ac:dyDescent="0.3">
      <c r="J291" s="53" t="str">
        <f>IF(I291="","",IFERROR(TEXT(INDEX(Sprints!$B$5:$B$8,MATCH(I291,Sprints!$A$5:$A$8,0)),"dd/mm")&amp;" – "&amp;TEXT(INDEX(Sprints!$C$5:$C$8,MATCH(I291,Sprints!$A$5:$A$8,0)),"dd/mm"),""))</f>
        <v/>
      </c>
      <c r="M291" s="53" t="str">
        <f ca="1">IF(G291="","",IFERROR(IF(AND(L291&lt;&gt;"Done",TODAY()&gt;INDEX(Sprints!$C$5:$C$8,MATCH(I291,Sprints!$A$5:$A$8,0))),"Trễ",""),""))</f>
        <v/>
      </c>
    </row>
    <row r="292" spans="10:13" x14ac:dyDescent="0.3">
      <c r="J292" s="53" t="str">
        <f>IF(I292="","",IFERROR(TEXT(INDEX(Sprints!$B$5:$B$8,MATCH(I292,Sprints!$A$5:$A$8,0)),"dd/mm")&amp;" – "&amp;TEXT(INDEX(Sprints!$C$5:$C$8,MATCH(I292,Sprints!$A$5:$A$8,0)),"dd/mm"),""))</f>
        <v/>
      </c>
      <c r="M292" s="53" t="str">
        <f ca="1">IF(G292="","",IFERROR(IF(AND(L292&lt;&gt;"Done",TODAY()&gt;INDEX(Sprints!$C$5:$C$8,MATCH(I292,Sprints!$A$5:$A$8,0))),"Trễ",""),""))</f>
        <v/>
      </c>
    </row>
    <row r="293" spans="10:13" x14ac:dyDescent="0.3">
      <c r="J293" s="53" t="str">
        <f>IF(I293="","",IFERROR(TEXT(INDEX(Sprints!$B$5:$B$8,MATCH(I293,Sprints!$A$5:$A$8,0)),"dd/mm")&amp;" – "&amp;TEXT(INDEX(Sprints!$C$5:$C$8,MATCH(I293,Sprints!$A$5:$A$8,0)),"dd/mm"),""))</f>
        <v/>
      </c>
      <c r="M293" s="53" t="str">
        <f ca="1">IF(G293="","",IFERROR(IF(AND(L293&lt;&gt;"Done",TODAY()&gt;INDEX(Sprints!$C$5:$C$8,MATCH(I293,Sprints!$A$5:$A$8,0))),"Trễ",""),""))</f>
        <v/>
      </c>
    </row>
    <row r="294" spans="10:13" x14ac:dyDescent="0.3">
      <c r="J294" s="53" t="str">
        <f>IF(I294="","",IFERROR(TEXT(INDEX(Sprints!$B$5:$B$8,MATCH(I294,Sprints!$A$5:$A$8,0)),"dd/mm")&amp;" – "&amp;TEXT(INDEX(Sprints!$C$5:$C$8,MATCH(I294,Sprints!$A$5:$A$8,0)),"dd/mm"),""))</f>
        <v/>
      </c>
      <c r="M294" s="53" t="str">
        <f ca="1">IF(G294="","",IFERROR(IF(AND(L294&lt;&gt;"Done",TODAY()&gt;INDEX(Sprints!$C$5:$C$8,MATCH(I294,Sprints!$A$5:$A$8,0))),"Trễ",""),""))</f>
        <v/>
      </c>
    </row>
    <row r="295" spans="10:13" x14ac:dyDescent="0.3">
      <c r="J295" s="53" t="str">
        <f>IF(I295="","",IFERROR(TEXT(INDEX(Sprints!$B$5:$B$8,MATCH(I295,Sprints!$A$5:$A$8,0)),"dd/mm")&amp;" – "&amp;TEXT(INDEX(Sprints!$C$5:$C$8,MATCH(I295,Sprints!$A$5:$A$8,0)),"dd/mm"),""))</f>
        <v/>
      </c>
      <c r="M295" s="53" t="str">
        <f ca="1">IF(G295="","",IFERROR(IF(AND(L295&lt;&gt;"Done",TODAY()&gt;INDEX(Sprints!$C$5:$C$8,MATCH(I295,Sprints!$A$5:$A$8,0))),"Trễ",""),""))</f>
        <v/>
      </c>
    </row>
    <row r="296" spans="10:13" x14ac:dyDescent="0.3">
      <c r="J296" s="53" t="str">
        <f>IF(I296="","",IFERROR(TEXT(INDEX(Sprints!$B$5:$B$8,MATCH(I296,Sprints!$A$5:$A$8,0)),"dd/mm")&amp;" – "&amp;TEXT(INDEX(Sprints!$C$5:$C$8,MATCH(I296,Sprints!$A$5:$A$8,0)),"dd/mm"),""))</f>
        <v/>
      </c>
      <c r="M296" s="53" t="str">
        <f ca="1">IF(G296="","",IFERROR(IF(AND(L296&lt;&gt;"Done",TODAY()&gt;INDEX(Sprints!$C$5:$C$8,MATCH(I296,Sprints!$A$5:$A$8,0))),"Trễ",""),""))</f>
        <v/>
      </c>
    </row>
    <row r="297" spans="10:13" x14ac:dyDescent="0.3">
      <c r="J297" s="53" t="str">
        <f>IF(I297="","",IFERROR(TEXT(INDEX(Sprints!$B$5:$B$8,MATCH(I297,Sprints!$A$5:$A$8,0)),"dd/mm")&amp;" – "&amp;TEXT(INDEX(Sprints!$C$5:$C$8,MATCH(I297,Sprints!$A$5:$A$8,0)),"dd/mm"),""))</f>
        <v/>
      </c>
      <c r="M297" s="53" t="str">
        <f ca="1">IF(G297="","",IFERROR(IF(AND(L297&lt;&gt;"Done",TODAY()&gt;INDEX(Sprints!$C$5:$C$8,MATCH(I297,Sprints!$A$5:$A$8,0))),"Trễ",""),""))</f>
        <v/>
      </c>
    </row>
    <row r="298" spans="10:13" x14ac:dyDescent="0.3">
      <c r="J298" s="53" t="str">
        <f>IF(I298="","",IFERROR(TEXT(INDEX(Sprints!$B$5:$B$8,MATCH(I298,Sprints!$A$5:$A$8,0)),"dd/mm")&amp;" – "&amp;TEXT(INDEX(Sprints!$C$5:$C$8,MATCH(I298,Sprints!$A$5:$A$8,0)),"dd/mm"),""))</f>
        <v/>
      </c>
      <c r="M298" s="53" t="str">
        <f ca="1">IF(G298="","",IFERROR(IF(AND(L298&lt;&gt;"Done",TODAY()&gt;INDEX(Sprints!$C$5:$C$8,MATCH(I298,Sprints!$A$5:$A$8,0))),"Trễ",""),""))</f>
        <v/>
      </c>
    </row>
    <row r="299" spans="10:13" x14ac:dyDescent="0.3">
      <c r="J299" s="53" t="str">
        <f>IF(I299="","",IFERROR(TEXT(INDEX(Sprints!$B$5:$B$8,MATCH(I299,Sprints!$A$5:$A$8,0)),"dd/mm")&amp;" – "&amp;TEXT(INDEX(Sprints!$C$5:$C$8,MATCH(I299,Sprints!$A$5:$A$8,0)),"dd/mm"),""))</f>
        <v/>
      </c>
      <c r="M299" s="53" t="str">
        <f ca="1">IF(G299="","",IFERROR(IF(AND(L299&lt;&gt;"Done",TODAY()&gt;INDEX(Sprints!$C$5:$C$8,MATCH(I299,Sprints!$A$5:$A$8,0))),"Trễ",""),""))</f>
        <v/>
      </c>
    </row>
    <row r="300" spans="10:13" x14ac:dyDescent="0.3">
      <c r="J300" s="53" t="str">
        <f>IF(I300="","",IFERROR(TEXT(INDEX(Sprints!$B$5:$B$8,MATCH(I300,Sprints!$A$5:$A$8,0)),"dd/mm")&amp;" – "&amp;TEXT(INDEX(Sprints!$C$5:$C$8,MATCH(I300,Sprints!$A$5:$A$8,0)),"dd/mm"),""))</f>
        <v/>
      </c>
      <c r="M300" s="53" t="str">
        <f ca="1">IF(G300="","",IFERROR(IF(AND(L300&lt;&gt;"Done",TODAY()&gt;INDEX(Sprints!$C$5:$C$8,MATCH(I300,Sprints!$A$5:$A$8,0))),"Trễ",""),""))</f>
        <v/>
      </c>
    </row>
    <row r="301" spans="10:13" x14ac:dyDescent="0.3">
      <c r="J301" s="53" t="str">
        <f>IF(I301="","",IFERROR(TEXT(INDEX(Sprints!$B$5:$B$8,MATCH(I301,Sprints!$A$5:$A$8,0)),"dd/mm")&amp;" – "&amp;TEXT(INDEX(Sprints!$C$5:$C$8,MATCH(I301,Sprints!$A$5:$A$8,0)),"dd/mm"),""))</f>
        <v/>
      </c>
      <c r="M301" s="53" t="str">
        <f ca="1">IF(G301="","",IFERROR(IF(AND(L301&lt;&gt;"Done",TODAY()&gt;INDEX(Sprints!$C$5:$C$8,MATCH(I301,Sprints!$A$5:$A$8,0))),"Trễ",""),""))</f>
        <v/>
      </c>
    </row>
    <row r="302" spans="10:13" x14ac:dyDescent="0.3">
      <c r="J302" s="53" t="str">
        <f>IF(I302="","",IFERROR(TEXT(INDEX(Sprints!$B$5:$B$8,MATCH(I302,Sprints!$A$5:$A$8,0)),"dd/mm")&amp;" – "&amp;TEXT(INDEX(Sprints!$C$5:$C$8,MATCH(I302,Sprints!$A$5:$A$8,0)),"dd/mm"),""))</f>
        <v/>
      </c>
      <c r="M302" s="53" t="str">
        <f ca="1">IF(G302="","",IFERROR(IF(AND(L302&lt;&gt;"Done",TODAY()&gt;INDEX(Sprints!$C$5:$C$8,MATCH(I302,Sprints!$A$5:$A$8,0))),"Trễ",""),""))</f>
        <v/>
      </c>
    </row>
    <row r="303" spans="10:13" x14ac:dyDescent="0.3">
      <c r="J303" s="53" t="str">
        <f>IF(I303="","",IFERROR(TEXT(INDEX(Sprints!$B$5:$B$8,MATCH(I303,Sprints!$A$5:$A$8,0)),"dd/mm")&amp;" – "&amp;TEXT(INDEX(Sprints!$C$5:$C$8,MATCH(I303,Sprints!$A$5:$A$8,0)),"dd/mm"),""))</f>
        <v/>
      </c>
      <c r="M303" s="53" t="str">
        <f ca="1">IF(G303="","",IFERROR(IF(AND(L303&lt;&gt;"Done",TODAY()&gt;INDEX(Sprints!$C$5:$C$8,MATCH(I303,Sprints!$A$5:$A$8,0))),"Trễ",""),""))</f>
        <v/>
      </c>
    </row>
    <row r="304" spans="10:13" x14ac:dyDescent="0.3">
      <c r="J304" s="53" t="str">
        <f>IF(I304="","",IFERROR(TEXT(INDEX(Sprints!$B$5:$B$8,MATCH(I304,Sprints!$A$5:$A$8,0)),"dd/mm")&amp;" – "&amp;TEXT(INDEX(Sprints!$C$5:$C$8,MATCH(I304,Sprints!$A$5:$A$8,0)),"dd/mm"),""))</f>
        <v/>
      </c>
      <c r="M304" s="53" t="str">
        <f ca="1">IF(G304="","",IFERROR(IF(AND(L304&lt;&gt;"Done",TODAY()&gt;INDEX(Sprints!$C$5:$C$8,MATCH(I304,Sprints!$A$5:$A$8,0))),"Trễ",""),""))</f>
        <v/>
      </c>
    </row>
    <row r="305" spans="10:13" x14ac:dyDescent="0.3">
      <c r="J305" s="53" t="str">
        <f>IF(I305="","",IFERROR(TEXT(INDEX(Sprints!$B$5:$B$8,MATCH(I305,Sprints!$A$5:$A$8,0)),"dd/mm")&amp;" – "&amp;TEXT(INDEX(Sprints!$C$5:$C$8,MATCH(I305,Sprints!$A$5:$A$8,0)),"dd/mm"),""))</f>
        <v/>
      </c>
      <c r="M305" s="53" t="str">
        <f ca="1">IF(G305="","",IFERROR(IF(AND(L305&lt;&gt;"Done",TODAY()&gt;INDEX(Sprints!$C$5:$C$8,MATCH(I305,Sprints!$A$5:$A$8,0))),"Trễ",""),""))</f>
        <v/>
      </c>
    </row>
    <row r="306" spans="10:13" x14ac:dyDescent="0.3">
      <c r="J306" s="53" t="str">
        <f>IF(I306="","",IFERROR(TEXT(INDEX(Sprints!$B$5:$B$8,MATCH(I306,Sprints!$A$5:$A$8,0)),"dd/mm")&amp;" – "&amp;TEXT(INDEX(Sprints!$C$5:$C$8,MATCH(I306,Sprints!$A$5:$A$8,0)),"dd/mm"),""))</f>
        <v/>
      </c>
      <c r="M306" s="53" t="str">
        <f ca="1">IF(G306="","",IFERROR(IF(AND(L306&lt;&gt;"Done",TODAY()&gt;INDEX(Sprints!$C$5:$C$8,MATCH(I306,Sprints!$A$5:$A$8,0))),"Trễ",""),""))</f>
        <v/>
      </c>
    </row>
    <row r="307" spans="10:13" x14ac:dyDescent="0.3">
      <c r="J307" s="53" t="str">
        <f>IF(I307="","",IFERROR(TEXT(INDEX(Sprints!$B$5:$B$8,MATCH(I307,Sprints!$A$5:$A$8,0)),"dd/mm")&amp;" – "&amp;TEXT(INDEX(Sprints!$C$5:$C$8,MATCH(I307,Sprints!$A$5:$A$8,0)),"dd/mm"),""))</f>
        <v/>
      </c>
      <c r="M307" s="53" t="str">
        <f ca="1">IF(G307="","",IFERROR(IF(AND(L307&lt;&gt;"Done",TODAY()&gt;INDEX(Sprints!$C$5:$C$8,MATCH(I307,Sprints!$A$5:$A$8,0))),"Trễ",""),""))</f>
        <v/>
      </c>
    </row>
    <row r="308" spans="10:13" x14ac:dyDescent="0.3">
      <c r="J308" s="53" t="str">
        <f>IF(I308="","",IFERROR(TEXT(INDEX(Sprints!$B$5:$B$8,MATCH(I308,Sprints!$A$5:$A$8,0)),"dd/mm")&amp;" – "&amp;TEXT(INDEX(Sprints!$C$5:$C$8,MATCH(I308,Sprints!$A$5:$A$8,0)),"dd/mm"),""))</f>
        <v/>
      </c>
      <c r="M308" s="53" t="str">
        <f ca="1">IF(G308="","",IFERROR(IF(AND(L308&lt;&gt;"Done",TODAY()&gt;INDEX(Sprints!$C$5:$C$8,MATCH(I308,Sprints!$A$5:$A$8,0))),"Trễ",""),""))</f>
        <v/>
      </c>
    </row>
    <row r="309" spans="10:13" x14ac:dyDescent="0.3">
      <c r="J309" s="53" t="str">
        <f>IF(I309="","",IFERROR(TEXT(INDEX(Sprints!$B$5:$B$8,MATCH(I309,Sprints!$A$5:$A$8,0)),"dd/mm")&amp;" – "&amp;TEXT(INDEX(Sprints!$C$5:$C$8,MATCH(I309,Sprints!$A$5:$A$8,0)),"dd/mm"),""))</f>
        <v/>
      </c>
      <c r="M309" s="53" t="str">
        <f ca="1">IF(G309="","",IFERROR(IF(AND(L309&lt;&gt;"Done",TODAY()&gt;INDEX(Sprints!$C$5:$C$8,MATCH(I309,Sprints!$A$5:$A$8,0))),"Trễ",""),""))</f>
        <v/>
      </c>
    </row>
    <row r="310" spans="10:13" x14ac:dyDescent="0.3">
      <c r="J310" s="53" t="str">
        <f>IF(I310="","",IFERROR(TEXT(INDEX(Sprints!$B$5:$B$8,MATCH(I310,Sprints!$A$5:$A$8,0)),"dd/mm")&amp;" – "&amp;TEXT(INDEX(Sprints!$C$5:$C$8,MATCH(I310,Sprints!$A$5:$A$8,0)),"dd/mm"),""))</f>
        <v/>
      </c>
      <c r="M310" s="53" t="str">
        <f ca="1">IF(G310="","",IFERROR(IF(AND(L310&lt;&gt;"Done",TODAY()&gt;INDEX(Sprints!$C$5:$C$8,MATCH(I310,Sprints!$A$5:$A$8,0))),"Trễ",""),""))</f>
        <v/>
      </c>
    </row>
    <row r="311" spans="10:13" x14ac:dyDescent="0.3">
      <c r="J311" s="53" t="str">
        <f>IF(I311="","",IFERROR(TEXT(INDEX(Sprints!$B$5:$B$8,MATCH(I311,Sprints!$A$5:$A$8,0)),"dd/mm")&amp;" – "&amp;TEXT(INDEX(Sprints!$C$5:$C$8,MATCH(I311,Sprints!$A$5:$A$8,0)),"dd/mm"),""))</f>
        <v/>
      </c>
      <c r="M311" s="53" t="str">
        <f ca="1">IF(G311="","",IFERROR(IF(AND(L311&lt;&gt;"Done",TODAY()&gt;INDEX(Sprints!$C$5:$C$8,MATCH(I311,Sprints!$A$5:$A$8,0))),"Trễ",""),""))</f>
        <v/>
      </c>
    </row>
    <row r="312" spans="10:13" x14ac:dyDescent="0.3">
      <c r="J312" s="53" t="str">
        <f>IF(I312="","",IFERROR(TEXT(INDEX(Sprints!$B$5:$B$8,MATCH(I312,Sprints!$A$5:$A$8,0)),"dd/mm")&amp;" – "&amp;TEXT(INDEX(Sprints!$C$5:$C$8,MATCH(I312,Sprints!$A$5:$A$8,0)),"dd/mm"),""))</f>
        <v/>
      </c>
      <c r="M312" s="53" t="str">
        <f ca="1">IF(G312="","",IFERROR(IF(AND(L312&lt;&gt;"Done",TODAY()&gt;INDEX(Sprints!$C$5:$C$8,MATCH(I312,Sprints!$A$5:$A$8,0))),"Trễ",""),""))</f>
        <v/>
      </c>
    </row>
    <row r="313" spans="10:13" x14ac:dyDescent="0.3">
      <c r="J313" s="53" t="str">
        <f>IF(I313="","",IFERROR(TEXT(INDEX(Sprints!$B$5:$B$8,MATCH(I313,Sprints!$A$5:$A$8,0)),"dd/mm")&amp;" – "&amp;TEXT(INDEX(Sprints!$C$5:$C$8,MATCH(I313,Sprints!$A$5:$A$8,0)),"dd/mm"),""))</f>
        <v/>
      </c>
      <c r="M313" s="53" t="str">
        <f ca="1">IF(G313="","",IFERROR(IF(AND(L313&lt;&gt;"Done",TODAY()&gt;INDEX(Sprints!$C$5:$C$8,MATCH(I313,Sprints!$A$5:$A$8,0))),"Trễ",""),""))</f>
        <v/>
      </c>
    </row>
    <row r="314" spans="10:13" x14ac:dyDescent="0.3">
      <c r="J314" s="53" t="str">
        <f>IF(I314="","",IFERROR(TEXT(INDEX(Sprints!$B$5:$B$8,MATCH(I314,Sprints!$A$5:$A$8,0)),"dd/mm")&amp;" – "&amp;TEXT(INDEX(Sprints!$C$5:$C$8,MATCH(I314,Sprints!$A$5:$A$8,0)),"dd/mm"),""))</f>
        <v/>
      </c>
      <c r="M314" s="53" t="str">
        <f ca="1">IF(G314="","",IFERROR(IF(AND(L314&lt;&gt;"Done",TODAY()&gt;INDEX(Sprints!$C$5:$C$8,MATCH(I314,Sprints!$A$5:$A$8,0))),"Trễ",""),""))</f>
        <v/>
      </c>
    </row>
    <row r="315" spans="10:13" x14ac:dyDescent="0.3">
      <c r="J315" s="53" t="str">
        <f>IF(I315="","",IFERROR(TEXT(INDEX(Sprints!$B$5:$B$8,MATCH(I315,Sprints!$A$5:$A$8,0)),"dd/mm")&amp;" – "&amp;TEXT(INDEX(Sprints!$C$5:$C$8,MATCH(I315,Sprints!$A$5:$A$8,0)),"dd/mm"),""))</f>
        <v/>
      </c>
      <c r="M315" s="53" t="str">
        <f ca="1">IF(G315="","",IFERROR(IF(AND(L315&lt;&gt;"Done",TODAY()&gt;INDEX(Sprints!$C$5:$C$8,MATCH(I315,Sprints!$A$5:$A$8,0))),"Trễ",""),""))</f>
        <v/>
      </c>
    </row>
    <row r="316" spans="10:13" x14ac:dyDescent="0.3">
      <c r="J316" s="53" t="str">
        <f>IF(I316="","",IFERROR(TEXT(INDEX(Sprints!$B$5:$B$8,MATCH(I316,Sprints!$A$5:$A$8,0)),"dd/mm")&amp;" – "&amp;TEXT(INDEX(Sprints!$C$5:$C$8,MATCH(I316,Sprints!$A$5:$A$8,0)),"dd/mm"),""))</f>
        <v/>
      </c>
      <c r="M316" s="53" t="str">
        <f ca="1">IF(G316="","",IFERROR(IF(AND(L316&lt;&gt;"Done",TODAY()&gt;INDEX(Sprints!$C$5:$C$8,MATCH(I316,Sprints!$A$5:$A$8,0))),"Trễ",""),""))</f>
        <v/>
      </c>
    </row>
    <row r="317" spans="10:13" x14ac:dyDescent="0.3">
      <c r="J317" s="53" t="str">
        <f>IF(I317="","",IFERROR(TEXT(INDEX(Sprints!$B$5:$B$8,MATCH(I317,Sprints!$A$5:$A$8,0)),"dd/mm")&amp;" – "&amp;TEXT(INDEX(Sprints!$C$5:$C$8,MATCH(I317,Sprints!$A$5:$A$8,0)),"dd/mm"),""))</f>
        <v/>
      </c>
      <c r="M317" s="53" t="str">
        <f ca="1">IF(G317="","",IFERROR(IF(AND(L317&lt;&gt;"Done",TODAY()&gt;INDEX(Sprints!$C$5:$C$8,MATCH(I317,Sprints!$A$5:$A$8,0))),"Trễ",""),""))</f>
        <v/>
      </c>
    </row>
    <row r="318" spans="10:13" x14ac:dyDescent="0.3">
      <c r="J318" s="53" t="str">
        <f>IF(I318="","",IFERROR(TEXT(INDEX(Sprints!$B$5:$B$8,MATCH(I318,Sprints!$A$5:$A$8,0)),"dd/mm")&amp;" – "&amp;TEXT(INDEX(Sprints!$C$5:$C$8,MATCH(I318,Sprints!$A$5:$A$8,0)),"dd/mm"),""))</f>
        <v/>
      </c>
      <c r="M318" s="53" t="str">
        <f ca="1">IF(G318="","",IFERROR(IF(AND(L318&lt;&gt;"Done",TODAY()&gt;INDEX(Sprints!$C$5:$C$8,MATCH(I318,Sprints!$A$5:$A$8,0))),"Trễ",""),""))</f>
        <v/>
      </c>
    </row>
    <row r="319" spans="10:13" x14ac:dyDescent="0.3">
      <c r="J319" s="53" t="str">
        <f>IF(I319="","",IFERROR(TEXT(INDEX(Sprints!$B$5:$B$8,MATCH(I319,Sprints!$A$5:$A$8,0)),"dd/mm")&amp;" – "&amp;TEXT(INDEX(Sprints!$C$5:$C$8,MATCH(I319,Sprints!$A$5:$A$8,0)),"dd/mm"),""))</f>
        <v/>
      </c>
      <c r="M319" s="53" t="str">
        <f ca="1">IF(G319="","",IFERROR(IF(AND(L319&lt;&gt;"Done",TODAY()&gt;INDEX(Sprints!$C$5:$C$8,MATCH(I319,Sprints!$A$5:$A$8,0))),"Trễ",""),""))</f>
        <v/>
      </c>
    </row>
    <row r="320" spans="10:13" x14ac:dyDescent="0.3">
      <c r="J320" s="53" t="str">
        <f>IF(I320="","",IFERROR(TEXT(INDEX(Sprints!$B$5:$B$8,MATCH(I320,Sprints!$A$5:$A$8,0)),"dd/mm")&amp;" – "&amp;TEXT(INDEX(Sprints!$C$5:$C$8,MATCH(I320,Sprints!$A$5:$A$8,0)),"dd/mm"),""))</f>
        <v/>
      </c>
      <c r="M320" s="53" t="str">
        <f ca="1">IF(G320="","",IFERROR(IF(AND(L320&lt;&gt;"Done",TODAY()&gt;INDEX(Sprints!$C$5:$C$8,MATCH(I320,Sprints!$A$5:$A$8,0))),"Trễ",""),""))</f>
        <v/>
      </c>
    </row>
    <row r="321" spans="10:13" x14ac:dyDescent="0.3">
      <c r="J321" s="53" t="str">
        <f>IF(I321="","",IFERROR(TEXT(INDEX(Sprints!$B$5:$B$8,MATCH(I321,Sprints!$A$5:$A$8,0)),"dd/mm")&amp;" – "&amp;TEXT(INDEX(Sprints!$C$5:$C$8,MATCH(I321,Sprints!$A$5:$A$8,0)),"dd/mm"),""))</f>
        <v/>
      </c>
      <c r="M321" s="53" t="str">
        <f ca="1">IF(G321="","",IFERROR(IF(AND(L321&lt;&gt;"Done",TODAY()&gt;INDEX(Sprints!$C$5:$C$8,MATCH(I321,Sprints!$A$5:$A$8,0))),"Trễ",""),""))</f>
        <v/>
      </c>
    </row>
    <row r="322" spans="10:13" x14ac:dyDescent="0.3">
      <c r="J322" s="53" t="str">
        <f>IF(I322="","",IFERROR(TEXT(INDEX(Sprints!$B$5:$B$8,MATCH(I322,Sprints!$A$5:$A$8,0)),"dd/mm")&amp;" – "&amp;TEXT(INDEX(Sprints!$C$5:$C$8,MATCH(I322,Sprints!$A$5:$A$8,0)),"dd/mm"),""))</f>
        <v/>
      </c>
      <c r="M322" s="53" t="str">
        <f ca="1">IF(G322="","",IFERROR(IF(AND(L322&lt;&gt;"Done",TODAY()&gt;INDEX(Sprints!$C$5:$C$8,MATCH(I322,Sprints!$A$5:$A$8,0))),"Trễ",""),""))</f>
        <v/>
      </c>
    </row>
    <row r="323" spans="10:13" x14ac:dyDescent="0.3">
      <c r="J323" s="53" t="str">
        <f>IF(I323="","",IFERROR(TEXT(INDEX(Sprints!$B$5:$B$8,MATCH(I323,Sprints!$A$5:$A$8,0)),"dd/mm")&amp;" – "&amp;TEXT(INDEX(Sprints!$C$5:$C$8,MATCH(I323,Sprints!$A$5:$A$8,0)),"dd/mm"),""))</f>
        <v/>
      </c>
      <c r="M323" s="53" t="str">
        <f ca="1">IF(G323="","",IFERROR(IF(AND(L323&lt;&gt;"Done",TODAY()&gt;INDEX(Sprints!$C$5:$C$8,MATCH(I323,Sprints!$A$5:$A$8,0))),"Trễ",""),""))</f>
        <v/>
      </c>
    </row>
    <row r="324" spans="10:13" x14ac:dyDescent="0.3">
      <c r="J324" s="53" t="str">
        <f>IF(I324="","",IFERROR(TEXT(INDEX(Sprints!$B$5:$B$8,MATCH(I324,Sprints!$A$5:$A$8,0)),"dd/mm")&amp;" – "&amp;TEXT(INDEX(Sprints!$C$5:$C$8,MATCH(I324,Sprints!$A$5:$A$8,0)),"dd/mm"),""))</f>
        <v/>
      </c>
      <c r="M324" s="53" t="str">
        <f ca="1">IF(G324="","",IFERROR(IF(AND(L324&lt;&gt;"Done",TODAY()&gt;INDEX(Sprints!$C$5:$C$8,MATCH(I324,Sprints!$A$5:$A$8,0))),"Trễ",""),""))</f>
        <v/>
      </c>
    </row>
    <row r="325" spans="10:13" x14ac:dyDescent="0.3">
      <c r="J325" s="53" t="str">
        <f>IF(I325="","",IFERROR(TEXT(INDEX(Sprints!$B$5:$B$8,MATCH(I325,Sprints!$A$5:$A$8,0)),"dd/mm")&amp;" – "&amp;TEXT(INDEX(Sprints!$C$5:$C$8,MATCH(I325,Sprints!$A$5:$A$8,0)),"dd/mm"),""))</f>
        <v/>
      </c>
      <c r="M325" s="53" t="str">
        <f ca="1">IF(G325="","",IFERROR(IF(AND(L325&lt;&gt;"Done",TODAY()&gt;INDEX(Sprints!$C$5:$C$8,MATCH(I325,Sprints!$A$5:$A$8,0))),"Trễ",""),""))</f>
        <v/>
      </c>
    </row>
    <row r="326" spans="10:13" x14ac:dyDescent="0.3">
      <c r="J326" s="53" t="str">
        <f>IF(I326="","",IFERROR(TEXT(INDEX(Sprints!$B$5:$B$8,MATCH(I326,Sprints!$A$5:$A$8,0)),"dd/mm")&amp;" – "&amp;TEXT(INDEX(Sprints!$C$5:$C$8,MATCH(I326,Sprints!$A$5:$A$8,0)),"dd/mm"),""))</f>
        <v/>
      </c>
      <c r="M326" s="53" t="str">
        <f ca="1">IF(G326="","",IFERROR(IF(AND(L326&lt;&gt;"Done",TODAY()&gt;INDEX(Sprints!$C$5:$C$8,MATCH(I326,Sprints!$A$5:$A$8,0))),"Trễ",""),""))</f>
        <v/>
      </c>
    </row>
    <row r="327" spans="10:13" x14ac:dyDescent="0.3">
      <c r="J327" s="53" t="str">
        <f>IF(I327="","",IFERROR(TEXT(INDEX(Sprints!$B$5:$B$8,MATCH(I327,Sprints!$A$5:$A$8,0)),"dd/mm")&amp;" – "&amp;TEXT(INDEX(Sprints!$C$5:$C$8,MATCH(I327,Sprints!$A$5:$A$8,0)),"dd/mm"),""))</f>
        <v/>
      </c>
      <c r="M327" s="53" t="str">
        <f ca="1">IF(G327="","",IFERROR(IF(AND(L327&lt;&gt;"Done",TODAY()&gt;INDEX(Sprints!$C$5:$C$8,MATCH(I327,Sprints!$A$5:$A$8,0))),"Trễ",""),""))</f>
        <v/>
      </c>
    </row>
    <row r="328" spans="10:13" x14ac:dyDescent="0.3">
      <c r="J328" s="53" t="str">
        <f>IF(I328="","",IFERROR(TEXT(INDEX(Sprints!$B$5:$B$8,MATCH(I328,Sprints!$A$5:$A$8,0)),"dd/mm")&amp;" – "&amp;TEXT(INDEX(Sprints!$C$5:$C$8,MATCH(I328,Sprints!$A$5:$A$8,0)),"dd/mm"),""))</f>
        <v/>
      </c>
      <c r="M328" s="53" t="str">
        <f ca="1">IF(G328="","",IFERROR(IF(AND(L328&lt;&gt;"Done",TODAY()&gt;INDEX(Sprints!$C$5:$C$8,MATCH(I328,Sprints!$A$5:$A$8,0))),"Trễ",""),""))</f>
        <v/>
      </c>
    </row>
    <row r="329" spans="10:13" x14ac:dyDescent="0.3">
      <c r="J329" s="53" t="str">
        <f>IF(I329="","",IFERROR(TEXT(INDEX(Sprints!$B$5:$B$8,MATCH(I329,Sprints!$A$5:$A$8,0)),"dd/mm")&amp;" – "&amp;TEXT(INDEX(Sprints!$C$5:$C$8,MATCH(I329,Sprints!$A$5:$A$8,0)),"dd/mm"),""))</f>
        <v/>
      </c>
      <c r="M329" s="53" t="str">
        <f ca="1">IF(G329="","",IFERROR(IF(AND(L329&lt;&gt;"Done",TODAY()&gt;INDEX(Sprints!$C$5:$C$8,MATCH(I329,Sprints!$A$5:$A$8,0))),"Trễ",""),""))</f>
        <v/>
      </c>
    </row>
    <row r="330" spans="10:13" x14ac:dyDescent="0.3">
      <c r="J330" s="53" t="str">
        <f>IF(I330="","",IFERROR(TEXT(INDEX(Sprints!$B$5:$B$8,MATCH(I330,Sprints!$A$5:$A$8,0)),"dd/mm")&amp;" – "&amp;TEXT(INDEX(Sprints!$C$5:$C$8,MATCH(I330,Sprints!$A$5:$A$8,0)),"dd/mm"),""))</f>
        <v/>
      </c>
      <c r="M330" s="53" t="str">
        <f ca="1">IF(G330="","",IFERROR(IF(AND(L330&lt;&gt;"Done",TODAY()&gt;INDEX(Sprints!$C$5:$C$8,MATCH(I330,Sprints!$A$5:$A$8,0))),"Trễ",""),""))</f>
        <v/>
      </c>
    </row>
    <row r="331" spans="10:13" x14ac:dyDescent="0.3">
      <c r="J331" s="53" t="str">
        <f>IF(I331="","",IFERROR(TEXT(INDEX(Sprints!$B$5:$B$8,MATCH(I331,Sprints!$A$5:$A$8,0)),"dd/mm")&amp;" – "&amp;TEXT(INDEX(Sprints!$C$5:$C$8,MATCH(I331,Sprints!$A$5:$A$8,0)),"dd/mm"),""))</f>
        <v/>
      </c>
      <c r="M331" s="53" t="str">
        <f ca="1">IF(G331="","",IFERROR(IF(AND(L331&lt;&gt;"Done",TODAY()&gt;INDEX(Sprints!$C$5:$C$8,MATCH(I331,Sprints!$A$5:$A$8,0))),"Trễ",""),""))</f>
        <v/>
      </c>
    </row>
    <row r="332" spans="10:13" x14ac:dyDescent="0.3">
      <c r="J332" s="53" t="str">
        <f>IF(I332="","",IFERROR(TEXT(INDEX(Sprints!$B$5:$B$8,MATCH(I332,Sprints!$A$5:$A$8,0)),"dd/mm")&amp;" – "&amp;TEXT(INDEX(Sprints!$C$5:$C$8,MATCH(I332,Sprints!$A$5:$A$8,0)),"dd/mm"),""))</f>
        <v/>
      </c>
      <c r="M332" s="53" t="str">
        <f ca="1">IF(G332="","",IFERROR(IF(AND(L332&lt;&gt;"Done",TODAY()&gt;INDEX(Sprints!$C$5:$C$8,MATCH(I332,Sprints!$A$5:$A$8,0))),"Trễ",""),""))</f>
        <v/>
      </c>
    </row>
    <row r="333" spans="10:13" x14ac:dyDescent="0.3">
      <c r="J333" s="53" t="str">
        <f>IF(I333="","",IFERROR(TEXT(INDEX(Sprints!$B$5:$B$8,MATCH(I333,Sprints!$A$5:$A$8,0)),"dd/mm")&amp;" – "&amp;TEXT(INDEX(Sprints!$C$5:$C$8,MATCH(I333,Sprints!$A$5:$A$8,0)),"dd/mm"),""))</f>
        <v/>
      </c>
      <c r="M333" s="53" t="str">
        <f ca="1">IF(G333="","",IFERROR(IF(AND(L333&lt;&gt;"Done",TODAY()&gt;INDEX(Sprints!$C$5:$C$8,MATCH(I333,Sprints!$A$5:$A$8,0))),"Trễ",""),""))</f>
        <v/>
      </c>
    </row>
    <row r="334" spans="10:13" x14ac:dyDescent="0.3">
      <c r="J334" s="53" t="str">
        <f>IF(I334="","",IFERROR(TEXT(INDEX(Sprints!$B$5:$B$8,MATCH(I334,Sprints!$A$5:$A$8,0)),"dd/mm")&amp;" – "&amp;TEXT(INDEX(Sprints!$C$5:$C$8,MATCH(I334,Sprints!$A$5:$A$8,0)),"dd/mm"),""))</f>
        <v/>
      </c>
      <c r="M334" s="53" t="str">
        <f ca="1">IF(G334="","",IFERROR(IF(AND(L334&lt;&gt;"Done",TODAY()&gt;INDEX(Sprints!$C$5:$C$8,MATCH(I334,Sprints!$A$5:$A$8,0))),"Trễ",""),""))</f>
        <v/>
      </c>
    </row>
    <row r="335" spans="10:13" x14ac:dyDescent="0.3">
      <c r="J335" s="53" t="str">
        <f>IF(I335="","",IFERROR(TEXT(INDEX(Sprints!$B$5:$B$8,MATCH(I335,Sprints!$A$5:$A$8,0)),"dd/mm")&amp;" – "&amp;TEXT(INDEX(Sprints!$C$5:$C$8,MATCH(I335,Sprints!$A$5:$A$8,0)),"dd/mm"),""))</f>
        <v/>
      </c>
      <c r="M335" s="53" t="str">
        <f ca="1">IF(G335="","",IFERROR(IF(AND(L335&lt;&gt;"Done",TODAY()&gt;INDEX(Sprints!$C$5:$C$8,MATCH(I335,Sprints!$A$5:$A$8,0))),"Trễ",""),""))</f>
        <v/>
      </c>
    </row>
    <row r="336" spans="10:13" x14ac:dyDescent="0.3">
      <c r="J336" s="53" t="str">
        <f>IF(I336="","",IFERROR(TEXT(INDEX(Sprints!$B$5:$B$8,MATCH(I336,Sprints!$A$5:$A$8,0)),"dd/mm")&amp;" – "&amp;TEXT(INDEX(Sprints!$C$5:$C$8,MATCH(I336,Sprints!$A$5:$A$8,0)),"dd/mm"),""))</f>
        <v/>
      </c>
      <c r="M336" s="53" t="str">
        <f ca="1">IF(G336="","",IFERROR(IF(AND(L336&lt;&gt;"Done",TODAY()&gt;INDEX(Sprints!$C$5:$C$8,MATCH(I336,Sprints!$A$5:$A$8,0))),"Trễ",""),""))</f>
        <v/>
      </c>
    </row>
    <row r="337" spans="10:13" x14ac:dyDescent="0.3">
      <c r="J337" s="53" t="str">
        <f>IF(I337="","",IFERROR(TEXT(INDEX(Sprints!$B$5:$B$8,MATCH(I337,Sprints!$A$5:$A$8,0)),"dd/mm")&amp;" – "&amp;TEXT(INDEX(Sprints!$C$5:$C$8,MATCH(I337,Sprints!$A$5:$A$8,0)),"dd/mm"),""))</f>
        <v/>
      </c>
      <c r="M337" s="53" t="str">
        <f ca="1">IF(G337="","",IFERROR(IF(AND(L337&lt;&gt;"Done",TODAY()&gt;INDEX(Sprints!$C$5:$C$8,MATCH(I337,Sprints!$A$5:$A$8,0))),"Trễ",""),""))</f>
        <v/>
      </c>
    </row>
    <row r="338" spans="10:13" x14ac:dyDescent="0.3">
      <c r="J338" s="53" t="str">
        <f>IF(I338="","",IFERROR(TEXT(INDEX(Sprints!$B$5:$B$8,MATCH(I338,Sprints!$A$5:$A$8,0)),"dd/mm")&amp;" – "&amp;TEXT(INDEX(Sprints!$C$5:$C$8,MATCH(I338,Sprints!$A$5:$A$8,0)),"dd/mm"),""))</f>
        <v/>
      </c>
      <c r="M338" s="53" t="str">
        <f ca="1">IF(G338="","",IFERROR(IF(AND(L338&lt;&gt;"Done",TODAY()&gt;INDEX(Sprints!$C$5:$C$8,MATCH(I338,Sprints!$A$5:$A$8,0))),"Trễ",""),""))</f>
        <v/>
      </c>
    </row>
    <row r="339" spans="10:13" x14ac:dyDescent="0.3">
      <c r="J339" s="53" t="str">
        <f>IF(I339="","",IFERROR(TEXT(INDEX(Sprints!$B$5:$B$8,MATCH(I339,Sprints!$A$5:$A$8,0)),"dd/mm")&amp;" – "&amp;TEXT(INDEX(Sprints!$C$5:$C$8,MATCH(I339,Sprints!$A$5:$A$8,0)),"dd/mm"),""))</f>
        <v/>
      </c>
      <c r="M339" s="53" t="str">
        <f ca="1">IF(G339="","",IFERROR(IF(AND(L339&lt;&gt;"Done",TODAY()&gt;INDEX(Sprints!$C$5:$C$8,MATCH(I339,Sprints!$A$5:$A$8,0))),"Trễ",""),""))</f>
        <v/>
      </c>
    </row>
    <row r="340" spans="10:13" x14ac:dyDescent="0.3">
      <c r="J340" s="53" t="str">
        <f>IF(I340="","",IFERROR(TEXT(INDEX(Sprints!$B$5:$B$8,MATCH(I340,Sprints!$A$5:$A$8,0)),"dd/mm")&amp;" – "&amp;TEXT(INDEX(Sprints!$C$5:$C$8,MATCH(I340,Sprints!$A$5:$A$8,0)),"dd/mm"),""))</f>
        <v/>
      </c>
      <c r="M340" s="53" t="str">
        <f ca="1">IF(G340="","",IFERROR(IF(AND(L340&lt;&gt;"Done",TODAY()&gt;INDEX(Sprints!$C$5:$C$8,MATCH(I340,Sprints!$A$5:$A$8,0))),"Trễ",""),""))</f>
        <v/>
      </c>
    </row>
    <row r="341" spans="10:13" x14ac:dyDescent="0.3">
      <c r="J341" s="53" t="str">
        <f>IF(I341="","",IFERROR(TEXT(INDEX(Sprints!$B$5:$B$8,MATCH(I341,Sprints!$A$5:$A$8,0)),"dd/mm")&amp;" – "&amp;TEXT(INDEX(Sprints!$C$5:$C$8,MATCH(I341,Sprints!$A$5:$A$8,0)),"dd/mm"),""))</f>
        <v/>
      </c>
      <c r="M341" s="53" t="str">
        <f ca="1">IF(G341="","",IFERROR(IF(AND(L341&lt;&gt;"Done",TODAY()&gt;INDEX(Sprints!$C$5:$C$8,MATCH(I341,Sprints!$A$5:$A$8,0))),"Trễ",""),""))</f>
        <v/>
      </c>
    </row>
    <row r="342" spans="10:13" x14ac:dyDescent="0.3">
      <c r="J342" s="53" t="str">
        <f>IF(I342="","",IFERROR(TEXT(INDEX(Sprints!$B$5:$B$8,MATCH(I342,Sprints!$A$5:$A$8,0)),"dd/mm")&amp;" – "&amp;TEXT(INDEX(Sprints!$C$5:$C$8,MATCH(I342,Sprints!$A$5:$A$8,0)),"dd/mm"),""))</f>
        <v/>
      </c>
      <c r="M342" s="53" t="str">
        <f ca="1">IF(G342="","",IFERROR(IF(AND(L342&lt;&gt;"Done",TODAY()&gt;INDEX(Sprints!$C$5:$C$8,MATCH(I342,Sprints!$A$5:$A$8,0))),"Trễ",""),""))</f>
        <v/>
      </c>
    </row>
    <row r="343" spans="10:13" x14ac:dyDescent="0.3">
      <c r="J343" s="53" t="str">
        <f>IF(I343="","",IFERROR(TEXT(INDEX(Sprints!$B$5:$B$8,MATCH(I343,Sprints!$A$5:$A$8,0)),"dd/mm")&amp;" – "&amp;TEXT(INDEX(Sprints!$C$5:$C$8,MATCH(I343,Sprints!$A$5:$A$8,0)),"dd/mm"),""))</f>
        <v/>
      </c>
      <c r="M343" s="53" t="str">
        <f ca="1">IF(G343="","",IFERROR(IF(AND(L343&lt;&gt;"Done",TODAY()&gt;INDEX(Sprints!$C$5:$C$8,MATCH(I343,Sprints!$A$5:$A$8,0))),"Trễ",""),""))</f>
        <v/>
      </c>
    </row>
    <row r="344" spans="10:13" x14ac:dyDescent="0.3">
      <c r="J344" s="53" t="str">
        <f>IF(I344="","",IFERROR(TEXT(INDEX(Sprints!$B$5:$B$8,MATCH(I344,Sprints!$A$5:$A$8,0)),"dd/mm")&amp;" – "&amp;TEXT(INDEX(Sprints!$C$5:$C$8,MATCH(I344,Sprints!$A$5:$A$8,0)),"dd/mm"),""))</f>
        <v/>
      </c>
      <c r="M344" s="53" t="str">
        <f ca="1">IF(G344="","",IFERROR(IF(AND(L344&lt;&gt;"Done",TODAY()&gt;INDEX(Sprints!$C$5:$C$8,MATCH(I344,Sprints!$A$5:$A$8,0))),"Trễ",""),""))</f>
        <v/>
      </c>
    </row>
    <row r="345" spans="10:13" x14ac:dyDescent="0.3">
      <c r="J345" s="53" t="str">
        <f>IF(I345="","",IFERROR(TEXT(INDEX(Sprints!$B$5:$B$8,MATCH(I345,Sprints!$A$5:$A$8,0)),"dd/mm")&amp;" – "&amp;TEXT(INDEX(Sprints!$C$5:$C$8,MATCH(I345,Sprints!$A$5:$A$8,0)),"dd/mm"),""))</f>
        <v/>
      </c>
      <c r="M345" s="53" t="str">
        <f ca="1">IF(G345="","",IFERROR(IF(AND(L345&lt;&gt;"Done",TODAY()&gt;INDEX(Sprints!$C$5:$C$8,MATCH(I345,Sprints!$A$5:$A$8,0))),"Trễ",""),""))</f>
        <v/>
      </c>
    </row>
    <row r="346" spans="10:13" x14ac:dyDescent="0.3">
      <c r="J346" s="53" t="str">
        <f>IF(I346="","",IFERROR(TEXT(INDEX(Sprints!$B$5:$B$8,MATCH(I346,Sprints!$A$5:$A$8,0)),"dd/mm")&amp;" – "&amp;TEXT(INDEX(Sprints!$C$5:$C$8,MATCH(I346,Sprints!$A$5:$A$8,0)),"dd/mm"),""))</f>
        <v/>
      </c>
      <c r="M346" s="53" t="str">
        <f ca="1">IF(G346="","",IFERROR(IF(AND(L346&lt;&gt;"Done",TODAY()&gt;INDEX(Sprints!$C$5:$C$8,MATCH(I346,Sprints!$A$5:$A$8,0))),"Trễ",""),""))</f>
        <v/>
      </c>
    </row>
    <row r="347" spans="10:13" x14ac:dyDescent="0.3">
      <c r="J347" s="53" t="str">
        <f>IF(I347="","",IFERROR(TEXT(INDEX(Sprints!$B$5:$B$8,MATCH(I347,Sprints!$A$5:$A$8,0)),"dd/mm")&amp;" – "&amp;TEXT(INDEX(Sprints!$C$5:$C$8,MATCH(I347,Sprints!$A$5:$A$8,0)),"dd/mm"),""))</f>
        <v/>
      </c>
      <c r="M347" s="53" t="str">
        <f ca="1">IF(G347="","",IFERROR(IF(AND(L347&lt;&gt;"Done",TODAY()&gt;INDEX(Sprints!$C$5:$C$8,MATCH(I347,Sprints!$A$5:$A$8,0))),"Trễ",""),""))</f>
        <v/>
      </c>
    </row>
    <row r="348" spans="10:13" x14ac:dyDescent="0.3">
      <c r="J348" s="53" t="str">
        <f>IF(I348="","",IFERROR(TEXT(INDEX(Sprints!$B$5:$B$8,MATCH(I348,Sprints!$A$5:$A$8,0)),"dd/mm")&amp;" – "&amp;TEXT(INDEX(Sprints!$C$5:$C$8,MATCH(I348,Sprints!$A$5:$A$8,0)),"dd/mm"),""))</f>
        <v/>
      </c>
      <c r="M348" s="53" t="str">
        <f ca="1">IF(G348="","",IFERROR(IF(AND(L348&lt;&gt;"Done",TODAY()&gt;INDEX(Sprints!$C$5:$C$8,MATCH(I348,Sprints!$A$5:$A$8,0))),"Trễ",""),""))</f>
        <v/>
      </c>
    </row>
    <row r="349" spans="10:13" x14ac:dyDescent="0.3">
      <c r="J349" s="53" t="str">
        <f>IF(I349="","",IFERROR(TEXT(INDEX(Sprints!$B$5:$B$8,MATCH(I349,Sprints!$A$5:$A$8,0)),"dd/mm")&amp;" – "&amp;TEXT(INDEX(Sprints!$C$5:$C$8,MATCH(I349,Sprints!$A$5:$A$8,0)),"dd/mm"),""))</f>
        <v/>
      </c>
      <c r="M349" s="53" t="str">
        <f ca="1">IF(G349="","",IFERROR(IF(AND(L349&lt;&gt;"Done",TODAY()&gt;INDEX(Sprints!$C$5:$C$8,MATCH(I349,Sprints!$A$5:$A$8,0))),"Trễ",""),""))</f>
        <v/>
      </c>
    </row>
    <row r="350" spans="10:13" x14ac:dyDescent="0.3">
      <c r="J350" s="53" t="str">
        <f>IF(I350="","",IFERROR(TEXT(INDEX(Sprints!$B$5:$B$8,MATCH(I350,Sprints!$A$5:$A$8,0)),"dd/mm")&amp;" – "&amp;TEXT(INDEX(Sprints!$C$5:$C$8,MATCH(I350,Sprints!$A$5:$A$8,0)),"dd/mm"),""))</f>
        <v/>
      </c>
      <c r="M350" s="53" t="str">
        <f ca="1">IF(G350="","",IFERROR(IF(AND(L350&lt;&gt;"Done",TODAY()&gt;INDEX(Sprints!$C$5:$C$8,MATCH(I350,Sprints!$A$5:$A$8,0))),"Trễ",""),""))</f>
        <v/>
      </c>
    </row>
    <row r="351" spans="10:13" x14ac:dyDescent="0.3">
      <c r="J351" s="53" t="str">
        <f>IF(I351="","",IFERROR(TEXT(INDEX(Sprints!$B$5:$B$8,MATCH(I351,Sprints!$A$5:$A$8,0)),"dd/mm")&amp;" – "&amp;TEXT(INDEX(Sprints!$C$5:$C$8,MATCH(I351,Sprints!$A$5:$A$8,0)),"dd/mm"),""))</f>
        <v/>
      </c>
      <c r="M351" s="53" t="str">
        <f ca="1">IF(G351="","",IFERROR(IF(AND(L351&lt;&gt;"Done",TODAY()&gt;INDEX(Sprints!$C$5:$C$8,MATCH(I351,Sprints!$A$5:$A$8,0))),"Trễ",""),""))</f>
        <v/>
      </c>
    </row>
    <row r="352" spans="10:13" x14ac:dyDescent="0.3">
      <c r="J352" s="53" t="str">
        <f>IF(I352="","",IFERROR(TEXT(INDEX(Sprints!$B$5:$B$8,MATCH(I352,Sprints!$A$5:$A$8,0)),"dd/mm")&amp;" – "&amp;TEXT(INDEX(Sprints!$C$5:$C$8,MATCH(I352,Sprints!$A$5:$A$8,0)),"dd/mm"),""))</f>
        <v/>
      </c>
      <c r="M352" s="53" t="str">
        <f ca="1">IF(G352="","",IFERROR(IF(AND(L352&lt;&gt;"Done",TODAY()&gt;INDEX(Sprints!$C$5:$C$8,MATCH(I352,Sprints!$A$5:$A$8,0))),"Trễ",""),""))</f>
        <v/>
      </c>
    </row>
    <row r="353" spans="10:13" x14ac:dyDescent="0.3">
      <c r="J353" s="53" t="str">
        <f>IF(I353="","",IFERROR(TEXT(INDEX(Sprints!$B$5:$B$8,MATCH(I353,Sprints!$A$5:$A$8,0)),"dd/mm")&amp;" – "&amp;TEXT(INDEX(Sprints!$C$5:$C$8,MATCH(I353,Sprints!$A$5:$A$8,0)),"dd/mm"),""))</f>
        <v/>
      </c>
      <c r="M353" s="53" t="str">
        <f ca="1">IF(G353="","",IFERROR(IF(AND(L353&lt;&gt;"Done",TODAY()&gt;INDEX(Sprints!$C$5:$C$8,MATCH(I353,Sprints!$A$5:$A$8,0))),"Trễ",""),""))</f>
        <v/>
      </c>
    </row>
    <row r="354" spans="10:13" x14ac:dyDescent="0.3">
      <c r="J354" s="53" t="str">
        <f>IF(I354="","",IFERROR(TEXT(INDEX(Sprints!$B$5:$B$8,MATCH(I354,Sprints!$A$5:$A$8,0)),"dd/mm")&amp;" – "&amp;TEXT(INDEX(Sprints!$C$5:$C$8,MATCH(I354,Sprints!$A$5:$A$8,0)),"dd/mm"),""))</f>
        <v/>
      </c>
      <c r="M354" s="53" t="str">
        <f ca="1">IF(G354="","",IFERROR(IF(AND(L354&lt;&gt;"Done",TODAY()&gt;INDEX(Sprints!$C$5:$C$8,MATCH(I354,Sprints!$A$5:$A$8,0))),"Trễ",""),""))</f>
        <v/>
      </c>
    </row>
    <row r="355" spans="10:13" x14ac:dyDescent="0.3">
      <c r="J355" s="53" t="str">
        <f>IF(I355="","",IFERROR(TEXT(INDEX(Sprints!$B$5:$B$8,MATCH(I355,Sprints!$A$5:$A$8,0)),"dd/mm")&amp;" – "&amp;TEXT(INDEX(Sprints!$C$5:$C$8,MATCH(I355,Sprints!$A$5:$A$8,0)),"dd/mm"),""))</f>
        <v/>
      </c>
      <c r="M355" s="53" t="str">
        <f ca="1">IF(G355="","",IFERROR(IF(AND(L355&lt;&gt;"Done",TODAY()&gt;INDEX(Sprints!$C$5:$C$8,MATCH(I355,Sprints!$A$5:$A$8,0))),"Trễ",""),""))</f>
        <v/>
      </c>
    </row>
    <row r="356" spans="10:13" x14ac:dyDescent="0.3">
      <c r="J356" s="53" t="str">
        <f>IF(I356="","",IFERROR(TEXT(INDEX(Sprints!$B$5:$B$8,MATCH(I356,Sprints!$A$5:$A$8,0)),"dd/mm")&amp;" – "&amp;TEXT(INDEX(Sprints!$C$5:$C$8,MATCH(I356,Sprints!$A$5:$A$8,0)),"dd/mm"),""))</f>
        <v/>
      </c>
      <c r="M356" s="53" t="str">
        <f ca="1">IF(G356="","",IFERROR(IF(AND(L356&lt;&gt;"Done",TODAY()&gt;INDEX(Sprints!$C$5:$C$8,MATCH(I356,Sprints!$A$5:$A$8,0))),"Trễ",""),""))</f>
        <v/>
      </c>
    </row>
    <row r="357" spans="10:13" x14ac:dyDescent="0.3">
      <c r="J357" s="53" t="str">
        <f>IF(I357="","",IFERROR(TEXT(INDEX(Sprints!$B$5:$B$8,MATCH(I357,Sprints!$A$5:$A$8,0)),"dd/mm")&amp;" – "&amp;TEXT(INDEX(Sprints!$C$5:$C$8,MATCH(I357,Sprints!$A$5:$A$8,0)),"dd/mm"),""))</f>
        <v/>
      </c>
      <c r="M357" s="53" t="str">
        <f ca="1">IF(G357="","",IFERROR(IF(AND(L357&lt;&gt;"Done",TODAY()&gt;INDEX(Sprints!$C$5:$C$8,MATCH(I357,Sprints!$A$5:$A$8,0))),"Trễ",""),""))</f>
        <v/>
      </c>
    </row>
    <row r="358" spans="10:13" x14ac:dyDescent="0.3">
      <c r="J358" s="53" t="str">
        <f>IF(I358="","",IFERROR(TEXT(INDEX(Sprints!$B$5:$B$8,MATCH(I358,Sprints!$A$5:$A$8,0)),"dd/mm")&amp;" – "&amp;TEXT(INDEX(Sprints!$C$5:$C$8,MATCH(I358,Sprints!$A$5:$A$8,0)),"dd/mm"),""))</f>
        <v/>
      </c>
      <c r="M358" s="53" t="str">
        <f ca="1">IF(G358="","",IFERROR(IF(AND(L358&lt;&gt;"Done",TODAY()&gt;INDEX(Sprints!$C$5:$C$8,MATCH(I358,Sprints!$A$5:$A$8,0))),"Trễ",""),""))</f>
        <v/>
      </c>
    </row>
    <row r="359" spans="10:13" x14ac:dyDescent="0.3">
      <c r="J359" s="53" t="str">
        <f>IF(I359="","",IFERROR(TEXT(INDEX(Sprints!$B$5:$B$8,MATCH(I359,Sprints!$A$5:$A$8,0)),"dd/mm")&amp;" – "&amp;TEXT(INDEX(Sprints!$C$5:$C$8,MATCH(I359,Sprints!$A$5:$A$8,0)),"dd/mm"),""))</f>
        <v/>
      </c>
      <c r="M359" s="53" t="str">
        <f ca="1">IF(G359="","",IFERROR(IF(AND(L359&lt;&gt;"Done",TODAY()&gt;INDEX(Sprints!$C$5:$C$8,MATCH(I359,Sprints!$A$5:$A$8,0))),"Trễ",""),""))</f>
        <v/>
      </c>
    </row>
    <row r="360" spans="10:13" x14ac:dyDescent="0.3">
      <c r="J360" s="53" t="str">
        <f>IF(I360="","",IFERROR(TEXT(INDEX(Sprints!$B$5:$B$8,MATCH(I360,Sprints!$A$5:$A$8,0)),"dd/mm")&amp;" – "&amp;TEXT(INDEX(Sprints!$C$5:$C$8,MATCH(I360,Sprints!$A$5:$A$8,0)),"dd/mm"),""))</f>
        <v/>
      </c>
      <c r="M360" s="53" t="str">
        <f ca="1">IF(G360="","",IFERROR(IF(AND(L360&lt;&gt;"Done",TODAY()&gt;INDEX(Sprints!$C$5:$C$8,MATCH(I360,Sprints!$A$5:$A$8,0))),"Trễ",""),""))</f>
        <v/>
      </c>
    </row>
    <row r="361" spans="10:13" x14ac:dyDescent="0.3">
      <c r="J361" s="53" t="str">
        <f>IF(I361="","",IFERROR(TEXT(INDEX(Sprints!$B$5:$B$8,MATCH(I361,Sprints!$A$5:$A$8,0)),"dd/mm")&amp;" – "&amp;TEXT(INDEX(Sprints!$C$5:$C$8,MATCH(I361,Sprints!$A$5:$A$8,0)),"dd/mm"),""))</f>
        <v/>
      </c>
      <c r="M361" s="53" t="str">
        <f ca="1">IF(G361="","",IFERROR(IF(AND(L361&lt;&gt;"Done",TODAY()&gt;INDEX(Sprints!$C$5:$C$8,MATCH(I361,Sprints!$A$5:$A$8,0))),"Trễ",""),""))</f>
        <v/>
      </c>
    </row>
    <row r="362" spans="10:13" x14ac:dyDescent="0.3">
      <c r="J362" s="53" t="str">
        <f>IF(I362="","",IFERROR(TEXT(INDEX(Sprints!$B$5:$B$8,MATCH(I362,Sprints!$A$5:$A$8,0)),"dd/mm")&amp;" – "&amp;TEXT(INDEX(Sprints!$C$5:$C$8,MATCH(I362,Sprints!$A$5:$A$8,0)),"dd/mm"),""))</f>
        <v/>
      </c>
      <c r="M362" s="53" t="str">
        <f ca="1">IF(G362="","",IFERROR(IF(AND(L362&lt;&gt;"Done",TODAY()&gt;INDEX(Sprints!$C$5:$C$8,MATCH(I362,Sprints!$A$5:$A$8,0))),"Trễ",""),""))</f>
        <v/>
      </c>
    </row>
    <row r="363" spans="10:13" x14ac:dyDescent="0.3">
      <c r="J363" s="53" t="str">
        <f>IF(I363="","",IFERROR(TEXT(INDEX(Sprints!$B$5:$B$8,MATCH(I363,Sprints!$A$5:$A$8,0)),"dd/mm")&amp;" – "&amp;TEXT(INDEX(Sprints!$C$5:$C$8,MATCH(I363,Sprints!$A$5:$A$8,0)),"dd/mm"),""))</f>
        <v/>
      </c>
      <c r="M363" s="53" t="str">
        <f ca="1">IF(G363="","",IFERROR(IF(AND(L363&lt;&gt;"Done",TODAY()&gt;INDEX(Sprints!$C$5:$C$8,MATCH(I363,Sprints!$A$5:$A$8,0))),"Trễ",""),""))</f>
        <v/>
      </c>
    </row>
    <row r="364" spans="10:13" x14ac:dyDescent="0.3">
      <c r="J364" s="53" t="str">
        <f>IF(I364="","",IFERROR(TEXT(INDEX(Sprints!$B$5:$B$8,MATCH(I364,Sprints!$A$5:$A$8,0)),"dd/mm")&amp;" – "&amp;TEXT(INDEX(Sprints!$C$5:$C$8,MATCH(I364,Sprints!$A$5:$A$8,0)),"dd/mm"),""))</f>
        <v/>
      </c>
      <c r="M364" s="53" t="str">
        <f ca="1">IF(G364="","",IFERROR(IF(AND(L364&lt;&gt;"Done",TODAY()&gt;INDEX(Sprints!$C$5:$C$8,MATCH(I364,Sprints!$A$5:$A$8,0))),"Trễ",""),""))</f>
        <v/>
      </c>
    </row>
    <row r="365" spans="10:13" x14ac:dyDescent="0.3">
      <c r="J365" s="53" t="str">
        <f>IF(I365="","",IFERROR(TEXT(INDEX(Sprints!$B$5:$B$8,MATCH(I365,Sprints!$A$5:$A$8,0)),"dd/mm")&amp;" – "&amp;TEXT(INDEX(Sprints!$C$5:$C$8,MATCH(I365,Sprints!$A$5:$A$8,0)),"dd/mm"),""))</f>
        <v/>
      </c>
      <c r="M365" s="53" t="str">
        <f ca="1">IF(G365="","",IFERROR(IF(AND(L365&lt;&gt;"Done",TODAY()&gt;INDEX(Sprints!$C$5:$C$8,MATCH(I365,Sprints!$A$5:$A$8,0))),"Trễ",""),""))</f>
        <v/>
      </c>
    </row>
    <row r="366" spans="10:13" x14ac:dyDescent="0.3">
      <c r="J366" s="53" t="str">
        <f>IF(I366="","",IFERROR(TEXT(INDEX(Sprints!$B$5:$B$8,MATCH(I366,Sprints!$A$5:$A$8,0)),"dd/mm")&amp;" – "&amp;TEXT(INDEX(Sprints!$C$5:$C$8,MATCH(I366,Sprints!$A$5:$A$8,0)),"dd/mm"),""))</f>
        <v/>
      </c>
      <c r="M366" s="53" t="str">
        <f ca="1">IF(G366="","",IFERROR(IF(AND(L366&lt;&gt;"Done",TODAY()&gt;INDEX(Sprints!$C$5:$C$8,MATCH(I366,Sprints!$A$5:$A$8,0))),"Trễ",""),""))</f>
        <v/>
      </c>
    </row>
    <row r="367" spans="10:13" x14ac:dyDescent="0.3">
      <c r="J367" s="53" t="str">
        <f>IF(I367="","",IFERROR(TEXT(INDEX(Sprints!$B$5:$B$8,MATCH(I367,Sprints!$A$5:$A$8,0)),"dd/mm")&amp;" – "&amp;TEXT(INDEX(Sprints!$C$5:$C$8,MATCH(I367,Sprints!$A$5:$A$8,0)),"dd/mm"),""))</f>
        <v/>
      </c>
      <c r="M367" s="53" t="str">
        <f ca="1">IF(G367="","",IFERROR(IF(AND(L367&lt;&gt;"Done",TODAY()&gt;INDEX(Sprints!$C$5:$C$8,MATCH(I367,Sprints!$A$5:$A$8,0))),"Trễ",""),""))</f>
        <v/>
      </c>
    </row>
    <row r="368" spans="10:13" x14ac:dyDescent="0.3">
      <c r="J368" s="53" t="str">
        <f>IF(I368="","",IFERROR(TEXT(INDEX(Sprints!$B$5:$B$8,MATCH(I368,Sprints!$A$5:$A$8,0)),"dd/mm")&amp;" – "&amp;TEXT(INDEX(Sprints!$C$5:$C$8,MATCH(I368,Sprints!$A$5:$A$8,0)),"dd/mm"),""))</f>
        <v/>
      </c>
      <c r="M368" s="53" t="str">
        <f ca="1">IF(G368="","",IFERROR(IF(AND(L368&lt;&gt;"Done",TODAY()&gt;INDEX(Sprints!$C$5:$C$8,MATCH(I368,Sprints!$A$5:$A$8,0))),"Trễ",""),""))</f>
        <v/>
      </c>
    </row>
    <row r="369" spans="10:13" x14ac:dyDescent="0.3">
      <c r="J369" s="53" t="str">
        <f>IF(I369="","",IFERROR(TEXT(INDEX(Sprints!$B$5:$B$8,MATCH(I369,Sprints!$A$5:$A$8,0)),"dd/mm")&amp;" – "&amp;TEXT(INDEX(Sprints!$C$5:$C$8,MATCH(I369,Sprints!$A$5:$A$8,0)),"dd/mm"),""))</f>
        <v/>
      </c>
      <c r="M369" s="53" t="str">
        <f ca="1">IF(G369="","",IFERROR(IF(AND(L369&lt;&gt;"Done",TODAY()&gt;INDEX(Sprints!$C$5:$C$8,MATCH(I369,Sprints!$A$5:$A$8,0))),"Trễ",""),""))</f>
        <v/>
      </c>
    </row>
    <row r="370" spans="10:13" x14ac:dyDescent="0.3">
      <c r="J370" s="53" t="str">
        <f>IF(I370="","",IFERROR(TEXT(INDEX(Sprints!$B$5:$B$8,MATCH(I370,Sprints!$A$5:$A$8,0)),"dd/mm")&amp;" – "&amp;TEXT(INDEX(Sprints!$C$5:$C$8,MATCH(I370,Sprints!$A$5:$A$8,0)),"dd/mm"),""))</f>
        <v/>
      </c>
      <c r="M370" s="53" t="str">
        <f ca="1">IF(G370="","",IFERROR(IF(AND(L370&lt;&gt;"Done",TODAY()&gt;INDEX(Sprints!$C$5:$C$8,MATCH(I370,Sprints!$A$5:$A$8,0))),"Trễ",""),""))</f>
        <v/>
      </c>
    </row>
    <row r="371" spans="10:13" x14ac:dyDescent="0.3">
      <c r="J371" s="53" t="str">
        <f>IF(I371="","",IFERROR(TEXT(INDEX(Sprints!$B$5:$B$8,MATCH(I371,Sprints!$A$5:$A$8,0)),"dd/mm")&amp;" – "&amp;TEXT(INDEX(Sprints!$C$5:$C$8,MATCH(I371,Sprints!$A$5:$A$8,0)),"dd/mm"),""))</f>
        <v/>
      </c>
      <c r="M371" s="53" t="str">
        <f ca="1">IF(G371="","",IFERROR(IF(AND(L371&lt;&gt;"Done",TODAY()&gt;INDEX(Sprints!$C$5:$C$8,MATCH(I371,Sprints!$A$5:$A$8,0))),"Trễ",""),""))</f>
        <v/>
      </c>
    </row>
    <row r="372" spans="10:13" x14ac:dyDescent="0.3">
      <c r="J372" s="53" t="str">
        <f>IF(I372="","",IFERROR(TEXT(INDEX(Sprints!$B$5:$B$8,MATCH(I372,Sprints!$A$5:$A$8,0)),"dd/mm")&amp;" – "&amp;TEXT(INDEX(Sprints!$C$5:$C$8,MATCH(I372,Sprints!$A$5:$A$8,0)),"dd/mm"),""))</f>
        <v/>
      </c>
      <c r="M372" s="53" t="str">
        <f ca="1">IF(G372="","",IFERROR(IF(AND(L372&lt;&gt;"Done",TODAY()&gt;INDEX(Sprints!$C$5:$C$8,MATCH(I372,Sprints!$A$5:$A$8,0))),"Trễ",""),""))</f>
        <v/>
      </c>
    </row>
    <row r="373" spans="10:13" x14ac:dyDescent="0.3">
      <c r="J373" s="53" t="str">
        <f>IF(I373="","",IFERROR(TEXT(INDEX(Sprints!$B$5:$B$8,MATCH(I373,Sprints!$A$5:$A$8,0)),"dd/mm")&amp;" – "&amp;TEXT(INDEX(Sprints!$C$5:$C$8,MATCH(I373,Sprints!$A$5:$A$8,0)),"dd/mm"),""))</f>
        <v/>
      </c>
      <c r="M373" s="53" t="str">
        <f ca="1">IF(G373="","",IFERROR(IF(AND(L373&lt;&gt;"Done",TODAY()&gt;INDEX(Sprints!$C$5:$C$8,MATCH(I373,Sprints!$A$5:$A$8,0))),"Trễ",""),""))</f>
        <v/>
      </c>
    </row>
    <row r="374" spans="10:13" x14ac:dyDescent="0.3">
      <c r="J374" s="53" t="str">
        <f>IF(I374="","",IFERROR(TEXT(INDEX(Sprints!$B$5:$B$8,MATCH(I374,Sprints!$A$5:$A$8,0)),"dd/mm")&amp;" – "&amp;TEXT(INDEX(Sprints!$C$5:$C$8,MATCH(I374,Sprints!$A$5:$A$8,0)),"dd/mm"),""))</f>
        <v/>
      </c>
      <c r="M374" s="53" t="str">
        <f ca="1">IF(G374="","",IFERROR(IF(AND(L374&lt;&gt;"Done",TODAY()&gt;INDEX(Sprints!$C$5:$C$8,MATCH(I374,Sprints!$A$5:$A$8,0))),"Trễ",""),""))</f>
        <v/>
      </c>
    </row>
    <row r="375" spans="10:13" x14ac:dyDescent="0.3">
      <c r="J375" s="53" t="str">
        <f>IF(I375="","",IFERROR(TEXT(INDEX(Sprints!$B$5:$B$8,MATCH(I375,Sprints!$A$5:$A$8,0)),"dd/mm")&amp;" – "&amp;TEXT(INDEX(Sprints!$C$5:$C$8,MATCH(I375,Sprints!$A$5:$A$8,0)),"dd/mm"),""))</f>
        <v/>
      </c>
      <c r="M375" s="53" t="str">
        <f ca="1">IF(G375="","",IFERROR(IF(AND(L375&lt;&gt;"Done",TODAY()&gt;INDEX(Sprints!$C$5:$C$8,MATCH(I375,Sprints!$A$5:$A$8,0))),"Trễ",""),""))</f>
        <v/>
      </c>
    </row>
    <row r="376" spans="10:13" x14ac:dyDescent="0.3">
      <c r="J376" s="53" t="str">
        <f>IF(I376="","",IFERROR(TEXT(INDEX(Sprints!$B$5:$B$8,MATCH(I376,Sprints!$A$5:$A$8,0)),"dd/mm")&amp;" – "&amp;TEXT(INDEX(Sprints!$C$5:$C$8,MATCH(I376,Sprints!$A$5:$A$8,0)),"dd/mm"),""))</f>
        <v/>
      </c>
      <c r="M376" s="53" t="str">
        <f ca="1">IF(G376="","",IFERROR(IF(AND(L376&lt;&gt;"Done",TODAY()&gt;INDEX(Sprints!$C$5:$C$8,MATCH(I376,Sprints!$A$5:$A$8,0))),"Trễ",""),""))</f>
        <v/>
      </c>
    </row>
    <row r="377" spans="10:13" x14ac:dyDescent="0.3">
      <c r="J377" s="53" t="str">
        <f>IF(I377="","",IFERROR(TEXT(INDEX(Sprints!$B$5:$B$8,MATCH(I377,Sprints!$A$5:$A$8,0)),"dd/mm")&amp;" – "&amp;TEXT(INDEX(Sprints!$C$5:$C$8,MATCH(I377,Sprints!$A$5:$A$8,0)),"dd/mm"),""))</f>
        <v/>
      </c>
      <c r="M377" s="53" t="str">
        <f ca="1">IF(G377="","",IFERROR(IF(AND(L377&lt;&gt;"Done",TODAY()&gt;INDEX(Sprints!$C$5:$C$8,MATCH(I377,Sprints!$A$5:$A$8,0))),"Trễ",""),""))</f>
        <v/>
      </c>
    </row>
    <row r="378" spans="10:13" x14ac:dyDescent="0.3">
      <c r="J378" s="53" t="str">
        <f>IF(I378="","",IFERROR(TEXT(INDEX(Sprints!$B$5:$B$8,MATCH(I378,Sprints!$A$5:$A$8,0)),"dd/mm")&amp;" – "&amp;TEXT(INDEX(Sprints!$C$5:$C$8,MATCH(I378,Sprints!$A$5:$A$8,0)),"dd/mm"),""))</f>
        <v/>
      </c>
      <c r="M378" s="53" t="str">
        <f ca="1">IF(G378="","",IFERROR(IF(AND(L378&lt;&gt;"Done",TODAY()&gt;INDEX(Sprints!$C$5:$C$8,MATCH(I378,Sprints!$A$5:$A$8,0))),"Trễ",""),""))</f>
        <v/>
      </c>
    </row>
    <row r="379" spans="10:13" x14ac:dyDescent="0.3">
      <c r="J379" s="53" t="str">
        <f>IF(I379="","",IFERROR(TEXT(INDEX(Sprints!$B$5:$B$8,MATCH(I379,Sprints!$A$5:$A$8,0)),"dd/mm")&amp;" – "&amp;TEXT(INDEX(Sprints!$C$5:$C$8,MATCH(I379,Sprints!$A$5:$A$8,0)),"dd/mm"),""))</f>
        <v/>
      </c>
      <c r="M379" s="53" t="str">
        <f ca="1">IF(G379="","",IFERROR(IF(AND(L379&lt;&gt;"Done",TODAY()&gt;INDEX(Sprints!$C$5:$C$8,MATCH(I379,Sprints!$A$5:$A$8,0))),"Trễ",""),""))</f>
        <v/>
      </c>
    </row>
    <row r="380" spans="10:13" x14ac:dyDescent="0.3">
      <c r="J380" s="53" t="str">
        <f>IF(I380="","",IFERROR(TEXT(INDEX(Sprints!$B$5:$B$8,MATCH(I380,Sprints!$A$5:$A$8,0)),"dd/mm")&amp;" – "&amp;TEXT(INDEX(Sprints!$C$5:$C$8,MATCH(I380,Sprints!$A$5:$A$8,0)),"dd/mm"),""))</f>
        <v/>
      </c>
      <c r="M380" s="53" t="str">
        <f ca="1">IF(G380="","",IFERROR(IF(AND(L380&lt;&gt;"Done",TODAY()&gt;INDEX(Sprints!$C$5:$C$8,MATCH(I380,Sprints!$A$5:$A$8,0))),"Trễ",""),""))</f>
        <v/>
      </c>
    </row>
    <row r="381" spans="10:13" x14ac:dyDescent="0.3">
      <c r="J381" s="53" t="str">
        <f>IF(I381="","",IFERROR(TEXT(INDEX(Sprints!$B$5:$B$8,MATCH(I381,Sprints!$A$5:$A$8,0)),"dd/mm")&amp;" – "&amp;TEXT(INDEX(Sprints!$C$5:$C$8,MATCH(I381,Sprints!$A$5:$A$8,0)),"dd/mm"),""))</f>
        <v/>
      </c>
      <c r="M381" s="53" t="str">
        <f ca="1">IF(G381="","",IFERROR(IF(AND(L381&lt;&gt;"Done",TODAY()&gt;INDEX(Sprints!$C$5:$C$8,MATCH(I381,Sprints!$A$5:$A$8,0))),"Trễ",""),""))</f>
        <v/>
      </c>
    </row>
    <row r="382" spans="10:13" x14ac:dyDescent="0.3">
      <c r="J382" s="53" t="str">
        <f>IF(I382="","",IFERROR(TEXT(INDEX(Sprints!$B$5:$B$8,MATCH(I382,Sprints!$A$5:$A$8,0)),"dd/mm")&amp;" – "&amp;TEXT(INDEX(Sprints!$C$5:$C$8,MATCH(I382,Sprints!$A$5:$A$8,0)),"dd/mm"),""))</f>
        <v/>
      </c>
      <c r="M382" s="53" t="str">
        <f ca="1">IF(G382="","",IFERROR(IF(AND(L382&lt;&gt;"Done",TODAY()&gt;INDEX(Sprints!$C$5:$C$8,MATCH(I382,Sprints!$A$5:$A$8,0))),"Trễ",""),""))</f>
        <v/>
      </c>
    </row>
    <row r="383" spans="10:13" x14ac:dyDescent="0.3">
      <c r="J383" s="53" t="str">
        <f>IF(I383="","",IFERROR(TEXT(INDEX(Sprints!$B$5:$B$8,MATCH(I383,Sprints!$A$5:$A$8,0)),"dd/mm")&amp;" – "&amp;TEXT(INDEX(Sprints!$C$5:$C$8,MATCH(I383,Sprints!$A$5:$A$8,0)),"dd/mm"),""))</f>
        <v/>
      </c>
      <c r="M383" s="53" t="str">
        <f ca="1">IF(G383="","",IFERROR(IF(AND(L383&lt;&gt;"Done",TODAY()&gt;INDEX(Sprints!$C$5:$C$8,MATCH(I383,Sprints!$A$5:$A$8,0))),"Trễ",""),""))</f>
        <v/>
      </c>
    </row>
    <row r="384" spans="10:13" x14ac:dyDescent="0.3">
      <c r="J384" s="53" t="str">
        <f>IF(I384="","",IFERROR(TEXT(INDEX(Sprints!$B$5:$B$8,MATCH(I384,Sprints!$A$5:$A$8,0)),"dd/mm")&amp;" – "&amp;TEXT(INDEX(Sprints!$C$5:$C$8,MATCH(I384,Sprints!$A$5:$A$8,0)),"dd/mm"),""))</f>
        <v/>
      </c>
      <c r="M384" s="53" t="str">
        <f ca="1">IF(G384="","",IFERROR(IF(AND(L384&lt;&gt;"Done",TODAY()&gt;INDEX(Sprints!$C$5:$C$8,MATCH(I384,Sprints!$A$5:$A$8,0))),"Trễ",""),""))</f>
        <v/>
      </c>
    </row>
    <row r="385" spans="10:13" x14ac:dyDescent="0.3">
      <c r="J385" s="53" t="str">
        <f>IF(I385="","",IFERROR(TEXT(INDEX(Sprints!$B$5:$B$8,MATCH(I385,Sprints!$A$5:$A$8,0)),"dd/mm")&amp;" – "&amp;TEXT(INDEX(Sprints!$C$5:$C$8,MATCH(I385,Sprints!$A$5:$A$8,0)),"dd/mm"),""))</f>
        <v/>
      </c>
      <c r="M385" s="53" t="str">
        <f ca="1">IF(G385="","",IFERROR(IF(AND(L385&lt;&gt;"Done",TODAY()&gt;INDEX(Sprints!$C$5:$C$8,MATCH(I385,Sprints!$A$5:$A$8,0))),"Trễ",""),""))</f>
        <v/>
      </c>
    </row>
    <row r="386" spans="10:13" x14ac:dyDescent="0.3">
      <c r="J386" s="53" t="str">
        <f>IF(I386="","",IFERROR(TEXT(INDEX(Sprints!$B$5:$B$8,MATCH(I386,Sprints!$A$5:$A$8,0)),"dd/mm")&amp;" – "&amp;TEXT(INDEX(Sprints!$C$5:$C$8,MATCH(I386,Sprints!$A$5:$A$8,0)),"dd/mm"),""))</f>
        <v/>
      </c>
      <c r="M386" s="53" t="str">
        <f ca="1">IF(G386="","",IFERROR(IF(AND(L386&lt;&gt;"Done",TODAY()&gt;INDEX(Sprints!$C$5:$C$8,MATCH(I386,Sprints!$A$5:$A$8,0))),"Trễ",""),""))</f>
        <v/>
      </c>
    </row>
    <row r="387" spans="10:13" x14ac:dyDescent="0.3">
      <c r="J387" s="53" t="str">
        <f>IF(I387="","",IFERROR(TEXT(INDEX(Sprints!$B$5:$B$8,MATCH(I387,Sprints!$A$5:$A$8,0)),"dd/mm")&amp;" – "&amp;TEXT(INDEX(Sprints!$C$5:$C$8,MATCH(I387,Sprints!$A$5:$A$8,0)),"dd/mm"),""))</f>
        <v/>
      </c>
      <c r="M387" s="53" t="str">
        <f ca="1">IF(G387="","",IFERROR(IF(AND(L387&lt;&gt;"Done",TODAY()&gt;INDEX(Sprints!$C$5:$C$8,MATCH(I387,Sprints!$A$5:$A$8,0))),"Trễ",""),""))</f>
        <v/>
      </c>
    </row>
    <row r="388" spans="10:13" x14ac:dyDescent="0.3">
      <c r="J388" s="53" t="str">
        <f>IF(I388="","",IFERROR(TEXT(INDEX(Sprints!$B$5:$B$8,MATCH(I388,Sprints!$A$5:$A$8,0)),"dd/mm")&amp;" – "&amp;TEXT(INDEX(Sprints!$C$5:$C$8,MATCH(I388,Sprints!$A$5:$A$8,0)),"dd/mm"),""))</f>
        <v/>
      </c>
      <c r="M388" s="53" t="str">
        <f ca="1">IF(G388="","",IFERROR(IF(AND(L388&lt;&gt;"Done",TODAY()&gt;INDEX(Sprints!$C$5:$C$8,MATCH(I388,Sprints!$A$5:$A$8,0))),"Trễ",""),""))</f>
        <v/>
      </c>
    </row>
    <row r="389" spans="10:13" x14ac:dyDescent="0.3">
      <c r="J389" s="53" t="str">
        <f>IF(I389="","",IFERROR(TEXT(INDEX(Sprints!$B$5:$B$8,MATCH(I389,Sprints!$A$5:$A$8,0)),"dd/mm")&amp;" – "&amp;TEXT(INDEX(Sprints!$C$5:$C$8,MATCH(I389,Sprints!$A$5:$A$8,0)),"dd/mm"),""))</f>
        <v/>
      </c>
      <c r="M389" s="53" t="str">
        <f ca="1">IF(G389="","",IFERROR(IF(AND(L389&lt;&gt;"Done",TODAY()&gt;INDEX(Sprints!$C$5:$C$8,MATCH(I389,Sprints!$A$5:$A$8,0))),"Trễ",""),""))</f>
        <v/>
      </c>
    </row>
    <row r="390" spans="10:13" x14ac:dyDescent="0.3">
      <c r="J390" s="53" t="str">
        <f>IF(I390="","",IFERROR(TEXT(INDEX(Sprints!$B$5:$B$8,MATCH(I390,Sprints!$A$5:$A$8,0)),"dd/mm")&amp;" – "&amp;TEXT(INDEX(Sprints!$C$5:$C$8,MATCH(I390,Sprints!$A$5:$A$8,0)),"dd/mm"),""))</f>
        <v/>
      </c>
      <c r="M390" s="53" t="str">
        <f ca="1">IF(G390="","",IFERROR(IF(AND(L390&lt;&gt;"Done",TODAY()&gt;INDEX(Sprints!$C$5:$C$8,MATCH(I390,Sprints!$A$5:$A$8,0))),"Trễ",""),""))</f>
        <v/>
      </c>
    </row>
    <row r="391" spans="10:13" x14ac:dyDescent="0.3">
      <c r="J391" s="53" t="str">
        <f>IF(I391="","",IFERROR(TEXT(INDEX(Sprints!$B$5:$B$8,MATCH(I391,Sprints!$A$5:$A$8,0)),"dd/mm")&amp;" – "&amp;TEXT(INDEX(Sprints!$C$5:$C$8,MATCH(I391,Sprints!$A$5:$A$8,0)),"dd/mm"),""))</f>
        <v/>
      </c>
      <c r="M391" s="53" t="str">
        <f ca="1">IF(G391="","",IFERROR(IF(AND(L391&lt;&gt;"Done",TODAY()&gt;INDEX(Sprints!$C$5:$C$8,MATCH(I391,Sprints!$A$5:$A$8,0))),"Trễ",""),""))</f>
        <v/>
      </c>
    </row>
    <row r="392" spans="10:13" x14ac:dyDescent="0.3">
      <c r="J392" s="53" t="str">
        <f>IF(I392="","",IFERROR(TEXT(INDEX(Sprints!$B$5:$B$8,MATCH(I392,Sprints!$A$5:$A$8,0)),"dd/mm")&amp;" – "&amp;TEXT(INDEX(Sprints!$C$5:$C$8,MATCH(I392,Sprints!$A$5:$A$8,0)),"dd/mm"),""))</f>
        <v/>
      </c>
      <c r="M392" s="53" t="str">
        <f ca="1">IF(G392="","",IFERROR(IF(AND(L392&lt;&gt;"Done",TODAY()&gt;INDEX(Sprints!$C$5:$C$8,MATCH(I392,Sprints!$A$5:$A$8,0))),"Trễ",""),""))</f>
        <v/>
      </c>
    </row>
    <row r="393" spans="10:13" x14ac:dyDescent="0.3">
      <c r="J393" s="53" t="str">
        <f>IF(I393="","",IFERROR(TEXT(INDEX(Sprints!$B$5:$B$8,MATCH(I393,Sprints!$A$5:$A$8,0)),"dd/mm")&amp;" – "&amp;TEXT(INDEX(Sprints!$C$5:$C$8,MATCH(I393,Sprints!$A$5:$A$8,0)),"dd/mm"),""))</f>
        <v/>
      </c>
      <c r="M393" s="53" t="str">
        <f ca="1">IF(G393="","",IFERROR(IF(AND(L393&lt;&gt;"Done",TODAY()&gt;INDEX(Sprints!$C$5:$C$8,MATCH(I393,Sprints!$A$5:$A$8,0))),"Trễ",""),""))</f>
        <v/>
      </c>
    </row>
    <row r="394" spans="10:13" x14ac:dyDescent="0.3">
      <c r="J394" s="53" t="str">
        <f>IF(I394="","",IFERROR(TEXT(INDEX(Sprints!$B$5:$B$8,MATCH(I394,Sprints!$A$5:$A$8,0)),"dd/mm")&amp;" – "&amp;TEXT(INDEX(Sprints!$C$5:$C$8,MATCH(I394,Sprints!$A$5:$A$8,0)),"dd/mm"),""))</f>
        <v/>
      </c>
      <c r="M394" s="53" t="str">
        <f ca="1">IF(G394="","",IFERROR(IF(AND(L394&lt;&gt;"Done",TODAY()&gt;INDEX(Sprints!$C$5:$C$8,MATCH(I394,Sprints!$A$5:$A$8,0))),"Trễ",""),""))</f>
        <v/>
      </c>
    </row>
    <row r="395" spans="10:13" x14ac:dyDescent="0.3">
      <c r="J395" s="53" t="str">
        <f>IF(I395="","",IFERROR(TEXT(INDEX(Sprints!$B$5:$B$8,MATCH(I395,Sprints!$A$5:$A$8,0)),"dd/mm")&amp;" – "&amp;TEXT(INDEX(Sprints!$C$5:$C$8,MATCH(I395,Sprints!$A$5:$A$8,0)),"dd/mm"),""))</f>
        <v/>
      </c>
      <c r="M395" s="53" t="str">
        <f ca="1">IF(G395="","",IFERROR(IF(AND(L395&lt;&gt;"Done",TODAY()&gt;INDEX(Sprints!$C$5:$C$8,MATCH(I395,Sprints!$A$5:$A$8,0))),"Trễ",""),""))</f>
        <v/>
      </c>
    </row>
    <row r="396" spans="10:13" x14ac:dyDescent="0.3">
      <c r="J396" s="53" t="str">
        <f>IF(I396="","",IFERROR(TEXT(INDEX(Sprints!$B$5:$B$8,MATCH(I396,Sprints!$A$5:$A$8,0)),"dd/mm")&amp;" – "&amp;TEXT(INDEX(Sprints!$C$5:$C$8,MATCH(I396,Sprints!$A$5:$A$8,0)),"dd/mm"),""))</f>
        <v/>
      </c>
      <c r="M396" s="53" t="str">
        <f ca="1">IF(G396="","",IFERROR(IF(AND(L396&lt;&gt;"Done",TODAY()&gt;INDEX(Sprints!$C$5:$C$8,MATCH(I396,Sprints!$A$5:$A$8,0))),"Trễ",""),""))</f>
        <v/>
      </c>
    </row>
    <row r="397" spans="10:13" x14ac:dyDescent="0.3">
      <c r="J397" s="53" t="str">
        <f>IF(I397="","",IFERROR(TEXT(INDEX(Sprints!$B$5:$B$8,MATCH(I397,Sprints!$A$5:$A$8,0)),"dd/mm")&amp;" – "&amp;TEXT(INDEX(Sprints!$C$5:$C$8,MATCH(I397,Sprints!$A$5:$A$8,0)),"dd/mm"),""))</f>
        <v/>
      </c>
      <c r="M397" s="53" t="str">
        <f ca="1">IF(G397="","",IFERROR(IF(AND(L397&lt;&gt;"Done",TODAY()&gt;INDEX(Sprints!$C$5:$C$8,MATCH(I397,Sprints!$A$5:$A$8,0))),"Trễ",""),""))</f>
        <v/>
      </c>
    </row>
    <row r="398" spans="10:13" x14ac:dyDescent="0.3">
      <c r="J398" s="53" t="str">
        <f>IF(I398="","",IFERROR(TEXT(INDEX(Sprints!$B$5:$B$8,MATCH(I398,Sprints!$A$5:$A$8,0)),"dd/mm")&amp;" – "&amp;TEXT(INDEX(Sprints!$C$5:$C$8,MATCH(I398,Sprints!$A$5:$A$8,0)),"dd/mm"),""))</f>
        <v/>
      </c>
      <c r="M398" s="53" t="str">
        <f ca="1">IF(G398="","",IFERROR(IF(AND(L398&lt;&gt;"Done",TODAY()&gt;INDEX(Sprints!$C$5:$C$8,MATCH(I398,Sprints!$A$5:$A$8,0))),"Trễ",""),""))</f>
        <v/>
      </c>
    </row>
    <row r="399" spans="10:13" x14ac:dyDescent="0.3">
      <c r="J399" s="53" t="str">
        <f>IF(I399="","",IFERROR(TEXT(INDEX(Sprints!$B$5:$B$8,MATCH(I399,Sprints!$A$5:$A$8,0)),"dd/mm")&amp;" – "&amp;TEXT(INDEX(Sprints!$C$5:$C$8,MATCH(I399,Sprints!$A$5:$A$8,0)),"dd/mm"),""))</f>
        <v/>
      </c>
      <c r="M399" s="53" t="str">
        <f ca="1">IF(G399="","",IFERROR(IF(AND(L399&lt;&gt;"Done",TODAY()&gt;INDEX(Sprints!$C$5:$C$8,MATCH(I399,Sprints!$A$5:$A$8,0))),"Trễ",""),""))</f>
        <v/>
      </c>
    </row>
    <row r="400" spans="10:13" x14ac:dyDescent="0.3">
      <c r="J400" s="53" t="str">
        <f>IF(I400="","",IFERROR(TEXT(INDEX(Sprints!$B$5:$B$8,MATCH(I400,Sprints!$A$5:$A$8,0)),"dd/mm")&amp;" – "&amp;TEXT(INDEX(Sprints!$C$5:$C$8,MATCH(I400,Sprints!$A$5:$A$8,0)),"dd/mm"),""))</f>
        <v/>
      </c>
      <c r="M400" s="53" t="str">
        <f ca="1">IF(G400="","",IFERROR(IF(AND(L400&lt;&gt;"Done",TODAY()&gt;INDEX(Sprints!$C$5:$C$8,MATCH(I400,Sprints!$A$5:$A$8,0))),"Trễ",""),""))</f>
        <v/>
      </c>
    </row>
  </sheetData>
  <autoFilter ref="A4:P400" xr:uid="{00000000-0009-0000-0000-000000000000}"/>
  <conditionalFormatting sqref="F5:F400">
    <cfRule type="cellIs" dxfId="13" priority="10" operator="equal">
      <formula>"Backend"</formula>
    </cfRule>
    <cfRule type="cellIs" dxfId="12" priority="11" operator="equal">
      <formula>"Portal"</formula>
    </cfRule>
    <cfRule type="cellIs" dxfId="11" priority="12" operator="equal">
      <formula>"Mobile"</formula>
    </cfRule>
  </conditionalFormatting>
  <conditionalFormatting sqref="H5:H400">
    <cfRule type="cellIs" dxfId="10" priority="7" operator="equal">
      <formula>"High"</formula>
    </cfRule>
    <cfRule type="cellIs" dxfId="9" priority="8" operator="equal">
      <formula>"Medium"</formula>
    </cfRule>
    <cfRule type="cellIs" dxfId="8" priority="9" operator="equal">
      <formula>"Low"</formula>
    </cfRule>
  </conditionalFormatting>
  <conditionalFormatting sqref="K5:K153">
    <cfRule type="expression" dxfId="7" priority="14">
      <formula>AND($G5&lt;&gt;"",$K5="")</formula>
    </cfRule>
  </conditionalFormatting>
  <conditionalFormatting sqref="L5:L400">
    <cfRule type="cellIs" dxfId="6" priority="2" operator="equal">
      <formula>"To Do"</formula>
    </cfRule>
    <cfRule type="cellIs" dxfId="5" priority="3" operator="equal">
      <formula>"In Progress"</formula>
    </cfRule>
    <cfRule type="cellIs" dxfId="4" priority="4" operator="equal">
      <formula>"In Review"</formula>
    </cfRule>
    <cfRule type="cellIs" dxfId="3" priority="5" operator="equal">
      <formula>"Done"</formula>
    </cfRule>
    <cfRule type="cellIs" dxfId="2" priority="6" operator="equal">
      <formula>"Blocked"</formula>
    </cfRule>
  </conditionalFormatting>
  <conditionalFormatting sqref="M5:M400">
    <cfRule type="cellIs" dxfId="1" priority="13" operator="equal">
      <formula>"Trễ"</formula>
    </cfRule>
  </conditionalFormatting>
  <pageMargins left="0.75" right="0.75" top="1" bottom="1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Giá trị không hợp lệ" error="Chọn từ danh sách." xr:uid="{00000000-0002-0000-0000-000000000000}">
          <x14:formula1>
            <xm:f>Lists!$A$2:$A$6</xm:f>
          </x14:formula1>
          <x14:formula2>
            <xm:f>0</xm:f>
          </x14:formula2>
          <xm:sqref>L5:L400</xm:sqref>
        </x14:dataValidation>
        <x14:dataValidation type="list" allowBlank="1" showErrorMessage="1" errorTitle="Giá trị không hợp lệ" error="Chọn từ danh sách." xr:uid="{00000000-0002-0000-0000-000001000000}">
          <x14:formula1>
            <xm:f>Lists!$B$2:$B$4</xm:f>
          </x14:formula1>
          <x14:formula2>
            <xm:f>0</xm:f>
          </x14:formula2>
          <xm:sqref>H5:H400</xm:sqref>
        </x14:dataValidation>
        <x14:dataValidation type="list" allowBlank="1" showErrorMessage="1" errorTitle="Giá trị không hợp lệ" error="Chọn từ danh sách." xr:uid="{00000000-0002-0000-0000-000002000000}">
          <x14:formula1>
            <xm:f>Lists!$C$2:$C$4</xm:f>
          </x14:formula1>
          <x14:formula2>
            <xm:f>0</xm:f>
          </x14:formula2>
          <xm:sqref>F5:F400</xm:sqref>
        </x14:dataValidation>
        <x14:dataValidation type="list" allowBlank="1" showErrorMessage="1" errorTitle="Giá trị không hợp lệ" error="Chọn từ danh sách." xr:uid="{00000000-0002-0000-0000-000003000000}">
          <x14:formula1>
            <xm:f>Lists!$D$2:$D$5</xm:f>
          </x14:formula1>
          <x14:formula2>
            <xm:f>0</xm:f>
          </x14:formula2>
          <xm:sqref>I5:I400</xm:sqref>
        </x14:dataValidation>
        <x14:dataValidation type="list" allowBlank="1" showErrorMessage="1" errorTitle="Giá trị không hợp lệ" error="Chọn từ danh sách." xr:uid="{00000000-0002-0000-0000-000004000000}">
          <x14:formula1>
            <xm:f>Team!$A$5:$A$14</xm:f>
          </x14:formula1>
          <x14:formula2>
            <xm:f>0</xm:f>
          </x14:formula2>
          <xm:sqref>K5:K400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9"/>
  <sheetViews>
    <sheetView zoomScaleNormal="100" workbookViewId="0">
      <selection activeCell="C21" sqref="C21"/>
    </sheetView>
  </sheetViews>
  <sheetFormatPr defaultColWidth="8.6640625" defaultRowHeight="14.4" x14ac:dyDescent="0.3"/>
  <cols>
    <col min="1" max="1" width="16" customWidth="1"/>
    <col min="2" max="2" width="24" customWidth="1"/>
    <col min="3" max="3" width="12" customWidth="1"/>
    <col min="4" max="4" width="10" customWidth="1"/>
    <col min="5" max="5" width="8" customWidth="1"/>
    <col min="6" max="6" width="9" customWidth="1"/>
  </cols>
  <sheetData>
    <row r="1" spans="1:6" ht="17.399999999999999" x14ac:dyDescent="0.3">
      <c r="A1" s="26" t="s">
        <v>491</v>
      </c>
    </row>
    <row r="2" spans="1:6" x14ac:dyDescent="0.3">
      <c r="A2" s="3" t="s">
        <v>492</v>
      </c>
    </row>
    <row r="4" spans="1:6" x14ac:dyDescent="0.3">
      <c r="A4" s="39" t="s">
        <v>493</v>
      </c>
      <c r="B4" s="39" t="s">
        <v>494</v>
      </c>
      <c r="C4" s="39" t="s">
        <v>495</v>
      </c>
      <c r="D4" s="39" t="s">
        <v>484</v>
      </c>
      <c r="E4" s="39" t="s">
        <v>462</v>
      </c>
      <c r="F4" s="39" t="s">
        <v>463</v>
      </c>
    </row>
    <row r="5" spans="1:6" x14ac:dyDescent="0.3">
      <c r="A5" s="81" t="s">
        <v>496</v>
      </c>
      <c r="B5" s="82" t="s">
        <v>497</v>
      </c>
      <c r="C5" s="82" t="s">
        <v>498</v>
      </c>
      <c r="D5" s="83">
        <f>COUNTIF(Task_Tracking!$K$5:$K$400,A5)</f>
        <v>14</v>
      </c>
      <c r="E5" s="83">
        <f>COUNTIFS(Task_Tracking!$K$5:$K$400,A5,Task_Tracking!$L$5:$L$400,"Done")</f>
        <v>0</v>
      </c>
      <c r="F5" s="84">
        <f>IFERROR(E5/D5,0)</f>
        <v>0</v>
      </c>
    </row>
    <row r="6" spans="1:6" x14ac:dyDescent="0.3">
      <c r="A6" s="81" t="s">
        <v>27</v>
      </c>
      <c r="B6" s="82" t="s">
        <v>499</v>
      </c>
      <c r="C6" s="82"/>
      <c r="D6" s="83">
        <f>COUNTIF(Task_Tracking!$K$5:$K$400,A6)</f>
        <v>11</v>
      </c>
      <c r="E6" s="83">
        <f>COUNTIFS(Task_Tracking!$K$5:$K$400,A6,Task_Tracking!$L$5:$L$400,"Done")</f>
        <v>0</v>
      </c>
      <c r="F6" s="84">
        <f>IFERROR(E6/D6,0)</f>
        <v>0</v>
      </c>
    </row>
    <row r="7" spans="1:6" x14ac:dyDescent="0.3">
      <c r="A7" s="81" t="s">
        <v>36</v>
      </c>
      <c r="B7" s="82" t="s">
        <v>500</v>
      </c>
      <c r="C7" s="82"/>
      <c r="D7" s="83">
        <f>COUNTIF(Task_Tracking!$K$5:$K$400,A7)</f>
        <v>18</v>
      </c>
      <c r="E7" s="83">
        <f>COUNTIFS(Task_Tracking!$K$5:$K$400,A7,Task_Tracking!$L$5:$L$400,"Done")</f>
        <v>0</v>
      </c>
      <c r="F7" s="84">
        <f>IFERROR(E7/D7,0)</f>
        <v>0</v>
      </c>
    </row>
    <row r="8" spans="1:6" x14ac:dyDescent="0.3">
      <c r="A8" s="81" t="s">
        <v>41</v>
      </c>
      <c r="B8" s="82" t="s">
        <v>501</v>
      </c>
      <c r="C8" s="82"/>
      <c r="D8" s="83">
        <f>COUNTIF(Task_Tracking!$K$5:$K$400,A8)</f>
        <v>16</v>
      </c>
      <c r="E8" s="83">
        <f>COUNTIFS(Task_Tracking!$K$5:$K$400,A8,Task_Tracking!$L$5:$L$400,"Done")</f>
        <v>0</v>
      </c>
      <c r="F8" s="84">
        <f>IFERROR(E8/D8,0)</f>
        <v>0</v>
      </c>
    </row>
    <row r="9" spans="1:6" x14ac:dyDescent="0.3">
      <c r="A9" s="81" t="s">
        <v>32</v>
      </c>
      <c r="B9" s="82" t="s">
        <v>502</v>
      </c>
      <c r="C9" s="82"/>
      <c r="D9" s="83">
        <f>COUNTIF(Task_Tracking!$K$5:$K$400,A9)</f>
        <v>16</v>
      </c>
      <c r="E9" s="83">
        <f>COUNTIFS(Task_Tracking!$K$5:$K$400,A9,Task_Tracking!$L$5:$L$400,"Done")</f>
        <v>0</v>
      </c>
      <c r="F9" s="84">
        <f>IFERROR(E9/D9,0)</f>
        <v>0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tabSelected="1" zoomScale="70" zoomScaleNormal="70" workbookViewId="0">
      <selection activeCell="H9" sqref="H9"/>
    </sheetView>
  </sheetViews>
  <sheetFormatPr defaultColWidth="8.6640625" defaultRowHeight="14.4" x14ac:dyDescent="0.3"/>
  <cols>
    <col min="1" max="1" width="12" customWidth="1"/>
    <col min="2" max="2" width="26" customWidth="1"/>
    <col min="3" max="6" width="10" customWidth="1"/>
    <col min="7" max="8" width="9" customWidth="1"/>
    <col min="9" max="9" width="11" customWidth="1"/>
    <col min="10" max="10" width="10" customWidth="1"/>
    <col min="11" max="11" width="9" customWidth="1"/>
  </cols>
  <sheetData>
    <row r="1" spans="1:11" ht="21" x14ac:dyDescent="0.4">
      <c r="A1" s="14" t="s">
        <v>458</v>
      </c>
    </row>
    <row r="2" spans="1:11" x14ac:dyDescent="0.3">
      <c r="A2" s="3" t="s">
        <v>459</v>
      </c>
    </row>
    <row r="4" spans="1:11" ht="15.6" x14ac:dyDescent="0.3">
      <c r="A4" s="15" t="s">
        <v>460</v>
      </c>
    </row>
    <row r="5" spans="1:11" ht="24" x14ac:dyDescent="0.3">
      <c r="A5" s="16" t="s">
        <v>461</v>
      </c>
      <c r="B5" s="16" t="s">
        <v>462</v>
      </c>
      <c r="C5" s="16" t="s">
        <v>463</v>
      </c>
      <c r="D5" s="16" t="s">
        <v>464</v>
      </c>
      <c r="E5" s="16" t="s">
        <v>14</v>
      </c>
      <c r="F5" s="16" t="s">
        <v>465</v>
      </c>
      <c r="G5" s="16" t="s">
        <v>466</v>
      </c>
    </row>
    <row r="6" spans="1:11" ht="30" customHeight="1" x14ac:dyDescent="0.35">
      <c r="A6" s="17">
        <f>COUNTA(Task_Tracking!$G$5:$G$400)</f>
        <v>149</v>
      </c>
      <c r="B6" s="17">
        <f>COUNTIF(Task_Tracking!$L$5:$L$400,"Done")</f>
        <v>0</v>
      </c>
      <c r="C6" s="18">
        <f>IFERROR(B6/A6,0)</f>
        <v>0</v>
      </c>
      <c r="D6" s="17">
        <f>COUNTIFS(Task_Tracking!$G$5:$G$400,"&lt;&gt;",Task_Tracking!$K$5:$K$400,"")</f>
        <v>74</v>
      </c>
      <c r="E6" s="17">
        <f ca="1">COUNTIF(Task_Tracking!$M$5:$M$400,"Trễ")</f>
        <v>0</v>
      </c>
      <c r="F6" s="17">
        <f>COUNTIF(Task_Tracking!$L$5:$L$400,"Blocked")</f>
        <v>0</v>
      </c>
      <c r="G6" s="19" t="str">
        <f ca="1">IFERROR(INDEX(Sprints!$A$5:$A$8,MATCH("Đang chạy",Sprints!$H$5:$H$8,0)),IF(TODAY()&lt;Sprints!$B$5,"Chưa bắt đầu","Đã hết 8 tuần"))</f>
        <v>Chưa bắt đầu</v>
      </c>
    </row>
    <row r="8" spans="1:11" ht="15.6" x14ac:dyDescent="0.3">
      <c r="A8" s="15" t="s">
        <v>467</v>
      </c>
    </row>
    <row r="9" spans="1:11" ht="27.6" x14ac:dyDescent="0.3">
      <c r="A9" s="4" t="s">
        <v>10</v>
      </c>
      <c r="B9" s="4" t="s">
        <v>468</v>
      </c>
      <c r="C9" s="4" t="s">
        <v>23</v>
      </c>
      <c r="D9" s="4" t="s">
        <v>30</v>
      </c>
      <c r="E9" s="4" t="s">
        <v>39</v>
      </c>
      <c r="F9" s="4" t="s">
        <v>461</v>
      </c>
      <c r="G9" s="4" t="s">
        <v>462</v>
      </c>
      <c r="H9" s="4" t="s">
        <v>469</v>
      </c>
      <c r="I9" s="4" t="s">
        <v>470</v>
      </c>
      <c r="J9" s="4" t="s">
        <v>471</v>
      </c>
      <c r="K9" s="4" t="s">
        <v>463</v>
      </c>
    </row>
    <row r="10" spans="1:11" x14ac:dyDescent="0.3">
      <c r="A10" s="20" t="s">
        <v>26</v>
      </c>
      <c r="B10" s="21" t="str">
        <f>TEXT(Sprints!B5,"dd/mm")&amp;" – "&amp;TEXT(Sprints!C5,"dd/mm")</f>
        <v>18/10 – 31/10</v>
      </c>
      <c r="C10" s="21">
        <f>COUNTIFS(Task_Tracking!$I$5:$I$400,$A10,Task_Tracking!$F$5:$F$400,"Backend")</f>
        <v>16</v>
      </c>
      <c r="D10" s="21">
        <f>COUNTIFS(Task_Tracking!$I$5:$I$400,$A10,Task_Tracking!$F$5:$F$400,"Portal")</f>
        <v>13</v>
      </c>
      <c r="E10" s="21">
        <f>COUNTIFS(Task_Tracking!$I$5:$I$400,$A10,Task_Tracking!$F$5:$F$400,"Mobile")</f>
        <v>3</v>
      </c>
      <c r="F10" s="20">
        <f>SUM(C10:E10)</f>
        <v>32</v>
      </c>
      <c r="G10" s="21">
        <f>COUNTIFS(Task_Tracking!$I$5:$I$400,$A10,Task_Tracking!$L$5:$L$400,"Done")</f>
        <v>0</v>
      </c>
      <c r="H10" s="21">
        <f>F10-G10</f>
        <v>32</v>
      </c>
      <c r="I10" s="21">
        <f>SUM($F$10:F10)</f>
        <v>32</v>
      </c>
      <c r="J10" s="21">
        <f>SUM($G$10:G10)</f>
        <v>0</v>
      </c>
      <c r="K10" s="22">
        <f>IFERROR(G10/F10,0)</f>
        <v>0</v>
      </c>
    </row>
    <row r="11" spans="1:11" x14ac:dyDescent="0.3">
      <c r="A11" s="20" t="s">
        <v>102</v>
      </c>
      <c r="B11" s="21" t="str">
        <f>TEXT(Sprints!B6,"dd/mm")&amp;" – "&amp;TEXT(Sprints!C6,"dd/mm")</f>
        <v>01/11 – 14/11</v>
      </c>
      <c r="C11" s="21">
        <f>COUNTIFS(Task_Tracking!$I$5:$I$400,$A11,Task_Tracking!$F$5:$F$400,"Backend")</f>
        <v>21</v>
      </c>
      <c r="D11" s="21">
        <f>COUNTIFS(Task_Tracking!$I$5:$I$400,$A11,Task_Tracking!$F$5:$F$400,"Portal")</f>
        <v>11</v>
      </c>
      <c r="E11" s="21">
        <f>COUNTIFS(Task_Tracking!$I$5:$I$400,$A11,Task_Tracking!$F$5:$F$400,"Mobile")</f>
        <v>11</v>
      </c>
      <c r="F11" s="20">
        <f>SUM(C11:E11)</f>
        <v>43</v>
      </c>
      <c r="G11" s="21">
        <f>COUNTIFS(Task_Tracking!$I$5:$I$400,$A11,Task_Tracking!$L$5:$L$400,"Done")</f>
        <v>0</v>
      </c>
      <c r="H11" s="21">
        <f>F11-G11</f>
        <v>43</v>
      </c>
      <c r="I11" s="21">
        <f>SUM($F$10:F11)</f>
        <v>75</v>
      </c>
      <c r="J11" s="21">
        <f>SUM($G$10:G11)</f>
        <v>0</v>
      </c>
      <c r="K11" s="22">
        <f>IFERROR(G11/F11,0)</f>
        <v>0</v>
      </c>
    </row>
    <row r="12" spans="1:11" x14ac:dyDescent="0.3">
      <c r="A12" s="20" t="s">
        <v>154</v>
      </c>
      <c r="B12" s="21" t="str">
        <f>TEXT(Sprints!B7,"dd/mm")&amp;" – "&amp;TEXT(Sprints!C7,"dd/mm")</f>
        <v>15/11 – 28/11</v>
      </c>
      <c r="C12" s="21">
        <f>COUNTIFS(Task_Tracking!$I$5:$I$400,$A12,Task_Tracking!$F$5:$F$400,"Backend")</f>
        <v>33</v>
      </c>
      <c r="D12" s="21">
        <f>COUNTIFS(Task_Tracking!$I$5:$I$400,$A12,Task_Tracking!$F$5:$F$400,"Portal")</f>
        <v>20</v>
      </c>
      <c r="E12" s="21">
        <f>COUNTIFS(Task_Tracking!$I$5:$I$400,$A12,Task_Tracking!$F$5:$F$400,"Mobile")</f>
        <v>14</v>
      </c>
      <c r="F12" s="20">
        <f>SUM(C12:E12)</f>
        <v>67</v>
      </c>
      <c r="G12" s="21">
        <f>COUNTIFS(Task_Tracking!$I$5:$I$400,$A12,Task_Tracking!$L$5:$L$400,"Done")</f>
        <v>0</v>
      </c>
      <c r="H12" s="21">
        <f>F12-G12</f>
        <v>67</v>
      </c>
      <c r="I12" s="21">
        <f>SUM($F$10:F12)</f>
        <v>142</v>
      </c>
      <c r="J12" s="21">
        <f>SUM($G$10:G12)</f>
        <v>0</v>
      </c>
      <c r="K12" s="22">
        <f>IFERROR(G12/F12,0)</f>
        <v>0</v>
      </c>
    </row>
    <row r="13" spans="1:11" x14ac:dyDescent="0.3">
      <c r="A13" s="20" t="s">
        <v>276</v>
      </c>
      <c r="B13" s="21" t="str">
        <f>TEXT(Sprints!B8,"dd/mm")&amp;" – "&amp;TEXT(Sprints!C8,"dd/mm")</f>
        <v>29/11 – 12/12</v>
      </c>
      <c r="C13" s="21">
        <f>COUNTIFS(Task_Tracking!$I$5:$I$400,$A13,Task_Tracking!$F$5:$F$400,"Backend")</f>
        <v>3</v>
      </c>
      <c r="D13" s="21">
        <f>COUNTIFS(Task_Tracking!$I$5:$I$400,$A13,Task_Tracking!$F$5:$F$400,"Portal")</f>
        <v>2</v>
      </c>
      <c r="E13" s="21">
        <f>COUNTIFS(Task_Tracking!$I$5:$I$400,$A13,Task_Tracking!$F$5:$F$400,"Mobile")</f>
        <v>2</v>
      </c>
      <c r="F13" s="20">
        <f>SUM(C13:E13)</f>
        <v>7</v>
      </c>
      <c r="G13" s="21">
        <f>COUNTIFS(Task_Tracking!$I$5:$I$400,$A13,Task_Tracking!$L$5:$L$400,"Done")</f>
        <v>0</v>
      </c>
      <c r="H13" s="21">
        <f>F13-G13</f>
        <v>7</v>
      </c>
      <c r="I13" s="21">
        <f>SUM($F$10:F13)</f>
        <v>149</v>
      </c>
      <c r="J13" s="21">
        <f>SUM($G$10:G13)</f>
        <v>0</v>
      </c>
      <c r="K13" s="22">
        <f>IFERROR(G13/F13,0)</f>
        <v>0</v>
      </c>
    </row>
    <row r="14" spans="1:11" x14ac:dyDescent="0.3">
      <c r="A14" s="20" t="s">
        <v>472</v>
      </c>
      <c r="B14" s="21"/>
      <c r="C14" s="20">
        <f>SUM(C10:C13)</f>
        <v>73</v>
      </c>
      <c r="D14" s="20">
        <f>SUM(D10:D13)</f>
        <v>46</v>
      </c>
      <c r="E14" s="20">
        <f>SUM(E10:E13)</f>
        <v>30</v>
      </c>
      <c r="F14" s="20">
        <f>SUM(F10:F13)</f>
        <v>149</v>
      </c>
      <c r="G14" s="20">
        <f>SUM(G10:G13)</f>
        <v>0</v>
      </c>
      <c r="H14" s="20">
        <f>SUM(H10:H13)</f>
        <v>149</v>
      </c>
      <c r="I14" s="21"/>
      <c r="J14" s="21"/>
      <c r="K14" s="23">
        <f>IFERROR(G14/F14,0)</f>
        <v>0</v>
      </c>
    </row>
    <row r="16" spans="1:11" ht="15.6" x14ac:dyDescent="0.3">
      <c r="A16" s="15" t="s">
        <v>473</v>
      </c>
    </row>
    <row r="17" spans="1:11" x14ac:dyDescent="0.3">
      <c r="A17" s="4" t="s">
        <v>12</v>
      </c>
      <c r="B17" s="4" t="s">
        <v>26</v>
      </c>
      <c r="C17" s="4" t="s">
        <v>102</v>
      </c>
      <c r="D17" s="4" t="s">
        <v>154</v>
      </c>
      <c r="E17" s="4" t="s">
        <v>276</v>
      </c>
      <c r="F17" s="4" t="s">
        <v>472</v>
      </c>
      <c r="G17" s="4" t="s">
        <v>462</v>
      </c>
      <c r="H17" s="4" t="s">
        <v>463</v>
      </c>
    </row>
    <row r="18" spans="1:11" x14ac:dyDescent="0.3">
      <c r="A18" s="24" t="str">
        <f>Team!A5</f>
        <v>Nhân</v>
      </c>
      <c r="B18" s="21">
        <f>COUNTIFS(Task_Tracking!$I$5:$I$400,"S1",Task_Tracking!$K$5:$K$400,$A18)</f>
        <v>4</v>
      </c>
      <c r="C18" s="21">
        <f>COUNTIFS(Task_Tracking!$I$5:$I$400,"S2",Task_Tracking!$K$5:$K$400,$A18)</f>
        <v>10</v>
      </c>
      <c r="D18" s="21">
        <f>COUNTIFS(Task_Tracking!$I$5:$I$400,"S3",Task_Tracking!$K$5:$K$400,$A18)</f>
        <v>0</v>
      </c>
      <c r="E18" s="21">
        <f>COUNTIFS(Task_Tracking!$I$5:$I$400,"S4",Task_Tracking!$K$5:$K$400,$A18)</f>
        <v>0</v>
      </c>
      <c r="F18" s="20">
        <f t="shared" ref="F18:F23" si="0">SUM(B18:E18)</f>
        <v>14</v>
      </c>
      <c r="G18" s="21">
        <f>COUNTIFS(Task_Tracking!$K$5:$K$400,$A18,Task_Tracking!$L$5:$L$400,"Done")</f>
        <v>0</v>
      </c>
      <c r="H18" s="22">
        <f t="shared" ref="H18:H23" si="1">IFERROR(G18/F18,0)</f>
        <v>0</v>
      </c>
    </row>
    <row r="19" spans="1:11" x14ac:dyDescent="0.3">
      <c r="A19" s="24" t="str">
        <f>Team!A6</f>
        <v>Khiết</v>
      </c>
      <c r="B19" s="21">
        <f>COUNTIFS(Task_Tracking!$I$5:$I$400,"S1",Task_Tracking!$K$5:$K$400,$A19)</f>
        <v>6</v>
      </c>
      <c r="C19" s="21">
        <f>COUNTIFS(Task_Tracking!$I$5:$I$400,"S2",Task_Tracking!$K$5:$K$400,$A19)</f>
        <v>5</v>
      </c>
      <c r="D19" s="21">
        <f>COUNTIFS(Task_Tracking!$I$5:$I$400,"S3",Task_Tracking!$K$5:$K$400,$A19)</f>
        <v>0</v>
      </c>
      <c r="E19" s="21">
        <f>COUNTIFS(Task_Tracking!$I$5:$I$400,"S4",Task_Tracking!$K$5:$K$400,$A19)</f>
        <v>0</v>
      </c>
      <c r="F19" s="20">
        <f t="shared" si="0"/>
        <v>11</v>
      </c>
      <c r="G19" s="21">
        <f>COUNTIFS(Task_Tracking!$K$5:$K$400,$A19,Task_Tracking!$L$5:$L$400,"Done")</f>
        <v>0</v>
      </c>
      <c r="H19" s="22">
        <f t="shared" si="1"/>
        <v>0</v>
      </c>
    </row>
    <row r="20" spans="1:11" x14ac:dyDescent="0.3">
      <c r="A20" s="24" t="str">
        <f>Team!A7</f>
        <v>Hải</v>
      </c>
      <c r="B20" s="21">
        <f>COUNTIFS(Task_Tracking!$I$5:$I$400,"S1",Task_Tracking!$K$5:$K$400,$A20)</f>
        <v>7</v>
      </c>
      <c r="C20" s="21">
        <f>COUNTIFS(Task_Tracking!$I$5:$I$400,"S2",Task_Tracking!$K$5:$K$400,$A20)</f>
        <v>11</v>
      </c>
      <c r="D20" s="21">
        <f>COUNTIFS(Task_Tracking!$I$5:$I$400,"S3",Task_Tracking!$K$5:$K$400,$A20)</f>
        <v>0</v>
      </c>
      <c r="E20" s="21">
        <f>COUNTIFS(Task_Tracking!$I$5:$I$400,"S4",Task_Tracking!$K$5:$K$400,$A20)</f>
        <v>0</v>
      </c>
      <c r="F20" s="20">
        <f t="shared" si="0"/>
        <v>18</v>
      </c>
      <c r="G20" s="21">
        <f>COUNTIFS(Task_Tracking!$K$5:$K$400,$A20,Task_Tracking!$L$5:$L$400,"Done")</f>
        <v>0</v>
      </c>
      <c r="H20" s="22">
        <f t="shared" si="1"/>
        <v>0</v>
      </c>
    </row>
    <row r="21" spans="1:11" x14ac:dyDescent="0.3">
      <c r="A21" s="24" t="str">
        <f>Team!A8</f>
        <v>Sơn</v>
      </c>
      <c r="B21" s="21">
        <f>COUNTIFS(Task_Tracking!$I$5:$I$400,"S1",Task_Tracking!$K$5:$K$400,$A21)</f>
        <v>9</v>
      </c>
      <c r="C21" s="21">
        <f>COUNTIFS(Task_Tracking!$I$5:$I$400,"S2",Task_Tracking!$K$5:$K$400,$A21)</f>
        <v>7</v>
      </c>
      <c r="D21" s="21">
        <f>COUNTIFS(Task_Tracking!$I$5:$I$400,"S3",Task_Tracking!$K$5:$K$400,$A21)</f>
        <v>0</v>
      </c>
      <c r="E21" s="21">
        <f>COUNTIFS(Task_Tracking!$I$5:$I$400,"S4",Task_Tracking!$K$5:$K$400,$A21)</f>
        <v>0</v>
      </c>
      <c r="F21" s="20">
        <f t="shared" si="0"/>
        <v>16</v>
      </c>
      <c r="G21" s="21">
        <f>COUNTIFS(Task_Tracking!$K$5:$K$400,$A21,Task_Tracking!$L$5:$L$400,"Done")</f>
        <v>0</v>
      </c>
      <c r="H21" s="22">
        <f t="shared" si="1"/>
        <v>0</v>
      </c>
    </row>
    <row r="22" spans="1:11" x14ac:dyDescent="0.3">
      <c r="A22" s="24" t="str">
        <f>Team!A9</f>
        <v>Hoàng</v>
      </c>
      <c r="B22" s="21">
        <f>COUNTIFS(Task_Tracking!$I$5:$I$400,"S1",Task_Tracking!$K$5:$K$400,$A22)</f>
        <v>6</v>
      </c>
      <c r="C22" s="21">
        <f>COUNTIFS(Task_Tracking!$I$5:$I$400,"S2",Task_Tracking!$K$5:$K$400,$A22)</f>
        <v>10</v>
      </c>
      <c r="D22" s="21">
        <f>COUNTIFS(Task_Tracking!$I$5:$I$400,"S3",Task_Tracking!$K$5:$K$400,$A22)</f>
        <v>0</v>
      </c>
      <c r="E22" s="21">
        <f>COUNTIFS(Task_Tracking!$I$5:$I$400,"S4",Task_Tracking!$K$5:$K$400,$A22)</f>
        <v>0</v>
      </c>
      <c r="F22" s="20">
        <f t="shared" si="0"/>
        <v>16</v>
      </c>
      <c r="G22" s="21">
        <f>COUNTIFS(Task_Tracking!$K$5:$K$400,$A22,Task_Tracking!$L$5:$L$400,"Done")</f>
        <v>0</v>
      </c>
      <c r="H22" s="22">
        <f t="shared" si="1"/>
        <v>0</v>
      </c>
    </row>
    <row r="23" spans="1:11" x14ac:dyDescent="0.3">
      <c r="A23" s="24" t="s">
        <v>474</v>
      </c>
      <c r="B23" s="21">
        <f>COUNTIFS(Task_Tracking!$I$5:$I$400,"S1",Task_Tracking!$G$5:$G$400,"&lt;&gt;",Task_Tracking!$K$5:$K$400,"")</f>
        <v>0</v>
      </c>
      <c r="C23" s="21">
        <f>COUNTIFS(Task_Tracking!$I$5:$I$400,"S2",Task_Tracking!$G$5:$G$400,"&lt;&gt;",Task_Tracking!$K$5:$K$400,"")</f>
        <v>0</v>
      </c>
      <c r="D23" s="21">
        <f>COUNTIFS(Task_Tracking!$I$5:$I$400,"S3",Task_Tracking!$G$5:$G$400,"&lt;&gt;",Task_Tracking!$K$5:$K$400,"")</f>
        <v>67</v>
      </c>
      <c r="E23" s="21">
        <f>COUNTIFS(Task_Tracking!$I$5:$I$400,"S4",Task_Tracking!$G$5:$G$400,"&lt;&gt;",Task_Tracking!$K$5:$K$400,"")</f>
        <v>7</v>
      </c>
      <c r="F23" s="20">
        <f t="shared" si="0"/>
        <v>74</v>
      </c>
      <c r="G23" s="21">
        <f>COUNTIFS(Task_Tracking!$G$5:$G$400,"&lt;&gt;",Task_Tracking!$K$5:$K$400,"",Task_Tracking!$L$5:$L$400,"Done")</f>
        <v>0</v>
      </c>
      <c r="H23" s="22">
        <f t="shared" si="1"/>
        <v>0</v>
      </c>
    </row>
    <row r="25" spans="1:11" ht="15.6" x14ac:dyDescent="0.3">
      <c r="A25" s="15" t="s">
        <v>475</v>
      </c>
    </row>
    <row r="26" spans="1:11" ht="27.6" x14ac:dyDescent="0.3">
      <c r="A26" s="4" t="s">
        <v>3</v>
      </c>
      <c r="B26" s="4" t="s">
        <v>4</v>
      </c>
      <c r="C26" s="4" t="s">
        <v>23</v>
      </c>
      <c r="D26" s="4" t="s">
        <v>30</v>
      </c>
      <c r="E26" s="4" t="s">
        <v>39</v>
      </c>
      <c r="F26" s="4" t="s">
        <v>461</v>
      </c>
      <c r="G26" s="4" t="s">
        <v>462</v>
      </c>
      <c r="H26" s="4" t="s">
        <v>469</v>
      </c>
      <c r="I26" s="4" t="s">
        <v>465</v>
      </c>
      <c r="J26" s="4" t="s">
        <v>476</v>
      </c>
      <c r="K26" s="4" t="s">
        <v>463</v>
      </c>
    </row>
    <row r="27" spans="1:11" x14ac:dyDescent="0.3">
      <c r="A27" s="20" t="s">
        <v>19</v>
      </c>
      <c r="B27" s="25" t="s">
        <v>20</v>
      </c>
      <c r="C27" s="21">
        <f>COUNTIFS(Task_Tracking!$B$5:$B$400,$A27,Task_Tracking!$F$5:$F$400,"Backend")</f>
        <v>3</v>
      </c>
      <c r="D27" s="21">
        <f>COUNTIFS(Task_Tracking!$B$5:$B$400,$A27,Task_Tracking!$F$5:$F$400,"Portal")</f>
        <v>2</v>
      </c>
      <c r="E27" s="21">
        <f>COUNTIFS(Task_Tracking!$B$5:$B$400,$A27,Task_Tracking!$F$5:$F$400,"Mobile")</f>
        <v>2</v>
      </c>
      <c r="F27" s="20">
        <f t="shared" ref="F27:F35" si="2">SUM(C27:E27)</f>
        <v>7</v>
      </c>
      <c r="G27" s="21">
        <f>COUNTIFS(Task_Tracking!$B$5:$B$400,$A27,Task_Tracking!$L$5:$L$400,"Done")</f>
        <v>0</v>
      </c>
      <c r="H27" s="21">
        <f t="shared" ref="H27:H35" si="3">F27-G27</f>
        <v>7</v>
      </c>
      <c r="I27" s="21">
        <f>COUNTIFS(Task_Tracking!$B$5:$B$400,$A27,Task_Tracking!$L$5:$L$400,"Blocked")</f>
        <v>0</v>
      </c>
      <c r="J27" s="21">
        <f ca="1">COUNTIFS(Task_Tracking!$B$5:$B$400,$A27,Task_Tracking!$M$5:$M$400,"Trễ")</f>
        <v>0</v>
      </c>
      <c r="K27" s="22">
        <f t="shared" ref="K27:K35" si="4">IFERROR(G27/F27,0)</f>
        <v>0</v>
      </c>
    </row>
    <row r="28" spans="1:11" x14ac:dyDescent="0.3">
      <c r="A28" s="20" t="s">
        <v>50</v>
      </c>
      <c r="B28" s="25" t="s">
        <v>51</v>
      </c>
      <c r="C28" s="21">
        <f>COUNTIFS(Task_Tracking!$B$5:$B$400,$A28,Task_Tracking!$F$5:$F$400,"Backend")</f>
        <v>12</v>
      </c>
      <c r="D28" s="21">
        <f>COUNTIFS(Task_Tracking!$B$5:$B$400,$A28,Task_Tracking!$F$5:$F$400,"Portal")</f>
        <v>11</v>
      </c>
      <c r="E28" s="21">
        <f>COUNTIFS(Task_Tracking!$B$5:$B$400,$A28,Task_Tracking!$F$5:$F$400,"Mobile")</f>
        <v>3</v>
      </c>
      <c r="F28" s="20">
        <f t="shared" si="2"/>
        <v>26</v>
      </c>
      <c r="G28" s="21">
        <f>COUNTIFS(Task_Tracking!$B$5:$B$400,$A28,Task_Tracking!$L$5:$L$400,"Done")</f>
        <v>0</v>
      </c>
      <c r="H28" s="21">
        <f t="shared" si="3"/>
        <v>26</v>
      </c>
      <c r="I28" s="21">
        <f>COUNTIFS(Task_Tracking!$B$5:$B$400,$A28,Task_Tracking!$L$5:$L$400,"Blocked")</f>
        <v>0</v>
      </c>
      <c r="J28" s="21">
        <f ca="1">COUNTIFS(Task_Tracking!$B$5:$B$400,$A28,Task_Tracking!$M$5:$M$400,"Trễ")</f>
        <v>0</v>
      </c>
      <c r="K28" s="22">
        <f t="shared" si="4"/>
        <v>0</v>
      </c>
    </row>
    <row r="29" spans="1:11" x14ac:dyDescent="0.3">
      <c r="A29" s="20" t="s">
        <v>124</v>
      </c>
      <c r="B29" s="25" t="s">
        <v>125</v>
      </c>
      <c r="C29" s="21">
        <f>COUNTIFS(Task_Tracking!$B$5:$B$400,$A29,Task_Tracking!$F$5:$F$400,"Backend")</f>
        <v>13</v>
      </c>
      <c r="D29" s="21">
        <f>COUNTIFS(Task_Tracking!$B$5:$B$400,$A29,Task_Tracking!$F$5:$F$400,"Portal")</f>
        <v>5</v>
      </c>
      <c r="E29" s="21">
        <f>COUNTIFS(Task_Tracking!$B$5:$B$400,$A29,Task_Tracking!$F$5:$F$400,"Mobile")</f>
        <v>8</v>
      </c>
      <c r="F29" s="20">
        <f t="shared" si="2"/>
        <v>26</v>
      </c>
      <c r="G29" s="21">
        <f>COUNTIFS(Task_Tracking!$B$5:$B$400,$A29,Task_Tracking!$L$5:$L$400,"Done")</f>
        <v>0</v>
      </c>
      <c r="H29" s="21">
        <f t="shared" si="3"/>
        <v>26</v>
      </c>
      <c r="I29" s="21">
        <f>COUNTIFS(Task_Tracking!$B$5:$B$400,$A29,Task_Tracking!$L$5:$L$400,"Blocked")</f>
        <v>0</v>
      </c>
      <c r="J29" s="21">
        <f ca="1">COUNTIFS(Task_Tracking!$B$5:$B$400,$A29,Task_Tracking!$M$5:$M$400,"Trễ")</f>
        <v>0</v>
      </c>
      <c r="K29" s="22">
        <f t="shared" si="4"/>
        <v>0</v>
      </c>
    </row>
    <row r="30" spans="1:11" x14ac:dyDescent="0.3">
      <c r="A30" s="20" t="s">
        <v>199</v>
      </c>
      <c r="B30" s="25" t="s">
        <v>200</v>
      </c>
      <c r="C30" s="21">
        <f>COUNTIFS(Task_Tracking!$B$5:$B$400,$A30,Task_Tracking!$F$5:$F$400,"Backend")</f>
        <v>15</v>
      </c>
      <c r="D30" s="21">
        <f>COUNTIFS(Task_Tracking!$B$5:$B$400,$A30,Task_Tracking!$F$5:$F$400,"Portal")</f>
        <v>9</v>
      </c>
      <c r="E30" s="21">
        <f>COUNTIFS(Task_Tracking!$B$5:$B$400,$A30,Task_Tracking!$F$5:$F$400,"Mobile")</f>
        <v>4</v>
      </c>
      <c r="F30" s="20">
        <f t="shared" si="2"/>
        <v>28</v>
      </c>
      <c r="G30" s="21">
        <f>COUNTIFS(Task_Tracking!$B$5:$B$400,$A30,Task_Tracking!$L$5:$L$400,"Done")</f>
        <v>0</v>
      </c>
      <c r="H30" s="21">
        <f t="shared" si="3"/>
        <v>28</v>
      </c>
      <c r="I30" s="21">
        <f>COUNTIFS(Task_Tracking!$B$5:$B$400,$A30,Task_Tracking!$L$5:$L$400,"Blocked")</f>
        <v>0</v>
      </c>
      <c r="J30" s="21">
        <f ca="1">COUNTIFS(Task_Tracking!$B$5:$B$400,$A30,Task_Tracking!$M$5:$M$400,"Trễ")</f>
        <v>0</v>
      </c>
      <c r="K30" s="22">
        <f t="shared" si="4"/>
        <v>0</v>
      </c>
    </row>
    <row r="31" spans="1:11" x14ac:dyDescent="0.3">
      <c r="A31" s="20" t="s">
        <v>279</v>
      </c>
      <c r="B31" s="25" t="s">
        <v>280</v>
      </c>
      <c r="C31" s="21">
        <f>COUNTIFS(Task_Tracking!$B$5:$B$400,$A31,Task_Tracking!$F$5:$F$400,"Backend")</f>
        <v>9</v>
      </c>
      <c r="D31" s="21">
        <f>COUNTIFS(Task_Tracking!$B$5:$B$400,$A31,Task_Tracking!$F$5:$F$400,"Portal")</f>
        <v>5</v>
      </c>
      <c r="E31" s="21">
        <f>COUNTIFS(Task_Tracking!$B$5:$B$400,$A31,Task_Tracking!$F$5:$F$400,"Mobile")</f>
        <v>3</v>
      </c>
      <c r="F31" s="20">
        <f t="shared" si="2"/>
        <v>17</v>
      </c>
      <c r="G31" s="21">
        <f>COUNTIFS(Task_Tracking!$B$5:$B$400,$A31,Task_Tracking!$L$5:$L$400,"Done")</f>
        <v>0</v>
      </c>
      <c r="H31" s="21">
        <f t="shared" si="3"/>
        <v>17</v>
      </c>
      <c r="I31" s="21">
        <f>COUNTIFS(Task_Tracking!$B$5:$B$400,$A31,Task_Tracking!$L$5:$L$400,"Blocked")</f>
        <v>0</v>
      </c>
      <c r="J31" s="21">
        <f ca="1">COUNTIFS(Task_Tracking!$B$5:$B$400,$A31,Task_Tracking!$M$5:$M$400,"Trễ")</f>
        <v>0</v>
      </c>
      <c r="K31" s="22">
        <f t="shared" si="4"/>
        <v>0</v>
      </c>
    </row>
    <row r="32" spans="1:11" x14ac:dyDescent="0.3">
      <c r="A32" s="20" t="s">
        <v>330</v>
      </c>
      <c r="B32" s="25" t="s">
        <v>331</v>
      </c>
      <c r="C32" s="21">
        <f>COUNTIFS(Task_Tracking!$B$5:$B$400,$A32,Task_Tracking!$F$5:$F$400,"Backend")</f>
        <v>6</v>
      </c>
      <c r="D32" s="21">
        <f>COUNTIFS(Task_Tracking!$B$5:$B$400,$A32,Task_Tracking!$F$5:$F$400,"Portal")</f>
        <v>3</v>
      </c>
      <c r="E32" s="21">
        <f>COUNTIFS(Task_Tracking!$B$5:$B$400,$A32,Task_Tracking!$F$5:$F$400,"Mobile")</f>
        <v>3</v>
      </c>
      <c r="F32" s="20">
        <f t="shared" si="2"/>
        <v>12</v>
      </c>
      <c r="G32" s="21">
        <f>COUNTIFS(Task_Tracking!$B$5:$B$400,$A32,Task_Tracking!$L$5:$L$400,"Done")</f>
        <v>0</v>
      </c>
      <c r="H32" s="21">
        <f t="shared" si="3"/>
        <v>12</v>
      </c>
      <c r="I32" s="21">
        <f>COUNTIFS(Task_Tracking!$B$5:$B$400,$A32,Task_Tracking!$L$5:$L$400,"Blocked")</f>
        <v>0</v>
      </c>
      <c r="J32" s="21">
        <f ca="1">COUNTIFS(Task_Tracking!$B$5:$B$400,$A32,Task_Tracking!$M$5:$M$400,"Trễ")</f>
        <v>0</v>
      </c>
      <c r="K32" s="22">
        <f t="shared" si="4"/>
        <v>0</v>
      </c>
    </row>
    <row r="33" spans="1:11" x14ac:dyDescent="0.3">
      <c r="A33" s="20" t="s">
        <v>366</v>
      </c>
      <c r="B33" s="25" t="s">
        <v>367</v>
      </c>
      <c r="C33" s="21">
        <f>COUNTIFS(Task_Tracking!$B$5:$B$400,$A33,Task_Tracking!$F$5:$F$400,"Backend")</f>
        <v>6</v>
      </c>
      <c r="D33" s="21">
        <f>COUNTIFS(Task_Tracking!$B$5:$B$400,$A33,Task_Tracking!$F$5:$F$400,"Portal")</f>
        <v>4</v>
      </c>
      <c r="E33" s="21">
        <f>COUNTIFS(Task_Tracking!$B$5:$B$400,$A33,Task_Tracking!$F$5:$F$400,"Mobile")</f>
        <v>2</v>
      </c>
      <c r="F33" s="20">
        <f t="shared" si="2"/>
        <v>12</v>
      </c>
      <c r="G33" s="21">
        <f>COUNTIFS(Task_Tracking!$B$5:$B$400,$A33,Task_Tracking!$L$5:$L$400,"Done")</f>
        <v>0</v>
      </c>
      <c r="H33" s="21">
        <f t="shared" si="3"/>
        <v>12</v>
      </c>
      <c r="I33" s="21">
        <f>COUNTIFS(Task_Tracking!$B$5:$B$400,$A33,Task_Tracking!$L$5:$L$400,"Blocked")</f>
        <v>0</v>
      </c>
      <c r="J33" s="21">
        <f ca="1">COUNTIFS(Task_Tracking!$B$5:$B$400,$A33,Task_Tracking!$M$5:$M$400,"Trễ")</f>
        <v>0</v>
      </c>
      <c r="K33" s="22">
        <f t="shared" si="4"/>
        <v>0</v>
      </c>
    </row>
    <row r="34" spans="1:11" x14ac:dyDescent="0.3">
      <c r="A34" s="20" t="s">
        <v>400</v>
      </c>
      <c r="B34" s="25" t="s">
        <v>401</v>
      </c>
      <c r="C34" s="21">
        <f>COUNTIFS(Task_Tracking!$B$5:$B$400,$A34,Task_Tracking!$F$5:$F$400,"Backend")</f>
        <v>6</v>
      </c>
      <c r="D34" s="21">
        <f>COUNTIFS(Task_Tracking!$B$5:$B$400,$A34,Task_Tracking!$F$5:$F$400,"Portal")</f>
        <v>5</v>
      </c>
      <c r="E34" s="21">
        <f>COUNTIFS(Task_Tracking!$B$5:$B$400,$A34,Task_Tracking!$F$5:$F$400,"Mobile")</f>
        <v>3</v>
      </c>
      <c r="F34" s="20">
        <f t="shared" si="2"/>
        <v>14</v>
      </c>
      <c r="G34" s="21">
        <f>COUNTIFS(Task_Tracking!$B$5:$B$400,$A34,Task_Tracking!$L$5:$L$400,"Done")</f>
        <v>0</v>
      </c>
      <c r="H34" s="21">
        <f t="shared" si="3"/>
        <v>14</v>
      </c>
      <c r="I34" s="21">
        <f>COUNTIFS(Task_Tracking!$B$5:$B$400,$A34,Task_Tracking!$L$5:$L$400,"Blocked")</f>
        <v>0</v>
      </c>
      <c r="J34" s="21">
        <f ca="1">COUNTIFS(Task_Tracking!$B$5:$B$400,$A34,Task_Tracking!$M$5:$M$400,"Trễ")</f>
        <v>0</v>
      </c>
      <c r="K34" s="22">
        <f t="shared" si="4"/>
        <v>0</v>
      </c>
    </row>
    <row r="35" spans="1:11" x14ac:dyDescent="0.3">
      <c r="A35" s="20" t="s">
        <v>440</v>
      </c>
      <c r="B35" s="25" t="s">
        <v>441</v>
      </c>
      <c r="C35" s="21">
        <f>COUNTIFS(Task_Tracking!$B$5:$B$400,$A35,Task_Tracking!$F$5:$F$400,"Backend")</f>
        <v>3</v>
      </c>
      <c r="D35" s="21">
        <f>COUNTIFS(Task_Tracking!$B$5:$B$400,$A35,Task_Tracking!$F$5:$F$400,"Portal")</f>
        <v>2</v>
      </c>
      <c r="E35" s="21">
        <f>COUNTIFS(Task_Tracking!$B$5:$B$400,$A35,Task_Tracking!$F$5:$F$400,"Mobile")</f>
        <v>2</v>
      </c>
      <c r="F35" s="20">
        <f t="shared" si="2"/>
        <v>7</v>
      </c>
      <c r="G35" s="21">
        <f>COUNTIFS(Task_Tracking!$B$5:$B$400,$A35,Task_Tracking!$L$5:$L$400,"Done")</f>
        <v>0</v>
      </c>
      <c r="H35" s="21">
        <f t="shared" si="3"/>
        <v>7</v>
      </c>
      <c r="I35" s="21">
        <f>COUNTIFS(Task_Tracking!$B$5:$B$400,$A35,Task_Tracking!$L$5:$L$400,"Blocked")</f>
        <v>0</v>
      </c>
      <c r="J35" s="21">
        <f ca="1">COUNTIFS(Task_Tracking!$B$5:$B$400,$A35,Task_Tracking!$M$5:$M$400,"Trễ")</f>
        <v>0</v>
      </c>
      <c r="K35" s="22">
        <f t="shared" si="4"/>
        <v>0</v>
      </c>
    </row>
    <row r="37" spans="1:11" ht="15.6" x14ac:dyDescent="0.3">
      <c r="A37" s="15" t="s">
        <v>477</v>
      </c>
    </row>
    <row r="38" spans="1:11" ht="27.6" x14ac:dyDescent="0.3">
      <c r="A38" s="4" t="s">
        <v>7</v>
      </c>
      <c r="B38" s="4" t="s">
        <v>28</v>
      </c>
      <c r="C38" s="4" t="s">
        <v>478</v>
      </c>
      <c r="D38" s="4" t="s">
        <v>479</v>
      </c>
      <c r="E38" s="4" t="s">
        <v>462</v>
      </c>
      <c r="F38" s="4" t="s">
        <v>465</v>
      </c>
      <c r="G38" s="4" t="s">
        <v>472</v>
      </c>
      <c r="H38" s="4" t="s">
        <v>463</v>
      </c>
    </row>
    <row r="39" spans="1:11" x14ac:dyDescent="0.3">
      <c r="A39" s="20" t="s">
        <v>23</v>
      </c>
      <c r="B39" s="21">
        <f>COUNTIFS(Task_Tracking!$F$5:$F$400,$A39,Task_Tracking!$L$5:$L$400,"To Do")</f>
        <v>73</v>
      </c>
      <c r="C39" s="21">
        <f>COUNTIFS(Task_Tracking!$F$5:$F$400,$A39,Task_Tracking!$L$5:$L$400,"In Progress")</f>
        <v>0</v>
      </c>
      <c r="D39" s="21">
        <f>COUNTIFS(Task_Tracking!$F$5:$F$400,$A39,Task_Tracking!$L$5:$L$400,"In Review")</f>
        <v>0</v>
      </c>
      <c r="E39" s="21">
        <f>COUNTIFS(Task_Tracking!$F$5:$F$400,$A39,Task_Tracking!$L$5:$L$400,"Done")</f>
        <v>0</v>
      </c>
      <c r="F39" s="21">
        <f>COUNTIFS(Task_Tracking!$F$5:$F$400,$A39,Task_Tracking!$L$5:$L$400,"Blocked")</f>
        <v>0</v>
      </c>
      <c r="G39" s="20">
        <f>SUM(B39:F39)</f>
        <v>73</v>
      </c>
      <c r="H39" s="22">
        <f>IFERROR(E39/G39,0)</f>
        <v>0</v>
      </c>
    </row>
    <row r="40" spans="1:11" x14ac:dyDescent="0.3">
      <c r="A40" s="20" t="s">
        <v>30</v>
      </c>
      <c r="B40" s="21">
        <f>COUNTIFS(Task_Tracking!$F$5:$F$400,$A40,Task_Tracking!$L$5:$L$400,"To Do")</f>
        <v>46</v>
      </c>
      <c r="C40" s="21">
        <f>COUNTIFS(Task_Tracking!$F$5:$F$400,$A40,Task_Tracking!$L$5:$L$400,"In Progress")</f>
        <v>0</v>
      </c>
      <c r="D40" s="21">
        <f>COUNTIFS(Task_Tracking!$F$5:$F$400,$A40,Task_Tracking!$L$5:$L$400,"In Review")</f>
        <v>0</v>
      </c>
      <c r="E40" s="21">
        <f>COUNTIFS(Task_Tracking!$F$5:$F$400,$A40,Task_Tracking!$L$5:$L$400,"Done")</f>
        <v>0</v>
      </c>
      <c r="F40" s="21">
        <f>COUNTIFS(Task_Tracking!$F$5:$F$400,$A40,Task_Tracking!$L$5:$L$400,"Blocked")</f>
        <v>0</v>
      </c>
      <c r="G40" s="20">
        <f>SUM(B40:F40)</f>
        <v>46</v>
      </c>
      <c r="H40" s="22">
        <f>IFERROR(E40/G40,0)</f>
        <v>0</v>
      </c>
    </row>
    <row r="41" spans="1:11" x14ac:dyDescent="0.3">
      <c r="A41" s="20" t="s">
        <v>39</v>
      </c>
      <c r="B41" s="21">
        <f>COUNTIFS(Task_Tracking!$F$5:$F$400,$A41,Task_Tracking!$L$5:$L$400,"To Do")</f>
        <v>30</v>
      </c>
      <c r="C41" s="21">
        <f>COUNTIFS(Task_Tracking!$F$5:$F$400,$A41,Task_Tracking!$L$5:$L$400,"In Progress")</f>
        <v>0</v>
      </c>
      <c r="D41" s="21">
        <f>COUNTIFS(Task_Tracking!$F$5:$F$400,$A41,Task_Tracking!$L$5:$L$400,"In Review")</f>
        <v>0</v>
      </c>
      <c r="E41" s="21">
        <f>COUNTIFS(Task_Tracking!$F$5:$F$400,$A41,Task_Tracking!$L$5:$L$400,"Done")</f>
        <v>0</v>
      </c>
      <c r="F41" s="21">
        <f>COUNTIFS(Task_Tracking!$F$5:$F$400,$A41,Task_Tracking!$L$5:$L$400,"Blocked")</f>
        <v>0</v>
      </c>
      <c r="G41" s="20">
        <f>SUM(B41:F41)</f>
        <v>30</v>
      </c>
      <c r="H41" s="22">
        <f>IFERROR(E41/G41,0)</f>
        <v>0</v>
      </c>
    </row>
  </sheetData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"/>
  <sheetViews>
    <sheetView zoomScaleNormal="100" workbookViewId="0">
      <selection activeCell="F7" sqref="F7"/>
    </sheetView>
  </sheetViews>
  <sheetFormatPr defaultColWidth="8.6640625" defaultRowHeight="14.4" x14ac:dyDescent="0.3"/>
  <cols>
    <col min="1" max="1" width="8" customWidth="1"/>
    <col min="2" max="3" width="12" customWidth="1"/>
    <col min="4" max="4" width="70" customWidth="1"/>
    <col min="5" max="5" width="9" customWidth="1"/>
    <col min="6" max="6" width="13.5546875" customWidth="1"/>
    <col min="7" max="7" width="9" customWidth="1"/>
    <col min="8" max="8" width="12" customWidth="1"/>
  </cols>
  <sheetData>
    <row r="1" spans="1:8" ht="17.399999999999999" x14ac:dyDescent="0.3">
      <c r="A1" s="26" t="s">
        <v>480</v>
      </c>
    </row>
    <row r="2" spans="1:8" x14ac:dyDescent="0.3">
      <c r="A2" s="3" t="s">
        <v>481</v>
      </c>
      <c r="F2" s="27">
        <f ca="1">TODAY()</f>
        <v>46309</v>
      </c>
    </row>
    <row r="4" spans="1:8" x14ac:dyDescent="0.3">
      <c r="A4" s="39" t="s">
        <v>10</v>
      </c>
      <c r="B4" s="39" t="s">
        <v>15</v>
      </c>
      <c r="C4" s="39" t="s">
        <v>482</v>
      </c>
      <c r="D4" s="39" t="s">
        <v>483</v>
      </c>
      <c r="E4" s="39" t="s">
        <v>484</v>
      </c>
      <c r="F4" s="39" t="s">
        <v>462</v>
      </c>
      <c r="G4" s="39" t="s">
        <v>463</v>
      </c>
      <c r="H4" s="39" t="s">
        <v>485</v>
      </c>
    </row>
    <row r="5" spans="1:8" ht="43.5" customHeight="1" x14ac:dyDescent="0.3">
      <c r="A5" s="72" t="s">
        <v>26</v>
      </c>
      <c r="B5" s="73">
        <v>46313</v>
      </c>
      <c r="C5" s="74">
        <f>B5+13</f>
        <v>46326</v>
      </c>
      <c r="D5" s="75" t="s">
        <v>486</v>
      </c>
      <c r="E5" s="43">
        <f>COUNTIF(Task_Tracking!$I$5:$I$400,A5)</f>
        <v>32</v>
      </c>
      <c r="F5" s="43">
        <f>COUNTIFS(Task_Tracking!$I$5:$I$400,A5,Task_Tracking!$L$5:$L$400,"Done")</f>
        <v>0</v>
      </c>
      <c r="G5" s="76">
        <f>IFERROR(F5/E5,0)</f>
        <v>0</v>
      </c>
      <c r="H5" s="43" t="str">
        <f ca="1">IF(TODAY()&gt;C5,"Đã qua",IF(TODAY()&gt;=B5,"Đang chạy","Sắp tới"))</f>
        <v>Sắp tới</v>
      </c>
    </row>
    <row r="6" spans="1:8" ht="43.5" customHeight="1" x14ac:dyDescent="0.3">
      <c r="A6" s="72" t="s">
        <v>102</v>
      </c>
      <c r="B6" s="74">
        <f>B5+14</f>
        <v>46327</v>
      </c>
      <c r="C6" s="74">
        <f>B6+13</f>
        <v>46340</v>
      </c>
      <c r="D6" s="77" t="s">
        <v>487</v>
      </c>
      <c r="E6" s="43">
        <f>COUNTIF(Task_Tracking!$I$5:$I$400,A6)</f>
        <v>43</v>
      </c>
      <c r="F6" s="43">
        <f>COUNTIFS(Task_Tracking!$I$5:$I$400,A6,Task_Tracking!$L$5:$L$400,"Done")</f>
        <v>0</v>
      </c>
      <c r="G6" s="76">
        <f>IFERROR(F6/E6,0)</f>
        <v>0</v>
      </c>
      <c r="H6" s="43" t="str">
        <f ca="1">IF(TODAY()&gt;C6,"Đã qua",IF(TODAY()&gt;=B6,"Đang chạy","Sắp tới"))</f>
        <v>Sắp tới</v>
      </c>
    </row>
    <row r="7" spans="1:8" ht="43.5" customHeight="1" x14ac:dyDescent="0.3">
      <c r="A7" s="72" t="s">
        <v>154</v>
      </c>
      <c r="B7" s="74">
        <f>B6+14</f>
        <v>46341</v>
      </c>
      <c r="C7" s="74">
        <f>B7+13</f>
        <v>46354</v>
      </c>
      <c r="D7" s="75" t="s">
        <v>488</v>
      </c>
      <c r="E7" s="43">
        <f>COUNTIF(Task_Tracking!$I$5:$I$400,A7)</f>
        <v>67</v>
      </c>
      <c r="F7" s="43">
        <f>COUNTIFS(Task_Tracking!$I$5:$I$400,A7,Task_Tracking!$L$5:$L$400,"Done")</f>
        <v>0</v>
      </c>
      <c r="G7" s="76">
        <f>IFERROR(F7/E7,0)</f>
        <v>0</v>
      </c>
      <c r="H7" s="43" t="str">
        <f ca="1">IF(TODAY()&gt;C7,"Đã qua",IF(TODAY()&gt;=B7,"Đang chạy","Sắp tới"))</f>
        <v>Sắp tới</v>
      </c>
    </row>
    <row r="8" spans="1:8" ht="43.5" customHeight="1" x14ac:dyDescent="0.3">
      <c r="A8" s="72" t="s">
        <v>276</v>
      </c>
      <c r="B8" s="74">
        <f>B7+14</f>
        <v>46355</v>
      </c>
      <c r="C8" s="74">
        <f>B8+13</f>
        <v>46368</v>
      </c>
      <c r="D8" s="75" t="s">
        <v>489</v>
      </c>
      <c r="E8" s="43">
        <f>COUNTIF(Task_Tracking!$I$5:$I$400,A8)</f>
        <v>7</v>
      </c>
      <c r="F8" s="43">
        <f>COUNTIFS(Task_Tracking!$I$5:$I$400,A8,Task_Tracking!$L$5:$L$400,"Done")</f>
        <v>0</v>
      </c>
      <c r="G8" s="76">
        <f>IFERROR(F8/E8,0)</f>
        <v>0</v>
      </c>
      <c r="H8" s="43" t="str">
        <f ca="1">IF(TODAY()&gt;C8,"Đã qua",IF(TODAY()&gt;=B8,"Đang chạy","Sắp tới"))</f>
        <v>Sắp tới</v>
      </c>
    </row>
    <row r="9" spans="1:8" x14ac:dyDescent="0.3">
      <c r="A9" s="78" t="s">
        <v>523</v>
      </c>
      <c r="B9" s="74">
        <f>B8+14</f>
        <v>46369</v>
      </c>
      <c r="C9" s="74">
        <f>B9+5</f>
        <v>46374</v>
      </c>
      <c r="D9" s="79" t="s">
        <v>524</v>
      </c>
      <c r="E9" s="51"/>
      <c r="F9" s="51"/>
      <c r="G9" s="51"/>
      <c r="H9" s="51"/>
    </row>
    <row r="10" spans="1:8" x14ac:dyDescent="0.3">
      <c r="A10" s="80" t="s">
        <v>490</v>
      </c>
      <c r="B10" s="51"/>
      <c r="C10" s="51"/>
      <c r="D10" s="51"/>
      <c r="E10" s="51"/>
      <c r="F10" s="51"/>
      <c r="G10" s="51"/>
      <c r="H10" s="51"/>
    </row>
  </sheetData>
  <conditionalFormatting sqref="A5:H8 A9:D9">
    <cfRule type="expression" dxfId="0" priority="2">
      <formula>$H5="Đang chạy"</formula>
    </cfRule>
  </conditionalFormatting>
  <pageMargins left="0.75" right="0.75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zoomScaleNormal="100" workbookViewId="0">
      <selection activeCell="K15" sqref="K15:L15"/>
    </sheetView>
  </sheetViews>
  <sheetFormatPr defaultColWidth="8.6640625" defaultRowHeight="14.4" x14ac:dyDescent="0.3"/>
  <sheetData>
    <row r="1" spans="1:4" x14ac:dyDescent="0.3">
      <c r="A1" s="85" t="s">
        <v>13</v>
      </c>
      <c r="B1" s="85" t="s">
        <v>9</v>
      </c>
      <c r="C1" s="85" t="s">
        <v>7</v>
      </c>
      <c r="D1" s="85" t="s">
        <v>10</v>
      </c>
    </row>
    <row r="2" spans="1:4" x14ac:dyDescent="0.3">
      <c r="A2" s="86" t="s">
        <v>28</v>
      </c>
      <c r="B2" s="86" t="s">
        <v>25</v>
      </c>
      <c r="C2" s="86" t="s">
        <v>23</v>
      </c>
      <c r="D2" s="86" t="s">
        <v>26</v>
      </c>
    </row>
    <row r="3" spans="1:4" x14ac:dyDescent="0.3">
      <c r="A3" s="86" t="s">
        <v>478</v>
      </c>
      <c r="B3" s="86" t="s">
        <v>108</v>
      </c>
      <c r="C3" s="86" t="s">
        <v>30</v>
      </c>
      <c r="D3" s="86" t="s">
        <v>102</v>
      </c>
    </row>
    <row r="4" spans="1:4" x14ac:dyDescent="0.3">
      <c r="A4" s="86" t="s">
        <v>479</v>
      </c>
      <c r="B4" s="86" t="s">
        <v>517</v>
      </c>
      <c r="C4" s="86" t="s">
        <v>39</v>
      </c>
      <c r="D4" s="86" t="s">
        <v>154</v>
      </c>
    </row>
    <row r="5" spans="1:4" x14ac:dyDescent="0.3">
      <c r="A5" s="86" t="s">
        <v>462</v>
      </c>
      <c r="B5" s="51"/>
      <c r="C5" s="51"/>
      <c r="D5" s="86" t="s">
        <v>276</v>
      </c>
    </row>
    <row r="6" spans="1:4" x14ac:dyDescent="0.3">
      <c r="A6" s="86" t="s">
        <v>465</v>
      </c>
      <c r="B6" s="51"/>
      <c r="C6" s="51"/>
      <c r="D6" s="5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21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10" customWidth="1"/>
  </cols>
  <sheetData>
    <row r="1" spans="1:2" ht="17.399999999999999" x14ac:dyDescent="0.3">
      <c r="A1" s="26" t="s">
        <v>503</v>
      </c>
    </row>
    <row r="2" spans="1:2" ht="30" customHeight="1" x14ac:dyDescent="0.3">
      <c r="A2" s="1" t="s">
        <v>504</v>
      </c>
      <c r="B2" s="1"/>
    </row>
    <row r="3" spans="1:2" ht="30" customHeight="1" x14ac:dyDescent="0.3">
      <c r="A3" s="1" t="s">
        <v>505</v>
      </c>
      <c r="B3" s="1"/>
    </row>
    <row r="4" spans="1:2" ht="30" customHeight="1" x14ac:dyDescent="0.3">
      <c r="A4" s="1" t="s">
        <v>506</v>
      </c>
      <c r="B4" s="1"/>
    </row>
    <row r="5" spans="1:2" ht="30" customHeight="1" x14ac:dyDescent="0.3">
      <c r="A5" s="1" t="s">
        <v>507</v>
      </c>
      <c r="B5" s="1"/>
    </row>
    <row r="6" spans="1:2" ht="30" customHeight="1" x14ac:dyDescent="0.3">
      <c r="A6" s="1" t="s">
        <v>508</v>
      </c>
      <c r="B6" s="1"/>
    </row>
    <row r="7" spans="1:2" ht="7.5" customHeight="1" x14ac:dyDescent="0.3">
      <c r="A7" s="1"/>
      <c r="B7" s="1"/>
    </row>
    <row r="8" spans="1:2" x14ac:dyDescent="0.3">
      <c r="A8" s="29" t="s">
        <v>13</v>
      </c>
      <c r="B8" s="29" t="s">
        <v>509</v>
      </c>
    </row>
    <row r="9" spans="1:2" x14ac:dyDescent="0.3">
      <c r="A9" s="30" t="s">
        <v>28</v>
      </c>
      <c r="B9" s="28" t="s">
        <v>510</v>
      </c>
    </row>
    <row r="10" spans="1:2" x14ac:dyDescent="0.3">
      <c r="A10" s="31" t="s">
        <v>478</v>
      </c>
      <c r="B10" s="28" t="s">
        <v>511</v>
      </c>
    </row>
    <row r="11" spans="1:2" x14ac:dyDescent="0.3">
      <c r="A11" s="32" t="s">
        <v>479</v>
      </c>
      <c r="B11" s="28" t="s">
        <v>512</v>
      </c>
    </row>
    <row r="12" spans="1:2" x14ac:dyDescent="0.3">
      <c r="A12" s="33" t="s">
        <v>462</v>
      </c>
      <c r="B12" s="28" t="s">
        <v>513</v>
      </c>
    </row>
    <row r="13" spans="1:2" x14ac:dyDescent="0.3">
      <c r="A13" s="34" t="s">
        <v>465</v>
      </c>
      <c r="B13" s="28" t="s">
        <v>514</v>
      </c>
    </row>
    <row r="14" spans="1:2" ht="7.5" customHeight="1" x14ac:dyDescent="0.3">
      <c r="A14" s="1"/>
      <c r="B14" s="1"/>
    </row>
    <row r="15" spans="1:2" x14ac:dyDescent="0.3">
      <c r="A15" s="29" t="s">
        <v>9</v>
      </c>
      <c r="B15" s="29" t="s">
        <v>509</v>
      </c>
    </row>
    <row r="16" spans="1:2" ht="30" customHeight="1" x14ac:dyDescent="0.3">
      <c r="A16" s="35" t="s">
        <v>25</v>
      </c>
      <c r="B16" s="28" t="s">
        <v>515</v>
      </c>
    </row>
    <row r="17" spans="1:2" x14ac:dyDescent="0.3">
      <c r="A17" s="36" t="s">
        <v>108</v>
      </c>
      <c r="B17" s="28" t="s">
        <v>516</v>
      </c>
    </row>
    <row r="18" spans="1:2" x14ac:dyDescent="0.3">
      <c r="A18" s="37" t="s">
        <v>517</v>
      </c>
      <c r="B18" s="28" t="s">
        <v>518</v>
      </c>
    </row>
    <row r="19" spans="1:2" ht="7.5" customHeight="1" x14ac:dyDescent="0.3">
      <c r="A19" s="1"/>
      <c r="B19" s="1"/>
    </row>
    <row r="20" spans="1:2" ht="30" customHeight="1" x14ac:dyDescent="0.3">
      <c r="A20" s="38" t="s">
        <v>519</v>
      </c>
      <c r="B20" s="28" t="s">
        <v>520</v>
      </c>
    </row>
    <row r="21" spans="1:2" ht="30" customHeight="1" x14ac:dyDescent="0.3">
      <c r="A21" s="38" t="s">
        <v>521</v>
      </c>
      <c r="B21" s="28" t="s">
        <v>522</v>
      </c>
    </row>
  </sheetData>
  <mergeCells count="8">
    <mergeCell ref="A7:B7"/>
    <mergeCell ref="A14:B14"/>
    <mergeCell ref="A19:B19"/>
    <mergeCell ref="A2:B2"/>
    <mergeCell ref="A3:B3"/>
    <mergeCell ref="A4:B4"/>
    <mergeCell ref="A5:B5"/>
    <mergeCell ref="A6:B6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Task_Tracking</vt:lpstr>
      <vt:lpstr>Team</vt:lpstr>
      <vt:lpstr>Dashboard</vt:lpstr>
      <vt:lpstr>Sprints</vt:lpstr>
      <vt:lpstr>Lists</vt:lpstr>
      <vt:lpstr>Huong_dan</vt:lpstr>
      <vt:lpstr>Task_Tracking!Print_Area</vt:lpstr>
      <vt:lpstr>Task_Tracking!Print_Titles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Nguyen Thien Nhan</cp:lastModifiedBy>
  <cp:revision>1</cp:revision>
  <dcterms:created xsi:type="dcterms:W3CDTF">2026-10-14T14:42:52Z</dcterms:created>
  <dcterms:modified xsi:type="dcterms:W3CDTF">2026-10-14T15:20:34Z</dcterms:modified>
  <dc:language>en-US</dc:language>
</cp:coreProperties>
</file>