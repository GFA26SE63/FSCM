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_Tracking" sheetId="1" r:id="rId4"/>
    <sheet state="visible" name="Team" sheetId="2" r:id="rId5"/>
    <sheet state="visible" name="Dashboard" sheetId="3" r:id="rId6"/>
    <sheet state="visible" name="Sprints" sheetId="4" r:id="rId7"/>
    <sheet state="visible" name="Lists" sheetId="5" r:id="rId8"/>
    <sheet state="visible" name="Huong_dan" sheetId="6" r:id="rId9"/>
  </sheets>
  <definedNames>
    <definedName hidden="1" localSheetId="0" name="_xlnm._FilterDatabase">Task_Tracking!$A$4:$P$400</definedName>
  </definedNames>
  <calcPr/>
  <extLst>
    <ext uri="GoogleSheetsCustomDataVersion2">
      <go:sheetsCustomData xmlns:go="http://customooxmlschemas.google.com/" r:id="rId10" roundtripDataChecksum="sLa4kMsqNrQFQtlu/dXbsWWOx+UaLFMrHQPMrQ8ileA="/>
    </ext>
  </extLst>
</workbook>
</file>

<file path=xl/sharedStrings.xml><?xml version="1.0" encoding="utf-8"?>
<sst xmlns="http://schemas.openxmlformats.org/spreadsheetml/2006/main" count="2045" uniqueCount="580">
  <si>
    <t>Thành viên</t>
  </si>
  <si>
    <t>Kế hoạch 3 sprint trong 5 tuần (19/10 – 22/11/2026)</t>
  </si>
  <si>
    <t>FSCM – Task tracking (Epic → Module → Chức năng → Backend / Portal / Mobile)</t>
  </si>
  <si>
    <t>Danh sách này là nguồn cho dropdown PIC trên Task_Tracking. Sửa tên / thêm người ở cột A.</t>
  </si>
  <si>
    <t>Chỉ sửa ngày bắt đầu Sprint 1 (ô B5, chữ xanh); các sprint sau tự lùi theo. Hôm nay:</t>
  </si>
  <si>
    <t>Mỗi dòng là một task trên một nền tảng. Cột trắng: chọn PIC, Status, ngày, ghi chú. Cột xám tự tính. Lọc theo Epic / Module / Nền tảng / Sprint / PIC bằng nút lọc ở dòng tiêu đề.</t>
  </si>
  <si>
    <t>Task ID</t>
  </si>
  <si>
    <t>PIC (tên ngắn)</t>
  </si>
  <si>
    <t>Epic</t>
  </si>
  <si>
    <t>Tên epic</t>
  </si>
  <si>
    <t>Họ tên</t>
  </si>
  <si>
    <t>Module</t>
  </si>
  <si>
    <t>Chức năng</t>
  </si>
  <si>
    <t>Vai trò</t>
  </si>
  <si>
    <t>Nền tảng</t>
  </si>
  <si>
    <t>Công việc</t>
  </si>
  <si>
    <t>Số task</t>
  </si>
  <si>
    <t>Priority</t>
  </si>
  <si>
    <t>Sprint</t>
  </si>
  <si>
    <t>Done</t>
  </si>
  <si>
    <t>Thời gian sprint</t>
  </si>
  <si>
    <t>% Done</t>
  </si>
  <si>
    <t>PIC</t>
  </si>
  <si>
    <t>Status</t>
  </si>
  <si>
    <t>Trễ hạn</t>
  </si>
  <si>
    <t>Nhân</t>
  </si>
  <si>
    <t>Bắt đầu</t>
  </si>
  <si>
    <t>Hoàn thành</t>
  </si>
  <si>
    <t>Ghi chú</t>
  </si>
  <si>
    <t>F08-BE</t>
  </si>
  <si>
    <t>Nguyen Thien Nhan</t>
  </si>
  <si>
    <t>Kết thúc</t>
  </si>
  <si>
    <t>Mục tiêu sprint</t>
  </si>
  <si>
    <t>E1</t>
  </si>
  <si>
    <t>Nền tảng &amp; xác thực</t>
  </si>
  <si>
    <t>Leader; full stack thuật toán, loyalty và khiếu nại</t>
  </si>
  <si>
    <t>Trạng thái</t>
  </si>
  <si>
    <t>Xác thực &amp; phân quyền</t>
  </si>
  <si>
    <t>S1</t>
  </si>
  <si>
    <t>Đăng nhập Portal</t>
  </si>
  <si>
    <t>Backend</t>
  </si>
  <si>
    <t>Kiểm tra token đăng nhập Microsoft Entra ID cho Portal. Cung cấp API thông tin người đang đăng nhập gồm vai trò, kho, khu vực và phạm vi dữ liệu được xem. Trả lỗi rõ khi token hết hạn hoặc tài khoản bị khóa.</t>
  </si>
  <si>
    <t>High</t>
  </si>
  <si>
    <t>Nền tảng và dữ liệu gốc; hồ sơ retailer hai tab, MLOR Category/SKU; bảng vận chuyển/ETA; KM thường và giá dự kiến; đặt/duyệt đơn trước cutoff, nhập kho/tem/batch, thanh toán.</t>
  </si>
  <si>
    <t>Khiết</t>
  </si>
  <si>
    <t>To Do</t>
  </si>
  <si>
    <t>Tran Ngoc Khiet</t>
  </si>
  <si>
    <t>S2</t>
  </si>
  <si>
    <t>Hải</t>
  </si>
  <si>
    <t>F08-FE</t>
  </si>
  <si>
    <t>Doan Duc Hai</t>
  </si>
  <si>
    <t>Backend; giữ phân công Portal đã có</t>
  </si>
  <si>
    <t>Gom đợt 12h, chọn/đổi batch đạt MLOR rồi tính giảm HSD; Admin duyệt hàng/giá, reserve; offline; soạn và tách đơn giữ giá theo batch; giao nhận, công nợ, loyalty, KPI.</t>
  </si>
  <si>
    <t>Portal</t>
  </si>
  <si>
    <t>Làm đăng nhập Portal bằng tài khoản Microsoft qua MSAL. Sau đăng nhập lấy thông tin và quyền từ server để mở đúng trang. Khi phiên hết hạn thì yêu cầu đăng nhập lại, hiển thị lỗi thay vì để màn hình trống.</t>
  </si>
  <si>
    <t>S3</t>
  </si>
  <si>
    <t>Sơn</t>
  </si>
  <si>
    <t>Vo Minh Son</t>
  </si>
  <si>
    <t>Portal / Mobile</t>
  </si>
  <si>
    <t>Hoàng</t>
  </si>
  <si>
    <t>Tuần cuối: chức năng Medium còn lại (thông báo, khiếu nại, công nợ trên app, dashboard, hủy hàng, báo cáo đợt) + bộ test đợt, test tích hợp, sửa lỗi, dữ liệu demo, deploy</t>
  </si>
  <si>
    <t>Truong Le Huy Hoang</t>
  </si>
  <si>
    <t>F09-BE</t>
  </si>
  <si>
    <t>Đăng nhập app mobile</t>
  </si>
  <si>
    <t>Thống nhất cơ chế xác thực mobile với người làm app và triển khai phần server tương ứng. Trả thông tin tài khoản, vai trò và phạm vi dữ liệu sau đăng nhập. App và Portal phải dùng cùng danh tính và quyền của người dùng.</t>
  </si>
  <si>
    <t>S1 và S2 mỗi sprint 2 tuần, S3 là tuần cuối (16/11 – 22/11). S3 không nhận chức năng High mới; nếu trễ thì cắt bớt nhóm Medium trước.</t>
  </si>
  <si>
    <t>Mock đang dùng SĐT + mật khẩu</t>
  </si>
  <si>
    <t>F09-MB</t>
  </si>
  <si>
    <t>Mobile</t>
  </si>
  <si>
    <t>Làm màn đăng nhập app theo cơ chế đã thống nhất với F09-BE. Lưu thông tin phiên bằng bộ lưu trữ bảo mật, khôi phục phiên còn hiệu lực khi mở app và xóa phiên khi đăng xuất. Báo rõ sai thông tin hoặc tài khoản bị khóa.</t>
  </si>
  <si>
    <t>F10-BE</t>
  </si>
  <si>
    <t>Phân quyền theo vai trò</t>
  </si>
  <si>
    <t>Áp dụng phân quyền cho toàn bộ API theo sáu vai trò: Admin, Operator, Sales Manager, Warehouse Keeper, Sales, Retailer. Ngoài vai trò còn kiểm tra đúng kho, khu vực, nhóm Sales hoặc retailer. Chặn cả trường hợp sửa mã trên URL để xem dữ liệu ngoài quyền.</t>
  </si>
  <si>
    <t>F10-FE</t>
  </si>
  <si>
    <t>Chỉ hiện menu và nút thao tác phù hợp với vai trò đăng nhập trên Portal. Chặn truy cập trực tiếp đường dẫn ngoài quyền và hiện thông báo không đủ quyền. Quyền trên màn hình phải khớp với API, không chỉ ẩn menu.</t>
  </si>
  <si>
    <t>F10-MB</t>
  </si>
  <si>
    <t>Mở đúng màn và nhóm chức năng cho Sales, Thủ kho hoặc Retailer sau đăng nhập. Ẩn thao tác ngoài vai trò và xử lý lỗi không đủ quyền từ server. Retailer chỉ theo dõi, nhận hàng và dùng chức năng được cấp, không tự đặt đơn.</t>
  </si>
  <si>
    <t>F11-BE</t>
  </si>
  <si>
    <t>E2</t>
  </si>
  <si>
    <t>Dữ liệu gốc</t>
  </si>
  <si>
    <t>Người dùng</t>
  </si>
  <si>
    <t>Seed Admin, không tạo Admin trên UI</t>
  </si>
  <si>
    <t>Tạo sẵn tài khoản Admin ban đầu khi triển khai hệ thống. Chặn API tạo hoặc đổi tài khoản thông thường thành Admin. Chạy bước khởi tạo nhiều lần không tạo trùng Admin.</t>
  </si>
  <si>
    <t>Chốt 02/10</t>
  </si>
  <si>
    <t>F11-FE</t>
  </si>
  <si>
    <t>Trong form quản lý người dùng, chỉ cho chọn các vai trò được phép tạo. Không có lựa chọn tạo Admin hoặc nâng tài khoản thành Admin. Hiển thị lỗi từ server nếu thao tác không hợp lệ.</t>
  </si>
  <si>
    <t>In Progress</t>
  </si>
  <si>
    <t>Medium</t>
  </si>
  <si>
    <t>In Review</t>
  </si>
  <si>
    <t>Low</t>
  </si>
  <si>
    <t>Blocked</t>
  </si>
  <si>
    <t>F12-BE</t>
  </si>
  <si>
    <t>Hướng dẫn</t>
  </si>
  <si>
    <t>Quản lý người dùng</t>
  </si>
  <si>
    <t>Cung cấp API danh sách, tạo, sửa và khóa tài khoản. Lưu vai trò và liên kết cần thiết như kho của Thủ kho, khu vực/nhóm của Sales hoặc retailer của tài khoản khách. Kiểm tra dữ liệu trùng và quyền của người thao tác.</t>
  </si>
  <si>
    <t>Cấu trúc: Epic → Module → Chức năng → mỗi nền tảng (Backend / Portal / Mobile) là một dòng task riêng trên Task_Tracking. Task ID = mã chức năng + nền tảng (F27-BE, F27-MB…); các dòng cùng mã F27 là cùng một chức năng.</t>
  </si>
  <si>
    <t>Phân công cụ thể: giảm HSD và giá theo batch giao Nhân Backend/Portal, Sơn Mobile; hồ sơ retailer hai tab và MLOR Category/SKU giao Hải Backend, Hoàng Portal/Mobile. Các phần khác giữ phân công hiện có.</t>
  </si>
  <si>
    <t>Sprint: 3 sprint trong 5 tuần từ 19/10 đến 22/11/2026 – S1 19/10–01/11, S2 02/11–15/11 (2 tuần), S3 16/11–22/11 (1 tuần, test + Medium còn lại). Task chưa Done mà đã qua ngày kết thúc sprint sẽ hiện "Trễ".</t>
  </si>
  <si>
    <t>Luồng thống nhất 21/10/2026: MLOR theo SKU riêng, rồi Category, rồi mặc định sản phẩm; gom nhu cầu theo SKU nhưng giữ điều kiện từng dòng. Chọn batch đạt MLOR tại ETA trước, tính giảm theo % HSD sau, Admin duyệt hàng và giá rồi mới giữ tồn/thu trả trước. F98 lưu và hiển thị giá theo batch.</t>
  </si>
  <si>
    <t>Ô được sửa: PIC, Status, Priority, Sprint (có thể dời task sang sprint khác), Bắt đầu, Hoàn thành, Ghi chú. Không sửa cột xám (Thời gian sprint, Trễ hạn).</t>
  </si>
  <si>
    <t>Thêm task: điền tiếp dòng trống dưới bảng (Task ID mới, Epic, Module, Chức năng, Nền tảng, Công việc, Sprint); công thức có sẵn tới dòng 400.</t>
  </si>
  <si>
    <t>Ý nghĩa</t>
  </si>
  <si>
    <t>Chưa bắt đầu</t>
  </si>
  <si>
    <t>Đang code</t>
  </si>
  <si>
    <t>F12-FE</t>
  </si>
  <si>
    <t>Xong code, chờ review / test</t>
  </si>
  <si>
    <t>Làm màn quản lý người dùng trên Portal gồm tìm kiếm, lọc, tạo, sửa và khóa tài khoản. Form thay đổi trường gán kho, khu vực, nhóm hoặc retailer theo vai trò đã chọn. Hiển thị rõ trạng thái tài khoản và lỗi nhập liệu.</t>
  </si>
  <si>
    <t>Đã merge, test pass trên môi trường chung</t>
  </si>
  <si>
    <t>Bị chặn – ghi lý do ở Ghi chú</t>
  </si>
  <si>
    <t>Luồng chính: hồ sơ retailer hai tab, MLOR Category/SKU, gom đợt 12h, chọn batch rồi tính giảm HSD, Admin duyệt hàng/giá, xuất kho, thanh toán, loyalty và KPI.</t>
  </si>
  <si>
    <t>Chức năng hỗ trợ trong scope; nếu trễ thì làm bản gọn, không bỏ</t>
  </si>
  <si>
    <t>Ngoài scope đã chốt, chỉ làm khi dư thời gian (hiện không có task nào)</t>
  </si>
  <si>
    <t>Nguyên tắc xếp sprint</t>
  </si>
  <si>
    <t>S1: dữ liệu gốc + phần đầu luồng đơn (tạo, duyệt) + nhập kho. S2: đợt phân bổ 12:00 đến xuất kho, giao nhận, công nợ, loyalty, KPI – toàn bộ High còn lại. S3: Medium còn lại + test, sửa lỗi, demo. Backend và Portal / Mobile của cùng chức năng nằm cùng sprint.</t>
  </si>
  <si>
    <t>Ví dụ cập nhật</t>
  </si>
  <si>
    <t>F87-BE "Đề xuất đợt &amp; Admin duyệt đợt": chọn PIC, Status = In Progress. Khi xong: Status = Done, điền ngày Hoàn thành; Dashboard tự cộng vào S2, E3, Backend và PIC đó.</t>
  </si>
  <si>
    <t>Phần Nhân phụ trách</t>
  </si>
  <si>
    <t>Loyalty F69–F74, khiếu nại F62, thuật toán và xuất kho theo các task đã gán. Riêng giảm HSD/giá theo batch: Nhân làm BE/Portal F46,F89,F98; Mobile F89/F98 do Sơn. F98-FE là thành phần chi tiết giá tích hợp vào màn đơn chung, không đổi PIC F37-FE.</t>
  </si>
  <si>
    <t>Hồ sơ retailer và MLOR</t>
  </si>
  <si>
    <t>F19–F22: Backend Hải; Portal/Mobile Hoàng. F21-MB làm hai tab Thông tin chung và Yêu cầu hạn sử dụng, gồm nhập MLOR Category/SKU; F22-BE cung cấp xử lý dùng chung, F22-FE là tab cấu hình trên Portal. Không tạo thêm task Mobile trùng phần hai tab.</t>
  </si>
  <si>
    <t>Quy tắc tính và lưu giá</t>
  </si>
  <si>
    <t>F25 lấy giá cơ sở sau KM thường. F89 chọn một bậc giảm HSD theo SKU (ưu tiên) hoặc Category, giảm % hay tiền cố định/đơn vị trên giá cơ sở, giá cuối không âm; không khớp thì giảm HSD = 0. F98 lưu mọi thành phần giá theo dòng phân bổ, không tính lại khi soạn, giao, thu tiền hoặc xem lịch sử.</t>
  </si>
  <si>
    <t>F13-MB</t>
  </si>
  <si>
    <t>Hồ sơ cá nhân trên app</t>
  </si>
  <si>
    <t>Làm màn hồ sơ trên app để người dùng xem tên, tài khoản, vai trò và thông tin được gán. Có nút đăng xuất và xóa phiên đăng nhập trên thiết bị. Không cho tự sửa vai trò hoặc phạm vi quản lý.</t>
  </si>
  <si>
    <t>F14-BE</t>
  </si>
  <si>
    <t>Danh mục &amp; sản phẩm</t>
  </si>
  <si>
    <t>Danh mục sản phẩm</t>
  </si>
  <si>
    <t>Cung cấp API quản lý danh mục sản phẩm: danh sách, tạo, sửa và trạng thái sử dụng. Sinh mã danh mục theo quy ước, kiểm tra tên/mã trùng. Danh mục đã được sản phẩm sử dụng phải được kiểm tra trước khi xóa.</t>
  </si>
  <si>
    <t>F14-FE</t>
  </si>
  <si>
    <t>Làm màn danh mục sản phẩm với danh sách, tìm kiếm và form tạo/sửa. Cho chọn trạng thái sử dụng và hiển thị lỗi trùng hoặc không thể xóa. Danh sách danh mục này được dùng trong form sản phẩm.</t>
  </si>
  <si>
    <t>F15-BE</t>
  </si>
  <si>
    <t>Sản phẩm Nháp → Publish → Inactive</t>
  </si>
  <si>
    <t>Xử lý vòng đời sản phẩm: Nháp, Đã công bố và Ngừng kinh doanh. Cho sửa sản phẩm khi còn Nháp, kiểm tra đủ dữ liệu SKU và hạn sử dụng trước khi công bố. Chặn sửa thông tin đã khóa sau công bố và chặn đặt mới sản phẩm ngừng kinh doanh.</t>
  </si>
  <si>
    <t>F15-FE</t>
  </si>
  <si>
    <t>Làm danh sách và form sản phẩm gồm SKU, danh mục, quy cách, giá và hạn sử dụng. Có nút công bố hoặc ngừng kinh doanh theo trạng thái. Sau công bố khóa các trường không được sửa, hướng người dùng sang tạo bản mới khi cần thay đổi.</t>
  </si>
  <si>
    <t>F16-BE</t>
  </si>
  <si>
    <t>Clone sản phẩm để sửa</t>
  </si>
  <si>
    <t>Cung cấp API sao chép thông tin sản phẩm đã có thành một sản phẩm Nháp với SKU mới. Không sao chép tồn kho, batch hoặc giao dịch của SKU cũ. Kiểm tra SKU mới không trùng trước khi lưu.</t>
  </si>
  <si>
    <t>F16-FE</t>
  </si>
  <si>
    <t>Thêm nút Tạo bản mới từ sản phẩm này trên chi tiết sản phẩm. Mở form điền sẵn thông tin có thể sao chép, yêu cầu SKU mới và cho chỉnh trước khi lưu Nháp. Hiển thị rõ bản mới là một sản phẩm riêng.</t>
  </si>
  <si>
    <t>F17-BE</t>
  </si>
  <si>
    <t>Kho</t>
  </si>
  <si>
    <t>Quản lý kho</t>
  </si>
  <si>
    <t>Cung cấp API quản lý kho: mã, tên, loại kho, địa chỉ, tọa độ, Thủ kho và ngưỡng tồn tối thiểu. Kiểm tra mã trùng và tọa độ hợp lệ. Dữ liệu kho được dùng để nhập hàng và phân bổ xuất trực tiếp tới retailer.</t>
  </si>
  <si>
    <t>F17-FE</t>
  </si>
  <si>
    <t>Làm danh sách, chi tiết và form tạo/sửa kho trên Portal. Cho nhập địa chỉ, tọa độ, loại kho, Thủ kho và tồn tối thiểu. Hiển thị lỗi dữ liệu và trạng thái hoạt động của kho.</t>
  </si>
  <si>
    <t>F18-BE</t>
  </si>
  <si>
    <t>Khu vực &amp; retailer</t>
  </si>
  <si>
    <t>Khu vực &amp; nhóm Sales</t>
  </si>
  <si>
    <t>Cung cấp API quản lý khu vực bán hàng và nhóm Sales. Cho gán Sales vào nhóm/khu vực, lưu quan hệ quản lý của Sales Manager và kiểm tra dữ liệu trùng. Các quan hệ này được dùng để giới hạn danh sách retailer và đơn hàng.</t>
  </si>
  <si>
    <t>F18-FE</t>
  </si>
  <si>
    <t>Làm màn Khu vực và nhóm Sales: danh sách, tạo/sửa và gán thành viên. Hiển thị Sales Manager, khu vực và Sales trong từng nhóm để người quản lý kiểm tra phân công. Lưu thay đổi qua API và báo lỗi cụ thể.</t>
  </si>
  <si>
    <t>F19-BE</t>
  </si>
  <si>
    <t>Hồ sơ retailer và thông tin tiềm năng</t>
  </si>
  <si>
    <t>Quản lý hồ sơ retailer: tên, liên hệ, địa chỉ/GPS, khu vực, Sales phụ trách và thông tin tiềm năng như quy mô, doanh thu dự kiến, khả năng nhập. Liên kết hồ sơ với bộ MLOR theo Category/SKU của F22. Trả dữ liệu cho màn hai tab, kiểm tra trùng và phạm vi truy cập.</t>
  </si>
  <si>
    <t>Hồ sơ retailer hai tab và MLOR Category/SKU: Backend Hải; Portal/Mobile Hoàng. F21-MB gồm phần nhập MLOR trên app, dùng API F22-BE.</t>
  </si>
  <si>
    <t>F19-FE</t>
  </si>
  <si>
    <t>Làm màn danh sách và chi tiết retailer trên Portal. Tab Thông tin chung gồm liên hệ, vị trí, quy mô và tiềm năng. Tab Yêu cầu hạn sử dụng tích hợp F22-FE để quản lý MLOR theo Category và SKU đặc thù. Có tìm kiếm/lọc và thao tác theo quyền.</t>
  </si>
  <si>
    <t>FSCM – Dashboard tiến độ</t>
  </si>
  <si>
    <t>Tự tính từ Task_Tracking và Sprints. Ô vàng ở cột PIC trên Task_Tracking = task chưa có người nhận.</t>
  </si>
  <si>
    <t>Tổng quan</t>
  </si>
  <si>
    <t>Tổng task</t>
  </si>
  <si>
    <t>F20-BE</t>
  </si>
  <si>
    <t>Hồ sơ retailer trong vùng trên app Sales</t>
  </si>
  <si>
    <t>Trả danh sách và chi tiết retailer thuộc Sales đăng nhập, hỗ trợ tìm kiếm/lọc hoạt động. Dữ liệu gồm thông tin chung và MLOR theo Category/SKU từ F22 để tư vấn. Xác định phạm vi từ tài khoản, không tin mã Sales app truyền lên.</t>
  </si>
  <si>
    <t>Chưa có PIC</t>
  </si>
  <si>
    <t>Sprint hiện tại</t>
  </si>
  <si>
    <t>F20-MB</t>
  </si>
  <si>
    <t>Làm danh sách retailer trong phạm vi Sales. Chi tiết có tab Thông tin chung và tab Yêu cầu hạn sử dụng, hiển thị MLOR theo Category cùng SKU ghi đè. Mở phần khai báo của F21-MB khi có quyền, mở tạo đơn khi retailer đã hoạt động.</t>
  </si>
  <si>
    <t>F21-BE</t>
  </si>
  <si>
    <t>Sales khai báo retailer hai tab</t>
  </si>
  <si>
    <t>Nhận yêu cầu khai báo retailer mới từ Sales gồm hai nhóm: hồ sơ chung và MLOR theo Category/SKU. Dùng bộ kiểm tra F22 để xác định dữ liệu hợp lệ. Lưu Chờ duyệt, cho duyệt/từ chối có lý do. Khi duyệt mới tạo retailer và cấu hình MLOR chính thức, chống tạo trùng.</t>
  </si>
  <si>
    <t>F21-FE</t>
  </si>
  <si>
    <t>Làm màn duyệt yêu cầu retailer trên Portal với hai tab: Thông tin chung và Yêu cầu hạn sử dụng. Hiển thị quy mô/tiềm năng, MLOR Category và SKU đặc thù, nguồn mức đang áp dụng. Cho duyệt/từ chối có lý do và hiện mã retailer sau duyệt.</t>
  </si>
  <si>
    <t>Theo sprint</t>
  </si>
  <si>
    <t>Thời gian</t>
  </si>
  <si>
    <t>F21-MB</t>
  </si>
  <si>
    <t>Còn lại</t>
  </si>
  <si>
    <t>Lũy kế kế hoạch</t>
  </si>
  <si>
    <t>Lũy kế Done</t>
  </si>
  <si>
    <t>Làm phần Sales khai báo retailer qua hai tab. Thông tin chung nhập liên hệ, địa chỉ/GPS, quy mô và tiềm năng. Yêu cầu hạn sử dụng nhập MLOR theo Category hoặc SKU đặc thù. Hồ sơ mới gửi qua F21-BE để duyệt; retailer đã có dùng API F19/F22 theo quyền. Hiển thị mức SKU ghi đè Category và kết quả xử lý.</t>
  </si>
  <si>
    <t>F22-BE</t>
  </si>
  <si>
    <t>MLOR retailer theo Category và SKU</t>
  </si>
  <si>
    <t>Quản lý MLOR của retailer theo Category và SKU, dùng chung cho khai báo và hồ sơ đã duyệt. MLOR là % hạn sử dụng tối thiểu còn khi nhận hàng. Ưu tiên mức SKU riêng, rồi Category, rồi mặc định sản phẩm. Kiểm tỷ lệ hợp lệ, quyền cập nhật và trả cả mức lẫn nguồn áp dụng. Đơn được server nhận lưu bản MLOR đã áp dụng, cấu hình mới không âm thầm sửa đơn cũ.</t>
  </si>
  <si>
    <t>F22-FE</t>
  </si>
  <si>
    <t>Làm tab Yêu cầu hạn sử dụng trong hồ sơ retailer. Cho cấu hình MLOR theo Category và bổ sung SKU đặc thù ghi đè. Hiển thị % áp dụng thực tế cùng nguồn SKU/Category/mặc định, cho xóa mức riêng để kế thừa. Giải thích % này kiểm lúc khách nhận, không phải % giảm giá.</t>
  </si>
  <si>
    <t>F23-BE</t>
  </si>
  <si>
    <t>Kỳ hạn công nợ cho phép</t>
  </si>
  <si>
    <t>Lưu kỳ hạn công nợ được phép cho từng retailer: không được mua công nợ hoặc 7, 14, 30 ngày. Khi tạo đơn công nợ phải kiểm tra retailer có được phép và lưu kỳ hạn áp dụng cho đơn. Thay đổi sau này không tự sửa kỳ hạn đơn cũ.</t>
  </si>
  <si>
    <t>F23-FE</t>
  </si>
  <si>
    <t>Thêm lựa chọn kỳ hạn công nợ trong form retailer trên Portal. Hiển thị Không cho phép hoặc số ngày được duyệt. Giải thích đây là số ngày tính từ khi đơn được nhận đủ, không phải số ngày kể từ lúc đặt.</t>
  </si>
  <si>
    <t>F24-BE</t>
  </si>
  <si>
    <t>E3</t>
  </si>
  <si>
    <t>Bán hàng &amp; đơn hàng</t>
  </si>
  <si>
    <t>Khuyến mãi &amp; báo giá</t>
  </si>
  <si>
    <t>Khuyến mãi theo SKU / nhóm (KM)</t>
  </si>
  <si>
    <t>Quản lý khuyến mãi thông thường theo SKU/nhóm: mức giảm, đối tượng, hiệu lực và tạm dừng. Tính giá cơ sở sau khuyến mãi hợp lệ khi lập/nhận đơn và lưu quy tắc áp dụng. Giá cơ sở này là đầu vào tính giảm HSD sau phân bổ ở F89, khuyến mãi không thay đổi MLOR.</t>
  </si>
  <si>
    <t>Tổng</t>
  </si>
  <si>
    <t>F24-FE</t>
  </si>
  <si>
    <t>Làm màn khuyến mãi thông thường theo SKU/nhóm, gồm danh sách, mức giảm, đối tượng, hiệu lực và tạm dừng. Ghi rõ đây là phần tính giá cơ sở khi đặt hàng. Bảng giảm thêm theo % HSD được quản lý riêng ở F46, không cấu hình MLOR trong khuyến mãi.</t>
  </si>
  <si>
    <t>Khối lượng theo PIC × sprint (số task) – dùng để cân việc khi chia PIC</t>
  </si>
  <si>
    <t>F25-BE</t>
  </si>
  <si>
    <t>Giá dự kiến trước phân bổ</t>
  </si>
  <si>
    <t>Báo giá khi Sales tạo hoặc đồng bộ đơn: trả giá niêm yết, khuyến mãi thông thường hợp lệ, giá cơ sở sau khuyến mãi và tổng dự kiến. Chưa chọn batch nên chưa tính giảm HSD. Lưu phiên bản/điều kiện giá cơ sở khi server nhận đơn. Không giữ tồn hoặc cam kết mức giảm HSD trước đợt.</t>
  </si>
  <si>
    <t>Chưa có batch: chưa tính giảm HSD. Giá cơ sở sau KM thường được server kiểm tra/lưu khi nhận đơn.</t>
  </si>
  <si>
    <t>F25-MB</t>
  </si>
  <si>
    <t>Hiện giá niêm yết, khuyến mãi thông thường, giá cơ sở và tổng dự kiến khi Sales soạn đơn. Ghi rõ giảm theo HSD chỉ biết sau phân bổ batch, chưa giữ hàng và chưa thu tiền trả trước. Offline hiển thị thời điểm dữ liệu giá, chờ server kiểm tra khi đồng bộ.</t>
  </si>
  <si>
    <t>F26-MB</t>
  </si>
  <si>
    <t>Chọn SKU và xem giá dự kiến trên app Sales</t>
  </si>
  <si>
    <t>Làm màn sản phẩm cho Sales với tìm kiếm, giá cơ sở, khuyến mãi thông thường và số lượng đặt. Hiển thị MLOR áp dụng cho retailer từ Category/SKU. Không có tab đặt ưu đãi cận hạn hoặc checkbox hạ MLOR. Mức giảm theo HSD được xem trong kết quả sau phân bổ, không chọn trước batch trên màn này.</t>
  </si>
  <si>
    <t>F27-BE</t>
  </si>
  <si>
    <t>Đặt đơn &amp; đồng bộ</t>
  </si>
  <si>
    <t>Tạo đơn online</t>
  </si>
  <si>
    <t>Tạo đơn online cho retailer hoạt động thuộc Sales phụ trách. Nhận SKU, lượng, địa chỉ, hạn nhận và thanh toán; lấy MLOR theo F22, giá cơ sở theo F25 và lưu bản điều kiện mỗi dòng. Lưu giờ server nhận, trạng thái Chờ duyệt. Không nhận MLOR ưu đãi riêng, không chọn batch hoặc giữ hàng khi đặt.</t>
  </si>
  <si>
    <t>F27-MB</t>
  </si>
  <si>
    <t>Làm form Sales tạo đơn: retailer, SKU, lượng, hạn nhận và COD/trả trước/công nợ được phép. Hiện MLOR lấy từ hồ sơ và tổng tiền dự kiến từ F25, không cho tùy ý hạ MLOR tại dòng đơn. Sau gửi hiện trạng thái Chờ duyệt; mức giảm HSD và giá chính thức sẽ có sau phân bổ/duyệt.</t>
  </si>
  <si>
    <t>F28-BE</t>
  </si>
  <si>
    <t>Chặn đặt trái vùng</t>
  </si>
  <si>
    <t>Khi Sales tạo hoặc đồng bộ đơn, kiểm tra retailer thuộc phạm vi được giao và đang hoạt động. Từ chối truy cập ngoài phạm vi kể cả khi client sửa mã retailer. Trả lý do để app hướng người dùng xử lý.</t>
  </si>
  <si>
    <t>F28-MB</t>
  </si>
  <si>
    <t>Chỉ cho Sales mở thao tác đặt hàng cho retailer được phép. Khi retailer ngoài phạm vi hoặc không còn hoạt động, khóa thao tác và giải thích lý do. Vẫn hiển thị thông báo nếu server phát hiện quyền đã thay đổi sau lần tải dữ liệu.</t>
  </si>
  <si>
    <t>(Chưa gán)</t>
  </si>
  <si>
    <t>F29-BE</t>
  </si>
  <si>
    <t>Snapshot dữ liệu cho app</t>
  </si>
  <si>
    <t>Cung cấp dữ liệu offline gồm retailer được giao, thông tin chung, MLOR Category/SKU/mặc định, sản phẩm, giá cơ sở, khuyến mãi và tồn tham khảo. Có thời điểm/phiên bản cập nhật. Không cấp danh mục ưu đãi có MLOR riêng hoặc cam kết giá theo batch trước khi phân bổ.</t>
  </si>
  <si>
    <t>F29-MB</t>
  </si>
  <si>
    <t>Lưu SQLite dữ liệu retailer, MLOR Category/SKU, sản phẩm và giá cơ sở để Sales tư vấn/lập đơn offline. Hiện thời điểm dữ liệu và mức MLOR được kế thừa. Không tính chắc giảm HSD từ tồn lưu trên máy, không coi tồn tham khảo là hàng đã giữ.</t>
  </si>
  <si>
    <t>Theo epic</t>
  </si>
  <si>
    <t>Trễ</t>
  </si>
  <si>
    <t>F30-BE</t>
  </si>
  <si>
    <t>Đơn offline + đồng bộ</t>
  </si>
  <si>
    <t>Nhận đơn offline chống trùng bằng mã yêu cầu. Kiểm quyền, dữ liệu, MLOR theo hồ sơ và giá cơ sở hiện hợp lệ. Nếu điều kiện khác dữ liệu Sales đã dùng, trả để xác nhận lại trước khi nhận đơn. Lưu giờ server chấp nhận làm ưu tiên/cutoff và bản điều kiện dòng. Chưa giữ hàng, chưa tính giảm HSD, không từ chối chỉ vì tồn tức thời thiếu.</t>
  </si>
  <si>
    <t>F30-MB</t>
  </si>
  <si>
    <t>Lưu đơn vào hàng đợi SQLite và tự gửi khi có mạng, giữ cùng mã yêu cầu qua các lần thử. Hiện đang gửi/thành công/lỗi. Nếu server báo thay đổi MLOR hoặc giá cơ sở, cho Sales kiểm tra và xác nhận điều kiện trước khi gửi lại. Không có xác nhận ưu đãi MLOR riêng và không tự chốt giảm HSD offline.</t>
  </si>
  <si>
    <t>F31-MB</t>
  </si>
  <si>
    <t>Màn Đồng bộ 3 tab</t>
  </si>
  <si>
    <t>Làm màn Đồng bộ với ba tab Chưa đồng bộ, Đang đồng bộ và Đã đồng bộ. Mỗi dòng hiển thị retailer, thời gian, tổng tiền dự kiến và kết quả gửi. Cho xem lỗi, sửa/gửi lại khi phù hợp, không tạo thêm đơn mới khi chỉ thử gửi lại cùng yêu cầu.</t>
  </si>
  <si>
    <t>F32-BE</t>
  </si>
  <si>
    <t>Đơn của Sales trên app</t>
  </si>
  <si>
    <t>Cung cấp API danh sách và chi tiết đơn thuộc Sales đăng nhập. Trả trạng thái duyệt đơn, đợt phân bổ, giá dự kiến/chính thức và tiến độ từng phần giao theo kho. Chỉ trả đơn trong quyền của Sales và hỗ trợ lọc/tìm kiếm.</t>
  </si>
  <si>
    <t>F32-MB</t>
  </si>
  <si>
    <t>Làm danh sách và chi tiết đơn của Sales trên app. Hiển thị tiến trình từ gửi, duyệt, chờ đợt, phân bổ, xuất đến nhận hàng, kèm giá và lý do thiếu/từ chối. Tích hợp kết quả đợt và thao tác gửi lại từ F90 thay vì tự xử lý ưu tiên ở app.</t>
  </si>
  <si>
    <t>F33-BE</t>
  </si>
  <si>
    <t>E4</t>
  </si>
  <si>
    <t>Phân bổ &amp; duyệt đơn</t>
  </si>
  <si>
    <t>Kho &amp; tồn kho</t>
  </si>
  <si>
    <t>Thuật toán phân bổ theo đợt (lọc + chấm điểm)</t>
  </si>
  <si>
    <t>Gom tra cứu theo SKU nhưng giữ từng dòng đơn với MLOR, hạn nhận và ưu tiên giờ server/mã đơn. MLOR dùng bản SKU/Category/mặc định đã lưu. Lọc batch hợp lệ tại ETA, chấm trọng số mặc định hạn còn 50%, khoảng cách 30%, mức đáp ứng lượng 20%; chọn điểm cao và tính lại khi lấy lượng từ quỹ chung. Giảm HSD không tham gia điểm chọn. Sau đổi batch vẫn thiếu một dòng thì trả toàn bộ lượng tạm của đơn; chỉ đơn đủ sang tính giá F89.</t>
  </si>
  <si>
    <t>Giảm giá không làm batch đạt MLOR và không tham gia điểm chọn batch.</t>
  </si>
  <si>
    <t>F35-BE</t>
  </si>
  <si>
    <t>Giải thích chọn batch và truy vết phân bổ</t>
  </si>
  <si>
    <t>Lưu giải thích từng dòng: MLOR áp dụng và nguồn SKU/Category/mặc định, hạn còn tại ETA, batch được xét, lý do loại, điểm và lượng chọn. Ghi thử đổi batch, giới hạn dừng và lý do thiếu. Liên kết kết quả giá của F98 để tra cứu nhưng tách lý do chọn batch khỏi lý do giảm giá. Gắn đúng phiên bản phương án.</t>
  </si>
  <si>
    <t>E5</t>
  </si>
  <si>
    <t>Vận chuyển &amp; giao nhận</t>
  </si>
  <si>
    <t>Nguồn MLOR theo Category/SKU; giá sau phân bổ dùng bản lưu F98.</t>
  </si>
  <si>
    <t>F35-FE</t>
  </si>
  <si>
    <t>Làm phần giải thích trên đợt/đơn: nguồn MLOR, điều kiện tại lúc nhận, các batch bị loại/chọn, điểm và lượng. Hiển thị lịch sử đổi batch. Liên kết chi tiết giá trước/sau giảm và quy tắc HSD từ F98, giải thích chọn batch trước rồi mới định giá.</t>
  </si>
  <si>
    <t>E6</t>
  </si>
  <si>
    <t>Thanh toán &amp; công nợ</t>
  </si>
  <si>
    <t>F36-BE</t>
  </si>
  <si>
    <t>Duyệt / từ chối đơn trước cutoff</t>
  </si>
  <si>
    <t>Cho Admin/Operator kiểm tra và duyệt hoặc từ chối đơn trước khi phân bổ, lưu người xử lý và lý do. Đơn được duyệt chuyển Chờ phân bổ, chưa giữ tồn. Muốn vào đợt 12:00 thì server đã nhận và việc duyệt phải hoàn tất trước 12:00. Đây là duyệt đơn, khác duyệt phương án ở F87.</t>
  </si>
  <si>
    <t>F36-FE</t>
  </si>
  <si>
    <t>Làm màn đơn Chờ duyệt gồm retailer, SKU/lượng, giá cơ sở dự kiến, MLOR và nguồn Category/SKU, hạn nhận, thanh toán. Người có quyền duyệt/từ chối có lý do trước giờ chốt. Ghi rõ đây là duyệt yêu cầu đặt hàng, giá giảm HSD chưa được xác định ở bước này.</t>
  </si>
  <si>
    <t>E7</t>
  </si>
  <si>
    <t>Loyalty</t>
  </si>
  <si>
    <t>F37-BE</t>
  </si>
  <si>
    <t>Danh sách &amp; chi tiết đơn (Portal)</t>
  </si>
  <si>
    <t>Trả danh sách/chi tiết đơn theo quyền và bộ lọc. Ngoài dòng hàng, lịch sử, đợt, phiếu soạn và phần giao theo kho, trả phân bổ từng batch với giá cơ sở, giảm HSD, giá cuối và nguồn quy tắc từ F98. Tổng đơn phải khớp tổng các phần phân bổ, không làm mất chi tiết khi cùng SKU có nhiều giá.</t>
  </si>
  <si>
    <t>E8</t>
  </si>
  <si>
    <t>Báo cáo &amp; thông báo</t>
  </si>
  <si>
    <t>F37-FE</t>
  </si>
  <si>
    <t>Làm danh sách và chi tiết đơn trên Portal. Hiện giá dự kiến trước đợt, giá chính thức sau duyệt và các phần theo kho. Mở rộng từng SKU để xem batch, lượng, giá trước/sau giảm và lý do giảm do F98 cung cấp. Giữ đường dẫn tới duyệt đợt, soạn và thanh toán theo quyền.</t>
  </si>
  <si>
    <t>E9</t>
  </si>
  <si>
    <t>Kiểm thử &amp; bàn giao</t>
  </si>
  <si>
    <t>F38-BE</t>
  </si>
  <si>
    <t>Cấu hình trọng số phân bổ</t>
  </si>
  <si>
    <t>Lưu cấu hình trọng số hạn sử dụng, khoảng cách, khả năng đáp ứng lượng và bán kính giao tối đa. Kiểm tra trọng số không âm, tổng bằng 1 và bán kính dương. Mặc định 0,5 / 0,3 / 0,2 và 20 km. Mỗi đợt lưu bản cấu hình đã dùng để kết quả có thể giải thích lại.</t>
  </si>
  <si>
    <t>F38-FE</t>
  </si>
  <si>
    <t>Làm mục cấu hình thuật toán trên Portal, có tên dễ hiểu cho ba trọng số và bán kính giao. Hiển thị mặc định và chặn lưu nếu tổng trọng số khác 100%. Giải thích tăng trọng số làm yếu tố đó ảnh hưởng nhiều hơn, không thay thế các điều kiện bắt buộc về MLOR và hạn giao.</t>
  </si>
  <si>
    <t>Theo nền tảng × status</t>
  </si>
  <si>
    <t>F85-BE</t>
  </si>
  <si>
    <t>Đợt phân bổ 12h</t>
  </si>
  <si>
    <t>Chốt đợt lúc 12:00</t>
  </si>
  <si>
    <t>Job 12:00 giờ Việt Nam tạo đợt duy nhất và chống chạy trùng. Chốt đơn được server nhận và duyệt trước cutoff, lưu quỹ tồn, bản MLOR/giá cơ sở từng dòng và cấu hình thuật toán. Gom theo SKU nhưng không làm mất điều kiện từng đơn. Chạy chọn/đổi batch, rồi gọi F89 tính giá phương án cho đơn đủ. Chưa giữ tồn trước Admin duyệt.</t>
  </si>
  <si>
    <t>D7; chọn batch xong mới tính giảm theo HSD trong cùng phiên bản phương án.</t>
  </si>
  <si>
    <t>F86-BE</t>
  </si>
  <si>
    <t>Đổi batch một cấp</t>
  </si>
  <si>
    <t>Khi C thiếu batch B đang cấp tạm cho A, thử chuyển A sang batch D có lượng chưa cấp, đạt MLOR/hạn nhận/khoảng cách của A rồi nhường B cho C. Giữ A đủ mọi dòng, không lấy lượng D đã cấp cho E và không đổi dây chuyền. Mặc định tối đa 20 lần xét mỗi dòng thiếu, kể cả thất bại, có log/điều kiện dừng. Sau đổi tính lại giá HSD của các phần bị ảnh hưởng trước khi trình duyệt.</t>
  </si>
  <si>
    <t>D2, D3; chỉ đổi sang lượng chưa cấp. Đổi batch phải tính lại giá trước duyệt.</t>
  </si>
  <si>
    <t>F87-BE</t>
  </si>
  <si>
    <t>Admin duyệt phương án hàng và giá</t>
  </si>
  <si>
    <t>Lưu phiên bản phương án gồm đơn đủ/thiếu, batch/kho/lượng, kết quả MLOR và chi tiết giá sau F89. Cho Admin duyệt cả phương án hàng và giá hoặc yêu cầu tính lại có lý do. Nếu batch/giá thay đổi phải tạo phiên bản để duyệt lại. Nhắc/hạn duyệt theo cấu hình, không tự duyệt; chỉ phiên bản được duyệt mới sang giữ tồn F88.</t>
  </si>
  <si>
    <t>D1; duyệt cả phân bổ và giá. Không tự duyệt sau hạn.</t>
  </si>
  <si>
    <t>F87-FE</t>
  </si>
  <si>
    <t>Làm màn Admin duyệt đợt với tổng đơn đủ/thiếu và tổng tiền. Mở từng SKU/batch để xem lượng, MLOR tại ETA, giá cơ sở, % HSD tính giá, quy tắc/mức giảm và giá cuối. Có Duyệt phương án hoặc Yêu cầu tính lại kèm lý do, hiển thị phiên bản. Duyệt bao gồm cả phân bổ và giá, không sửa batch tùy ý.</t>
  </si>
  <si>
    <t>F88-BE</t>
  </si>
  <si>
    <t>Reserve nguyên tử khi duyệt đợt</t>
  </si>
  <si>
    <t>Khi Admin duyệt, kiểm lại tồn/version/batch, ETA đạt MLOR và đúng bản giá phương án. Giá HSD dùng mốc định giá đã lưu, không tự thay chỉ vì thời gian trôi. Nếu phải đổi batch hoặc phương án thì tính lại giá và duyệt lại. Giữ tồn các đơn đủ trong cùng giao dịch, thành công toàn bộ hoặc hoàn tác. Chống giữ trùng, thử lại hữu hạn mặc định 3 lần; chưa giảm OnHand.</t>
  </si>
  <si>
    <t>D1; giữ tồn sau duyệt đúng phiên bản hàng/giá, thay đổi thì trình duyệt lại.</t>
  </si>
  <si>
    <t>F89-BE</t>
  </si>
  <si>
    <t>Tính giảm HSD sau chọn batch và chốt giá</t>
  </si>
  <si>
    <t>Sau khi chọn/đổi batch ổn định, lấy một mốc định giá chung cho phiên bản phương án. Tính % HSD = thời gian từ mốc đó tới HSD / tổng hạn sử dụng x 100, tra một quy tắc F46 hợp lệ cho SKU. Giảm % hoặc tiền cố định trên giá cơ sở sau KM thường đã lưu, giá cuối không âm; không cộng nhiều bậc HSD. Không khớp thì giảm HSD bằng 0. Tổng hợp từ các phần SKU/batch và ghi F98. Admin duyệt mới chốt chính thức; đổi batch phải tính lại.</t>
  </si>
  <si>
    <t>Tính giá sau chọn batch và tổng tiền đơn. Backend/Portal Nhân; Mobile Sơn. F89 hiển thị tổng giá, F98 hiển thị từng batch; không trùng phần form đặt đơn.</t>
  </si>
  <si>
    <t>F89-MB</t>
  </si>
  <si>
    <t>Trong chi tiết đơn, hiện giá cơ sở/tổng dự kiến trước đợt và tổng tiền chính thức sau Admin duyệt. Có tổng giảm HSD và mở Chi tiết giá theo batch của F98-MB, vì một SKU có thể có nhiều mức giá. Đơn trả trước chỉ được thanh toán sau khi chốt giá, chưa phân bổ thì chưa thu tiền.</t>
  </si>
  <si>
    <t>F90-BE</t>
  </si>
  <si>
    <t>Kết quả đợt &amp; gửi lại đơn thiếu</t>
  </si>
  <si>
    <t>Thông báo kết quả sau duyệt; đơn thiếu trả toàn bộ lượng tạm, không giao thiếu. Cho gửi lại một lần vào đợt kế tiếp, giữ giờ/mã cũ nếu retailer, SKU/lượng, MLOR, hạn nhận và điều kiện giá cơ sở không đổi, còn hợp lệ. Giảm HSD tính lại theo batch đợt mới, riêng thay đổi mức giảm tự động này không mất ưu tiên. Trễ đợt kế tiếp, sửa điều kiện hoặc thử thêm thì tạo đơn mới.</t>
  </si>
  <si>
    <t>D5; giảm HSD tự động có thể khác ở đợt kế tiếp, không tự làm mất ưu tiên gửi lại hợp lệ.</t>
  </si>
  <si>
    <t>F90-MB</t>
  </si>
  <si>
    <t>Hiện đơn đủ/thiếu cùng lý do, cho đơn thiếu Gửi lại đợt kế tiếp hoặc Hủy. Hiện hạn và điều kiện giữ ưu tiên một lần. Nói rõ giá giảm HSD sẽ tính lại theo batch được cấp ở đợt mới. Nếu Sales sửa điều kiện đặt hoặc quá hạn gửi lại thì hướng tạo đơn mới với thứ tự mới.</t>
  </si>
  <si>
    <t>F91-BE</t>
  </si>
  <si>
    <t>Cutoff &amp; nhắc duyệt</t>
  </si>
  <si>
    <t>Lưu giờ chốt đợt và các mốc nhắc theo giờ Việt Nam. Mặc định chạy 12:00, khuyến nghị Sales gửi trước 11:00, nhắc duyệt đơn 11:30, nhắc duyệt phương án 13:30 và hạn duyệt 14:00. Mốc 11:00 là khuyến nghị, không loại đơn hợp lệ nhận trước 12:00. Quá hạn không tự duyệt, phải kiểm lại ETA khi xử lý muộn.</t>
  </si>
  <si>
    <t>D7</t>
  </si>
  <si>
    <t>F91-FE</t>
  </si>
  <si>
    <t>Làm mục cấu hình giờ chốt và các mốc nhắc duyệt trên Portal. Ghi rõ mốc khuyến nghị gửi đơn, giờ chốt thực tế và hạn Admin duyệt phương án. Kiểm tra thứ tự thời gian hợp lý và cho biết hệ thống không tự duyệt sau hạn.</t>
  </si>
  <si>
    <t>F94-BE</t>
  </si>
  <si>
    <t>Hủy đơn sau reserve (trước soạn)</t>
  </si>
  <si>
    <t>Xử lý hủy thông thường trước soạn: giải phóng Reserved, hủy phần phiếu soạn/giao liên quan và lưu lý do. Ngoại lệ khi đã soạn chỉ Admin xử lý trước khi bất kỳ phần giao nào xuất kho. Nếu đã thu tiền, tạo nghĩa vụ hoàn tiền để F63 theo dõi, không đánh dấu đã hoàn. Khi đã có phần xuất, chặn hủy thông thường và chuyển xử lý khiếu nại.</t>
  </si>
  <si>
    <t>F94-FE</t>
  </si>
  <si>
    <t>Thêm thao tác Hủy đơn kèm lý do và điều kiện hủy trên Portal. Hiển thị phần tồn sẽ giải phóng và khoản tiền cần hoàn nếu đã thu. Với đơn đã soạn, chỉ Admin có thao tác ngoại lệ trước khi có phần xuất. Khi đã có phần xuất, chỉ rõ cần đi theo luồng khiếu nại.</t>
  </si>
  <si>
    <t>F95-BE</t>
  </si>
  <si>
    <t>Đóng đợt &amp; báo cáo đợt</t>
  </si>
  <si>
    <t>Tổng hợp kết quả đợt: đơn đủ/thiếu, lượng giữ và thực xuất theo batch/kho, ngoại lệ và thời gian chạy. Cho đóng đợt khi các chênh lệch đã được đối soát hoặc ghi nhận xử lý. Đóng đợt không được xóa lịch sử hay làm mất nghĩa vụ hoàn tiền và khiếu nại còn mở.</t>
  </si>
  <si>
    <t>F95-FE</t>
  </si>
  <si>
    <t>Làm báo cáo đợt với số đơn đủ/thiếu, batch/kho sử dụng, lượng đã giữ/đã xuất và các lỗi chưa xử lý. Có mở chi tiết để đối soát, nút Đóng đợt theo quyền và hiển thị lý do chưa được đóng. Giữ đường dẫn tới hồ sơ khiếu nại/hoàn tiền liên quan.</t>
  </si>
  <si>
    <t>F39-BE</t>
  </si>
  <si>
    <t>Nhập kho &amp; batch</t>
  </si>
  <si>
    <t>Nhập kho (PN) + sinh batch</t>
  </si>
  <si>
    <t>Cung cấp API tạo và duyệt phiếu nhập kho với kho, SKU, số lượng, ngày sản xuất và HSD. Khi duyệt mới tăng tồn thực tế và tạo hoặc gộp batch theo quy tắc kho + SKU + HSD đã chốt. Chống duyệt hai lần làm tăng tồn trùng và lưu nguồn nhập để truy vết.</t>
  </si>
  <si>
    <t>F39-FE</t>
  </si>
  <si>
    <t>Làm màn phiếu nhập: danh sách, tạo phiếu, xem chi tiết và duyệt theo quyền. Form nhập kho, sản phẩm, số lượng và thông tin hạn sử dụng. Hiển thị batch sinh ra sau duyệt, lỗi dữ liệu và trạng thái đã ghi nhận tồn.</t>
  </si>
  <si>
    <t>F40-BE</t>
  </si>
  <si>
    <t>In tem TEM + QR</t>
  </si>
  <si>
    <t>Sau nhập kho, sinh mã tem và nội dung QR cho từng thùng theo quy cách. Mỗi tem liên kết đúng phiếu nhập, kho, SKU và batch để tra cứu/quét soạn. Cung cấp dữ liệu hoặc file in, bảo đảm mã tem không trùng khi yêu cầu in lại.</t>
  </si>
  <si>
    <t>F40-FE</t>
  </si>
  <si>
    <t>Trong chi tiết phiếu nhập đã duyệt, cho xem danh sách tem, chọn tem và in hoặc in lại. Bản in hiển thị mã QR, mã tem, sản phẩm và batch/HSD đủ đọc. In lại dùng mã cũ, không tạo thêm tồn hoặc thùng mới.</t>
  </si>
  <si>
    <t>F41-BE</t>
  </si>
  <si>
    <t>Quản lý batch &amp; trạng thái HSD</t>
  </si>
  <si>
    <t>Cung cấp danh sách và chi tiết batch theo kho/SKU/HSD. Trả OnHand là tồn thực tế, Reserved là lượng đã giữ sau duyệt phương án, Available = OnHand − Reserved. Hiển thị trạng thái còn hạn/cận hạn/hết hạn và chặn batch không được xuất. Không dùng Held khi mới tạo đơn.</t>
  </si>
  <si>
    <t>F41-FE</t>
  </si>
  <si>
    <t>Làm màn quản lý batch với lọc kho, sản phẩm và trạng thái HSD. Hiển thị riêng tồn thực tế, đã giữ, khả dụng và ngày hết hạn để người dùng không nhầm. Có mở lịch sử nhập/xuất và chỉ dẫn tới chức năng xử lý hàng cận hạn/hết hạn theo quyền.</t>
  </si>
  <si>
    <t>F42-BE</t>
  </si>
  <si>
    <t>Date tracker (job hằng đêm)</t>
  </si>
  <si>
    <t>Làm job 01:30 mỗi ngày cập nhật batch còn hạn, cận hạn hoặc hết hạn theo HSD và cấu hình. Ghi nhận sự kiện hết hạn để các bước liên quan xử lý. Chuyển trạng thái không tự giảm tồn; hủy vật lý đi qua phiếu hủy. Khi phân bổ vẫn kiểm HSD hiện tại, không chỉ dựa job đêm.</t>
  </si>
  <si>
    <t>F43-BE</t>
  </si>
  <si>
    <t>Xuất kho</t>
  </si>
  <si>
    <t>Phiếu soạn theo kho từ đợt</t>
  </si>
  <si>
    <t>Sau duyệt phương án và giữ tồn thành công, phát hành phiếu soạn theo kho. Gom lượng lấy theo SKU/batch, giữ bảng chia về từng dòng đơn/phần giao và mã bản giá F98. Khi tách một dòng qua nhiều batch/kho phải giữ đúng giá mỗi phần và tổng tiền đã duyệt, không tính giá lại lúc soạn. Chống phát hành trùng; chưa giảm tồn khi chỉ tạo phiếu.</t>
  </si>
  <si>
    <t>Giữ liên kết giá khi tách đơn/kho/batch. Phiếu soạn không tính lại giá.</t>
  </si>
  <si>
    <t>F43-FE</t>
  </si>
  <si>
    <t>Làm phiếu soạn theo đợt/kho với bảng lấy gom SKU/batch và bảng chia về từng dòng đơn. Giữ liên kết phần phân bổ và mã bản giá, chỉ hiện giá khi vai trò được quyền. Không gộp mất nguồn batch hoặc tính lại giá khi tách đơn, không tự đổi batch đã duyệt. Hiện tiến độ và ngoại lệ.</t>
  </si>
  <si>
    <t>F43-MB</t>
  </si>
  <si>
    <t>Làm phiếu soạn của kho Thủ kho được gán: batch/lượng cần lấy, đã soạn và chia theo từng đơn. Mỗi phần chia giữ mã phân bổ/bản giá đã duyệt để dữ liệu truy vết không mất, không cần cho Thủ kho sửa giá. Mở quét F44, không cho tùy ý đổi batch.</t>
  </si>
  <si>
    <t>F44-BE</t>
  </si>
  <si>
    <t>Quét tem soạn gom + chia theo đơn</t>
  </si>
  <si>
    <t>Kiểm quét tem đúng kho/SKU/batch, lượng chưa soạn và không dùng trùng. Ghi lượng lấy gom rồi chia vào dòng đơn theo mã phân bổ, giữ nguyên liên kết giá từng phần từ F98. Chỉ đánh dấu phần kho Sẵn sàng khi đủ; thiếu/hỏng ghi ngoại lệ. Quét và sẵn sàng chưa làm giảm OnHand/Reserved.</t>
  </si>
  <si>
    <t>F44-MB</t>
  </si>
  <si>
    <t>Làm thao tác quét QR tem trên phiếu soạn, hiện thông tin thùng và lượng hợp lệ. Cho ghi lượng tách/chia về từng đơn trong giới hạn phiếu. Hiển thị sai tem, quét trùng, thiếu hoặc hỏng và gửi ngoại lệ. Chỉ báo phần kho Sẵn sàng sau khi server xác nhận đủ.</t>
  </si>
  <si>
    <t>F93-BE</t>
  </si>
  <si>
    <t>Kiểm tra sẵn sàng toàn đơn &amp; ngoại lệ</t>
  </si>
  <si>
    <t>Kiểm tra tất cả phần hàng theo kho của một đơn đã Sẵn sàng chưa. Chỉ mở quyền xuất khi toàn bộ đơn đủ hàng và đáp ứng điều kiện thanh toán. Nếu một kho thiếu/hỏng thì giữ toàn đơn ở Cần xử lý, không cho kho khác xuất trước. Lưu ngoại lệ để người có quyền hủy hoặc xử lý lại theo đợt.</t>
  </si>
  <si>
    <t>D6, không giao một phần</t>
  </si>
  <si>
    <t>F93-FE</t>
  </si>
  <si>
    <t>Làm màn đơn Cần xử lý khi soạn với lý do và trạng thái từng kho. Cho người có quyền xem phần thiếu/hỏng và thực hiện hủy hợp lệ hoặc chuẩn bị xử lý đợt sau. Không có thao tác bỏ qua điều kiện đủ toàn đơn để xuất một phần. Hiển thị ảnh hưởng tới tồn giữ và khoản tiền đã thu.</t>
  </si>
  <si>
    <t>F93-MB</t>
  </si>
  <si>
    <t>Trong phiếu soạn/đơn của Thủ kho, hiện phần kho mình và các kho khác đã sẵn sàng hay chưa. Nếu bị giữ thì hiện lý do thiếu/hỏng hoặc chờ thanh toán. Không cho bấm xác nhận xuất khi server chưa cho phép xuất toàn đơn.</t>
  </si>
  <si>
    <t>F96-BE</t>
  </si>
  <si>
    <t>Xác nhận xuất phần giao theo kho</t>
  </si>
  <si>
    <t>Xác nhận hàng thực tế rời kho cho phần giao của một đơn từ kho đó. Kiểm tra toàn đơn đã sẵn sàng, đủ điều kiện thanh toán và phần giao chưa xuất. Ghi chứng từ, đồng thời giảm OnHand và Reserved đúng lượng. Gọi lại không trừ trùng. Đơn chỉ thành Đã xuất kho khi tất cả phần giao đã xuất.</t>
  </si>
  <si>
    <t>D6</t>
  </si>
  <si>
    <t>F96-MB</t>
  </si>
  <si>
    <t>Thêm nút Xác nhận xuất cho phần giao từ kho của Thủ kho. Hiển thị đơn, batch, số lượng và các điều kiện còn thiếu trước xác nhận. Sau thành công hiện giờ xuất và trạng thái do server trả về. Đây là xác nhận hàng rời kho, khác bước quét soạn và xác nhận khách nhận.</t>
  </si>
  <si>
    <t>F45-BE</t>
  </si>
  <si>
    <t>Tra cứu tem bằng QR</t>
  </si>
  <si>
    <t>Cung cấp API tra cứu tem bằng mã QR. Trả sản phẩm, kho, batch, HSD, nguồn nhập và trạng thái tem cho đúng quyền. Mã không tồn tại hoặc không thuộc phạm vi truy cập phải trả thông báo rõ, không tự thay đổi tồn khi tra cứu.</t>
  </si>
  <si>
    <t>F45-MB</t>
  </si>
  <si>
    <t>Làm màn quét hoặc nhập mã tem để xem sản phẩm, kho, batch và HSD. Hiện rõ tem không tồn tại hoặc không đủ quyền. Đây là tra cứu thông tin, không tự xác nhận soạn, xuất hay nhận hàng chỉ vì đã quét.</t>
  </si>
  <si>
    <t>F46-BE</t>
  </si>
  <si>
    <t>Kiểm soát HSD</t>
  </si>
  <si>
    <t>Bảng giảm theo % HSD: phần trăm hoặc tiền cố định</t>
  </si>
  <si>
    <t>Quản lý bảng giảm giá theo khoảng % HSD còn lại cho SKU/Category, kiểu giảm phần trăm hoặc số tiền cố định mỗi đơn vị, hiệu lực và phiên bản. Kiểm các khoảng không chồng và biên xác định rõ; SKU riêng ưu tiên hơn Category, mỗi phần chỉ chọn một bậc HSD. Mức giảm không âm, % không quá 100. Chỉ F89 tra bảng sau chọn batch; không có MLOR riêng trong quy tắc.</t>
  </si>
  <si>
    <t>Cấu hình bảng giảm HSD. Backend/Portal Nhân; Mobile Sơn. F89 hiển thị tổng giá, F98 hiển thị từng batch; không trùng phần form đặt đơn.</t>
  </si>
  <si>
    <t>F46-FE</t>
  </si>
  <si>
    <t>Làm màn Admin cấu hình bảng giảm theo % HSD: phạm vi Category/SKU, khoảng hạn còn, kiểu % hoặc tiền cố định/đơn vị, mức giảm, hiệu lực và trạng thái. Hiện ví dụ tính trên giá trước giảm HSD. Chặn khoảng chồng và giá trị sai. Phân biệt % HSD với % giảm giá, không có trường MLOR ưu đãi hoặc danh sách khách phải chấp nhận.</t>
  </si>
  <si>
    <t>F47-BE</t>
  </si>
  <si>
    <t>Hủy hàng hết hạn (PH)</t>
  </si>
  <si>
    <t>Cung cấp API lập và duyệt phiếu hủy hàng hết hạn theo kho, batch, lượng và lý do. Chỉ giảm tồn khi xác nhận hủy hợp lệ, chống giảm trùng. Nếu lượng cần hủy vướng Reserved thì chặn và yêu cầu xử lý các đơn liên quan trước, không âm tồn khả dụng.</t>
  </si>
  <si>
    <t>F47-FE</t>
  </si>
  <si>
    <t>Làm màn hủy hàng hết hạn: danh sách, tạo phiếu, chi tiết và xác nhận theo quyền. Hiện tồn thực tế, lượng đã giữ và lượng được hủy của batch. Bắt buộc nhập lý do, hiển thị đơn đang giữ hàng nếu bị chặn và kết quả tồn sau xử lý.</t>
  </si>
  <si>
    <t>F54-BE</t>
  </si>
  <si>
    <t>Bảng vận chuyển &amp; ETA</t>
  </si>
  <si>
    <t>Bảng vận chuyển dùng chung</t>
  </si>
  <si>
    <t>Lưu bảng vận chuyển dùng chung theo khoảng km, gồm thời gian vận chuyển, chi phí ước tính và lịch áp dụng theo thiết kế. Mỗi lần thay đổi có phiên bản/ngày hiệu lực. Cung cấp API cho tính ETA và chi phí, giữ lại phiên bản cũ để giải thích các đợt đã chạy.</t>
  </si>
  <si>
    <t>Chốt 09/10</t>
  </si>
  <si>
    <t>F54-FE</t>
  </si>
  <si>
    <t>Làm mục Bảng vận chuyển trong cấu hình hệ thống. Cho người có quyền nhập khoảng km, thời gian, chi phí và ngày hiệu lực. Hiển thị phiên bản hiện tại/lịch sử và lỗi khoảng km chồng nhau hoặc thiếu dữ liệu để Backend kiểm tra trước khi lưu.</t>
  </si>
  <si>
    <t>F55-BE</t>
  </si>
  <si>
    <t>Ma trận khoảng cách</t>
  </si>
  <si>
    <t>Tính và lưu khoảng cách từ từng kho đang hoạt động tới retailer dựa trên tọa độ. Cập nhật lại các cặp liên quan khi đổi vị trí kho/retailer. Trả khoảng cách hoặc lý do không tính được cho thuật toán và ETA. Phạm vi giao hiện tại là kho tới retailer, không xây luồng luân chuyển giữa kho.</t>
  </si>
  <si>
    <t>F56-BE</t>
  </si>
  <si>
    <t>Hàm ETA dùng chung</t>
  </si>
  <si>
    <t>Làm hàm dùng chung dự kiến lúc khách nhận hàng (ETA). Tính cả thời gian chờ đợt, duyệt, chuẩn bị, mốc xuất kế tiếp, đệm và vận chuyển. Trả ETA cùng phiên bản lịch/bảng vận chuyển cho phân bổ và kiểm lại trước duyệt/xuất. Không chỉ lấy giờ hiện tại cộng thời gian chạy xe.</t>
  </si>
  <si>
    <t>F57-BE</t>
  </si>
  <si>
    <t>Xe &amp; điều phối</t>
  </si>
  <si>
    <t>Xe &amp; người giao</t>
  </si>
  <si>
    <t>Cung cấp API danh sách, tạo/sửa và trạng thái xe cùng người giao. Xe có biển số và tải trọng, người giao có mã và thông tin liên hệ. Dữ liệu này dùng để Operator gán cho phần giao theo kho, không tự lập tuyến hoặc gom nhiều đơn thành chuyến xe.</t>
  </si>
  <si>
    <t>Chốt 06/10</t>
  </si>
  <si>
    <t>F57-FE</t>
  </si>
  <si>
    <t>Làm màn Xe và người giao trên Portal với danh sách, tìm kiếm và form quản lý. Hiển thị biển số, tải trọng, liên hệ và trạng thái hoạt động. Chỉ đưa xe/người còn hoạt động vào lựa chọn điều phối giao hàng.</t>
  </si>
  <si>
    <t>F58-BE</t>
  </si>
  <si>
    <t>Gán xe và người giao theo phần giao</t>
  </si>
  <si>
    <t>Cho Operator gán xe và người giao cho từng phần giao của đơn từ một kho đã được tạo ở F92. Lưu thông tin được gán để xem lại. Gán xe không tự trừ tồn hoặc chuyển Đang giao; chỉ cập nhật tiến độ giao sau khi có xác nhận xuất F96. Không xử lý tối ưu tuyến hay gom chuyến xe.</t>
  </si>
  <si>
    <t>F58-FE</t>
  </si>
  <si>
    <t>Trong chi tiết giao hàng, cho Operator chọn xe và người giao cho từng phần của đơn theo kho. Hiển thị kho, lượng hàng, thời gian dự kiến và trạng thái đã gán/chưa gán. Lưu qua F58-BE, không biến thao tác gán xe thành xác nhận xuất kho.</t>
  </si>
  <si>
    <t>F59-BE</t>
  </si>
  <si>
    <t>Chi phí giao ước tính (CR-03)</t>
  </si>
  <si>
    <t>Tính chi phí giao ước tính theo các kho cấp hàng cho đơn, khoảng cách và phiên bản bảng vận chuyển. Trả chi tiết theo kho cùng tổng ước tính. Khoản này để hiển thị tham khảo, không cộng vào điểm chọn batch hoặc tự tạo khoản thu khách.</t>
  </si>
  <si>
    <t>F59-FE</t>
  </si>
  <si>
    <t>Hiển thị chi phí giao ước tính trong chi tiết đơn trên Portal, gồm từng kho và tổng. Ghi rõ đây là ước tính theo bảng vận chuyển và phiên bản áp dụng. Không cộng khoản tham khảo này vào tiền khách phải trả khi Backend chưa xác định là khoản thu.</t>
  </si>
  <si>
    <t>F92-BE</t>
  </si>
  <si>
    <t>Phần giao hàng theo đơn và kho (shipment)</t>
  </si>
  <si>
    <t>Tạo một phần giao hàng (shipment) cho mỗi cặp đơn–kho khi phát hành phiếu soạn sau duyệt và giữ hàng. Ví dụ một đơn lấy từ kho A và B có hai phần giao. Lưu dòng hàng, lượng, phiếu soạn và tiến độ chờ soạn/sẵn sàng/đã xuất/đang giao/đã nhận. Chỉ đánh dấu đơn Đã giao khi mọi phần đã nhận. Shipment ở đây là phần hàng của một đơn từ một kho, không phải chuyến xe chở nhiều đơn.</t>
  </si>
  <si>
    <t>F60-BE</t>
  </si>
  <si>
    <t>Nhận hàng</t>
  </si>
  <si>
    <t>Đơn của Retailer trên app</t>
  </si>
  <si>
    <t>Trả đơn và lịch sử đúng retailer đăng nhập, gồm các phần giao theo kho, xe/người giao và tình trạng thanh toán. Trả chi tiết giá đã chốt theo SKU/batch từ F98 và tổng giảm HSD để giải thích số tiền. Không tính lại từ bảng giảm hiện tại khi xem đơn cũ.</t>
  </si>
  <si>
    <t>F60-MB</t>
  </si>
  <si>
    <t>Làm màn đơn của Retailer với tiến độ từng phần giao theo kho. Trong chi tiết SKU hiển thị lượng theo batch, giá trước/sau giảm và lý do giảm theo bản đã duyệt, tích hợp F98-MB. Phân biệt đã nhận một phần với toàn đơn Đã giao.</t>
  </si>
  <si>
    <t>F61-BE</t>
  </si>
  <si>
    <t>Retailer quét QR nhận phần giao theo kho</t>
  </si>
  <si>
    <t>Nhận xác nhận QR cho một phần giao đã xuất của đúng retailer. Kiểm tra mã, đơn, phần giao và quyền người nhận, lưu người/giờ xác nhận. Gọi lại không nhận trùng. Chỉ khi mọi phần của đơn đã nhận mới chuyển toàn đơn Đã giao và phát sự kiện cho thanh toán/loyalty. Nhận hàng chưa đồng nghĩa trả đủ tiền.</t>
  </si>
  <si>
    <t>F61-MB</t>
  </si>
  <si>
    <t>Cho Retailer quét QR của phần giao đang nhận, xem kho, đơn và lượng hàng trước khi xác nhận. Sau xác nhận hiện phần nào đã nhận, phần nào còn chờ và toàn đơn đã giao đủ chưa. Có dẫn sang gửi khiếu nại nếu phát hiện vấn đề, không tự sửa số tiền hoặc tồn trên app.</t>
  </si>
  <si>
    <t>F62-BE</t>
  </si>
  <si>
    <t>Khiếu nại (KN)</t>
  </si>
  <si>
    <t>Nhận khiếu nại gắn đơn, phần giao, dòng phân bổ/batch, lượng ảnh hưởng, ảnh và lý do. Lấy đúng giá cuối sau giảm của phần đó từ F98 để tính tranh chấp/điều chỉnh, không lấy giá trung bình SKU hoặc giá bảng hiện tại. Kiểm lượng và xử lý trùng. Duyệt/từ chối cập nhật hồ sơ tài chính theo quyền, không tự trả tồn hoặc chuyển tiền.</t>
  </si>
  <si>
    <t>Đổi tên từ "Chênh lệch nhận hàng"</t>
  </si>
  <si>
    <t>F62-FE</t>
  </si>
  <si>
    <t>Làm màn khiếu nại trên Portal: danh sách, chi tiết bằng chứng, dòng hàng/lượng ảnh hưởng và lịch sử xử lý. Người có quyền chấp nhận hoặc từ chối có lý do. Hiện khoản tranh chấp, điều chỉnh đã duyệt và hồ sơ hoàn tiền liên quan. Không đánh dấu đã chuyển tiền chỉ bằng thao tác duyệt khiếu nại.</t>
  </si>
  <si>
    <t>F62-MB</t>
  </si>
  <si>
    <t>Cho Retailer chọn đơn/phần giao, dòng hàng hoặc batch, lượng bị ảnh hưởng, lý do và ảnh để gửi khiếu nại. Chặn lượng không hợp lệ, tránh gửi trùng do bấm lại. Hiển thị trạng thái, phản hồi và kết quả xử lý tài chính từ server, không hứa hoàn tiền ngay khi gửi yêu cầu.</t>
  </si>
  <si>
    <t>F63-BE</t>
  </si>
  <si>
    <t>Thanh toán</t>
  </si>
  <si>
    <t>Thanh toán COD / trả trước</t>
  </si>
  <si>
    <t>Quản lý thu theo tổng giá phân bổ đã duyệt: trả trước sau chốt giá và trước xuất, COD khi giao. Không tự tính lại giá từ bảng giảm hiện tại, chống thu trùng. Với hủy/điều chỉnh hợp lệ, theo dõi hoàn thủ công Chờ hoàn/Chờ kiểm tra/Đã hoàn; Admin xác minh bằng chứng thực chuyển. Lưu số tiền/chứng từ, không hoàn quá nghĩa vụ hoặc tự chuyển tiền.</t>
  </si>
  <si>
    <t>F63-FE</t>
  </si>
  <si>
    <t>Trong chi tiết đơn, hiển thị giá đã chốt, đã thu, còn phải thu, khoản tranh chấp và còn phải hoàn. Cho người có quyền ghi khoản thu/chứng từ. Với hoàn tiền, nhập người nhận, số tiền, lý do, ngày chuyển, mã giao dịch và bằng chứng để Admin kiểm tra. Phân biệt đã tạo yêu cầu với đã chuyển tiền hoàn tất.</t>
  </si>
  <si>
    <t>F63-MB</t>
  </si>
  <si>
    <t>Cho Sales chọn COD, trả trước hoặc công nợ được phép khi tạo đơn. Trong chi tiết đơn hiển thị số tiền chính thức, trạng thái đã thu/chưa thu và hoàn tiền do server trả về. Đơn trả trước chưa có giá chính thức chỉ hiện Chờ chốt giá, không thu tiền ở thời điểm đặt đơn.</t>
  </si>
  <si>
    <t>F64-BE</t>
  </si>
  <si>
    <t>Công nợ</t>
  </si>
  <si>
    <t>Khoản phải thu cho đơn công nợ</t>
  </si>
  <si>
    <t>Khi đơn công nợ nhận đủ, tạo khoản phải thu một lần từ tổng giá cuối theo batch đã duyệt; hạn = ngày nhận đủ + kỳ hạn đã lưu. Trừ khoản thu/điều chỉnh hợp lệ, không tính lại giảm HSD theo ngày thu. Tách tiền tranh chấp khỏi khoản cần thu/nhắc; khiếu nại duyệt thì điều chỉnh theo giá cuối của đúng phần hàng, từ chối thì khôi phục theo hồ sơ.</t>
  </si>
  <si>
    <t>Công nợ một phần</t>
  </si>
  <si>
    <t>F64-FE</t>
  </si>
  <si>
    <t>Làm màn công nợ lọc Chưa thu, Quá hạn và Đã thu. Mỗi đơn hiện ngày nhận đủ, kỳ hạn, hạn thanh toán, giá trị đã điều chỉnh, tiền đã thu và dư nợ. Tách rõ khoản đang tranh chấp với khoản hiện cần thu, có mở điều chỉnh/khiếu nại để kiểm tra.</t>
  </si>
  <si>
    <t>F65-BE</t>
  </si>
  <si>
    <t>Thu tiền một lần</t>
  </si>
  <si>
    <t>Cung cấp thao tác ghi nhận thu đủ khoản công nợ hiện được phép thu, kèm người thu, ngày và chứng từ. Kiểm tra lại dư nợ trên server và chống ghi trùng. Không hỗ trợ khách chia thành nhiều đợt trả thông thường. Chỉ phát trạng thái Đã thanh toán đủ khi toàn bộ nghĩa vụ đã được đối soát, không còn khoản tranh chấp chờ xử lý.</t>
  </si>
  <si>
    <t>Không làm trả nhiều lần</t>
  </si>
  <si>
    <t>F65-FE</t>
  </si>
  <si>
    <t>Thêm nút Thu tiền ở khoản công nợ hợp lệ. Hiện số tiền server xác định hiện được thu, khoản tranh chấp tách riêng và yêu cầu thông tin/chứng từ xác nhận. Sau lưu tải lại số dư, không cho tự nhập nhiều lần thu một khoản hoặc coi khoản tranh chấp là đã thanh toán.</t>
  </si>
  <si>
    <t>F66-BE</t>
  </si>
  <si>
    <t>Job quá hạn + thông báo</t>
  </si>
  <si>
    <t>Làm job 08:00 kiểm tra khoản công nợ quá hạn còn cần thu và gửi thông báo cho Sales/Operator theo quyền. Không nhắc phần tiền đang tranh chấp, vẫn giữ hạn của phần không tranh chấp. Chống gửi trùng cùng kỳ nhắc và không tự phạt quá hạn cho thời gian hồ sơ đang được xem xét.</t>
  </si>
  <si>
    <t>F67-BE</t>
  </si>
  <si>
    <t>Công nợ của Sales trên app</t>
  </si>
  <si>
    <t>Cung cấp API công nợ của các đơn thuộc Sales đăng nhập, có lọc retailer và quá hạn. Trả tiền cần thu, hạn thanh toán và khoản đang tranh chấp riêng. Kiểm tra phạm vi từ tài khoản, không cho xem công nợ ngoài nhóm được giao.</t>
  </si>
  <si>
    <t>F67-MB</t>
  </si>
  <si>
    <t>Làm màn Công nợ của tôi cho Sales với tổng cần thu, danh sách retailer/đơn và lọc quá hạn. Mỗi dòng hiện hạn trả, tiền hiện cần thu và tiền đang tranh chấp. Cho mở chi tiết đơn, không cộng phần đang tranh chấp vào số tiền Sales cần nhắc thu ngay.</t>
  </si>
  <si>
    <t>F68-BE</t>
  </si>
  <si>
    <t>Thanh toán &amp; công nợ của Retailer</t>
  </si>
  <si>
    <t>Cung cấp API thanh toán và công nợ cho retailer đăng nhập. Trả từng đơn, giá trị sau điều chỉnh, đã thu, dư nợ, hạn trả, tranh chấp và hoàn tiền liên quan. Chỉ truy cập đúng retailer và dùng cùng số liệu với Portal để tránh lệch công nợ.</t>
  </si>
  <si>
    <t>F68-MB</t>
  </si>
  <si>
    <t>Làm màn thanh toán/công nợ của Retailer với danh sách đơn và hạn trả. Hiển thị riêng tiền cần thanh toán, phần khiếu nại đang xem xét và khoản cần/đã hoàn. Cho xem lịch sử khoản thu và mở hồ sơ liên quan, không coi yêu cầu hoàn là tiền đã về tài khoản.</t>
  </si>
  <si>
    <t>F69-BE</t>
  </si>
  <si>
    <t>Chương trình &amp; điểm</t>
  </si>
  <si>
    <t>Chương trình loyalty (LP)</t>
  </si>
  <si>
    <t>Cung cấp API quản lý chương trình tích điểm: tỷ lệ quy đổi, đối tượng retailer, thời gian hiệu lực và hạn điểm. Kiểm tra cấu hình hợp lệ, lưu điều kiện áp dụng để giải thích điểm đã cộng. Thay đổi chương trình không tự tính lại giao dịch điểm cũ.</t>
  </si>
  <si>
    <t>F69-FE</t>
  </si>
  <si>
    <t>Làm màn quản lý chương trình loyalty trên Portal. Cho cấu hình tỷ lệ tích điểm, retailer áp dụng, thời gian hiệu lực và hạn điểm. Hiển thị trạng thái chương trình và thông báo lỗi trước lưu, dùng nhãn rõ về cách quy đổi tiền thành điểm.</t>
  </si>
  <si>
    <t>F70-BE</t>
  </si>
  <si>
    <t>Cộng điểm khi nhận hàng</t>
  </si>
  <si>
    <t>Cộng điểm một lần khi nhận đủ, trả đủ giá trị thực sau giảm giá/điều chỉnh và không có khiếu nại đang xử lý. Căn cứ tổng giá cuối đã duyệt, không giá niêm yết hoặc bảng giảm hiện tại. Chưa đủ thì Chờ cộng. Sau điều chỉnh/hoàn tiền, ghi sửa điểm liên kết đơn, giữ lịch sử; số dư âm thì chặn đổi quà mới tới khi bù đủ.</t>
  </si>
  <si>
    <t>F71-BE</t>
  </si>
  <si>
    <t>Thẻ loyalty &amp; sổ điểm</t>
  </si>
  <si>
    <t>Cung cấp API thẻ loyalty và sổ điểm theo retailer: điểm khả dụng, đang giữ đổi quà, chờ cộng, hết hạn và các giao dịch điều chỉnh. Mỗi giao dịch có nguồn đơn/yêu cầu đổi và thời điểm. Kiểm tra đúng quyền truy cập và tính số dư từ cùng sổ điểm.</t>
  </si>
  <si>
    <t>F71-FE</t>
  </si>
  <si>
    <t>Làm màn xem thẻ và sổ điểm của từng retailer trên Portal. Hiển thị các loại số dư cùng lịch sử cộng, trừ, giữ, hoàn và điều chỉnh điểm. Cho mở đơn hoặc yêu cầu đổi quà tạo ra giao dịch để giải thích chênh lệch.</t>
  </si>
  <si>
    <t>F71-MB</t>
  </si>
  <si>
    <t>Làm thẻ loyalty cho Retailer với điểm có thể dùng, điểm đang giữ và chờ cộng. Hiển thị lịch sử kèm lý do và nguồn giao dịch. Nếu điểm âm do điều chỉnh, giải thích trạng thái và khóa đổi quà mới theo kết quả server.</t>
  </si>
  <si>
    <t>F72-BE</t>
  </si>
  <si>
    <t>Quà &amp; đổi quà</t>
  </si>
  <si>
    <t>Danh mục quà (QUA)</t>
  </si>
  <si>
    <t>Cung cấp API quản lý danh mục quà đổi điểm: mã, tên, hình, số điểm cần đổi, số lượng còn và trạng thái. Kiểm tra dữ liệu và bảo đảm yêu cầu đổi không vượt lượng quà có thể cấp. Tồn quà phục vụ đổi điểm, không trộn với batch hàng bán.</t>
  </si>
  <si>
    <t>F72-FE</t>
  </si>
  <si>
    <t>Làm màn quản lý quà đổi điểm trên Portal: danh sách, tạo/sửa, điểm cần đổi và lượng quà. Hiển thị quà đang hoạt động/hết quà. Dữ liệu được dùng cho danh sách quà mà Retailer thấy trên app.</t>
  </si>
  <si>
    <t>F73-BE</t>
  </si>
  <si>
    <t>Đổi quà trên app</t>
  </si>
  <si>
    <t>Nhận yêu cầu đổi quà của Retailer, kiểm tra điểm khả dụng, trạng thái quà và số lượng. Giữ điểm và lượng quà tương ứng để tránh đổi vượt khi gửi đồng thời, lưu yêu cầu Chờ xử lý. Gửi lại cùng mã yêu cầu không giữ điểm hoặc quà hai lần.</t>
  </si>
  <si>
    <t>F73-MB</t>
  </si>
  <si>
    <t>Làm danh sách và chi tiết quà trên app Retailer, hiện số điểm cần và điểm có thể dùng. Cho chọn lượng, xem tổng điểm và xác nhận gửi yêu cầu đổi. Hiển thị trạng thái yêu cầu, thông báo thiếu điểm/hết quà và không gửi trùng do bấm nhiều lần.</t>
  </si>
  <si>
    <t>F74-BE</t>
  </si>
  <si>
    <t>Xử lý yêu cầu đổi quà</t>
  </si>
  <si>
    <t>Xử lý yêu cầu đổi quà qua các bước duyệt, giao và hoàn tất theo quyền. Khi hoàn tất, chuyển điểm đã giữ thành điểm đã dùng và ghi xuất quà đúng một lần. Khi từ chối/hủy hợp lệ, giải phóng lượng quà và hoàn điểm đã giữ. Lưu người xử lý, thời điểm và lý do.</t>
  </si>
  <si>
    <t>F74-FE</t>
  </si>
  <si>
    <t>Làm màn yêu cầu đổi quà với retailer, quà, lượng, điểm và trạng thái. Người có quyền duyệt/từ chối, ghi nhận giao và hoàn tất, kèm lý do khi cần. Hiển thị điểm đã giữ/đã dùng/đã hoàn để đối soát, không chỉ đổi nhãn trạng thái trên màn hình.</t>
  </si>
  <si>
    <t>F75-BE</t>
  </si>
  <si>
    <t>KPI &amp; xếp hạng</t>
  </si>
  <si>
    <t>KPI Sales</t>
  </si>
  <si>
    <t>Tính KPI Sales từ các đơn Sales phụ trách đã hoàn tất điều kiện ghi nhận, theo mục tiêu và trọng số được cấu hình. Dùng doanh thu sau khuyến mãi và điều chỉnh được duyệt, không lấy giá niêm yết. Cập nhật số liệu khi có điều chỉnh liên quan và cho lọc kỳ báo cáo.</t>
  </si>
  <si>
    <t>F75-FE</t>
  </si>
  <si>
    <t>Làm màn KPI Sales trên Portal với kỳ báo cáo, Sales/nhóm thuộc quyền, mục tiêu, thực đạt và tỷ lệ hoàn thành. Cho người có quyền cấu hình mục tiêu/trọng số theo dữ liệu API. Có mở danh sách đơn cấu thành kết quả để giải thích số KPI.</t>
  </si>
  <si>
    <t>F76-BE</t>
  </si>
  <si>
    <t>Xếp hạng Sales sau khuyến mãi</t>
  </si>
  <si>
    <t>Cung cấp bảng xếp hạng Sales trong kỳ theo doanh thu được ghi nhận sau khuyến mãi và điều chỉnh. Dùng cùng nguồn số liệu với KPI F75 để không lệch. Trả hạng, doanh thu và phạm vi nhóm/khu vực người dùng được xem.</t>
  </si>
  <si>
    <t>F76-FE</t>
  </si>
  <si>
    <t>Làm tab xếp hạng trong màn KPI. Cho chọn kỳ và nhóm/khu vực theo quyền, hiển thị hạng, tên Sales và doanh thu sau khuyến mãi/điều chỉnh. Ghi rõ kỳ và tiêu chí xếp hạng đang dùng.</t>
  </si>
  <si>
    <t>F77-MB</t>
  </si>
  <si>
    <t>KPI &amp; xếp hạng trên app Sales</t>
  </si>
  <si>
    <t>Làm màn KPI của tôi cho Sales trên app: mục tiêu, thực đạt, tỷ lệ hoàn thành và thứ hạng trong phạm vi được xem. Tích hợp bảng xếp hạng và sản phẩm bán chạy từ API. Hiển thị kỳ và thời điểm cập nhật, không tự tính khác công thức Portal.</t>
  </si>
  <si>
    <t>F78-BE</t>
  </si>
  <si>
    <t>Sản phẩm bán chạy</t>
  </si>
  <si>
    <t>Cung cấp xếp hạng sản phẩm theo lượng bán và doanh thu sau khuyến mãi/điều chỉnh trong kỳ. Chỉ lấy giao dịch đáp ứng điều kiện ghi nhận và quy đổi lượng về cùng đơn vị quy cách. Trả tiêu chí, đơn vị và phạm vi dữ liệu để giao diện hiển thị đúng.</t>
  </si>
  <si>
    <t>F78-FE</t>
  </si>
  <si>
    <t>Làm tab sản phẩm bán chạy, có chọn kỳ và tiêu chí số lượng hoặc doanh thu. Hiển thị tên/SKU, lượng kèm đơn vị và doanh thu sau khuyến mãi/điều chỉnh. Cho mở dữ liệu liên quan khi được quyền, không gộp số lượng khác đơn vị thành một số thiếu nhãn.</t>
  </si>
  <si>
    <t>F79-BE</t>
  </si>
  <si>
    <t>Dashboard</t>
  </si>
  <si>
    <t>Dashboard Admin</t>
  </si>
  <si>
    <t>Cung cấp số liệu Dashboard Admin: doanh thu theo ngày, đơn theo trạng thái, top Sales và sản phẩm. Dùng thống nhất số liệu đã ghi nhận sau khuyến mãi/điều chỉnh với các báo cáo liên quan. Hỗ trợ kỳ lọc và không đếm trùng một đơn vì có nhiều phần giao theo kho.</t>
  </si>
  <si>
    <t>F79-FE</t>
  </si>
  <si>
    <t>Làm Dashboard Admin với bộ lọc kỳ, doanh thu, số đơn theo trạng thái và biểu đồ/top Sales/sản phẩm. Hiển thị nhãn, đơn vị và trạng thái không có dữ liệu rõ ràng. Cho bấm vào chỉ số để mở danh sách chi tiết theo quyền khi API hỗ trợ.</t>
  </si>
  <si>
    <t>F80-BE</t>
  </si>
  <si>
    <t>Thông báo</t>
  </si>
  <si>
    <t>Thông báo in-app</t>
  </si>
  <si>
    <t>Lưu thông báo trong ứng dụng theo các sự kiện như duyệt đơn, kết quả đợt, giao nhận, khiếu nại và công nợ. Xác định đúng người nhận, chống sinh trùng và cung cấp danh sách/số chưa đọc/đánh dấu đã đọc. Thông báo chứa liên kết đối tượng, vẫn phải kiểm quyền khi người dùng mở.</t>
  </si>
  <si>
    <t>F80-FE</t>
  </si>
  <si>
    <t>Làm chuông và danh sách thông báo trên Portal, hiện số chưa đọc, nội dung và thời gian. Cho đánh dấu đã đọc và mở đúng đơn/đợt/hồ sơ liên quan. Hiển thị trường hợp dữ liệu không còn hoặc người dùng không có quyền xem.</t>
  </si>
  <si>
    <t>F80-MB</t>
  </si>
  <si>
    <t>Làm chuông và màn thông báo trên app theo tài khoản đăng nhập. Hiển thị chưa đọc, nội dung, thời gian và mở đúng màn liên quan khi bấm. Cập nhật trạng thái đã đọc qua server và kiểm tra quyền/phiên đăng nhập trước khi mở nội dung.</t>
  </si>
  <si>
    <t>F81-BE</t>
  </si>
  <si>
    <t>Push notification</t>
  </si>
  <si>
    <t>Tích hợp Azure Notification Hubs để đăng ký/hủy token thiết bị gắn với người dùng. Gửi push cho các sự kiện cần nhắc, xử lý token hết hiệu lực và tránh gửi nhầm tài khoản sau đăng xuất. Thông báo trong app ở F80 vẫn là nơi xem lại lịch sử.</t>
  </si>
  <si>
    <t>F81-MB</t>
  </si>
  <si>
    <t>Xin quyền nhận thông báo theo hệ điều hành và đăng ký token thiết bị với Backend. Cập nhật token khi thay đổi, hủy liên kết khi đăng xuất. Nhận push ở các trạng thái app và mở đúng màn sau khi kiểm tra đăng nhập/quyền.</t>
  </si>
  <si>
    <t>F97-BE</t>
  </si>
  <si>
    <t>Bộ test kịch bản đợt phân bổ</t>
  </si>
  <si>
    <t>Test cutoff/ưu tiên/quỹ tồn, MLOR SKU ghi đè Category và mức mặc định. Batch còn 68% lúc nhận phải trượt MLOR 80% dù giảm nhiều, đạt MLOR 60% khi hồ sơ quy định 60%. Test giảm HSD chỉ sau chọn batch, biên bậc %, giảm tiền cố định, không khớp, chặn giá âm, một SKU nhiều batch/giá, đổi batch tính lại, gửi lại đơn thiếu giữ ưu tiên. Giữ test đổi một cấp 20 lần, reserve/xử lý lặp.</t>
  </si>
  <si>
    <t>Test theo mô hình chọn batch đạt MLOR trước, tra bảng giảm HSD sau.</t>
  </si>
  <si>
    <t>F82-BE</t>
  </si>
  <si>
    <t>Dữ liệu demo</t>
  </si>
  <si>
    <t>Seed dữ liệu demo sáu vai trò, nhiều kho, retailer hai tab, MLOR Category và SKU ghi đè. Có bảng giảm HSD dạng %/tiền cố định, đơn đủ/thiếu và một SKU được cấp từ hai batch có giá khác nhau. Chuẩn bị ca khiếu nại/hoàn tiền theo giá thực của batch. Khởi tạo lại không trùng và không dùng dữ liệu thật.</t>
  </si>
  <si>
    <t>F83-BE</t>
  </si>
  <si>
    <t>Test tích hợp luồng chính</t>
  </si>
  <si>
    <t>Test xuyên suốt API: khai báo hai tab/MLOR, đặt hoặc sync đơn, duyệt, gom 12h, chọn/đổi batch rồi tính giá, Admin duyệt, reserve, soạn/tách kho, xuất, nhận và tiền/điểm. Đối chiếu tổng giá không đổi khi tách và khiếu nại lấy đúng giá batch. Kiểm hủy/hoàn thủ công, phân quyền, gọi lặp và số dư tồn/tiền/điểm.</t>
  </si>
  <si>
    <t>F83-FE</t>
  </si>
  <si>
    <t>Test Portal: hồ sơ hai tab, MLOR Category/SKU, bảng giảm HSD, duyệt đơn/phương án có giá, giải thích chọn batch và chi tiết giảm. Kiểm phiếu soạn, điều phối, tiền/khiếu nại/hoàn theo giá đã duyệt. Đối chiếu API, quyền, thông báo lỗi và bấm lặp; ghi bước tái hiện và kiểm lại sau sửa.</t>
  </si>
  <si>
    <t>F83-MB</t>
  </si>
  <si>
    <t>Test Sales tư vấn/khai báo hai tab, đặt/sync offline với MLOR theo hồ sơ, giá dự kiến rồi giá theo batch sau đợt. Test Thủ kho soạn/tách/xuất, Retailer nhận/khiếu nại, thanh toán và điểm. Có mất mạng, gửi/quét lặp, phiên hết hạn; đối chiếu lượng và giá từng batch với Portal/Backend.</t>
  </si>
  <si>
    <t>F84-BE</t>
  </si>
  <si>
    <t>Sửa lỗi &amp; deploy bản cuối</t>
  </si>
  <si>
    <t>Sửa lỗi Backend đã xác nhận từ kiểm thử, chạy lại các ca bị ảnh hưởng và hoàn thiện thay đổi cơ sở dữ liệu. Triển khai bản cuối lên môi trường nhóm dùng, kiểm tra đăng nhập/API/job 12:00 sau triển khai. Bàn giao cấu hình và cách khởi tạo dữ liệu demo.</t>
  </si>
  <si>
    <t>F84-FE</t>
  </si>
  <si>
    <t>Sửa lỗi Portal từ kiểm thử và kiểm tra lại luồng liên quan. Triển khai bản cuối lên Vercel với đúng địa chỉ API/cấu hình đăng nhập. Kiểm tra truy cập trực tiếp đường dẫn, quyền và luồng chính trên bản đã triển khai, bàn giao địa chỉ sử dụng.</t>
  </si>
  <si>
    <t>F84-MB</t>
  </si>
  <si>
    <t>Sửa lỗi app đã xác nhận, kiểm lại luồng liên quan và build APK demo trỏ đúng Backend. Cài thử bản APK trên thiết bị nhóm, kiểm đăng nhập, offline/đồng bộ, camera QR và thông báo. Bàn giao APK, phiên bản và hướng dẫn cài/chạy demo.</t>
  </si>
  <si>
    <t>F98-BE</t>
  </si>
  <si>
    <t>Giá và truy vết theo batch</t>
  </si>
  <si>
    <t>Lưu và tra cứu giá theo dòng phân bổ batch</t>
  </si>
  <si>
    <t>Lưu bản giá bất biến theo phiên bản phương án và dòng đơn–SKU–batch–kho: lượng, giá niêm yết, KM thường/giá cơ sở, mốc tính, HSD/tổng hạn/% còn, mã/phiên bản bậc giảm, kiểu/mức/tiền giảm, giá cuối và làm tròn. Không khớp quy tắc ghi rõ giảm HSD bằng 0. Tách kho/phiếu soạn/phần giao giữ mã liên kết, tổng lượng/tiền phải khớp. Cấp API truy vết, thanh toán, khiếu nại và điểm dùng giá này.</t>
  </si>
  <si>
    <t>Lưu/hiển thị chi tiết giá và lý do giảm theo batch. Backend/Portal Nhân; Mobile Sơn. F89 hiển thị tổng giá, F98 hiển thị từng batch; không trùng phần form đặt đơn.</t>
  </si>
  <si>
    <t>F98-MB</t>
  </si>
  <si>
    <t>Làm thành phần Chi tiết giá theo batch cho đơn trên app Sales/Retailer. Mở từng SKU thấy kho, batch, lượng, giá trước giảm HSD, % HSD tại mốc định giá, bậc/kiểu/mức giảm, giá cuối và thành tiền. Phân biệt phương án chờ duyệt với giá đã chốt. Dùng bản giá F98-BE, không tự tính lại trên app; tích hợp màn tổng đơn F89 và đơn Retailer F60.</t>
  </si>
  <si>
    <t>F98-FE</t>
  </si>
  <si>
    <t>Làm thành phần Chi tiết giá theo batch trên Portal, tích hợp màn đơn hàng F37-FE và duyệt đợt F87-FE. Với từng SKU hiển thị kho/batch, lượng, giá niêm yết, KM thường/giá cơ sở, mốc tính/% HSD, quy tắc/kiểu/mức giảm, giá cuối và thành tiền. Dùng bản giá F98-BE, không tính lại ở giao diện. Nhân làm thành phần này; người phụ trách màn đơn chung chỉ tích hợp.</t>
  </si>
  <si>
    <t>Backend/Portal giảm HSD do Nhân; Mobile do Sơn. F98-FE làm chi tiết giá, không thay người phụ trách màn đơn hàng chung F37-FE.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</si>
</sst>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2">
    <font>
      <sz val="11.0"/>
      <color theme="1"/>
      <name val="Calibri"/>
      <scheme val="minor"/>
    </font>
    <font>
      <b/>
      <sz val="14.0"/>
      <color rgb="FF14655B"/>
      <name val="Arial"/>
    </font>
    <font>
      <b/>
      <sz val="15.0"/>
      <color rgb="FF14655B"/>
      <name val="Arial"/>
    </font>
    <font>
      <i/>
      <sz val="9.0"/>
      <color rgb="FF555555"/>
      <name val="Arial"/>
    </font>
    <font>
      <b/>
      <sz val="11.0"/>
      <color theme="1"/>
      <name val="Arial"/>
    </font>
    <font>
      <b/>
      <sz val="9.0"/>
      <color theme="1"/>
      <name val="Arial"/>
    </font>
    <font>
      <b/>
      <sz val="11.0"/>
      <color rgb="FF0000FF"/>
      <name val="Arial"/>
    </font>
    <font>
      <sz val="10.0"/>
      <color theme="1"/>
      <name val="Arial"/>
    </font>
    <font>
      <sz val="11.0"/>
      <color rgb="FF000000"/>
      <name val="Arial"/>
    </font>
    <font>
      <b/>
      <sz val="10.0"/>
      <color theme="1"/>
      <name val="Arial"/>
    </font>
    <font>
      <sz val="11.0"/>
      <color theme="1"/>
      <name val="Arial"/>
    </font>
    <font>
      <b/>
      <sz val="10.0"/>
      <color rgb="FF4A524E"/>
      <name val="Arial"/>
    </font>
    <font>
      <b/>
      <sz val="10.0"/>
      <color rgb="FF1F5FAD"/>
      <name val="Arial"/>
    </font>
    <font>
      <b/>
      <sz val="10.0"/>
      <color rgb="FF8A5A00"/>
      <name val="Arial"/>
    </font>
    <font>
      <b/>
      <sz val="10.0"/>
      <color rgb="FF15703A"/>
      <name val="Arial"/>
    </font>
    <font>
      <b/>
      <sz val="10.0"/>
      <color rgb="FFB42318"/>
      <name val="Arial"/>
    </font>
    <font>
      <b/>
      <sz val="10.0"/>
      <color rgb="FF6A746F"/>
      <name val="Arial"/>
    </font>
    <font>
      <b/>
      <sz val="16.0"/>
      <color rgb="FF14655B"/>
      <name val="Arial"/>
    </font>
    <font>
      <b/>
      <sz val="12.0"/>
      <color rgb="FF14655B"/>
      <name val="Arial"/>
    </font>
    <font>
      <sz val="9.0"/>
      <color rgb="FF555555"/>
      <name val="Arial"/>
    </font>
    <font>
      <b/>
      <sz val="10.0"/>
      <color rgb="FF14655B"/>
      <name val="Arial"/>
    </font>
    <font>
      <color theme="1"/>
      <name val="Calibri"/>
      <scheme val="minor"/>
    </font>
  </fonts>
  <fills count="11">
    <fill>
      <patternFill patternType="none"/>
    </fill>
    <fill>
      <patternFill patternType="lightGray"/>
    </fill>
    <fill>
      <patternFill patternType="solid">
        <fgColor rgb="FFDCEBE5"/>
        <bgColor rgb="FFDCEBE5"/>
      </patternFill>
    </fill>
    <fill>
      <patternFill patternType="solid">
        <fgColor rgb="FFF4F8F6"/>
        <bgColor rgb="FFF4F8F6"/>
      </patternFill>
    </fill>
    <fill>
      <patternFill patternType="solid">
        <fgColor rgb="FFEEF0EF"/>
        <bgColor rgb="FFEEF0EF"/>
      </patternFill>
    </fill>
    <fill>
      <patternFill patternType="solid">
        <fgColor rgb="FFFFFFFF"/>
        <bgColor rgb="FFFFFFFF"/>
      </patternFill>
    </fill>
    <fill>
      <patternFill patternType="solid">
        <fgColor rgb="FFF1F3F2"/>
        <bgColor rgb="FFF1F3F2"/>
      </patternFill>
    </fill>
    <fill>
      <patternFill patternType="solid">
        <fgColor rgb="FFE3EEFB"/>
        <bgColor rgb="FFE3EEFB"/>
      </patternFill>
    </fill>
    <fill>
      <patternFill patternType="solid">
        <fgColor rgb="FFFFF3D6"/>
        <bgColor rgb="FFFFF3D6"/>
      </patternFill>
    </fill>
    <fill>
      <patternFill patternType="solid">
        <fgColor rgb="FFE5F4EA"/>
        <bgColor rgb="FFE5F4EA"/>
      </patternFill>
    </fill>
    <fill>
      <patternFill patternType="solid">
        <fgColor rgb="FFFDECEA"/>
        <bgColor rgb="FFFDECEA"/>
      </patternFill>
    </fill>
  </fills>
  <borders count="3">
    <border/>
    <border>
      <left style="thin">
        <color rgb="FFC9D2CC"/>
      </left>
      <right style="thin">
        <color rgb="FFC9D2CC"/>
      </right>
      <top style="thin">
        <color rgb="FFC9D2CC"/>
      </top>
      <bottom style="thin">
        <color rgb="FFC9D2CC"/>
      </bottom>
    </border>
    <border>
      <left/>
      <right/>
      <top/>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Alignment="1" applyBorder="1" applyFill="1" applyFont="1">
      <alignment horizontal="center" shrinkToFit="0" vertical="top" wrapText="1"/>
    </xf>
    <xf borderId="0" fillId="0" fontId="5" numFmtId="164" xfId="0" applyFont="1" applyNumberFormat="1"/>
    <xf borderId="1" fillId="0" fontId="6" numFmtId="0" xfId="0" applyBorder="1" applyFont="1"/>
    <xf borderId="1" fillId="3" fontId="7" numFmtId="0" xfId="0" applyAlignment="1" applyBorder="1" applyFill="1" applyFont="1">
      <alignment horizontal="center" shrinkToFit="0" vertical="top" wrapText="1"/>
    </xf>
    <xf borderId="1" fillId="0" fontId="8" numFmtId="0" xfId="0" applyBorder="1" applyFont="1"/>
    <xf borderId="1" fillId="3" fontId="7" numFmtId="0" xfId="0" applyAlignment="1" applyBorder="1" applyFill="1" applyFont="1">
      <alignment shrinkToFit="0" vertical="top" wrapText="1"/>
    </xf>
    <xf borderId="1" fillId="0" fontId="8" numFmtId="0" xfId="0" applyAlignment="1" applyBorder="1" applyFont="1">
      <alignment shrinkToFit="0" vertical="center" wrapText="1"/>
    </xf>
    <xf borderId="1" fillId="0" fontId="4" numFmtId="0" xfId="0" applyAlignment="1" applyBorder="1" applyFont="1">
      <alignment horizontal="center" shrinkToFit="0" vertical="top" wrapText="1"/>
    </xf>
    <xf borderId="1" fillId="3" fontId="9" numFmtId="0" xfId="0" applyAlignment="1" applyBorder="1" applyFill="1" applyFont="1">
      <alignment shrinkToFit="0" vertical="top" wrapText="1"/>
    </xf>
    <xf borderId="1" fillId="0" fontId="6" numFmtId="164" xfId="0" applyAlignment="1" applyBorder="1" applyFont="1" applyNumberFormat="1">
      <alignment horizontal="center" shrinkToFit="0" vertical="top" wrapText="1"/>
    </xf>
    <xf borderId="1" fillId="0" fontId="10" numFmtId="164" xfId="0" applyAlignment="1" applyBorder="1" applyFont="1" applyNumberFormat="1">
      <alignment horizontal="center" shrinkToFit="0" vertical="top" wrapText="1"/>
    </xf>
    <xf borderId="1" fillId="0" fontId="7" numFmtId="0" xfId="0" applyAlignment="1" applyBorder="1" applyFont="1">
      <alignment shrinkToFit="0" vertical="top" wrapText="1"/>
    </xf>
    <xf borderId="1" fillId="4" fontId="10" numFmtId="0" xfId="0" applyAlignment="1" applyBorder="1" applyFill="1" applyFont="1">
      <alignment horizontal="center"/>
    </xf>
    <xf borderId="1" fillId="4" fontId="7" numFmtId="0" xfId="0" applyAlignment="1" applyBorder="1" applyFill="1" applyFont="1">
      <alignment horizontal="center" shrinkToFit="0" vertical="top" wrapText="1"/>
    </xf>
    <xf borderId="1" fillId="4" fontId="7" numFmtId="9" xfId="0" applyAlignment="1" applyBorder="1" applyFill="1" applyFont="1" applyNumberFormat="1">
      <alignment horizontal="center" shrinkToFit="0" vertical="top" wrapText="1"/>
    </xf>
    <xf borderId="1" fillId="4" fontId="10" numFmtId="9" xfId="0" applyAlignment="1" applyBorder="1" applyFill="1" applyFont="1" applyNumberFormat="1">
      <alignment horizontal="center"/>
    </xf>
    <xf borderId="1" fillId="3" fontId="7" numFmtId="164" xfId="0" applyAlignment="1" applyBorder="1" applyFill="1" applyFont="1" applyNumberFormat="1">
      <alignment horizontal="center" shrinkToFit="0" vertical="top" wrapText="1"/>
    </xf>
    <xf borderId="1" fillId="5" fontId="7" numFmtId="0" xfId="0" applyAlignment="1" applyBorder="1" applyFill="1" applyFont="1">
      <alignment horizontal="center" shrinkToFit="0" vertical="top" wrapText="1"/>
    </xf>
    <xf borderId="1" fillId="5" fontId="7" numFmtId="0" xfId="0" applyAlignment="1" applyBorder="1" applyFill="1" applyFont="1">
      <alignment shrinkToFit="0" vertical="top" wrapText="1"/>
    </xf>
    <xf borderId="1" fillId="5" fontId="9" numFmtId="0" xfId="0" applyAlignment="1" applyBorder="1" applyFill="1" applyFont="1">
      <alignment shrinkToFit="0" vertical="top" wrapText="1"/>
    </xf>
    <xf borderId="1" fillId="5" fontId="7" numFmtId="164" xfId="0" applyAlignment="1" applyBorder="1" applyFill="1" applyFont="1" applyNumberFormat="1">
      <alignment horizontal="center" shrinkToFit="0" vertical="top" wrapText="1"/>
    </xf>
    <xf borderId="0" fillId="0" fontId="4" numFmtId="0" xfId="0" applyFont="1"/>
    <xf borderId="0" fillId="0" fontId="10" numFmtId="0" xfId="0" applyFont="1"/>
    <xf borderId="0" fillId="0" fontId="7" numFmtId="0" xfId="0" applyAlignment="1" applyFont="1">
      <alignment shrinkToFit="0" vertical="top" wrapText="1"/>
    </xf>
    <xf borderId="1" fillId="2" fontId="4" numFmtId="0" xfId="0" applyAlignment="1" applyBorder="1" applyFill="1" applyFont="1">
      <alignment shrinkToFit="0" vertical="top" wrapText="1"/>
    </xf>
    <xf borderId="1" fillId="6" fontId="11" numFmtId="0" xfId="0" applyAlignment="1" applyBorder="1" applyFill="1" applyFont="1">
      <alignment shrinkToFit="0" vertical="top" wrapText="1"/>
    </xf>
    <xf borderId="1" fillId="7" fontId="12" numFmtId="0" xfId="0" applyAlignment="1" applyBorder="1" applyFill="1" applyFont="1">
      <alignment shrinkToFit="0" vertical="top" wrapText="1"/>
    </xf>
    <xf borderId="1" fillId="8" fontId="13" numFmtId="0" xfId="0" applyAlignment="1" applyBorder="1" applyFill="1" applyFont="1">
      <alignment shrinkToFit="0" vertical="top" wrapText="1"/>
    </xf>
    <xf borderId="1" fillId="9" fontId="14" numFmtId="0" xfId="0" applyAlignment="1" applyBorder="1" applyFill="1" applyFont="1">
      <alignment shrinkToFit="0" vertical="top" wrapText="1"/>
    </xf>
    <xf borderId="1" fillId="10" fontId="15" numFmtId="0" xfId="0" applyAlignment="1" applyBorder="1" applyFill="1" applyFont="1">
      <alignment shrinkToFit="0" vertical="top" wrapText="1"/>
    </xf>
    <xf borderId="1" fillId="0" fontId="15" numFmtId="0" xfId="0" applyAlignment="1" applyBorder="1" applyFont="1">
      <alignment shrinkToFit="0" vertical="top" wrapText="1"/>
    </xf>
    <xf borderId="1" fillId="0" fontId="13" numFmtId="0" xfId="0" applyAlignment="1" applyBorder="1" applyFont="1">
      <alignment shrinkToFit="0" vertical="top" wrapText="1"/>
    </xf>
    <xf borderId="1" fillId="0" fontId="16" numFmtId="0" xfId="0" applyAlignment="1" applyBorder="1" applyFont="1">
      <alignment shrinkToFit="0" vertical="top" wrapText="1"/>
    </xf>
    <xf borderId="1" fillId="0" fontId="9" numFmtId="0" xfId="0" applyAlignment="1" applyBorder="1" applyFont="1">
      <alignment shrinkToFit="0" vertical="top" wrapText="1"/>
    </xf>
    <xf borderId="0" fillId="0" fontId="17" numFmtId="0" xfId="0" applyFont="1"/>
    <xf borderId="0" fillId="0" fontId="18" numFmtId="0" xfId="0" applyFont="1"/>
    <xf borderId="1" fillId="3" fontId="19" numFmtId="0" xfId="0" applyAlignment="1" applyBorder="1" applyFill="1" applyFont="1">
      <alignment horizontal="center" shrinkToFit="0" wrapText="1"/>
    </xf>
    <xf borderId="1" fillId="3" fontId="2" numFmtId="0" xfId="0" applyAlignment="1" applyBorder="1" applyFill="1" applyFont="1">
      <alignment horizontal="center"/>
    </xf>
    <xf borderId="1" fillId="3" fontId="2" numFmtId="9" xfId="0" applyAlignment="1" applyBorder="1" applyFill="1" applyFont="1" applyNumberFormat="1">
      <alignment horizontal="center"/>
    </xf>
    <xf borderId="1" fillId="3" fontId="20" numFmtId="0" xfId="0" applyAlignment="1" applyBorder="1" applyFill="1" applyFont="1">
      <alignment horizontal="center" shrinkToFit="0" vertical="center" wrapText="1"/>
    </xf>
    <xf borderId="1" fillId="0" fontId="9"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 fillId="0" fontId="7" numFmtId="9" xfId="0" applyAlignment="1" applyBorder="1" applyFont="1" applyNumberFormat="1">
      <alignment horizontal="center" shrinkToFit="0" vertical="center" wrapText="1"/>
    </xf>
    <xf borderId="1" fillId="0" fontId="9" numFmtId="9" xfId="0" applyAlignment="1" applyBorder="1" applyFont="1" applyNumberFormat="1">
      <alignment horizontal="center" shrinkToFit="0" vertical="center" wrapText="1"/>
    </xf>
    <xf borderId="1" fillId="0" fontId="9" numFmtId="0" xfId="0" applyAlignment="1" applyBorder="1" applyFont="1">
      <alignment horizontal="left" shrinkToFit="0" vertical="center" wrapText="1"/>
    </xf>
    <xf borderId="1" fillId="0" fontId="7" numFmtId="0" xfId="0" applyAlignment="1" applyBorder="1" applyFont="1">
      <alignment horizontal="left" shrinkToFit="0" vertical="center" wrapText="1"/>
    </xf>
    <xf borderId="2" fillId="4" fontId="7" numFmtId="0" xfId="0" applyAlignment="1" applyBorder="1" applyFill="1" applyFont="1">
      <alignment horizontal="center" shrinkToFit="0" vertical="top" wrapText="1"/>
    </xf>
    <xf borderId="0" fillId="0" fontId="21" numFmtId="0" xfId="0" applyFont="1"/>
  </cellXfs>
  <cellStyles count="1">
    <cellStyle xfId="0" name="Normal" builtinId="0"/>
  </cellStyles>
  <dxfs count="13">
    <dxf>
      <font/>
      <fill>
        <patternFill patternType="solid">
          <fgColor rgb="FFFFF3D6"/>
          <bgColor rgb="FFFFF3D6"/>
        </patternFill>
      </fill>
      <border/>
    </dxf>
    <dxf>
      <font>
        <b/>
        <color rgb="FF1F5FAD"/>
        <name val="Arial"/>
      </font>
      <fill>
        <patternFill patternType="solid">
          <fgColor rgb="FFEAF1FB"/>
          <bgColor rgb="FFEAF1FB"/>
        </patternFill>
      </fill>
      <border/>
    </dxf>
    <dxf>
      <font>
        <b/>
        <color rgb="FF6B3FA0"/>
        <name val="Arial"/>
      </font>
      <fill>
        <patternFill patternType="solid">
          <fgColor rgb="FFF3ECFA"/>
          <bgColor rgb="FFF3ECFA"/>
        </patternFill>
      </fill>
      <border/>
    </dxf>
    <dxf>
      <font>
        <b/>
        <color rgb="FF14655B"/>
        <name val="Arial"/>
      </font>
      <fill>
        <patternFill patternType="solid">
          <fgColor rgb="FFE9F6F1"/>
          <bgColor rgb="FFE9F6F1"/>
        </patternFill>
      </fill>
      <border/>
    </dxf>
    <dxf>
      <font>
        <b/>
        <color rgb="FFB42318"/>
        <name val="Arial"/>
      </font>
      <fill>
        <patternFill patternType="none"/>
      </fill>
      <border/>
    </dxf>
    <dxf>
      <font>
        <b/>
        <color rgb="FF8A5A00"/>
        <name val="Arial"/>
      </font>
      <fill>
        <patternFill patternType="none"/>
      </fill>
      <border/>
    </dxf>
    <dxf>
      <font>
        <b/>
        <color rgb="FF6A746F"/>
        <name val="Arial"/>
      </font>
      <fill>
        <patternFill patternType="none"/>
      </fill>
      <border/>
    </dxf>
    <dxf>
      <font/>
      <fill>
        <patternFill patternType="solid">
          <fgColor rgb="FFFFF8DC"/>
          <bgColor rgb="FFFFF8DC"/>
        </patternFill>
      </fill>
      <border/>
    </dxf>
    <dxf>
      <font>
        <b/>
        <color rgb="FF4A524E"/>
        <name val="Arial"/>
      </font>
      <fill>
        <patternFill patternType="solid">
          <fgColor rgb="FFF1F3F2"/>
          <bgColor rgb="FFF1F3F2"/>
        </patternFill>
      </fill>
      <border/>
    </dxf>
    <dxf>
      <font>
        <b/>
        <color rgb="FF1F5FAD"/>
        <name val="Arial"/>
      </font>
      <fill>
        <patternFill patternType="solid">
          <fgColor rgb="FFE3EEFB"/>
          <bgColor rgb="FFE3EEFB"/>
        </patternFill>
      </fill>
      <border/>
    </dxf>
    <dxf>
      <font>
        <b/>
        <color rgb="FF8A5A00"/>
        <name val="Arial"/>
      </font>
      <fill>
        <patternFill patternType="solid">
          <fgColor rgb="FFFFF3D6"/>
          <bgColor rgb="FFFFF3D6"/>
        </patternFill>
      </fill>
      <border/>
    </dxf>
    <dxf>
      <font>
        <b/>
        <color rgb="FF15703A"/>
        <name val="Arial"/>
      </font>
      <fill>
        <patternFill patternType="solid">
          <fgColor rgb="FFE5F4EA"/>
          <bgColor rgb="FFE5F4EA"/>
        </patternFill>
      </fill>
      <border/>
    </dxf>
    <dxf>
      <font>
        <b/>
        <color rgb="FFB42318"/>
        <name val="Arial"/>
      </font>
      <fill>
        <patternFill patternType="solid">
          <fgColor rgb="FFFDECEA"/>
          <bgColor rgb="FFFDECE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Task theo sprint và nền tảng</a:t>
            </a:r>
          </a:p>
        </c:rich>
      </c:tx>
      <c:overlay val="0"/>
    </c:title>
    <c:plotArea>
      <c:layout/>
      <c:barChart>
        <c:barDir val="col"/>
        <c:grouping val="stacked"/>
        <c:ser>
          <c:idx val="0"/>
          <c:order val="0"/>
          <c:tx>
            <c:v>Backend</c:v>
          </c:tx>
          <c:spPr>
            <a:solidFill>
              <a:srgbClr val="5B8FD6"/>
            </a:solidFill>
            <a:ln cmpd="sng">
              <a:noFill/>
            </a:ln>
          </c:spPr>
          <c:invertIfNegative val="0"/>
          <c:cat>
            <c:strRef>
              <c:f>Dashboard!$A$10:$A$12</c:f>
            </c:strRef>
          </c:cat>
          <c:val>
            <c:numRef>
              <c:f>Dashboard!$C$10:$C$12</c:f>
              <c:numCache/>
            </c:numRef>
          </c:val>
        </c:ser>
        <c:ser>
          <c:idx val="1"/>
          <c:order val="1"/>
          <c:tx>
            <c:v>Portal</c:v>
          </c:tx>
          <c:spPr>
            <a:solidFill>
              <a:srgbClr val="9B6FCF"/>
            </a:solidFill>
            <a:ln cmpd="sng">
              <a:noFill/>
            </a:ln>
          </c:spPr>
          <c:invertIfNegative val="0"/>
          <c:cat>
            <c:strRef>
              <c:f>Dashboard!$A$10:$A$12</c:f>
            </c:strRef>
          </c:cat>
          <c:val>
            <c:numRef>
              <c:f>Dashboard!$D$10:$D$12</c:f>
              <c:numCache/>
            </c:numRef>
          </c:val>
        </c:ser>
        <c:ser>
          <c:idx val="2"/>
          <c:order val="2"/>
          <c:tx>
            <c:v>Mobile</c:v>
          </c:tx>
          <c:spPr>
            <a:solidFill>
              <a:srgbClr val="2E9E5B"/>
            </a:solidFill>
            <a:ln cmpd="sng">
              <a:noFill/>
            </a:ln>
          </c:spPr>
          <c:invertIfNegative val="0"/>
          <c:cat>
            <c:strRef>
              <c:f>Dashboard!$A$10:$A$12</c:f>
            </c:strRef>
          </c:cat>
          <c:val>
            <c:numRef>
              <c:f>Dashboard!$E$10:$E$12</c:f>
              <c:numCache/>
            </c:numRef>
          </c:val>
        </c:ser>
        <c:overlap val="100"/>
        <c:axId val="2043674881"/>
        <c:axId val="1915166078"/>
      </c:barChart>
      <c:catAx>
        <c:axId val="20436748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915166078"/>
      </c:catAx>
      <c:valAx>
        <c:axId val="1915166078"/>
        <c:scaling>
          <c:orientation val="minMax"/>
          <c:min val="0.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2043674881"/>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Lũy kế: kế hoạch và Done</a:t>
            </a:r>
          </a:p>
        </c:rich>
      </c:tx>
      <c:overlay val="0"/>
    </c:title>
    <c:plotArea>
      <c:layout/>
      <c:lineChart>
        <c:ser>
          <c:idx val="0"/>
          <c:order val="0"/>
          <c:tx>
            <c:v>Lũy kế kế hoạch</c:v>
          </c:tx>
          <c:spPr>
            <a:ln cmpd="sng" w="19050">
              <a:solidFill>
                <a:srgbClr val="9DB8B1">
                  <a:alpha val="100000"/>
                </a:srgbClr>
              </a:solidFill>
              <a:prstDash val="dash"/>
            </a:ln>
          </c:spPr>
          <c:marker>
            <c:symbol val="none"/>
          </c:marker>
          <c:cat>
            <c:strRef>
              <c:f>Dashboard!$A$10:$A$12</c:f>
            </c:strRef>
          </c:cat>
          <c:val>
            <c:numRef>
              <c:f>Dashboard!$I$10:$I$12</c:f>
              <c:numCache/>
            </c:numRef>
          </c:val>
          <c:smooth val="1"/>
        </c:ser>
        <c:ser>
          <c:idx val="1"/>
          <c:order val="1"/>
          <c:tx>
            <c:v>Lũy kế Done</c:v>
          </c:tx>
          <c:spPr>
            <a:ln cmpd="sng" w="19050">
              <a:solidFill>
                <a:srgbClr val="14655B">
                  <a:alpha val="100000"/>
                </a:srgbClr>
              </a:solidFill>
            </a:ln>
          </c:spPr>
          <c:marker>
            <c:symbol val="none"/>
          </c:marker>
          <c:cat>
            <c:strRef>
              <c:f>Dashboard!$A$10:$A$12</c:f>
            </c:strRef>
          </c:cat>
          <c:val>
            <c:numRef>
              <c:f>Dashboard!$J$10:$J$12</c:f>
              <c:numCache/>
            </c:numRef>
          </c:val>
          <c:smooth val="1"/>
        </c:ser>
        <c:axId val="1912505066"/>
        <c:axId val="1218990006"/>
      </c:lineChart>
      <c:catAx>
        <c:axId val="19125050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218990006"/>
      </c:catAx>
      <c:valAx>
        <c:axId val="1218990006"/>
        <c:scaling>
          <c:orientation val="minMax"/>
          <c:min val="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1912505066"/>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6</xdr:row>
      <xdr:rowOff>28575</xdr:rowOff>
    </xdr:from>
    <xdr:ext cx="5153025" cy="2419350"/>
    <xdr:graphicFrame>
      <xdr:nvGraphicFramePr>
        <xdr:cNvPr id="1407573542"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0</xdr:colOff>
      <xdr:row>22</xdr:row>
      <xdr:rowOff>76200</xdr:rowOff>
    </xdr:from>
    <xdr:ext cx="5153025" cy="2419350"/>
    <xdr:graphicFrame>
      <xdr:nvGraphicFramePr>
        <xdr:cNvPr id="1789589700"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1.0"/>
    <col customWidth="1" min="2" max="2" width="6.0"/>
    <col customWidth="1" min="3" max="3" width="18.0"/>
    <col customWidth="1" min="4" max="4" width="20.0"/>
    <col customWidth="1" min="5" max="5" width="30.0"/>
    <col customWidth="1" min="6" max="6" width="10.0"/>
    <col customWidth="1" min="7" max="7" width="54.0"/>
    <col customWidth="1" min="8" max="8" width="9.0"/>
    <col customWidth="1" min="9" max="9" width="7.0"/>
    <col customWidth="1" min="10" max="10" width="13.0"/>
    <col customWidth="1" min="11" max="11" width="10.0"/>
    <col customWidth="1" min="12" max="12" width="12.0"/>
    <col customWidth="1" min="13" max="13" width="8.0"/>
    <col customWidth="1" min="14" max="15" width="11.0"/>
    <col customWidth="1" min="16" max="16" width="34.0"/>
    <col customWidth="1" min="17" max="26" width="8.71"/>
  </cols>
  <sheetData>
    <row r="1" ht="14.25" customHeight="1">
      <c r="A1" s="2" t="s">
        <v>2</v>
      </c>
    </row>
    <row r="2" ht="14.25" customHeight="1">
      <c r="A2" s="3" t="s">
        <v>5</v>
      </c>
    </row>
    <row r="3" ht="14.25" customHeight="1"/>
    <row r="4" ht="30.0" customHeight="1">
      <c r="A4" s="4" t="s">
        <v>6</v>
      </c>
      <c r="B4" s="4" t="s">
        <v>8</v>
      </c>
      <c r="C4" s="4" t="s">
        <v>9</v>
      </c>
      <c r="D4" s="4" t="s">
        <v>11</v>
      </c>
      <c r="E4" s="4" t="s">
        <v>12</v>
      </c>
      <c r="F4" s="4" t="s">
        <v>14</v>
      </c>
      <c r="G4" s="4" t="s">
        <v>15</v>
      </c>
      <c r="H4" s="4" t="s">
        <v>17</v>
      </c>
      <c r="I4" s="4" t="s">
        <v>18</v>
      </c>
      <c r="J4" s="4" t="s">
        <v>20</v>
      </c>
      <c r="K4" s="4" t="s">
        <v>22</v>
      </c>
      <c r="L4" s="4" t="s">
        <v>23</v>
      </c>
      <c r="M4" s="4" t="s">
        <v>24</v>
      </c>
      <c r="N4" s="4" t="s">
        <v>26</v>
      </c>
      <c r="O4" s="4" t="s">
        <v>27</v>
      </c>
      <c r="P4" s="4" t="s">
        <v>28</v>
      </c>
    </row>
    <row r="5" ht="66.0" hidden="1" customHeight="1">
      <c r="A5" s="7" t="s">
        <v>29</v>
      </c>
      <c r="B5" s="7" t="s">
        <v>33</v>
      </c>
      <c r="C5" s="9" t="s">
        <v>34</v>
      </c>
      <c r="D5" s="9" t="s">
        <v>37</v>
      </c>
      <c r="E5" s="12" t="s">
        <v>39</v>
      </c>
      <c r="F5" s="7" t="s">
        <v>40</v>
      </c>
      <c r="G5" s="9" t="s">
        <v>41</v>
      </c>
      <c r="H5" s="7" t="s">
        <v>42</v>
      </c>
      <c r="I5" s="7" t="s">
        <v>38</v>
      </c>
      <c r="J5" s="17" t="str">
        <f t="array" ref="J5">IFERROR(TEXT(INDEX(Sprints!$B$5:$B$7,MATCH(I5,Sprints!$A$5:$A$7,0)),"dd/mm")&amp;" – "&amp;TEXT(INDEX(Sprints!$C$5:$C$7,MATCH(I5,Sprints!$A$5:$A$7,0)),"dd/mm"),"")</f>
        <v>19/10 – 01/11</v>
      </c>
      <c r="K5" s="7" t="s">
        <v>44</v>
      </c>
      <c r="L5" s="7" t="s">
        <v>45</v>
      </c>
      <c r="M5" s="17" t="str">
        <f t="array" ref="M5">IFERROR(IF(AND(L5&lt;&gt;"Done",TODAY()&gt;INDEX(Sprints!$C$5:$C$7,MATCH(I5,Sprints!$A$5:$A$7,0))),"Trễ",""),"")</f>
        <v/>
      </c>
      <c r="N5" s="20"/>
      <c r="O5" s="20"/>
      <c r="P5" s="9"/>
    </row>
    <row r="6" ht="66.0" hidden="1" customHeight="1">
      <c r="A6" s="7" t="s">
        <v>49</v>
      </c>
      <c r="B6" s="7" t="s">
        <v>33</v>
      </c>
      <c r="C6" s="9" t="s">
        <v>34</v>
      </c>
      <c r="D6" s="9" t="s">
        <v>37</v>
      </c>
      <c r="E6" s="12" t="s">
        <v>39</v>
      </c>
      <c r="F6" s="7" t="s">
        <v>53</v>
      </c>
      <c r="G6" s="9" t="s">
        <v>54</v>
      </c>
      <c r="H6" s="7" t="s">
        <v>42</v>
      </c>
      <c r="I6" s="7" t="s">
        <v>38</v>
      </c>
      <c r="J6" s="17" t="str">
        <f t="array" ref="J6">IFERROR(TEXT(INDEX(Sprints!$B$5:$B$7,MATCH(I6,Sprints!$A$5:$A$7,0)),"dd/mm")&amp;" – "&amp;TEXT(INDEX(Sprints!$C$5:$C$7,MATCH(I6,Sprints!$A$5:$A$7,0)),"dd/mm"),"")</f>
        <v>19/10 – 01/11</v>
      </c>
      <c r="K6" s="7" t="s">
        <v>59</v>
      </c>
      <c r="L6" s="7" t="s">
        <v>45</v>
      </c>
      <c r="M6" s="17" t="str">
        <f t="array" ref="M6">IFERROR(IF(AND(L6&lt;&gt;"Done",TODAY()&gt;INDEX(Sprints!$C$5:$C$7,MATCH(I6,Sprints!$A$5:$A$7,0))),"Trễ",""),"")</f>
        <v/>
      </c>
      <c r="N6" s="20"/>
      <c r="O6" s="20"/>
      <c r="P6" s="9"/>
    </row>
    <row r="7" ht="66.0" hidden="1" customHeight="1">
      <c r="A7" s="7" t="s">
        <v>62</v>
      </c>
      <c r="B7" s="7" t="s">
        <v>33</v>
      </c>
      <c r="C7" s="9" t="s">
        <v>34</v>
      </c>
      <c r="D7" s="9" t="s">
        <v>37</v>
      </c>
      <c r="E7" s="12" t="s">
        <v>63</v>
      </c>
      <c r="F7" s="7" t="s">
        <v>40</v>
      </c>
      <c r="G7" s="9" t="s">
        <v>64</v>
      </c>
      <c r="H7" s="7" t="s">
        <v>42</v>
      </c>
      <c r="I7" s="7" t="s">
        <v>38</v>
      </c>
      <c r="J7" s="17" t="str">
        <f t="array" ref="J7">IFERROR(TEXT(INDEX(Sprints!$B$5:$B$7,MATCH(I7,Sprints!$A$5:$A$7,0)),"dd/mm")&amp;" – "&amp;TEXT(INDEX(Sprints!$C$5:$C$7,MATCH(I7,Sprints!$A$5:$A$7,0)),"dd/mm"),"")</f>
        <v>19/10 – 01/11</v>
      </c>
      <c r="K7" s="7" t="s">
        <v>48</v>
      </c>
      <c r="L7" s="7" t="s">
        <v>45</v>
      </c>
      <c r="M7" s="17" t="str">
        <f t="array" ref="M7">IFERROR(IF(AND(L7&lt;&gt;"Done",TODAY()&gt;INDEX(Sprints!$C$5:$C$7,MATCH(I7,Sprints!$A$5:$A$7,0))),"Trễ",""),"")</f>
        <v/>
      </c>
      <c r="N7" s="20"/>
      <c r="O7" s="20"/>
      <c r="P7" s="9" t="s">
        <v>66</v>
      </c>
    </row>
    <row r="8" ht="66.0" customHeight="1">
      <c r="A8" s="7" t="s">
        <v>67</v>
      </c>
      <c r="B8" s="7" t="s">
        <v>33</v>
      </c>
      <c r="C8" s="9" t="s">
        <v>34</v>
      </c>
      <c r="D8" s="9" t="s">
        <v>37</v>
      </c>
      <c r="E8" s="12" t="s">
        <v>63</v>
      </c>
      <c r="F8" s="7" t="s">
        <v>68</v>
      </c>
      <c r="G8" s="9" t="s">
        <v>69</v>
      </c>
      <c r="H8" s="7" t="s">
        <v>42</v>
      </c>
      <c r="I8" s="7" t="s">
        <v>38</v>
      </c>
      <c r="J8" s="17" t="str">
        <f t="array" ref="J8">IFERROR(TEXT(INDEX(Sprints!$B$5:$B$7,MATCH(I8,Sprints!$A$5:$A$7,0)),"dd/mm")&amp;" – "&amp;TEXT(INDEX(Sprints!$C$5:$C$7,MATCH(I8,Sprints!$A$5:$A$7,0)),"dd/mm"),"")</f>
        <v>19/10 – 01/11</v>
      </c>
      <c r="K8" s="7" t="s">
        <v>56</v>
      </c>
      <c r="L8" s="7" t="s">
        <v>45</v>
      </c>
      <c r="M8" s="17" t="str">
        <f t="array" ref="M8">IFERROR(IF(AND(L8&lt;&gt;"Done",TODAY()&gt;INDEX(Sprints!$C$5:$C$7,MATCH(I8,Sprints!$A$5:$A$7,0))),"Trễ",""),"")</f>
        <v/>
      </c>
      <c r="N8" s="20"/>
      <c r="O8" s="20"/>
      <c r="P8" s="9" t="s">
        <v>66</v>
      </c>
    </row>
    <row r="9" ht="66.0" hidden="1" customHeight="1">
      <c r="A9" s="7" t="s">
        <v>70</v>
      </c>
      <c r="B9" s="7" t="s">
        <v>33</v>
      </c>
      <c r="C9" s="9" t="s">
        <v>34</v>
      </c>
      <c r="D9" s="9" t="s">
        <v>37</v>
      </c>
      <c r="E9" s="12" t="s">
        <v>71</v>
      </c>
      <c r="F9" s="7" t="s">
        <v>40</v>
      </c>
      <c r="G9" s="9" t="s">
        <v>72</v>
      </c>
      <c r="H9" s="7" t="s">
        <v>42</v>
      </c>
      <c r="I9" s="7" t="s">
        <v>38</v>
      </c>
      <c r="J9" s="17" t="str">
        <f t="array" ref="J9">IFERROR(TEXT(INDEX(Sprints!$B$5:$B$7,MATCH(I9,Sprints!$A$5:$A$7,0)),"dd/mm")&amp;" – "&amp;TEXT(INDEX(Sprints!$C$5:$C$7,MATCH(I9,Sprints!$A$5:$A$7,0)),"dd/mm"),"")</f>
        <v>19/10 – 01/11</v>
      </c>
      <c r="K9" s="7" t="s">
        <v>44</v>
      </c>
      <c r="L9" s="7" t="s">
        <v>45</v>
      </c>
      <c r="M9" s="17" t="str">
        <f t="array" ref="M9">IFERROR(IF(AND(L9&lt;&gt;"Done",TODAY()&gt;INDEX(Sprints!$C$5:$C$7,MATCH(I9,Sprints!$A$5:$A$7,0))),"Trễ",""),"")</f>
        <v/>
      </c>
      <c r="N9" s="20"/>
      <c r="O9" s="20"/>
      <c r="P9" s="9"/>
    </row>
    <row r="10" ht="66.0" hidden="1" customHeight="1">
      <c r="A10" s="7" t="s">
        <v>73</v>
      </c>
      <c r="B10" s="7" t="s">
        <v>33</v>
      </c>
      <c r="C10" s="9" t="s">
        <v>34</v>
      </c>
      <c r="D10" s="9" t="s">
        <v>37</v>
      </c>
      <c r="E10" s="12" t="s">
        <v>71</v>
      </c>
      <c r="F10" s="7" t="s">
        <v>53</v>
      </c>
      <c r="G10" s="9" t="s">
        <v>74</v>
      </c>
      <c r="H10" s="7" t="s">
        <v>42</v>
      </c>
      <c r="I10" s="7" t="s">
        <v>38</v>
      </c>
      <c r="J10" s="17" t="str">
        <f t="array" ref="J10">IFERROR(TEXT(INDEX(Sprints!$B$5:$B$7,MATCH(I10,Sprints!$A$5:$A$7,0)),"dd/mm")&amp;" – "&amp;TEXT(INDEX(Sprints!$C$5:$C$7,MATCH(I10,Sprints!$A$5:$A$7,0)),"dd/mm"),"")</f>
        <v>19/10 – 01/11</v>
      </c>
      <c r="K10" s="7" t="s">
        <v>56</v>
      </c>
      <c r="L10" s="7" t="s">
        <v>45</v>
      </c>
      <c r="M10" s="17" t="str">
        <f t="array" ref="M10">IFERROR(IF(AND(L10&lt;&gt;"Done",TODAY()&gt;INDEX(Sprints!$C$5:$C$7,MATCH(I10,Sprints!$A$5:$A$7,0))),"Trễ",""),"")</f>
        <v/>
      </c>
      <c r="N10" s="20"/>
      <c r="O10" s="20"/>
      <c r="P10" s="9"/>
    </row>
    <row r="11" ht="66.0" customHeight="1">
      <c r="A11" s="7" t="s">
        <v>75</v>
      </c>
      <c r="B11" s="7" t="s">
        <v>33</v>
      </c>
      <c r="C11" s="9" t="s">
        <v>34</v>
      </c>
      <c r="D11" s="9" t="s">
        <v>37</v>
      </c>
      <c r="E11" s="12" t="s">
        <v>71</v>
      </c>
      <c r="F11" s="7" t="s">
        <v>68</v>
      </c>
      <c r="G11" s="9" t="s">
        <v>76</v>
      </c>
      <c r="H11" s="7" t="s">
        <v>42</v>
      </c>
      <c r="I11" s="7" t="s">
        <v>38</v>
      </c>
      <c r="J11" s="17" t="str">
        <f t="array" ref="J11">IFERROR(TEXT(INDEX(Sprints!$B$5:$B$7,MATCH(I11,Sprints!$A$5:$A$7,0)),"dd/mm")&amp;" – "&amp;TEXT(INDEX(Sprints!$C$5:$C$7,MATCH(I11,Sprints!$A$5:$A$7,0)),"dd/mm"),"")</f>
        <v>19/10 – 01/11</v>
      </c>
      <c r="K11" s="7" t="s">
        <v>59</v>
      </c>
      <c r="L11" s="7" t="s">
        <v>45</v>
      </c>
      <c r="M11" s="17" t="str">
        <f t="array" ref="M11">IFERROR(IF(AND(L11&lt;&gt;"Done",TODAY()&gt;INDEX(Sprints!$C$5:$C$7,MATCH(I11,Sprints!$A$5:$A$7,0))),"Trễ",""),"")</f>
        <v/>
      </c>
      <c r="N11" s="20"/>
      <c r="O11" s="20"/>
      <c r="P11" s="9"/>
    </row>
    <row r="12" ht="55.5" hidden="1" customHeight="1">
      <c r="A12" s="21" t="s">
        <v>77</v>
      </c>
      <c r="B12" s="21" t="s">
        <v>78</v>
      </c>
      <c r="C12" s="22" t="s">
        <v>79</v>
      </c>
      <c r="D12" s="22" t="s">
        <v>80</v>
      </c>
      <c r="E12" s="23" t="s">
        <v>81</v>
      </c>
      <c r="F12" s="21" t="s">
        <v>40</v>
      </c>
      <c r="G12" s="22" t="s">
        <v>82</v>
      </c>
      <c r="H12" s="21" t="s">
        <v>42</v>
      </c>
      <c r="I12" s="21" t="s">
        <v>38</v>
      </c>
      <c r="J12" s="17" t="str">
        <f t="array" ref="J12">IFERROR(TEXT(INDEX(Sprints!$B$5:$B$7,MATCH(I12,Sprints!$A$5:$A$7,0)),"dd/mm")&amp;" – "&amp;TEXT(INDEX(Sprints!$C$5:$C$7,MATCH(I12,Sprints!$A$5:$A$7,0)),"dd/mm"),"")</f>
        <v>19/10 – 01/11</v>
      </c>
      <c r="K12" s="21" t="s">
        <v>44</v>
      </c>
      <c r="L12" s="21" t="s">
        <v>45</v>
      </c>
      <c r="M12" s="17" t="str">
        <f t="array" ref="M12">IFERROR(IF(AND(L12&lt;&gt;"Done",TODAY()&gt;INDEX(Sprints!$C$5:$C$7,MATCH(I12,Sprints!$A$5:$A$7,0))),"Trễ",""),"")</f>
        <v/>
      </c>
      <c r="N12" s="24"/>
      <c r="O12" s="24"/>
      <c r="P12" s="22" t="s">
        <v>83</v>
      </c>
    </row>
    <row r="13" ht="55.5" hidden="1" customHeight="1">
      <c r="A13" s="21" t="s">
        <v>84</v>
      </c>
      <c r="B13" s="21" t="s">
        <v>78</v>
      </c>
      <c r="C13" s="22" t="s">
        <v>79</v>
      </c>
      <c r="D13" s="22" t="s">
        <v>80</v>
      </c>
      <c r="E13" s="23" t="s">
        <v>81</v>
      </c>
      <c r="F13" s="21" t="s">
        <v>53</v>
      </c>
      <c r="G13" s="22" t="s">
        <v>85</v>
      </c>
      <c r="H13" s="21" t="s">
        <v>42</v>
      </c>
      <c r="I13" s="21" t="s">
        <v>38</v>
      </c>
      <c r="J13" s="17" t="str">
        <f t="array" ref="J13">IFERROR(TEXT(INDEX(Sprints!$B$5:$B$7,MATCH(I13,Sprints!$A$5:$A$7,0)),"dd/mm")&amp;" – "&amp;TEXT(INDEX(Sprints!$C$5:$C$7,MATCH(I13,Sprints!$A$5:$A$7,0)),"dd/mm"),"")</f>
        <v>19/10 – 01/11</v>
      </c>
      <c r="K13" s="21" t="s">
        <v>59</v>
      </c>
      <c r="L13" s="21" t="s">
        <v>45</v>
      </c>
      <c r="M13" s="17" t="str">
        <f t="array" ref="M13">IFERROR(IF(AND(L13&lt;&gt;"Done",TODAY()&gt;INDEX(Sprints!$C$5:$C$7,MATCH(I13,Sprints!$A$5:$A$7,0))),"Trễ",""),"")</f>
        <v/>
      </c>
      <c r="N13" s="24"/>
      <c r="O13" s="24"/>
      <c r="P13" s="22" t="s">
        <v>83</v>
      </c>
    </row>
    <row r="14" ht="66.0" hidden="1" customHeight="1">
      <c r="A14" s="21" t="s">
        <v>91</v>
      </c>
      <c r="B14" s="21" t="s">
        <v>78</v>
      </c>
      <c r="C14" s="22" t="s">
        <v>79</v>
      </c>
      <c r="D14" s="22" t="s">
        <v>80</v>
      </c>
      <c r="E14" s="23" t="s">
        <v>93</v>
      </c>
      <c r="F14" s="21" t="s">
        <v>40</v>
      </c>
      <c r="G14" s="22" t="s">
        <v>94</v>
      </c>
      <c r="H14" s="21" t="s">
        <v>42</v>
      </c>
      <c r="I14" s="21" t="s">
        <v>38</v>
      </c>
      <c r="J14" s="17" t="str">
        <f t="array" ref="J14">IFERROR(TEXT(INDEX(Sprints!$B$5:$B$7,MATCH(I14,Sprints!$A$5:$A$7,0)),"dd/mm")&amp;" – "&amp;TEXT(INDEX(Sprints!$C$5:$C$7,MATCH(I14,Sprints!$A$5:$A$7,0)),"dd/mm"),"")</f>
        <v>19/10 – 01/11</v>
      </c>
      <c r="K14" s="21" t="s">
        <v>44</v>
      </c>
      <c r="L14" s="21" t="s">
        <v>45</v>
      </c>
      <c r="M14" s="17" t="str">
        <f t="array" ref="M14">IFERROR(IF(AND(L14&lt;&gt;"Done",TODAY()&gt;INDEX(Sprints!$C$5:$C$7,MATCH(I14,Sprints!$A$5:$A$7,0))),"Trễ",""),"")</f>
        <v/>
      </c>
      <c r="N14" s="24"/>
      <c r="O14" s="24"/>
      <c r="P14" s="22"/>
    </row>
    <row r="15" ht="66.0" hidden="1" customHeight="1">
      <c r="A15" s="21" t="s">
        <v>104</v>
      </c>
      <c r="B15" s="21" t="s">
        <v>78</v>
      </c>
      <c r="C15" s="22" t="s">
        <v>79</v>
      </c>
      <c r="D15" s="22" t="s">
        <v>80</v>
      </c>
      <c r="E15" s="23" t="s">
        <v>93</v>
      </c>
      <c r="F15" s="21" t="s">
        <v>53</v>
      </c>
      <c r="G15" s="22" t="s">
        <v>106</v>
      </c>
      <c r="H15" s="21" t="s">
        <v>42</v>
      </c>
      <c r="I15" s="21" t="s">
        <v>38</v>
      </c>
      <c r="J15" s="17" t="str">
        <f t="array" ref="J15">IFERROR(TEXT(INDEX(Sprints!$B$5:$B$7,MATCH(I15,Sprints!$A$5:$A$7,0)),"dd/mm")&amp;" – "&amp;TEXT(INDEX(Sprints!$C$5:$C$7,MATCH(I15,Sprints!$A$5:$A$7,0)),"dd/mm"),"")</f>
        <v>19/10 – 01/11</v>
      </c>
      <c r="K15" s="21" t="s">
        <v>59</v>
      </c>
      <c r="L15" s="21" t="s">
        <v>45</v>
      </c>
      <c r="M15" s="17" t="str">
        <f t="array" ref="M15">IFERROR(IF(AND(L15&lt;&gt;"Done",TODAY()&gt;INDEX(Sprints!$C$5:$C$7,MATCH(I15,Sprints!$A$5:$A$7,0))),"Trễ",""),"")</f>
        <v/>
      </c>
      <c r="N15" s="24"/>
      <c r="O15" s="24"/>
      <c r="P15" s="22"/>
    </row>
    <row r="16" ht="55.5" customHeight="1">
      <c r="A16" s="21" t="s">
        <v>122</v>
      </c>
      <c r="B16" s="21" t="s">
        <v>78</v>
      </c>
      <c r="C16" s="22" t="s">
        <v>79</v>
      </c>
      <c r="D16" s="22" t="s">
        <v>80</v>
      </c>
      <c r="E16" s="23" t="s">
        <v>123</v>
      </c>
      <c r="F16" s="21" t="s">
        <v>68</v>
      </c>
      <c r="G16" s="22" t="s">
        <v>124</v>
      </c>
      <c r="H16" s="21" t="s">
        <v>42</v>
      </c>
      <c r="I16" s="21" t="s">
        <v>38</v>
      </c>
      <c r="J16" s="17" t="str">
        <f t="array" ref="J16">IFERROR(TEXT(INDEX(Sprints!$B$5:$B$7,MATCH(I16,Sprints!$A$5:$A$7,0)),"dd/mm")&amp;" – "&amp;TEXT(INDEX(Sprints!$C$5:$C$7,MATCH(I16,Sprints!$A$5:$A$7,0)),"dd/mm"),"")</f>
        <v>19/10 – 01/11</v>
      </c>
      <c r="K16" s="21" t="s">
        <v>59</v>
      </c>
      <c r="L16" s="21" t="s">
        <v>45</v>
      </c>
      <c r="M16" s="17" t="str">
        <f t="array" ref="M16">IFERROR(IF(AND(L16&lt;&gt;"Done",TODAY()&gt;INDEX(Sprints!$C$5:$C$7,MATCH(I16,Sprints!$A$5:$A$7,0))),"Trễ",""),"")</f>
        <v/>
      </c>
      <c r="N16" s="24"/>
      <c r="O16" s="24"/>
      <c r="P16" s="22"/>
    </row>
    <row r="17" ht="66.0" hidden="1" customHeight="1">
      <c r="A17" s="21" t="s">
        <v>125</v>
      </c>
      <c r="B17" s="21" t="s">
        <v>78</v>
      </c>
      <c r="C17" s="22" t="s">
        <v>79</v>
      </c>
      <c r="D17" s="22" t="s">
        <v>126</v>
      </c>
      <c r="E17" s="23" t="s">
        <v>127</v>
      </c>
      <c r="F17" s="21" t="s">
        <v>40</v>
      </c>
      <c r="G17" s="22" t="s">
        <v>128</v>
      </c>
      <c r="H17" s="21" t="s">
        <v>42</v>
      </c>
      <c r="I17" s="21" t="s">
        <v>38</v>
      </c>
      <c r="J17" s="17" t="str">
        <f t="array" ref="J17">IFERROR(TEXT(INDEX(Sprints!$B$5:$B$7,MATCH(I17,Sprints!$A$5:$A$7,0)),"dd/mm")&amp;" – "&amp;TEXT(INDEX(Sprints!$C$5:$C$7,MATCH(I17,Sprints!$A$5:$A$7,0)),"dd/mm"),"")</f>
        <v>19/10 – 01/11</v>
      </c>
      <c r="K17" s="21" t="s">
        <v>44</v>
      </c>
      <c r="L17" s="21" t="s">
        <v>45</v>
      </c>
      <c r="M17" s="17" t="str">
        <f t="array" ref="M17">IFERROR(IF(AND(L17&lt;&gt;"Done",TODAY()&gt;INDEX(Sprints!$C$5:$C$7,MATCH(I17,Sprints!$A$5:$A$7,0))),"Trễ",""),"")</f>
        <v/>
      </c>
      <c r="N17" s="24"/>
      <c r="O17" s="24"/>
      <c r="P17" s="22"/>
    </row>
    <row r="18" ht="55.5" hidden="1" customHeight="1">
      <c r="A18" s="21" t="s">
        <v>129</v>
      </c>
      <c r="B18" s="21" t="s">
        <v>78</v>
      </c>
      <c r="C18" s="22" t="s">
        <v>79</v>
      </c>
      <c r="D18" s="22" t="s">
        <v>126</v>
      </c>
      <c r="E18" s="23" t="s">
        <v>127</v>
      </c>
      <c r="F18" s="21" t="s">
        <v>53</v>
      </c>
      <c r="G18" s="22" t="s">
        <v>130</v>
      </c>
      <c r="H18" s="21" t="s">
        <v>42</v>
      </c>
      <c r="I18" s="21" t="s">
        <v>38</v>
      </c>
      <c r="J18" s="17" t="str">
        <f t="array" ref="J18">IFERROR(TEXT(INDEX(Sprints!$B$5:$B$7,MATCH(I18,Sprints!$A$5:$A$7,0)),"dd/mm")&amp;" – "&amp;TEXT(INDEX(Sprints!$C$5:$C$7,MATCH(I18,Sprints!$A$5:$A$7,0)),"dd/mm"),"")</f>
        <v>19/10 – 01/11</v>
      </c>
      <c r="K18" s="21" t="s">
        <v>56</v>
      </c>
      <c r="L18" s="21" t="s">
        <v>45</v>
      </c>
      <c r="M18" s="17" t="str">
        <f t="array" ref="M18">IFERROR(IF(AND(L18&lt;&gt;"Done",TODAY()&gt;INDEX(Sprints!$C$5:$C$7,MATCH(I18,Sprints!$A$5:$A$7,0))),"Trễ",""),"")</f>
        <v/>
      </c>
      <c r="N18" s="24"/>
      <c r="O18" s="24"/>
      <c r="P18" s="22"/>
    </row>
    <row r="19" ht="66.0" hidden="1" customHeight="1">
      <c r="A19" s="21" t="s">
        <v>131</v>
      </c>
      <c r="B19" s="21" t="s">
        <v>78</v>
      </c>
      <c r="C19" s="22" t="s">
        <v>79</v>
      </c>
      <c r="D19" s="22" t="s">
        <v>126</v>
      </c>
      <c r="E19" s="23" t="s">
        <v>132</v>
      </c>
      <c r="F19" s="21" t="s">
        <v>40</v>
      </c>
      <c r="G19" s="22" t="s">
        <v>133</v>
      </c>
      <c r="H19" s="21" t="s">
        <v>42</v>
      </c>
      <c r="I19" s="21" t="s">
        <v>38</v>
      </c>
      <c r="J19" s="17" t="str">
        <f t="array" ref="J19">IFERROR(TEXT(INDEX(Sprints!$B$5:$B$7,MATCH(I19,Sprints!$A$5:$A$7,0)),"dd/mm")&amp;" – "&amp;TEXT(INDEX(Sprints!$C$5:$C$7,MATCH(I19,Sprints!$A$5:$A$7,0)),"dd/mm"),"")</f>
        <v>19/10 – 01/11</v>
      </c>
      <c r="K19" s="21" t="s">
        <v>44</v>
      </c>
      <c r="L19" s="21" t="s">
        <v>45</v>
      </c>
      <c r="M19" s="17" t="str">
        <f t="array" ref="M19">IFERROR(IF(AND(L19&lt;&gt;"Done",TODAY()&gt;INDEX(Sprints!$C$5:$C$7,MATCH(I19,Sprints!$A$5:$A$7,0))),"Trễ",""),"")</f>
        <v/>
      </c>
      <c r="N19" s="24"/>
      <c r="O19" s="24"/>
      <c r="P19" s="22" t="s">
        <v>83</v>
      </c>
    </row>
    <row r="20" ht="66.0" hidden="1" customHeight="1">
      <c r="A20" s="21" t="s">
        <v>134</v>
      </c>
      <c r="B20" s="21" t="s">
        <v>78</v>
      </c>
      <c r="C20" s="22" t="s">
        <v>79</v>
      </c>
      <c r="D20" s="22" t="s">
        <v>126</v>
      </c>
      <c r="E20" s="23" t="s">
        <v>132</v>
      </c>
      <c r="F20" s="21" t="s">
        <v>53</v>
      </c>
      <c r="G20" s="22" t="s">
        <v>135</v>
      </c>
      <c r="H20" s="21" t="s">
        <v>42</v>
      </c>
      <c r="I20" s="21" t="s">
        <v>38</v>
      </c>
      <c r="J20" s="17" t="str">
        <f t="array" ref="J20">IFERROR(TEXT(INDEX(Sprints!$B$5:$B$7,MATCH(I20,Sprints!$A$5:$A$7,0)),"dd/mm")&amp;" – "&amp;TEXT(INDEX(Sprints!$C$5:$C$7,MATCH(I20,Sprints!$A$5:$A$7,0)),"dd/mm"),"")</f>
        <v>19/10 – 01/11</v>
      </c>
      <c r="K20" s="21" t="s">
        <v>59</v>
      </c>
      <c r="L20" s="21" t="s">
        <v>45</v>
      </c>
      <c r="M20" s="17" t="str">
        <f t="array" ref="M20">IFERROR(IF(AND(L20&lt;&gt;"Done",TODAY()&gt;INDEX(Sprints!$C$5:$C$7,MATCH(I20,Sprints!$A$5:$A$7,0))),"Trễ",""),"")</f>
        <v/>
      </c>
      <c r="N20" s="24"/>
      <c r="O20" s="24"/>
      <c r="P20" s="22" t="s">
        <v>83</v>
      </c>
    </row>
    <row r="21" ht="55.5" hidden="1" customHeight="1">
      <c r="A21" s="21" t="s">
        <v>136</v>
      </c>
      <c r="B21" s="21" t="s">
        <v>78</v>
      </c>
      <c r="C21" s="22" t="s">
        <v>79</v>
      </c>
      <c r="D21" s="22" t="s">
        <v>126</v>
      </c>
      <c r="E21" s="23" t="s">
        <v>137</v>
      </c>
      <c r="F21" s="21" t="s">
        <v>40</v>
      </c>
      <c r="G21" s="22" t="s">
        <v>138</v>
      </c>
      <c r="H21" s="21" t="s">
        <v>42</v>
      </c>
      <c r="I21" s="21" t="s">
        <v>38</v>
      </c>
      <c r="J21" s="17" t="str">
        <f t="array" ref="J21">IFERROR(TEXT(INDEX(Sprints!$B$5:$B$7,MATCH(I21,Sprints!$A$5:$A$7,0)),"dd/mm")&amp;" – "&amp;TEXT(INDEX(Sprints!$C$5:$C$7,MATCH(I21,Sprints!$A$5:$A$7,0)),"dd/mm"),"")</f>
        <v>19/10 – 01/11</v>
      </c>
      <c r="K21" s="21" t="s">
        <v>48</v>
      </c>
      <c r="L21" s="21" t="s">
        <v>45</v>
      </c>
      <c r="M21" s="17" t="str">
        <f t="array" ref="M21">IFERROR(IF(AND(L21&lt;&gt;"Done",TODAY()&gt;INDEX(Sprints!$C$5:$C$7,MATCH(I21,Sprints!$A$5:$A$7,0))),"Trễ",""),"")</f>
        <v/>
      </c>
      <c r="N21" s="24"/>
      <c r="O21" s="24"/>
      <c r="P21" s="22"/>
    </row>
    <row r="22" ht="66.0" hidden="1" customHeight="1">
      <c r="A22" s="21" t="s">
        <v>139</v>
      </c>
      <c r="B22" s="21" t="s">
        <v>78</v>
      </c>
      <c r="C22" s="22" t="s">
        <v>79</v>
      </c>
      <c r="D22" s="22" t="s">
        <v>126</v>
      </c>
      <c r="E22" s="23" t="s">
        <v>137</v>
      </c>
      <c r="F22" s="21" t="s">
        <v>53</v>
      </c>
      <c r="G22" s="22" t="s">
        <v>140</v>
      </c>
      <c r="H22" s="21" t="s">
        <v>42</v>
      </c>
      <c r="I22" s="21" t="s">
        <v>38</v>
      </c>
      <c r="J22" s="17" t="str">
        <f t="array" ref="J22">IFERROR(TEXT(INDEX(Sprints!$B$5:$B$7,MATCH(I22,Sprints!$A$5:$A$7,0)),"dd/mm")&amp;" – "&amp;TEXT(INDEX(Sprints!$C$5:$C$7,MATCH(I22,Sprints!$A$5:$A$7,0)),"dd/mm"),"")</f>
        <v>19/10 – 01/11</v>
      </c>
      <c r="K22" s="21" t="s">
        <v>56</v>
      </c>
      <c r="L22" s="21" t="s">
        <v>45</v>
      </c>
      <c r="M22" s="17" t="str">
        <f t="array" ref="M22">IFERROR(IF(AND(L22&lt;&gt;"Done",TODAY()&gt;INDEX(Sprints!$C$5:$C$7,MATCH(I22,Sprints!$A$5:$A$7,0))),"Trễ",""),"")</f>
        <v/>
      </c>
      <c r="N22" s="24"/>
      <c r="O22" s="24"/>
      <c r="P22" s="22"/>
    </row>
    <row r="23" ht="66.0" hidden="1" customHeight="1">
      <c r="A23" s="21" t="s">
        <v>141</v>
      </c>
      <c r="B23" s="21" t="s">
        <v>78</v>
      </c>
      <c r="C23" s="22" t="s">
        <v>79</v>
      </c>
      <c r="D23" s="22" t="s">
        <v>142</v>
      </c>
      <c r="E23" s="23" t="s">
        <v>143</v>
      </c>
      <c r="F23" s="21" t="s">
        <v>40</v>
      </c>
      <c r="G23" s="22" t="s">
        <v>144</v>
      </c>
      <c r="H23" s="21" t="s">
        <v>42</v>
      </c>
      <c r="I23" s="21" t="s">
        <v>38</v>
      </c>
      <c r="J23" s="17" t="str">
        <f t="array" ref="J23">IFERROR(TEXT(INDEX(Sprints!$B$5:$B$7,MATCH(I23,Sprints!$A$5:$A$7,0)),"dd/mm")&amp;" – "&amp;TEXT(INDEX(Sprints!$C$5:$C$7,MATCH(I23,Sprints!$A$5:$A$7,0)),"dd/mm"),"")</f>
        <v>19/10 – 01/11</v>
      </c>
      <c r="K23" s="21" t="s">
        <v>48</v>
      </c>
      <c r="L23" s="21" t="s">
        <v>45</v>
      </c>
      <c r="M23" s="17" t="str">
        <f t="array" ref="M23">IFERROR(IF(AND(L23&lt;&gt;"Done",TODAY()&gt;INDEX(Sprints!$C$5:$C$7,MATCH(I23,Sprints!$A$5:$A$7,0))),"Trễ",""),"")</f>
        <v/>
      </c>
      <c r="N23" s="24"/>
      <c r="O23" s="24"/>
      <c r="P23" s="22"/>
    </row>
    <row r="24" ht="55.5" hidden="1" customHeight="1">
      <c r="A24" s="21" t="s">
        <v>145</v>
      </c>
      <c r="B24" s="21" t="s">
        <v>78</v>
      </c>
      <c r="C24" s="22" t="s">
        <v>79</v>
      </c>
      <c r="D24" s="22" t="s">
        <v>142</v>
      </c>
      <c r="E24" s="23" t="s">
        <v>143</v>
      </c>
      <c r="F24" s="21" t="s">
        <v>53</v>
      </c>
      <c r="G24" s="22" t="s">
        <v>146</v>
      </c>
      <c r="H24" s="21" t="s">
        <v>42</v>
      </c>
      <c r="I24" s="21" t="s">
        <v>38</v>
      </c>
      <c r="J24" s="17" t="str">
        <f t="array" ref="J24">IFERROR(TEXT(INDEX(Sprints!$B$5:$B$7,MATCH(I24,Sprints!$A$5:$A$7,0)),"dd/mm")&amp;" – "&amp;TEXT(INDEX(Sprints!$C$5:$C$7,MATCH(I24,Sprints!$A$5:$A$7,0)),"dd/mm"),"")</f>
        <v>19/10 – 01/11</v>
      </c>
      <c r="K24" s="21" t="s">
        <v>56</v>
      </c>
      <c r="L24" s="21" t="s">
        <v>45</v>
      </c>
      <c r="M24" s="17" t="str">
        <f t="array" ref="M24">IFERROR(IF(AND(L24&lt;&gt;"Done",TODAY()&gt;INDEX(Sprints!$C$5:$C$7,MATCH(I24,Sprints!$A$5:$A$7,0))),"Trễ",""),"")</f>
        <v/>
      </c>
      <c r="N24" s="24"/>
      <c r="O24" s="24"/>
      <c r="P24" s="22"/>
    </row>
    <row r="25" ht="66.0" hidden="1" customHeight="1">
      <c r="A25" s="21" t="s">
        <v>147</v>
      </c>
      <c r="B25" s="21" t="s">
        <v>78</v>
      </c>
      <c r="C25" s="22" t="s">
        <v>79</v>
      </c>
      <c r="D25" s="22" t="s">
        <v>148</v>
      </c>
      <c r="E25" s="23" t="s">
        <v>149</v>
      </c>
      <c r="F25" s="21" t="s">
        <v>40</v>
      </c>
      <c r="G25" s="22" t="s">
        <v>150</v>
      </c>
      <c r="H25" s="21" t="s">
        <v>42</v>
      </c>
      <c r="I25" s="21" t="s">
        <v>38</v>
      </c>
      <c r="J25" s="17" t="str">
        <f t="array" ref="J25">IFERROR(TEXT(INDEX(Sprints!$B$5:$B$7,MATCH(I25,Sprints!$A$5:$A$7,0)),"dd/mm")&amp;" – "&amp;TEXT(INDEX(Sprints!$C$5:$C$7,MATCH(I25,Sprints!$A$5:$A$7,0)),"dd/mm"),"")</f>
        <v>19/10 – 01/11</v>
      </c>
      <c r="K25" s="21" t="s">
        <v>48</v>
      </c>
      <c r="L25" s="21" t="s">
        <v>45</v>
      </c>
      <c r="M25" s="17" t="str">
        <f t="array" ref="M25">IFERROR(IF(AND(L25&lt;&gt;"Done",TODAY()&gt;INDEX(Sprints!$C$5:$C$7,MATCH(I25,Sprints!$A$5:$A$7,0))),"Trễ",""),"")</f>
        <v/>
      </c>
      <c r="N25" s="24"/>
      <c r="O25" s="24"/>
      <c r="P25" s="22"/>
    </row>
    <row r="26" ht="66.0" hidden="1" customHeight="1">
      <c r="A26" s="21" t="s">
        <v>151</v>
      </c>
      <c r="B26" s="21" t="s">
        <v>78</v>
      </c>
      <c r="C26" s="22" t="s">
        <v>79</v>
      </c>
      <c r="D26" s="22" t="s">
        <v>148</v>
      </c>
      <c r="E26" s="23" t="s">
        <v>149</v>
      </c>
      <c r="F26" s="21" t="s">
        <v>53</v>
      </c>
      <c r="G26" s="22" t="s">
        <v>152</v>
      </c>
      <c r="H26" s="21" t="s">
        <v>42</v>
      </c>
      <c r="I26" s="21" t="s">
        <v>38</v>
      </c>
      <c r="J26" s="17" t="str">
        <f t="array" ref="J26">IFERROR(TEXT(INDEX(Sprints!$B$5:$B$7,MATCH(I26,Sprints!$A$5:$A$7,0)),"dd/mm")&amp;" – "&amp;TEXT(INDEX(Sprints!$C$5:$C$7,MATCH(I26,Sprints!$A$5:$A$7,0)),"dd/mm"),"")</f>
        <v>19/10 – 01/11</v>
      </c>
      <c r="K26" s="21" t="s">
        <v>56</v>
      </c>
      <c r="L26" s="21" t="s">
        <v>45</v>
      </c>
      <c r="M26" s="17" t="str">
        <f t="array" ref="M26">IFERROR(IF(AND(L26&lt;&gt;"Done",TODAY()&gt;INDEX(Sprints!$C$5:$C$7,MATCH(I26,Sprints!$A$5:$A$7,0))),"Trễ",""),"")</f>
        <v/>
      </c>
      <c r="N26" s="24"/>
      <c r="O26" s="24"/>
      <c r="P26" s="22"/>
    </row>
    <row r="27" ht="79.5" hidden="1" customHeight="1">
      <c r="A27" s="21" t="s">
        <v>153</v>
      </c>
      <c r="B27" s="21" t="s">
        <v>78</v>
      </c>
      <c r="C27" s="22" t="s">
        <v>79</v>
      </c>
      <c r="D27" s="22" t="s">
        <v>148</v>
      </c>
      <c r="E27" s="23" t="s">
        <v>154</v>
      </c>
      <c r="F27" s="21" t="s">
        <v>40</v>
      </c>
      <c r="G27" s="22" t="s">
        <v>155</v>
      </c>
      <c r="H27" s="21" t="s">
        <v>42</v>
      </c>
      <c r="I27" s="21" t="s">
        <v>38</v>
      </c>
      <c r="J27" s="17" t="str">
        <f t="array" ref="J27">IFERROR(TEXT(INDEX(Sprints!$B$5:$B$7,MATCH(I27,Sprints!$A$5:$A$7,0)),"dd/mm")&amp;" – "&amp;TEXT(INDEX(Sprints!$C$5:$C$7,MATCH(I27,Sprints!$A$5:$A$7,0)),"dd/mm"),"")</f>
        <v>19/10 – 01/11</v>
      </c>
      <c r="K27" s="21" t="s">
        <v>48</v>
      </c>
      <c r="L27" s="21" t="s">
        <v>45</v>
      </c>
      <c r="M27" s="17" t="str">
        <f t="array" ref="M27">IFERROR(IF(AND(L27&lt;&gt;"Done",TODAY()&gt;INDEX(Sprints!$C$5:$C$7,MATCH(I27,Sprints!$A$5:$A$7,0))),"Trễ",""),"")</f>
        <v/>
      </c>
      <c r="N27" s="24"/>
      <c r="O27" s="24"/>
      <c r="P27" s="22" t="s">
        <v>156</v>
      </c>
    </row>
    <row r="28" ht="66.0" hidden="1" customHeight="1">
      <c r="A28" s="21" t="s">
        <v>157</v>
      </c>
      <c r="B28" s="21" t="s">
        <v>78</v>
      </c>
      <c r="C28" s="22" t="s">
        <v>79</v>
      </c>
      <c r="D28" s="22" t="s">
        <v>148</v>
      </c>
      <c r="E28" s="23" t="s">
        <v>154</v>
      </c>
      <c r="F28" s="21" t="s">
        <v>53</v>
      </c>
      <c r="G28" s="22" t="s">
        <v>158</v>
      </c>
      <c r="H28" s="21" t="s">
        <v>42</v>
      </c>
      <c r="I28" s="21" t="s">
        <v>38</v>
      </c>
      <c r="J28" s="17" t="str">
        <f t="array" ref="J28">IFERROR(TEXT(INDEX(Sprints!$B$5:$B$7,MATCH(I28,Sprints!$A$5:$A$7,0)),"dd/mm")&amp;" – "&amp;TEXT(INDEX(Sprints!$C$5:$C$7,MATCH(I28,Sprints!$A$5:$A$7,0)),"dd/mm"),"")</f>
        <v>19/10 – 01/11</v>
      </c>
      <c r="K28" s="21" t="s">
        <v>59</v>
      </c>
      <c r="L28" s="21" t="s">
        <v>45</v>
      </c>
      <c r="M28" s="17" t="str">
        <f t="array" ref="M28">IFERROR(IF(AND(L28&lt;&gt;"Done",TODAY()&gt;INDEX(Sprints!$C$5:$C$7,MATCH(I28,Sprints!$A$5:$A$7,0))),"Trễ",""),"")</f>
        <v/>
      </c>
      <c r="N28" s="24"/>
      <c r="O28" s="24"/>
      <c r="P28" s="22" t="s">
        <v>156</v>
      </c>
    </row>
    <row r="29" ht="66.0" hidden="1" customHeight="1">
      <c r="A29" s="21" t="s">
        <v>163</v>
      </c>
      <c r="B29" s="21" t="s">
        <v>78</v>
      </c>
      <c r="C29" s="22" t="s">
        <v>79</v>
      </c>
      <c r="D29" s="22" t="s">
        <v>148</v>
      </c>
      <c r="E29" s="23" t="s">
        <v>164</v>
      </c>
      <c r="F29" s="21" t="s">
        <v>40</v>
      </c>
      <c r="G29" s="22" t="s">
        <v>165</v>
      </c>
      <c r="H29" s="21" t="s">
        <v>42</v>
      </c>
      <c r="I29" s="21" t="s">
        <v>38</v>
      </c>
      <c r="J29" s="17" t="str">
        <f t="array" ref="J29">IFERROR(TEXT(INDEX(Sprints!$B$5:$B$7,MATCH(I29,Sprints!$A$5:$A$7,0)),"dd/mm")&amp;" – "&amp;TEXT(INDEX(Sprints!$C$5:$C$7,MATCH(I29,Sprints!$A$5:$A$7,0)),"dd/mm"),"")</f>
        <v>19/10 – 01/11</v>
      </c>
      <c r="K29" s="21" t="s">
        <v>48</v>
      </c>
      <c r="L29" s="21" t="s">
        <v>45</v>
      </c>
      <c r="M29" s="17" t="str">
        <f t="array" ref="M29">IFERROR(IF(AND(L29&lt;&gt;"Done",TODAY()&gt;INDEX(Sprints!$C$5:$C$7,MATCH(I29,Sprints!$A$5:$A$7,0))),"Trễ",""),"")</f>
        <v/>
      </c>
      <c r="N29" s="24"/>
      <c r="O29" s="24"/>
      <c r="P29" s="22" t="s">
        <v>156</v>
      </c>
    </row>
    <row r="30" ht="66.0" customHeight="1">
      <c r="A30" s="21" t="s">
        <v>168</v>
      </c>
      <c r="B30" s="21" t="s">
        <v>78</v>
      </c>
      <c r="C30" s="22" t="s">
        <v>79</v>
      </c>
      <c r="D30" s="22" t="s">
        <v>148</v>
      </c>
      <c r="E30" s="23" t="s">
        <v>164</v>
      </c>
      <c r="F30" s="21" t="s">
        <v>68</v>
      </c>
      <c r="G30" s="22" t="s">
        <v>169</v>
      </c>
      <c r="H30" s="21" t="s">
        <v>42</v>
      </c>
      <c r="I30" s="21" t="s">
        <v>38</v>
      </c>
      <c r="J30" s="17" t="str">
        <f t="array" ref="J30">IFERROR(TEXT(INDEX(Sprints!$B$5:$B$7,MATCH(I30,Sprints!$A$5:$A$7,0)),"dd/mm")&amp;" – "&amp;TEXT(INDEX(Sprints!$C$5:$C$7,MATCH(I30,Sprints!$A$5:$A$7,0)),"dd/mm"),"")</f>
        <v>19/10 – 01/11</v>
      </c>
      <c r="K30" s="21" t="s">
        <v>59</v>
      </c>
      <c r="L30" s="21" t="s">
        <v>45</v>
      </c>
      <c r="M30" s="17" t="str">
        <f t="array" ref="M30">IFERROR(IF(AND(L30&lt;&gt;"Done",TODAY()&gt;INDEX(Sprints!$C$5:$C$7,MATCH(I30,Sprints!$A$5:$A$7,0))),"Trễ",""),"")</f>
        <v/>
      </c>
      <c r="N30" s="24"/>
      <c r="O30" s="24"/>
      <c r="P30" s="22" t="s">
        <v>156</v>
      </c>
    </row>
    <row r="31" ht="79.5" hidden="1" customHeight="1">
      <c r="A31" s="21" t="s">
        <v>170</v>
      </c>
      <c r="B31" s="21" t="s">
        <v>78</v>
      </c>
      <c r="C31" s="22" t="s">
        <v>79</v>
      </c>
      <c r="D31" s="22" t="s">
        <v>148</v>
      </c>
      <c r="E31" s="23" t="s">
        <v>171</v>
      </c>
      <c r="F31" s="21" t="s">
        <v>40</v>
      </c>
      <c r="G31" s="22" t="s">
        <v>172</v>
      </c>
      <c r="H31" s="21" t="s">
        <v>87</v>
      </c>
      <c r="I31" s="21" t="s">
        <v>38</v>
      </c>
      <c r="J31" s="17" t="str">
        <f t="array" ref="J31">IFERROR(TEXT(INDEX(Sprints!$B$5:$B$7,MATCH(I31,Sprints!$A$5:$A$7,0)),"dd/mm")&amp;" – "&amp;TEXT(INDEX(Sprints!$C$5:$C$7,MATCH(I31,Sprints!$A$5:$A$7,0)),"dd/mm"),"")</f>
        <v>19/10 – 01/11</v>
      </c>
      <c r="K31" s="21" t="s">
        <v>48</v>
      </c>
      <c r="L31" s="21" t="s">
        <v>45</v>
      </c>
      <c r="M31" s="17" t="str">
        <f t="array" ref="M31">IFERROR(IF(AND(L31&lt;&gt;"Done",TODAY()&gt;INDEX(Sprints!$C$5:$C$7,MATCH(I31,Sprints!$A$5:$A$7,0))),"Trễ",""),"")</f>
        <v/>
      </c>
      <c r="N31" s="24"/>
      <c r="O31" s="24"/>
      <c r="P31" s="22" t="s">
        <v>156</v>
      </c>
    </row>
    <row r="32" ht="66.0" hidden="1" customHeight="1">
      <c r="A32" s="21" t="s">
        <v>173</v>
      </c>
      <c r="B32" s="21" t="s">
        <v>78</v>
      </c>
      <c r="C32" s="22" t="s">
        <v>79</v>
      </c>
      <c r="D32" s="22" t="s">
        <v>148</v>
      </c>
      <c r="E32" s="23" t="s">
        <v>171</v>
      </c>
      <c r="F32" s="21" t="s">
        <v>53</v>
      </c>
      <c r="G32" s="22" t="s">
        <v>174</v>
      </c>
      <c r="H32" s="21" t="s">
        <v>87</v>
      </c>
      <c r="I32" s="21" t="s">
        <v>38</v>
      </c>
      <c r="J32" s="17" t="str">
        <f t="array" ref="J32">IFERROR(TEXT(INDEX(Sprints!$B$5:$B$7,MATCH(I32,Sprints!$A$5:$A$7,0)),"dd/mm")&amp;" – "&amp;TEXT(INDEX(Sprints!$C$5:$C$7,MATCH(I32,Sprints!$A$5:$A$7,0)),"dd/mm"),"")</f>
        <v>19/10 – 01/11</v>
      </c>
      <c r="K32" s="21" t="s">
        <v>59</v>
      </c>
      <c r="L32" s="21" t="s">
        <v>45</v>
      </c>
      <c r="M32" s="17" t="str">
        <f t="array" ref="M32">IFERROR(IF(AND(L32&lt;&gt;"Done",TODAY()&gt;INDEX(Sprints!$C$5:$C$7,MATCH(I32,Sprints!$A$5:$A$7,0))),"Trễ",""),"")</f>
        <v/>
      </c>
      <c r="N32" s="24"/>
      <c r="O32" s="24"/>
      <c r="P32" s="22" t="s">
        <v>156</v>
      </c>
    </row>
    <row r="33" ht="79.5" customHeight="1">
      <c r="A33" s="21" t="s">
        <v>177</v>
      </c>
      <c r="B33" s="21" t="s">
        <v>78</v>
      </c>
      <c r="C33" s="22" t="s">
        <v>79</v>
      </c>
      <c r="D33" s="22" t="s">
        <v>148</v>
      </c>
      <c r="E33" s="23" t="s">
        <v>171</v>
      </c>
      <c r="F33" s="21" t="s">
        <v>68</v>
      </c>
      <c r="G33" s="22" t="s">
        <v>181</v>
      </c>
      <c r="H33" s="21" t="s">
        <v>87</v>
      </c>
      <c r="I33" s="21" t="s">
        <v>38</v>
      </c>
      <c r="J33" s="17" t="str">
        <f t="array" ref="J33">IFERROR(TEXT(INDEX(Sprints!$B$5:$B$7,MATCH(I33,Sprints!$A$5:$A$7,0)),"dd/mm")&amp;" – "&amp;TEXT(INDEX(Sprints!$C$5:$C$7,MATCH(I33,Sprints!$A$5:$A$7,0)),"dd/mm"),"")</f>
        <v>19/10 – 01/11</v>
      </c>
      <c r="K33" s="21" t="s">
        <v>59</v>
      </c>
      <c r="L33" s="21" t="s">
        <v>45</v>
      </c>
      <c r="M33" s="17" t="str">
        <f t="array" ref="M33">IFERROR(IF(AND(L33&lt;&gt;"Done",TODAY()&gt;INDEX(Sprints!$C$5:$C$7,MATCH(I33,Sprints!$A$5:$A$7,0))),"Trễ",""),"")</f>
        <v/>
      </c>
      <c r="N33" s="24"/>
      <c r="O33" s="24"/>
      <c r="P33" s="22" t="s">
        <v>156</v>
      </c>
    </row>
    <row r="34" ht="93.75" hidden="1" customHeight="1">
      <c r="A34" s="21" t="s">
        <v>182</v>
      </c>
      <c r="B34" s="21" t="s">
        <v>78</v>
      </c>
      <c r="C34" s="22" t="s">
        <v>79</v>
      </c>
      <c r="D34" s="22" t="s">
        <v>148</v>
      </c>
      <c r="E34" s="23" t="s">
        <v>183</v>
      </c>
      <c r="F34" s="21" t="s">
        <v>40</v>
      </c>
      <c r="G34" s="22" t="s">
        <v>184</v>
      </c>
      <c r="H34" s="21" t="s">
        <v>42</v>
      </c>
      <c r="I34" s="21" t="s">
        <v>38</v>
      </c>
      <c r="J34" s="17" t="str">
        <f t="array" ref="J34">IFERROR(TEXT(INDEX(Sprints!$B$5:$B$7,MATCH(I34,Sprints!$A$5:$A$7,0)),"dd/mm")&amp;" – "&amp;TEXT(INDEX(Sprints!$C$5:$C$7,MATCH(I34,Sprints!$A$5:$A$7,0)),"dd/mm"),"")</f>
        <v>19/10 – 01/11</v>
      </c>
      <c r="K34" s="21" t="s">
        <v>48</v>
      </c>
      <c r="L34" s="21" t="s">
        <v>45</v>
      </c>
      <c r="M34" s="17" t="str">
        <f t="array" ref="M34">IFERROR(IF(AND(L34&lt;&gt;"Done",TODAY()&gt;INDEX(Sprints!$C$5:$C$7,MATCH(I34,Sprints!$A$5:$A$7,0))),"Trễ",""),"")</f>
        <v/>
      </c>
      <c r="N34" s="24"/>
      <c r="O34" s="24"/>
      <c r="P34" s="22" t="s">
        <v>156</v>
      </c>
    </row>
    <row r="35" ht="79.5" hidden="1" customHeight="1">
      <c r="A35" s="21" t="s">
        <v>185</v>
      </c>
      <c r="B35" s="21" t="s">
        <v>78</v>
      </c>
      <c r="C35" s="22" t="s">
        <v>79</v>
      </c>
      <c r="D35" s="22" t="s">
        <v>148</v>
      </c>
      <c r="E35" s="23" t="s">
        <v>183</v>
      </c>
      <c r="F35" s="21" t="s">
        <v>53</v>
      </c>
      <c r="G35" s="22" t="s">
        <v>186</v>
      </c>
      <c r="H35" s="21" t="s">
        <v>42</v>
      </c>
      <c r="I35" s="21" t="s">
        <v>38</v>
      </c>
      <c r="J35" s="17" t="str">
        <f t="array" ref="J35">IFERROR(TEXT(INDEX(Sprints!$B$5:$B$7,MATCH(I35,Sprints!$A$5:$A$7,0)),"dd/mm")&amp;" – "&amp;TEXT(INDEX(Sprints!$C$5:$C$7,MATCH(I35,Sprints!$A$5:$A$7,0)),"dd/mm"),"")</f>
        <v>19/10 – 01/11</v>
      </c>
      <c r="K35" s="21" t="s">
        <v>59</v>
      </c>
      <c r="L35" s="21" t="s">
        <v>45</v>
      </c>
      <c r="M35" s="17" t="str">
        <f t="array" ref="M35">IFERROR(IF(AND(L35&lt;&gt;"Done",TODAY()&gt;INDEX(Sprints!$C$5:$C$7,MATCH(I35,Sprints!$A$5:$A$7,0))),"Trễ",""),"")</f>
        <v/>
      </c>
      <c r="N35" s="24"/>
      <c r="O35" s="24"/>
      <c r="P35" s="22" t="s">
        <v>156</v>
      </c>
    </row>
    <row r="36" ht="66.0" hidden="1" customHeight="1">
      <c r="A36" s="21" t="s">
        <v>187</v>
      </c>
      <c r="B36" s="21" t="s">
        <v>78</v>
      </c>
      <c r="C36" s="22" t="s">
        <v>79</v>
      </c>
      <c r="D36" s="22" t="s">
        <v>148</v>
      </c>
      <c r="E36" s="23" t="s">
        <v>188</v>
      </c>
      <c r="F36" s="21" t="s">
        <v>40</v>
      </c>
      <c r="G36" s="22" t="s">
        <v>189</v>
      </c>
      <c r="H36" s="21" t="s">
        <v>42</v>
      </c>
      <c r="I36" s="21" t="s">
        <v>38</v>
      </c>
      <c r="J36" s="17" t="str">
        <f t="array" ref="J36">IFERROR(TEXT(INDEX(Sprints!$B$5:$B$7,MATCH(I36,Sprints!$A$5:$A$7,0)),"dd/mm")&amp;" – "&amp;TEXT(INDEX(Sprints!$C$5:$C$7,MATCH(I36,Sprints!$A$5:$A$7,0)),"dd/mm"),"")</f>
        <v>19/10 – 01/11</v>
      </c>
      <c r="K36" s="21" t="s">
        <v>48</v>
      </c>
      <c r="L36" s="21" t="s">
        <v>45</v>
      </c>
      <c r="M36" s="17" t="str">
        <f t="array" ref="M36">IFERROR(IF(AND(L36&lt;&gt;"Done",TODAY()&gt;INDEX(Sprints!$C$5:$C$7,MATCH(I36,Sprints!$A$5:$A$7,0))),"Trễ",""),"")</f>
        <v/>
      </c>
      <c r="N36" s="24"/>
      <c r="O36" s="24"/>
      <c r="P36" s="22"/>
    </row>
    <row r="37" ht="66.0" hidden="1" customHeight="1">
      <c r="A37" s="21" t="s">
        <v>190</v>
      </c>
      <c r="B37" s="21" t="s">
        <v>78</v>
      </c>
      <c r="C37" s="22" t="s">
        <v>79</v>
      </c>
      <c r="D37" s="22" t="s">
        <v>148</v>
      </c>
      <c r="E37" s="23" t="s">
        <v>188</v>
      </c>
      <c r="F37" s="21" t="s">
        <v>53</v>
      </c>
      <c r="G37" s="22" t="s">
        <v>191</v>
      </c>
      <c r="H37" s="21" t="s">
        <v>42</v>
      </c>
      <c r="I37" s="21" t="s">
        <v>38</v>
      </c>
      <c r="J37" s="17" t="str">
        <f t="array" ref="J37">IFERROR(TEXT(INDEX(Sprints!$B$5:$B$7,MATCH(I37,Sprints!$A$5:$A$7,0)),"dd/mm")&amp;" – "&amp;TEXT(INDEX(Sprints!$C$5:$C$7,MATCH(I37,Sprints!$A$5:$A$7,0)),"dd/mm"),"")</f>
        <v>19/10 – 01/11</v>
      </c>
      <c r="K37" s="21" t="s">
        <v>56</v>
      </c>
      <c r="L37" s="21" t="s">
        <v>45</v>
      </c>
      <c r="M37" s="17" t="str">
        <f t="array" ref="M37">IFERROR(IF(AND(L37&lt;&gt;"Done",TODAY()&gt;INDEX(Sprints!$C$5:$C$7,MATCH(I37,Sprints!$A$5:$A$7,0))),"Trễ",""),"")</f>
        <v/>
      </c>
      <c r="N37" s="24"/>
      <c r="O37" s="24"/>
      <c r="P37" s="22"/>
    </row>
    <row r="38" ht="66.0" hidden="1" customHeight="1">
      <c r="A38" s="7" t="s">
        <v>192</v>
      </c>
      <c r="B38" s="7" t="s">
        <v>193</v>
      </c>
      <c r="C38" s="9" t="s">
        <v>194</v>
      </c>
      <c r="D38" s="9" t="s">
        <v>195</v>
      </c>
      <c r="E38" s="12" t="s">
        <v>196</v>
      </c>
      <c r="F38" s="7" t="s">
        <v>40</v>
      </c>
      <c r="G38" s="9" t="s">
        <v>197</v>
      </c>
      <c r="H38" s="7" t="s">
        <v>42</v>
      </c>
      <c r="I38" s="7" t="s">
        <v>38</v>
      </c>
      <c r="J38" s="17" t="str">
        <f t="array" ref="J38">IFERROR(TEXT(INDEX(Sprints!$B$5:$B$7,MATCH(I38,Sprints!$A$5:$A$7,0)),"dd/mm")&amp;" – "&amp;TEXT(INDEX(Sprints!$C$5:$C$7,MATCH(I38,Sprints!$A$5:$A$7,0)),"dd/mm"),"")</f>
        <v>19/10 – 01/11</v>
      </c>
      <c r="K38" s="7" t="s">
        <v>25</v>
      </c>
      <c r="L38" s="7" t="s">
        <v>45</v>
      </c>
      <c r="M38" s="17" t="str">
        <f t="array" ref="M38">IFERROR(IF(AND(L38&lt;&gt;"Done",TODAY()&gt;INDEX(Sprints!$C$5:$C$7,MATCH(I38,Sprints!$A$5:$A$7,0))),"Trễ",""),"")</f>
        <v/>
      </c>
      <c r="N38" s="20"/>
      <c r="O38" s="20"/>
      <c r="P38" s="9"/>
    </row>
    <row r="39" ht="66.0" hidden="1" customHeight="1">
      <c r="A39" s="7" t="s">
        <v>199</v>
      </c>
      <c r="B39" s="7" t="s">
        <v>193</v>
      </c>
      <c r="C39" s="9" t="s">
        <v>194</v>
      </c>
      <c r="D39" s="9" t="s">
        <v>195</v>
      </c>
      <c r="E39" s="12" t="s">
        <v>196</v>
      </c>
      <c r="F39" s="7" t="s">
        <v>53</v>
      </c>
      <c r="G39" s="9" t="s">
        <v>200</v>
      </c>
      <c r="H39" s="7" t="s">
        <v>42</v>
      </c>
      <c r="I39" s="7" t="s">
        <v>38</v>
      </c>
      <c r="J39" s="17" t="str">
        <f t="array" ref="J39">IFERROR(TEXT(INDEX(Sprints!$B$5:$B$7,MATCH(I39,Sprints!$A$5:$A$7,0)),"dd/mm")&amp;" – "&amp;TEXT(INDEX(Sprints!$C$5:$C$7,MATCH(I39,Sprints!$A$5:$A$7,0)),"dd/mm"),"")</f>
        <v>19/10 – 01/11</v>
      </c>
      <c r="K39" s="7" t="s">
        <v>25</v>
      </c>
      <c r="L39" s="7" t="s">
        <v>45</v>
      </c>
      <c r="M39" s="17" t="str">
        <f t="array" ref="M39">IFERROR(IF(AND(L39&lt;&gt;"Done",TODAY()&gt;INDEX(Sprints!$C$5:$C$7,MATCH(I39,Sprints!$A$5:$A$7,0))),"Trễ",""),"")</f>
        <v/>
      </c>
      <c r="N39" s="20"/>
      <c r="O39" s="20"/>
      <c r="P39" s="9"/>
    </row>
    <row r="40" ht="79.5" hidden="1" customHeight="1">
      <c r="A40" s="7" t="s">
        <v>202</v>
      </c>
      <c r="B40" s="7" t="s">
        <v>193</v>
      </c>
      <c r="C40" s="9" t="s">
        <v>194</v>
      </c>
      <c r="D40" s="9" t="s">
        <v>195</v>
      </c>
      <c r="E40" s="12" t="s">
        <v>203</v>
      </c>
      <c r="F40" s="7" t="s">
        <v>40</v>
      </c>
      <c r="G40" s="9" t="s">
        <v>204</v>
      </c>
      <c r="H40" s="7" t="s">
        <v>42</v>
      </c>
      <c r="I40" s="7" t="s">
        <v>38</v>
      </c>
      <c r="J40" s="17" t="str">
        <f t="array" ref="J40">IFERROR(TEXT(INDEX(Sprints!$B$5:$B$7,MATCH(I40,Sprints!$A$5:$A$7,0)),"dd/mm")&amp;" – "&amp;TEXT(INDEX(Sprints!$C$5:$C$7,MATCH(I40,Sprints!$A$5:$A$7,0)),"dd/mm"),"")</f>
        <v>19/10 – 01/11</v>
      </c>
      <c r="K40" s="7" t="s">
        <v>48</v>
      </c>
      <c r="L40" s="7" t="s">
        <v>45</v>
      </c>
      <c r="M40" s="17" t="str">
        <f t="array" ref="M40">IFERROR(IF(AND(L40&lt;&gt;"Done",TODAY()&gt;INDEX(Sprints!$C$5:$C$7,MATCH(I40,Sprints!$A$5:$A$7,0))),"Trễ",""),"")</f>
        <v/>
      </c>
      <c r="N40" s="20"/>
      <c r="O40" s="20"/>
      <c r="P40" s="9" t="s">
        <v>205</v>
      </c>
    </row>
    <row r="41" ht="66.0" customHeight="1">
      <c r="A41" s="7" t="s">
        <v>206</v>
      </c>
      <c r="B41" s="7" t="s">
        <v>193</v>
      </c>
      <c r="C41" s="9" t="s">
        <v>194</v>
      </c>
      <c r="D41" s="9" t="s">
        <v>195</v>
      </c>
      <c r="E41" s="12" t="s">
        <v>203</v>
      </c>
      <c r="F41" s="7" t="s">
        <v>68</v>
      </c>
      <c r="G41" s="9" t="s">
        <v>207</v>
      </c>
      <c r="H41" s="7" t="s">
        <v>42</v>
      </c>
      <c r="I41" s="7" t="s">
        <v>38</v>
      </c>
      <c r="J41" s="17" t="str">
        <f t="array" ref="J41">IFERROR(TEXT(INDEX(Sprints!$B$5:$B$7,MATCH(I41,Sprints!$A$5:$A$7,0)),"dd/mm")&amp;" – "&amp;TEXT(INDEX(Sprints!$C$5:$C$7,MATCH(I41,Sprints!$A$5:$A$7,0)),"dd/mm"),"")</f>
        <v>19/10 – 01/11</v>
      </c>
      <c r="K41" s="7" t="s">
        <v>59</v>
      </c>
      <c r="L41" s="7" t="s">
        <v>45</v>
      </c>
      <c r="M41" s="17" t="str">
        <f t="array" ref="M41">IFERROR(IF(AND(L41&lt;&gt;"Done",TODAY()&gt;INDEX(Sprints!$C$5:$C$7,MATCH(I41,Sprints!$A$5:$A$7,0))),"Trễ",""),"")</f>
        <v/>
      </c>
      <c r="N41" s="20"/>
      <c r="O41" s="20"/>
      <c r="P41" s="9" t="s">
        <v>205</v>
      </c>
    </row>
    <row r="42" ht="79.5" customHeight="1">
      <c r="A42" s="7" t="s">
        <v>208</v>
      </c>
      <c r="B42" s="7" t="s">
        <v>193</v>
      </c>
      <c r="C42" s="9" t="s">
        <v>194</v>
      </c>
      <c r="D42" s="9" t="s">
        <v>195</v>
      </c>
      <c r="E42" s="12" t="s">
        <v>209</v>
      </c>
      <c r="F42" s="7" t="s">
        <v>68</v>
      </c>
      <c r="G42" s="9" t="s">
        <v>210</v>
      </c>
      <c r="H42" s="7" t="s">
        <v>42</v>
      </c>
      <c r="I42" s="7" t="s">
        <v>38</v>
      </c>
      <c r="J42" s="17" t="str">
        <f t="array" ref="J42">IFERROR(TEXT(INDEX(Sprints!$B$5:$B$7,MATCH(I42,Sprints!$A$5:$A$7,0)),"dd/mm")&amp;" – "&amp;TEXT(INDEX(Sprints!$C$5:$C$7,MATCH(I42,Sprints!$A$5:$A$7,0)),"dd/mm"),"")</f>
        <v>19/10 – 01/11</v>
      </c>
      <c r="K42" s="7" t="s">
        <v>59</v>
      </c>
      <c r="L42" s="7" t="s">
        <v>45</v>
      </c>
      <c r="M42" s="17" t="str">
        <f t="array" ref="M42">IFERROR(IF(AND(L42&lt;&gt;"Done",TODAY()&gt;INDEX(Sprints!$C$5:$C$7,MATCH(I42,Sprints!$A$5:$A$7,0))),"Trễ",""),"")</f>
        <v/>
      </c>
      <c r="N42" s="20"/>
      <c r="O42" s="20"/>
      <c r="P42" s="9"/>
    </row>
    <row r="43" ht="79.5" hidden="1" customHeight="1">
      <c r="A43" s="7" t="s">
        <v>211</v>
      </c>
      <c r="B43" s="7" t="s">
        <v>193</v>
      </c>
      <c r="C43" s="9" t="s">
        <v>194</v>
      </c>
      <c r="D43" s="9" t="s">
        <v>212</v>
      </c>
      <c r="E43" s="12" t="s">
        <v>213</v>
      </c>
      <c r="F43" s="7" t="s">
        <v>40</v>
      </c>
      <c r="G43" s="9" t="s">
        <v>214</v>
      </c>
      <c r="H43" s="7" t="s">
        <v>42</v>
      </c>
      <c r="I43" s="7" t="s">
        <v>38</v>
      </c>
      <c r="J43" s="17" t="str">
        <f t="array" ref="J43">IFERROR(TEXT(INDEX(Sprints!$B$5:$B$7,MATCH(I43,Sprints!$A$5:$A$7,0)),"dd/mm")&amp;" – "&amp;TEXT(INDEX(Sprints!$C$5:$C$7,MATCH(I43,Sprints!$A$5:$A$7,0)),"dd/mm"),"")</f>
        <v>19/10 – 01/11</v>
      </c>
      <c r="K43" s="7" t="s">
        <v>48</v>
      </c>
      <c r="L43" s="7" t="s">
        <v>45</v>
      </c>
      <c r="M43" s="17" t="str">
        <f t="array" ref="M43">IFERROR(IF(AND(L43&lt;&gt;"Done",TODAY()&gt;INDEX(Sprints!$C$5:$C$7,MATCH(I43,Sprints!$A$5:$A$7,0))),"Trễ",""),"")</f>
        <v/>
      </c>
      <c r="N43" s="20"/>
      <c r="O43" s="20"/>
      <c r="P43" s="9"/>
    </row>
    <row r="44" ht="79.5" customHeight="1">
      <c r="A44" s="7" t="s">
        <v>215</v>
      </c>
      <c r="B44" s="7" t="s">
        <v>193</v>
      </c>
      <c r="C44" s="9" t="s">
        <v>194</v>
      </c>
      <c r="D44" s="9" t="s">
        <v>212</v>
      </c>
      <c r="E44" s="12" t="s">
        <v>213</v>
      </c>
      <c r="F44" s="7" t="s">
        <v>68</v>
      </c>
      <c r="G44" s="9" t="s">
        <v>216</v>
      </c>
      <c r="H44" s="7" t="s">
        <v>42</v>
      </c>
      <c r="I44" s="7" t="s">
        <v>38</v>
      </c>
      <c r="J44" s="17" t="str">
        <f t="array" ref="J44">IFERROR(TEXT(INDEX(Sprints!$B$5:$B$7,MATCH(I44,Sprints!$A$5:$A$7,0)),"dd/mm")&amp;" – "&amp;TEXT(INDEX(Sprints!$C$5:$C$7,MATCH(I44,Sprints!$A$5:$A$7,0)),"dd/mm"),"")</f>
        <v>19/10 – 01/11</v>
      </c>
      <c r="K44" s="7" t="s">
        <v>56</v>
      </c>
      <c r="L44" s="7" t="s">
        <v>45</v>
      </c>
      <c r="M44" s="17" t="str">
        <f t="array" ref="M44">IFERROR(IF(AND(L44&lt;&gt;"Done",TODAY()&gt;INDEX(Sprints!$C$5:$C$7,MATCH(I44,Sprints!$A$5:$A$7,0))),"Trễ",""),"")</f>
        <v/>
      </c>
      <c r="N44" s="20"/>
      <c r="O44" s="20"/>
      <c r="P44" s="9"/>
    </row>
    <row r="45" ht="66.0" hidden="1" customHeight="1">
      <c r="A45" s="7" t="s">
        <v>217</v>
      </c>
      <c r="B45" s="7" t="s">
        <v>193</v>
      </c>
      <c r="C45" s="9" t="s">
        <v>194</v>
      </c>
      <c r="D45" s="9" t="s">
        <v>212</v>
      </c>
      <c r="E45" s="12" t="s">
        <v>218</v>
      </c>
      <c r="F45" s="7" t="s">
        <v>40</v>
      </c>
      <c r="G45" s="9" t="s">
        <v>219</v>
      </c>
      <c r="H45" s="7" t="s">
        <v>42</v>
      </c>
      <c r="I45" s="7" t="s">
        <v>38</v>
      </c>
      <c r="J45" s="17" t="str">
        <f t="array" ref="J45">IFERROR(TEXT(INDEX(Sprints!$B$5:$B$7,MATCH(I45,Sprints!$A$5:$A$7,0)),"dd/mm")&amp;" – "&amp;TEXT(INDEX(Sprints!$C$5:$C$7,MATCH(I45,Sprints!$A$5:$A$7,0)),"dd/mm"),"")</f>
        <v>19/10 – 01/11</v>
      </c>
      <c r="K45" s="7" t="s">
        <v>48</v>
      </c>
      <c r="L45" s="7" t="s">
        <v>45</v>
      </c>
      <c r="M45" s="17" t="str">
        <f t="array" ref="M45">IFERROR(IF(AND(L45&lt;&gt;"Done",TODAY()&gt;INDEX(Sprints!$C$5:$C$7,MATCH(I45,Sprints!$A$5:$A$7,0))),"Trễ",""),"")</f>
        <v/>
      </c>
      <c r="N45" s="20"/>
      <c r="O45" s="20"/>
      <c r="P45" s="9" t="s">
        <v>83</v>
      </c>
    </row>
    <row r="46" ht="66.0" customHeight="1">
      <c r="A46" s="7" t="s">
        <v>220</v>
      </c>
      <c r="B46" s="7" t="s">
        <v>193</v>
      </c>
      <c r="C46" s="9" t="s">
        <v>194</v>
      </c>
      <c r="D46" s="9" t="s">
        <v>212</v>
      </c>
      <c r="E46" s="12" t="s">
        <v>218</v>
      </c>
      <c r="F46" s="7" t="s">
        <v>68</v>
      </c>
      <c r="G46" s="9" t="s">
        <v>221</v>
      </c>
      <c r="H46" s="7" t="s">
        <v>42</v>
      </c>
      <c r="I46" s="7" t="s">
        <v>38</v>
      </c>
      <c r="J46" s="17" t="str">
        <f t="array" ref="J46">IFERROR(TEXT(INDEX(Sprints!$B$5:$B$7,MATCH(I46,Sprints!$A$5:$A$7,0)),"dd/mm")&amp;" – "&amp;TEXT(INDEX(Sprints!$C$5:$C$7,MATCH(I46,Sprints!$A$5:$A$7,0)),"dd/mm"),"")</f>
        <v>19/10 – 01/11</v>
      </c>
      <c r="K46" s="7" t="s">
        <v>56</v>
      </c>
      <c r="L46" s="7" t="s">
        <v>45</v>
      </c>
      <c r="M46" s="17" t="str">
        <f t="array" ref="M46">IFERROR(IF(AND(L46&lt;&gt;"Done",TODAY()&gt;INDEX(Sprints!$C$5:$C$7,MATCH(I46,Sprints!$A$5:$A$7,0))),"Trễ",""),"")</f>
        <v/>
      </c>
      <c r="N46" s="20"/>
      <c r="O46" s="20"/>
      <c r="P46" s="9" t="s">
        <v>83</v>
      </c>
    </row>
    <row r="47" ht="79.5" hidden="1" customHeight="1">
      <c r="A47" s="7" t="s">
        <v>223</v>
      </c>
      <c r="B47" s="7" t="s">
        <v>193</v>
      </c>
      <c r="C47" s="9" t="s">
        <v>194</v>
      </c>
      <c r="D47" s="9" t="s">
        <v>212</v>
      </c>
      <c r="E47" s="12" t="s">
        <v>224</v>
      </c>
      <c r="F47" s="7" t="s">
        <v>40</v>
      </c>
      <c r="G47" s="9" t="s">
        <v>225</v>
      </c>
      <c r="H47" s="7" t="s">
        <v>42</v>
      </c>
      <c r="I47" s="7" t="s">
        <v>47</v>
      </c>
      <c r="J47" s="17" t="str">
        <f t="array" ref="J47">IFERROR(TEXT(INDEX(Sprints!$B$5:$B$7,MATCH(I47,Sprints!$A$5:$A$7,0)),"dd/mm")&amp;" – "&amp;TEXT(INDEX(Sprints!$C$5:$C$7,MATCH(I47,Sprints!$A$5:$A$7,0)),"dd/mm"),"")</f>
        <v>02/11 – 15/11</v>
      </c>
      <c r="K47" s="7" t="s">
        <v>48</v>
      </c>
      <c r="L47" s="7" t="s">
        <v>45</v>
      </c>
      <c r="M47" s="17" t="str">
        <f t="array" ref="M47">IFERROR(IF(AND(L47&lt;&gt;"Done",TODAY()&gt;INDEX(Sprints!$C$5:$C$7,MATCH(I47,Sprints!$A$5:$A$7,0))),"Trễ",""),"")</f>
        <v/>
      </c>
      <c r="N47" s="20"/>
      <c r="O47" s="20"/>
      <c r="P47" s="9"/>
    </row>
    <row r="48" ht="66.0" customHeight="1">
      <c r="A48" s="7" t="s">
        <v>226</v>
      </c>
      <c r="B48" s="7" t="s">
        <v>193</v>
      </c>
      <c r="C48" s="9" t="s">
        <v>194</v>
      </c>
      <c r="D48" s="9" t="s">
        <v>212</v>
      </c>
      <c r="E48" s="12" t="s">
        <v>224</v>
      </c>
      <c r="F48" s="7" t="s">
        <v>68</v>
      </c>
      <c r="G48" s="9" t="s">
        <v>227</v>
      </c>
      <c r="H48" s="7" t="s">
        <v>42</v>
      </c>
      <c r="I48" s="7" t="s">
        <v>47</v>
      </c>
      <c r="J48" s="17" t="str">
        <f t="array" ref="J48">IFERROR(TEXT(INDEX(Sprints!$B$5:$B$7,MATCH(I48,Sprints!$A$5:$A$7,0)),"dd/mm")&amp;" – "&amp;TEXT(INDEX(Sprints!$C$5:$C$7,MATCH(I48,Sprints!$A$5:$A$7,0)),"dd/mm"),"")</f>
        <v>02/11 – 15/11</v>
      </c>
      <c r="K48" s="7" t="s">
        <v>56</v>
      </c>
      <c r="L48" s="7" t="s">
        <v>45</v>
      </c>
      <c r="M48" s="17" t="str">
        <f t="array" ref="M48">IFERROR(IF(AND(L48&lt;&gt;"Done",TODAY()&gt;INDEX(Sprints!$C$5:$C$7,MATCH(I48,Sprints!$A$5:$A$7,0))),"Trễ",""),"")</f>
        <v/>
      </c>
      <c r="N48" s="20"/>
      <c r="O48" s="20"/>
      <c r="P48" s="9"/>
    </row>
    <row r="49" ht="93.75" hidden="1" customHeight="1">
      <c r="A49" s="7" t="s">
        <v>230</v>
      </c>
      <c r="B49" s="7" t="s">
        <v>193</v>
      </c>
      <c r="C49" s="9" t="s">
        <v>194</v>
      </c>
      <c r="D49" s="9" t="s">
        <v>212</v>
      </c>
      <c r="E49" s="12" t="s">
        <v>231</v>
      </c>
      <c r="F49" s="7" t="s">
        <v>40</v>
      </c>
      <c r="G49" s="9" t="s">
        <v>232</v>
      </c>
      <c r="H49" s="7" t="s">
        <v>42</v>
      </c>
      <c r="I49" s="7" t="s">
        <v>47</v>
      </c>
      <c r="J49" s="17" t="str">
        <f t="array" ref="J49">IFERROR(TEXT(INDEX(Sprints!$B$5:$B$7,MATCH(I49,Sprints!$A$5:$A$7,0)),"dd/mm")&amp;" – "&amp;TEXT(INDEX(Sprints!$C$5:$C$7,MATCH(I49,Sprints!$A$5:$A$7,0)),"dd/mm"),"")</f>
        <v>02/11 – 15/11</v>
      </c>
      <c r="K49" s="7" t="s">
        <v>44</v>
      </c>
      <c r="L49" s="7" t="s">
        <v>45</v>
      </c>
      <c r="M49" s="17" t="str">
        <f t="array" ref="M49">IFERROR(IF(AND(L49&lt;&gt;"Done",TODAY()&gt;INDEX(Sprints!$C$5:$C$7,MATCH(I49,Sprints!$A$5:$A$7,0))),"Trễ",""),"")</f>
        <v/>
      </c>
      <c r="N49" s="20"/>
      <c r="O49" s="20"/>
      <c r="P49" s="9"/>
    </row>
    <row r="50" ht="79.5" customHeight="1">
      <c r="A50" s="7" t="s">
        <v>233</v>
      </c>
      <c r="B50" s="7" t="s">
        <v>193</v>
      </c>
      <c r="C50" s="9" t="s">
        <v>194</v>
      </c>
      <c r="D50" s="9" t="s">
        <v>212</v>
      </c>
      <c r="E50" s="12" t="s">
        <v>231</v>
      </c>
      <c r="F50" s="7" t="s">
        <v>68</v>
      </c>
      <c r="G50" s="9" t="s">
        <v>234</v>
      </c>
      <c r="H50" s="7" t="s">
        <v>42</v>
      </c>
      <c r="I50" s="7" t="s">
        <v>47</v>
      </c>
      <c r="J50" s="17" t="str">
        <f t="array" ref="J50">IFERROR(TEXT(INDEX(Sprints!$B$5:$B$7,MATCH(I50,Sprints!$A$5:$A$7,0)),"dd/mm")&amp;" – "&amp;TEXT(INDEX(Sprints!$C$5:$C$7,MATCH(I50,Sprints!$A$5:$A$7,0)),"dd/mm"),"")</f>
        <v>02/11 – 15/11</v>
      </c>
      <c r="K50" s="7" t="s">
        <v>59</v>
      </c>
      <c r="L50" s="7" t="s">
        <v>45</v>
      </c>
      <c r="M50" s="17" t="str">
        <f t="array" ref="M50">IFERROR(IF(AND(L50&lt;&gt;"Done",TODAY()&gt;INDEX(Sprints!$C$5:$C$7,MATCH(I50,Sprints!$A$5:$A$7,0))),"Trễ",""),"")</f>
        <v/>
      </c>
      <c r="N50" s="20"/>
      <c r="O50" s="20"/>
      <c r="P50" s="9"/>
    </row>
    <row r="51" ht="66.0" customHeight="1">
      <c r="A51" s="7" t="s">
        <v>235</v>
      </c>
      <c r="B51" s="7" t="s">
        <v>193</v>
      </c>
      <c r="C51" s="9" t="s">
        <v>194</v>
      </c>
      <c r="D51" s="9" t="s">
        <v>212</v>
      </c>
      <c r="E51" s="12" t="s">
        <v>236</v>
      </c>
      <c r="F51" s="7" t="s">
        <v>68</v>
      </c>
      <c r="G51" s="9" t="s">
        <v>237</v>
      </c>
      <c r="H51" s="7" t="s">
        <v>42</v>
      </c>
      <c r="I51" s="7" t="s">
        <v>47</v>
      </c>
      <c r="J51" s="17" t="str">
        <f t="array" ref="J51">IFERROR(TEXT(INDEX(Sprints!$B$5:$B$7,MATCH(I51,Sprints!$A$5:$A$7,0)),"dd/mm")&amp;" – "&amp;TEXT(INDEX(Sprints!$C$5:$C$7,MATCH(I51,Sprints!$A$5:$A$7,0)),"dd/mm"),"")</f>
        <v>02/11 – 15/11</v>
      </c>
      <c r="K51" s="7" t="s">
        <v>59</v>
      </c>
      <c r="L51" s="7" t="s">
        <v>45</v>
      </c>
      <c r="M51" s="17" t="str">
        <f t="array" ref="M51">IFERROR(IF(AND(L51&lt;&gt;"Done",TODAY()&gt;INDEX(Sprints!$C$5:$C$7,MATCH(I51,Sprints!$A$5:$A$7,0))),"Trễ",""),"")</f>
        <v/>
      </c>
      <c r="N51" s="20"/>
      <c r="O51" s="20"/>
      <c r="P51" s="9" t="s">
        <v>83</v>
      </c>
    </row>
    <row r="52" ht="66.0" hidden="1" customHeight="1">
      <c r="A52" s="7" t="s">
        <v>238</v>
      </c>
      <c r="B52" s="7" t="s">
        <v>193</v>
      </c>
      <c r="C52" s="9" t="s">
        <v>194</v>
      </c>
      <c r="D52" s="9" t="s">
        <v>212</v>
      </c>
      <c r="E52" s="12" t="s">
        <v>239</v>
      </c>
      <c r="F52" s="7" t="s">
        <v>40</v>
      </c>
      <c r="G52" s="9" t="s">
        <v>240</v>
      </c>
      <c r="H52" s="7" t="s">
        <v>42</v>
      </c>
      <c r="I52" s="7" t="s">
        <v>38</v>
      </c>
      <c r="J52" s="17" t="str">
        <f t="array" ref="J52">IFERROR(TEXT(INDEX(Sprints!$B$5:$B$7,MATCH(I52,Sprints!$A$5:$A$7,0)),"dd/mm")&amp;" – "&amp;TEXT(INDEX(Sprints!$C$5:$C$7,MATCH(I52,Sprints!$A$5:$A$7,0)),"dd/mm"),"")</f>
        <v>19/10 – 01/11</v>
      </c>
      <c r="K52" s="7" t="s">
        <v>48</v>
      </c>
      <c r="L52" s="7" t="s">
        <v>45</v>
      </c>
      <c r="M52" s="17" t="str">
        <f t="array" ref="M52">IFERROR(IF(AND(L52&lt;&gt;"Done",TODAY()&gt;INDEX(Sprints!$C$5:$C$7,MATCH(I52,Sprints!$A$5:$A$7,0))),"Trễ",""),"")</f>
        <v/>
      </c>
      <c r="N52" s="20"/>
      <c r="O52" s="20"/>
      <c r="P52" s="9"/>
    </row>
    <row r="53" ht="66.0" customHeight="1">
      <c r="A53" s="7" t="s">
        <v>241</v>
      </c>
      <c r="B53" s="7" t="s">
        <v>193</v>
      </c>
      <c r="C53" s="9" t="s">
        <v>194</v>
      </c>
      <c r="D53" s="9" t="s">
        <v>212</v>
      </c>
      <c r="E53" s="12" t="s">
        <v>239</v>
      </c>
      <c r="F53" s="7" t="s">
        <v>68</v>
      </c>
      <c r="G53" s="9" t="s">
        <v>242</v>
      </c>
      <c r="H53" s="7" t="s">
        <v>42</v>
      </c>
      <c r="I53" s="7" t="s">
        <v>38</v>
      </c>
      <c r="J53" s="17" t="str">
        <f t="array" ref="J53">IFERROR(TEXT(INDEX(Sprints!$B$5:$B$7,MATCH(I53,Sprints!$A$5:$A$7,0)),"dd/mm")&amp;" – "&amp;TEXT(INDEX(Sprints!$C$5:$C$7,MATCH(I53,Sprints!$A$5:$A$7,0)),"dd/mm"),"")</f>
        <v>19/10 – 01/11</v>
      </c>
      <c r="K53" s="7" t="s">
        <v>59</v>
      </c>
      <c r="L53" s="7" t="s">
        <v>45</v>
      </c>
      <c r="M53" s="17" t="str">
        <f t="array" ref="M53">IFERROR(IF(AND(L53&lt;&gt;"Done",TODAY()&gt;INDEX(Sprints!$C$5:$C$7,MATCH(I53,Sprints!$A$5:$A$7,0))),"Trễ",""),"")</f>
        <v/>
      </c>
      <c r="N53" s="20"/>
      <c r="O53" s="20"/>
      <c r="P53" s="9"/>
    </row>
    <row r="54" ht="108.0" hidden="1" customHeight="1">
      <c r="A54" s="7" t="s">
        <v>243</v>
      </c>
      <c r="B54" s="7" t="s">
        <v>193</v>
      </c>
      <c r="C54" s="9" t="s">
        <v>194</v>
      </c>
      <c r="D54" s="9" t="s">
        <v>245</v>
      </c>
      <c r="E54" s="12" t="s">
        <v>247</v>
      </c>
      <c r="F54" s="7" t="s">
        <v>40</v>
      </c>
      <c r="G54" s="9" t="s">
        <v>248</v>
      </c>
      <c r="H54" s="7" t="s">
        <v>42</v>
      </c>
      <c r="I54" s="7" t="s">
        <v>47</v>
      </c>
      <c r="J54" s="17" t="str">
        <f t="array" ref="J54">IFERROR(TEXT(INDEX(Sprints!$B$5:$B$7,MATCH(I54,Sprints!$A$5:$A$7,0)),"dd/mm")&amp;" – "&amp;TEXT(INDEX(Sprints!$C$5:$C$7,MATCH(I54,Sprints!$A$5:$A$7,0)),"dd/mm"),"")</f>
        <v>02/11 – 15/11</v>
      </c>
      <c r="K54" s="7" t="s">
        <v>25</v>
      </c>
      <c r="L54" s="7" t="s">
        <v>45</v>
      </c>
      <c r="M54" s="17" t="str">
        <f t="array" ref="M54">IFERROR(IF(AND(L54&lt;&gt;"Done",TODAY()&gt;INDEX(Sprints!$C$5:$C$7,MATCH(I54,Sprints!$A$5:$A$7,0))),"Trễ",""),"")</f>
        <v/>
      </c>
      <c r="N54" s="20"/>
      <c r="O54" s="20"/>
      <c r="P54" s="9" t="s">
        <v>249</v>
      </c>
    </row>
    <row r="55" ht="79.5" hidden="1" customHeight="1">
      <c r="A55" s="7" t="s">
        <v>250</v>
      </c>
      <c r="B55" s="7" t="s">
        <v>193</v>
      </c>
      <c r="C55" s="9" t="s">
        <v>194</v>
      </c>
      <c r="D55" s="9" t="s">
        <v>245</v>
      </c>
      <c r="E55" s="12" t="s">
        <v>251</v>
      </c>
      <c r="F55" s="7" t="s">
        <v>40</v>
      </c>
      <c r="G55" s="9" t="s">
        <v>252</v>
      </c>
      <c r="H55" s="7" t="s">
        <v>42</v>
      </c>
      <c r="I55" s="7" t="s">
        <v>47</v>
      </c>
      <c r="J55" s="17" t="str">
        <f t="array" ref="J55">IFERROR(TEXT(INDEX(Sprints!$B$5:$B$7,MATCH(I55,Sprints!$A$5:$A$7,0)),"dd/mm")&amp;" – "&amp;TEXT(INDEX(Sprints!$C$5:$C$7,MATCH(I55,Sprints!$A$5:$A$7,0)),"dd/mm"),"")</f>
        <v>02/11 – 15/11</v>
      </c>
      <c r="K55" s="7" t="s">
        <v>25</v>
      </c>
      <c r="L55" s="7" t="s">
        <v>45</v>
      </c>
      <c r="M55" s="17" t="str">
        <f t="array" ref="M55">IFERROR(IF(AND(L55&lt;&gt;"Done",TODAY()&gt;INDEX(Sprints!$C$5:$C$7,MATCH(I55,Sprints!$A$5:$A$7,0))),"Trễ",""),"")</f>
        <v/>
      </c>
      <c r="N55" s="20"/>
      <c r="O55" s="20"/>
      <c r="P55" s="9" t="s">
        <v>255</v>
      </c>
    </row>
    <row r="56" ht="66.0" hidden="1" customHeight="1">
      <c r="A56" s="7" t="s">
        <v>256</v>
      </c>
      <c r="B56" s="7" t="s">
        <v>193</v>
      </c>
      <c r="C56" s="9" t="s">
        <v>194</v>
      </c>
      <c r="D56" s="9" t="s">
        <v>245</v>
      </c>
      <c r="E56" s="12" t="s">
        <v>251</v>
      </c>
      <c r="F56" s="7" t="s">
        <v>53</v>
      </c>
      <c r="G56" s="9" t="s">
        <v>257</v>
      </c>
      <c r="H56" s="7" t="s">
        <v>42</v>
      </c>
      <c r="I56" s="7" t="s">
        <v>47</v>
      </c>
      <c r="J56" s="17" t="str">
        <f t="array" ref="J56">IFERROR(TEXT(INDEX(Sprints!$B$5:$B$7,MATCH(I56,Sprints!$A$5:$A$7,0)),"dd/mm")&amp;" – "&amp;TEXT(INDEX(Sprints!$C$5:$C$7,MATCH(I56,Sprints!$A$5:$A$7,0)),"dd/mm"),"")</f>
        <v>02/11 – 15/11</v>
      </c>
      <c r="K56" s="7" t="s">
        <v>25</v>
      </c>
      <c r="L56" s="7" t="s">
        <v>45</v>
      </c>
      <c r="M56" s="17" t="str">
        <f t="array" ref="M56">IFERROR(IF(AND(L56&lt;&gt;"Done",TODAY()&gt;INDEX(Sprints!$C$5:$C$7,MATCH(I56,Sprints!$A$5:$A$7,0))),"Trễ",""),"")</f>
        <v/>
      </c>
      <c r="N56" s="20"/>
      <c r="O56" s="20"/>
      <c r="P56" s="9" t="s">
        <v>255</v>
      </c>
    </row>
    <row r="57" ht="79.5" hidden="1" customHeight="1">
      <c r="A57" s="7" t="s">
        <v>260</v>
      </c>
      <c r="B57" s="7" t="s">
        <v>193</v>
      </c>
      <c r="C57" s="9" t="s">
        <v>194</v>
      </c>
      <c r="D57" s="9" t="s">
        <v>245</v>
      </c>
      <c r="E57" s="12" t="s">
        <v>261</v>
      </c>
      <c r="F57" s="7" t="s">
        <v>40</v>
      </c>
      <c r="G57" s="9" t="s">
        <v>262</v>
      </c>
      <c r="H57" s="7" t="s">
        <v>42</v>
      </c>
      <c r="I57" s="7" t="s">
        <v>38</v>
      </c>
      <c r="J57" s="17" t="str">
        <f t="array" ref="J57">IFERROR(TEXT(INDEX(Sprints!$B$5:$B$7,MATCH(I57,Sprints!$A$5:$A$7,0)),"dd/mm")&amp;" – "&amp;TEXT(INDEX(Sprints!$C$5:$C$7,MATCH(I57,Sprints!$A$5:$A$7,0)),"dd/mm"),"")</f>
        <v>19/10 – 01/11</v>
      </c>
      <c r="K57" s="7" t="s">
        <v>25</v>
      </c>
      <c r="L57" s="7" t="s">
        <v>45</v>
      </c>
      <c r="M57" s="17" t="str">
        <f t="array" ref="M57">IFERROR(IF(AND(L57&lt;&gt;"Done",TODAY()&gt;INDEX(Sprints!$C$5:$C$7,MATCH(I57,Sprints!$A$5:$A$7,0))),"Trễ",""),"")</f>
        <v/>
      </c>
      <c r="N57" s="20"/>
      <c r="O57" s="20"/>
      <c r="P57" s="9"/>
    </row>
    <row r="58" ht="66.0" hidden="1" customHeight="1">
      <c r="A58" s="7" t="s">
        <v>263</v>
      </c>
      <c r="B58" s="7" t="s">
        <v>193</v>
      </c>
      <c r="C58" s="9" t="s">
        <v>194</v>
      </c>
      <c r="D58" s="9" t="s">
        <v>245</v>
      </c>
      <c r="E58" s="12" t="s">
        <v>261</v>
      </c>
      <c r="F58" s="7" t="s">
        <v>53</v>
      </c>
      <c r="G58" s="9" t="s">
        <v>264</v>
      </c>
      <c r="H58" s="7" t="s">
        <v>42</v>
      </c>
      <c r="I58" s="7" t="s">
        <v>38</v>
      </c>
      <c r="J58" s="17" t="str">
        <f t="array" ref="J58">IFERROR(TEXT(INDEX(Sprints!$B$5:$B$7,MATCH(I58,Sprints!$A$5:$A$7,0)),"dd/mm")&amp;" – "&amp;TEXT(INDEX(Sprints!$C$5:$C$7,MATCH(I58,Sprints!$A$5:$A$7,0)),"dd/mm"),"")</f>
        <v>19/10 – 01/11</v>
      </c>
      <c r="K58" s="7" t="s">
        <v>25</v>
      </c>
      <c r="L58" s="7" t="s">
        <v>45</v>
      </c>
      <c r="M58" s="17" t="str">
        <f t="array" ref="M58">IFERROR(IF(AND(L58&lt;&gt;"Done",TODAY()&gt;INDEX(Sprints!$C$5:$C$7,MATCH(I58,Sprints!$A$5:$A$7,0))),"Trễ",""),"")</f>
        <v/>
      </c>
      <c r="N58" s="20"/>
      <c r="O58" s="20"/>
      <c r="P58" s="9"/>
    </row>
    <row r="59" ht="79.5" hidden="1" customHeight="1">
      <c r="A59" s="7" t="s">
        <v>267</v>
      </c>
      <c r="B59" s="7" t="s">
        <v>193</v>
      </c>
      <c r="C59" s="9" t="s">
        <v>194</v>
      </c>
      <c r="D59" s="9" t="s">
        <v>245</v>
      </c>
      <c r="E59" s="12" t="s">
        <v>268</v>
      </c>
      <c r="F59" s="7" t="s">
        <v>40</v>
      </c>
      <c r="G59" s="9" t="s">
        <v>269</v>
      </c>
      <c r="H59" s="7" t="s">
        <v>42</v>
      </c>
      <c r="I59" s="7" t="s">
        <v>38</v>
      </c>
      <c r="J59" s="17" t="str">
        <f t="array" ref="J59">IFERROR(TEXT(INDEX(Sprints!$B$5:$B$7,MATCH(I59,Sprints!$A$5:$A$7,0)),"dd/mm")&amp;" – "&amp;TEXT(INDEX(Sprints!$C$5:$C$7,MATCH(I59,Sprints!$A$5:$A$7,0)),"dd/mm"),"")</f>
        <v>19/10 – 01/11</v>
      </c>
      <c r="K59" s="7" t="s">
        <v>48</v>
      </c>
      <c r="L59" s="7" t="s">
        <v>45</v>
      </c>
      <c r="M59" s="17" t="str">
        <f t="array" ref="M59">IFERROR(IF(AND(L59&lt;&gt;"Done",TODAY()&gt;INDEX(Sprints!$C$5:$C$7,MATCH(I59,Sprints!$A$5:$A$7,0))),"Trễ",""),"")</f>
        <v/>
      </c>
      <c r="N59" s="20"/>
      <c r="O59" s="20"/>
      <c r="P59" s="9"/>
    </row>
    <row r="60" ht="79.5" hidden="1" customHeight="1">
      <c r="A60" s="7" t="s">
        <v>272</v>
      </c>
      <c r="B60" s="7" t="s">
        <v>193</v>
      </c>
      <c r="C60" s="9" t="s">
        <v>194</v>
      </c>
      <c r="D60" s="9" t="s">
        <v>245</v>
      </c>
      <c r="E60" s="12" t="s">
        <v>268</v>
      </c>
      <c r="F60" s="7" t="s">
        <v>53</v>
      </c>
      <c r="G60" s="9" t="s">
        <v>273</v>
      </c>
      <c r="H60" s="7" t="s">
        <v>42</v>
      </c>
      <c r="I60" s="7" t="s">
        <v>38</v>
      </c>
      <c r="J60" s="17" t="str">
        <f t="array" ref="J60">IFERROR(TEXT(INDEX(Sprints!$B$5:$B$7,MATCH(I60,Sprints!$A$5:$A$7,0)),"dd/mm")&amp;" – "&amp;TEXT(INDEX(Sprints!$C$5:$C$7,MATCH(I60,Sprints!$A$5:$A$7,0)),"dd/mm"),"")</f>
        <v>19/10 – 01/11</v>
      </c>
      <c r="K60" s="7" t="s">
        <v>48</v>
      </c>
      <c r="L60" s="7" t="s">
        <v>45</v>
      </c>
      <c r="M60" s="17" t="str">
        <f t="array" ref="M60">IFERROR(IF(AND(L60&lt;&gt;"Done",TODAY()&gt;INDEX(Sprints!$C$5:$C$7,MATCH(I60,Sprints!$A$5:$A$7,0))),"Trễ",""),"")</f>
        <v/>
      </c>
      <c r="N60" s="20"/>
      <c r="O60" s="20"/>
      <c r="P60" s="9"/>
    </row>
    <row r="61" ht="66.0" hidden="1" customHeight="1">
      <c r="A61" s="7" t="s">
        <v>276</v>
      </c>
      <c r="B61" s="7" t="s">
        <v>193</v>
      </c>
      <c r="C61" s="9" t="s">
        <v>194</v>
      </c>
      <c r="D61" s="9" t="s">
        <v>245</v>
      </c>
      <c r="E61" s="12" t="s">
        <v>277</v>
      </c>
      <c r="F61" s="7" t="s">
        <v>40</v>
      </c>
      <c r="G61" s="9" t="s">
        <v>278</v>
      </c>
      <c r="H61" s="7" t="s">
        <v>87</v>
      </c>
      <c r="I61" s="7" t="s">
        <v>55</v>
      </c>
      <c r="J61" s="17" t="str">
        <f t="array" ref="J61">IFERROR(TEXT(INDEX(Sprints!$B$5:$B$7,MATCH(I61,Sprints!$A$5:$A$7,0)),"dd/mm")&amp;" – "&amp;TEXT(INDEX(Sprints!$C$5:$C$7,MATCH(I61,Sprints!$A$5:$A$7,0)),"dd/mm"),"")</f>
        <v>16/11 – 22/11</v>
      </c>
      <c r="K61" s="7" t="s">
        <v>25</v>
      </c>
      <c r="L61" s="7" t="s">
        <v>45</v>
      </c>
      <c r="M61" s="17" t="str">
        <f t="array" ref="M61">IFERROR(IF(AND(L61&lt;&gt;"Done",TODAY()&gt;INDEX(Sprints!$C$5:$C$7,MATCH(I61,Sprints!$A$5:$A$7,0))),"Trễ",""),"")</f>
        <v/>
      </c>
      <c r="N61" s="20"/>
      <c r="O61" s="20"/>
      <c r="P61" s="9"/>
    </row>
    <row r="62" ht="79.5" hidden="1" customHeight="1">
      <c r="A62" s="7" t="s">
        <v>279</v>
      </c>
      <c r="B62" s="7" t="s">
        <v>193</v>
      </c>
      <c r="C62" s="9" t="s">
        <v>194</v>
      </c>
      <c r="D62" s="9" t="s">
        <v>245</v>
      </c>
      <c r="E62" s="12" t="s">
        <v>277</v>
      </c>
      <c r="F62" s="7" t="s">
        <v>53</v>
      </c>
      <c r="G62" s="9" t="s">
        <v>280</v>
      </c>
      <c r="H62" s="7" t="s">
        <v>87</v>
      </c>
      <c r="I62" s="7" t="s">
        <v>55</v>
      </c>
      <c r="J62" s="17" t="str">
        <f t="array" ref="J62">IFERROR(TEXT(INDEX(Sprints!$B$5:$B$7,MATCH(I62,Sprints!$A$5:$A$7,0)),"dd/mm")&amp;" – "&amp;TEXT(INDEX(Sprints!$C$5:$C$7,MATCH(I62,Sprints!$A$5:$A$7,0)),"dd/mm"),"")</f>
        <v>16/11 – 22/11</v>
      </c>
      <c r="K62" s="7" t="s">
        <v>25</v>
      </c>
      <c r="L62" s="7" t="s">
        <v>45</v>
      </c>
      <c r="M62" s="17" t="str">
        <f t="array" ref="M62">IFERROR(IF(AND(L62&lt;&gt;"Done",TODAY()&gt;INDEX(Sprints!$C$5:$C$7,MATCH(I62,Sprints!$A$5:$A$7,0))),"Trễ",""),"")</f>
        <v/>
      </c>
      <c r="N62" s="20"/>
      <c r="O62" s="20"/>
      <c r="P62" s="9"/>
    </row>
    <row r="63" ht="79.5" hidden="1" customHeight="1">
      <c r="A63" s="7" t="s">
        <v>282</v>
      </c>
      <c r="B63" s="7" t="s">
        <v>193</v>
      </c>
      <c r="C63" s="9" t="s">
        <v>194</v>
      </c>
      <c r="D63" s="9" t="s">
        <v>283</v>
      </c>
      <c r="E63" s="12" t="s">
        <v>284</v>
      </c>
      <c r="F63" s="7" t="s">
        <v>40</v>
      </c>
      <c r="G63" s="9" t="s">
        <v>285</v>
      </c>
      <c r="H63" s="7" t="s">
        <v>42</v>
      </c>
      <c r="I63" s="7" t="s">
        <v>47</v>
      </c>
      <c r="J63" s="17" t="str">
        <f t="array" ref="J63">IFERROR(TEXT(INDEX(Sprints!$B$5:$B$7,MATCH(I63,Sprints!$A$5:$A$7,0)),"dd/mm")&amp;" – "&amp;TEXT(INDEX(Sprints!$C$5:$C$7,MATCH(I63,Sprints!$A$5:$A$7,0)),"dd/mm"),"")</f>
        <v>02/11 – 15/11</v>
      </c>
      <c r="K63" s="7" t="s">
        <v>25</v>
      </c>
      <c r="L63" s="7" t="s">
        <v>45</v>
      </c>
      <c r="M63" s="17" t="str">
        <f t="array" ref="M63">IFERROR(IF(AND(L63&lt;&gt;"Done",TODAY()&gt;INDEX(Sprints!$C$5:$C$7,MATCH(I63,Sprints!$A$5:$A$7,0))),"Trễ",""),"")</f>
        <v/>
      </c>
      <c r="N63" s="20"/>
      <c r="O63" s="20"/>
      <c r="P63" s="9" t="s">
        <v>286</v>
      </c>
    </row>
    <row r="64" ht="93.75" hidden="1" customHeight="1">
      <c r="A64" s="7" t="s">
        <v>287</v>
      </c>
      <c r="B64" s="7" t="s">
        <v>193</v>
      </c>
      <c r="C64" s="9" t="s">
        <v>194</v>
      </c>
      <c r="D64" s="9" t="s">
        <v>283</v>
      </c>
      <c r="E64" s="12" t="s">
        <v>288</v>
      </c>
      <c r="F64" s="7" t="s">
        <v>40</v>
      </c>
      <c r="G64" s="9" t="s">
        <v>289</v>
      </c>
      <c r="H64" s="7" t="s">
        <v>42</v>
      </c>
      <c r="I64" s="7" t="s">
        <v>47</v>
      </c>
      <c r="J64" s="17" t="str">
        <f t="array" ref="J64">IFERROR(TEXT(INDEX(Sprints!$B$5:$B$7,MATCH(I64,Sprints!$A$5:$A$7,0)),"dd/mm")&amp;" – "&amp;TEXT(INDEX(Sprints!$C$5:$C$7,MATCH(I64,Sprints!$A$5:$A$7,0)),"dd/mm"),"")</f>
        <v>02/11 – 15/11</v>
      </c>
      <c r="K64" s="7" t="s">
        <v>25</v>
      </c>
      <c r="L64" s="7" t="s">
        <v>45</v>
      </c>
      <c r="M64" s="17" t="str">
        <f t="array" ref="M64">IFERROR(IF(AND(L64&lt;&gt;"Done",TODAY()&gt;INDEX(Sprints!$C$5:$C$7,MATCH(I64,Sprints!$A$5:$A$7,0))),"Trễ",""),"")</f>
        <v/>
      </c>
      <c r="N64" s="20"/>
      <c r="O64" s="20"/>
      <c r="P64" s="9" t="s">
        <v>290</v>
      </c>
    </row>
    <row r="65" ht="79.5" hidden="1" customHeight="1">
      <c r="A65" s="7" t="s">
        <v>291</v>
      </c>
      <c r="B65" s="7" t="s">
        <v>193</v>
      </c>
      <c r="C65" s="9" t="s">
        <v>194</v>
      </c>
      <c r="D65" s="9" t="s">
        <v>283</v>
      </c>
      <c r="E65" s="12" t="s">
        <v>292</v>
      </c>
      <c r="F65" s="7" t="s">
        <v>40</v>
      </c>
      <c r="G65" s="9" t="s">
        <v>293</v>
      </c>
      <c r="H65" s="7" t="s">
        <v>42</v>
      </c>
      <c r="I65" s="7" t="s">
        <v>47</v>
      </c>
      <c r="J65" s="17" t="str">
        <f t="array" ref="J65">IFERROR(TEXT(INDEX(Sprints!$B$5:$B$7,MATCH(I65,Sprints!$A$5:$A$7,0)),"dd/mm")&amp;" – "&amp;TEXT(INDEX(Sprints!$C$5:$C$7,MATCH(I65,Sprints!$A$5:$A$7,0)),"dd/mm"),"")</f>
        <v>02/11 – 15/11</v>
      </c>
      <c r="K65" s="7" t="s">
        <v>25</v>
      </c>
      <c r="L65" s="7" t="s">
        <v>45</v>
      </c>
      <c r="M65" s="17" t="str">
        <f t="array" ref="M65">IFERROR(IF(AND(L65&lt;&gt;"Done",TODAY()&gt;INDEX(Sprints!$C$5:$C$7,MATCH(I65,Sprints!$A$5:$A$7,0))),"Trễ",""),"")</f>
        <v/>
      </c>
      <c r="N65" s="20"/>
      <c r="O65" s="20"/>
      <c r="P65" s="9" t="s">
        <v>294</v>
      </c>
    </row>
    <row r="66" ht="79.5" hidden="1" customHeight="1">
      <c r="A66" s="7" t="s">
        <v>295</v>
      </c>
      <c r="B66" s="7" t="s">
        <v>193</v>
      </c>
      <c r="C66" s="9" t="s">
        <v>194</v>
      </c>
      <c r="D66" s="9" t="s">
        <v>283</v>
      </c>
      <c r="E66" s="12" t="s">
        <v>292</v>
      </c>
      <c r="F66" s="7" t="s">
        <v>53</v>
      </c>
      <c r="G66" s="9" t="s">
        <v>296</v>
      </c>
      <c r="H66" s="7" t="s">
        <v>42</v>
      </c>
      <c r="I66" s="7" t="s">
        <v>47</v>
      </c>
      <c r="J66" s="17" t="str">
        <f t="array" ref="J66">IFERROR(TEXT(INDEX(Sprints!$B$5:$B$7,MATCH(I66,Sprints!$A$5:$A$7,0)),"dd/mm")&amp;" – "&amp;TEXT(INDEX(Sprints!$C$5:$C$7,MATCH(I66,Sprints!$A$5:$A$7,0)),"dd/mm"),"")</f>
        <v>02/11 – 15/11</v>
      </c>
      <c r="K66" s="7" t="s">
        <v>25</v>
      </c>
      <c r="L66" s="7" t="s">
        <v>45</v>
      </c>
      <c r="M66" s="17" t="str">
        <f t="array" ref="M66">IFERROR(IF(AND(L66&lt;&gt;"Done",TODAY()&gt;INDEX(Sprints!$C$5:$C$7,MATCH(I66,Sprints!$A$5:$A$7,0))),"Trễ",""),"")</f>
        <v/>
      </c>
      <c r="N66" s="20"/>
      <c r="O66" s="20"/>
      <c r="P66" s="9" t="s">
        <v>294</v>
      </c>
    </row>
    <row r="67" ht="93.75" hidden="1" customHeight="1">
      <c r="A67" s="7" t="s">
        <v>297</v>
      </c>
      <c r="B67" s="7" t="s">
        <v>193</v>
      </c>
      <c r="C67" s="9" t="s">
        <v>194</v>
      </c>
      <c r="D67" s="9" t="s">
        <v>283</v>
      </c>
      <c r="E67" s="12" t="s">
        <v>298</v>
      </c>
      <c r="F67" s="7" t="s">
        <v>40</v>
      </c>
      <c r="G67" s="9" t="s">
        <v>299</v>
      </c>
      <c r="H67" s="7" t="s">
        <v>42</v>
      </c>
      <c r="I67" s="7" t="s">
        <v>47</v>
      </c>
      <c r="J67" s="17" t="str">
        <f t="array" ref="J67">IFERROR(TEXT(INDEX(Sprints!$B$5:$B$7,MATCH(I67,Sprints!$A$5:$A$7,0)),"dd/mm")&amp;" – "&amp;TEXT(INDEX(Sprints!$C$5:$C$7,MATCH(I67,Sprints!$A$5:$A$7,0)),"dd/mm"),"")</f>
        <v>02/11 – 15/11</v>
      </c>
      <c r="K67" s="7" t="s">
        <v>25</v>
      </c>
      <c r="L67" s="7" t="s">
        <v>45</v>
      </c>
      <c r="M67" s="17" t="str">
        <f t="array" ref="M67">IFERROR(IF(AND(L67&lt;&gt;"Done",TODAY()&gt;INDEX(Sprints!$C$5:$C$7,MATCH(I67,Sprints!$A$5:$A$7,0))),"Trễ",""),"")</f>
        <v/>
      </c>
      <c r="N67" s="20"/>
      <c r="O67" s="20"/>
      <c r="P67" s="9" t="s">
        <v>300</v>
      </c>
    </row>
    <row r="68" ht="108.0" hidden="1" customHeight="1">
      <c r="A68" s="7" t="s">
        <v>301</v>
      </c>
      <c r="B68" s="7" t="s">
        <v>193</v>
      </c>
      <c r="C68" s="9" t="s">
        <v>194</v>
      </c>
      <c r="D68" s="9" t="s">
        <v>283</v>
      </c>
      <c r="E68" s="12" t="s">
        <v>302</v>
      </c>
      <c r="F68" s="7" t="s">
        <v>40</v>
      </c>
      <c r="G68" s="9" t="s">
        <v>303</v>
      </c>
      <c r="H68" s="7" t="s">
        <v>42</v>
      </c>
      <c r="I68" s="7" t="s">
        <v>47</v>
      </c>
      <c r="J68" s="17" t="str">
        <f t="array" ref="J68">IFERROR(TEXT(INDEX(Sprints!$B$5:$B$7,MATCH(I68,Sprints!$A$5:$A$7,0)),"dd/mm")&amp;" – "&amp;TEXT(INDEX(Sprints!$C$5:$C$7,MATCH(I68,Sprints!$A$5:$A$7,0)),"dd/mm"),"")</f>
        <v>02/11 – 15/11</v>
      </c>
      <c r="K68" s="7" t="s">
        <v>25</v>
      </c>
      <c r="L68" s="7" t="s">
        <v>45</v>
      </c>
      <c r="M68" s="17" t="str">
        <f t="array" ref="M68">IFERROR(IF(AND(L68&lt;&gt;"Done",TODAY()&gt;INDEX(Sprints!$C$5:$C$7,MATCH(I68,Sprints!$A$5:$A$7,0))),"Trễ",""),"")</f>
        <v/>
      </c>
      <c r="N68" s="20"/>
      <c r="O68" s="20"/>
      <c r="P68" s="9" t="s">
        <v>304</v>
      </c>
    </row>
    <row r="69" ht="79.5" customHeight="1">
      <c r="A69" s="7" t="s">
        <v>305</v>
      </c>
      <c r="B69" s="7" t="s">
        <v>193</v>
      </c>
      <c r="C69" s="9" t="s">
        <v>194</v>
      </c>
      <c r="D69" s="9" t="s">
        <v>283</v>
      </c>
      <c r="E69" s="12" t="s">
        <v>302</v>
      </c>
      <c r="F69" s="7" t="s">
        <v>68</v>
      </c>
      <c r="G69" s="9" t="s">
        <v>306</v>
      </c>
      <c r="H69" s="7" t="s">
        <v>42</v>
      </c>
      <c r="I69" s="7" t="s">
        <v>47</v>
      </c>
      <c r="J69" s="17" t="str">
        <f t="array" ref="J69">IFERROR(TEXT(INDEX(Sprints!$B$5:$B$7,MATCH(I69,Sprints!$A$5:$A$7,0)),"dd/mm")&amp;" – "&amp;TEXT(INDEX(Sprints!$C$5:$C$7,MATCH(I69,Sprints!$A$5:$A$7,0)),"dd/mm"),"")</f>
        <v>02/11 – 15/11</v>
      </c>
      <c r="K69" s="7" t="s">
        <v>56</v>
      </c>
      <c r="L69" s="7" t="s">
        <v>45</v>
      </c>
      <c r="M69" s="17" t="str">
        <f t="array" ref="M69">IFERROR(IF(AND(L69&lt;&gt;"Done",TODAY()&gt;INDEX(Sprints!$C$5:$C$7,MATCH(I69,Sprints!$A$5:$A$7,0))),"Trễ",""),"")</f>
        <v/>
      </c>
      <c r="N69" s="20"/>
      <c r="O69" s="20"/>
      <c r="P69" s="9" t="s">
        <v>304</v>
      </c>
    </row>
    <row r="70" ht="93.75" hidden="1" customHeight="1">
      <c r="A70" s="7" t="s">
        <v>307</v>
      </c>
      <c r="B70" s="7" t="s">
        <v>193</v>
      </c>
      <c r="C70" s="9" t="s">
        <v>194</v>
      </c>
      <c r="D70" s="9" t="s">
        <v>283</v>
      </c>
      <c r="E70" s="12" t="s">
        <v>308</v>
      </c>
      <c r="F70" s="7" t="s">
        <v>40</v>
      </c>
      <c r="G70" s="9" t="s">
        <v>309</v>
      </c>
      <c r="H70" s="7" t="s">
        <v>42</v>
      </c>
      <c r="I70" s="7" t="s">
        <v>47</v>
      </c>
      <c r="J70" s="17" t="str">
        <f t="array" ref="J70">IFERROR(TEXT(INDEX(Sprints!$B$5:$B$7,MATCH(I70,Sprints!$A$5:$A$7,0)),"dd/mm")&amp;" – "&amp;TEXT(INDEX(Sprints!$C$5:$C$7,MATCH(I70,Sprints!$A$5:$A$7,0)),"dd/mm"),"")</f>
        <v>02/11 – 15/11</v>
      </c>
      <c r="K70" s="7" t="s">
        <v>25</v>
      </c>
      <c r="L70" s="7" t="s">
        <v>45</v>
      </c>
      <c r="M70" s="17" t="str">
        <f t="array" ref="M70">IFERROR(IF(AND(L70&lt;&gt;"Done",TODAY()&gt;INDEX(Sprints!$C$5:$C$7,MATCH(I70,Sprints!$A$5:$A$7,0))),"Trễ",""),"")</f>
        <v/>
      </c>
      <c r="N70" s="20"/>
      <c r="O70" s="20"/>
      <c r="P70" s="9" t="s">
        <v>310</v>
      </c>
    </row>
    <row r="71" ht="79.5" customHeight="1">
      <c r="A71" s="7" t="s">
        <v>311</v>
      </c>
      <c r="B71" s="7" t="s">
        <v>193</v>
      </c>
      <c r="C71" s="9" t="s">
        <v>194</v>
      </c>
      <c r="D71" s="9" t="s">
        <v>283</v>
      </c>
      <c r="E71" s="12" t="s">
        <v>308</v>
      </c>
      <c r="F71" s="7" t="s">
        <v>68</v>
      </c>
      <c r="G71" s="9" t="s">
        <v>312</v>
      </c>
      <c r="H71" s="7" t="s">
        <v>42</v>
      </c>
      <c r="I71" s="7" t="s">
        <v>47</v>
      </c>
      <c r="J71" s="17" t="str">
        <f t="array" ref="J71">IFERROR(TEXT(INDEX(Sprints!$B$5:$B$7,MATCH(I71,Sprints!$A$5:$A$7,0)),"dd/mm")&amp;" – "&amp;TEXT(INDEX(Sprints!$C$5:$C$7,MATCH(I71,Sprints!$A$5:$A$7,0)),"dd/mm"),"")</f>
        <v>02/11 – 15/11</v>
      </c>
      <c r="K71" s="7" t="s">
        <v>25</v>
      </c>
      <c r="L71" s="7" t="s">
        <v>45</v>
      </c>
      <c r="M71" s="17" t="str">
        <f t="array" ref="M71">IFERROR(IF(AND(L71&lt;&gt;"Done",TODAY()&gt;INDEX(Sprints!$C$5:$C$7,MATCH(I71,Sprints!$A$5:$A$7,0))),"Trễ",""),"")</f>
        <v/>
      </c>
      <c r="N71" s="20"/>
      <c r="O71" s="20"/>
      <c r="P71" s="9" t="s">
        <v>310</v>
      </c>
    </row>
    <row r="72" ht="79.5" hidden="1" customHeight="1">
      <c r="A72" s="7" t="s">
        <v>313</v>
      </c>
      <c r="B72" s="7" t="s">
        <v>193</v>
      </c>
      <c r="C72" s="9" t="s">
        <v>194</v>
      </c>
      <c r="D72" s="9" t="s">
        <v>283</v>
      </c>
      <c r="E72" s="12" t="s">
        <v>314</v>
      </c>
      <c r="F72" s="7" t="s">
        <v>40</v>
      </c>
      <c r="G72" s="9" t="s">
        <v>315</v>
      </c>
      <c r="H72" s="7" t="s">
        <v>87</v>
      </c>
      <c r="I72" s="7" t="s">
        <v>47</v>
      </c>
      <c r="J72" s="17" t="str">
        <f t="array" ref="J72">IFERROR(TEXT(INDEX(Sprints!$B$5:$B$7,MATCH(I72,Sprints!$A$5:$A$7,0)),"dd/mm")&amp;" – "&amp;TEXT(INDEX(Sprints!$C$5:$C$7,MATCH(I72,Sprints!$A$5:$A$7,0)),"dd/mm"),"")</f>
        <v>02/11 – 15/11</v>
      </c>
      <c r="K72" s="7" t="s">
        <v>25</v>
      </c>
      <c r="L72" s="7" t="s">
        <v>45</v>
      </c>
      <c r="M72" s="17" t="str">
        <f t="array" ref="M72">IFERROR(IF(AND(L72&lt;&gt;"Done",TODAY()&gt;INDEX(Sprints!$C$5:$C$7,MATCH(I72,Sprints!$A$5:$A$7,0))),"Trễ",""),"")</f>
        <v/>
      </c>
      <c r="N72" s="20"/>
      <c r="O72" s="20"/>
      <c r="P72" s="9" t="s">
        <v>316</v>
      </c>
    </row>
    <row r="73" ht="66.0" hidden="1" customHeight="1">
      <c r="A73" s="7" t="s">
        <v>317</v>
      </c>
      <c r="B73" s="7" t="s">
        <v>193</v>
      </c>
      <c r="C73" s="9" t="s">
        <v>194</v>
      </c>
      <c r="D73" s="9" t="s">
        <v>283</v>
      </c>
      <c r="E73" s="12" t="s">
        <v>314</v>
      </c>
      <c r="F73" s="7" t="s">
        <v>53</v>
      </c>
      <c r="G73" s="9" t="s">
        <v>318</v>
      </c>
      <c r="H73" s="7" t="s">
        <v>87</v>
      </c>
      <c r="I73" s="7" t="s">
        <v>47</v>
      </c>
      <c r="J73" s="17" t="str">
        <f t="array" ref="J73">IFERROR(TEXT(INDEX(Sprints!$B$5:$B$7,MATCH(I73,Sprints!$A$5:$A$7,0)),"dd/mm")&amp;" – "&amp;TEXT(INDEX(Sprints!$C$5:$C$7,MATCH(I73,Sprints!$A$5:$A$7,0)),"dd/mm"),"")</f>
        <v>02/11 – 15/11</v>
      </c>
      <c r="K73" s="7" t="s">
        <v>25</v>
      </c>
      <c r="L73" s="7" t="s">
        <v>45</v>
      </c>
      <c r="M73" s="17" t="str">
        <f t="array" ref="M73">IFERROR(IF(AND(L73&lt;&gt;"Done",TODAY()&gt;INDEX(Sprints!$C$5:$C$7,MATCH(I73,Sprints!$A$5:$A$7,0))),"Trễ",""),"")</f>
        <v/>
      </c>
      <c r="N73" s="20"/>
      <c r="O73" s="20"/>
      <c r="P73" s="9" t="s">
        <v>316</v>
      </c>
    </row>
    <row r="74" ht="93.75" hidden="1" customHeight="1">
      <c r="A74" s="7" t="s">
        <v>319</v>
      </c>
      <c r="B74" s="7" t="s">
        <v>193</v>
      </c>
      <c r="C74" s="9" t="s">
        <v>194</v>
      </c>
      <c r="D74" s="9" t="s">
        <v>283</v>
      </c>
      <c r="E74" s="12" t="s">
        <v>320</v>
      </c>
      <c r="F74" s="7" t="s">
        <v>40</v>
      </c>
      <c r="G74" s="9" t="s">
        <v>321</v>
      </c>
      <c r="H74" s="7" t="s">
        <v>87</v>
      </c>
      <c r="I74" s="7" t="s">
        <v>55</v>
      </c>
      <c r="J74" s="17" t="str">
        <f t="array" ref="J74">IFERROR(TEXT(INDEX(Sprints!$B$5:$B$7,MATCH(I74,Sprints!$A$5:$A$7,0)),"dd/mm")&amp;" – "&amp;TEXT(INDEX(Sprints!$C$5:$C$7,MATCH(I74,Sprints!$A$5:$A$7,0)),"dd/mm"),"")</f>
        <v>16/11 – 22/11</v>
      </c>
      <c r="K74" s="7" t="s">
        <v>25</v>
      </c>
      <c r="L74" s="7" t="s">
        <v>45</v>
      </c>
      <c r="M74" s="17" t="str">
        <f t="array" ref="M74">IFERROR(IF(AND(L74&lt;&gt;"Done",TODAY()&gt;INDEX(Sprints!$C$5:$C$7,MATCH(I74,Sprints!$A$5:$A$7,0))),"Trễ",""),"")</f>
        <v/>
      </c>
      <c r="N74" s="20"/>
      <c r="O74" s="20"/>
      <c r="P74" s="9"/>
    </row>
    <row r="75" ht="66.0" hidden="1" customHeight="1">
      <c r="A75" s="7" t="s">
        <v>322</v>
      </c>
      <c r="B75" s="7" t="s">
        <v>193</v>
      </c>
      <c r="C75" s="9" t="s">
        <v>194</v>
      </c>
      <c r="D75" s="9" t="s">
        <v>283</v>
      </c>
      <c r="E75" s="12" t="s">
        <v>320</v>
      </c>
      <c r="F75" s="7" t="s">
        <v>53</v>
      </c>
      <c r="G75" s="9" t="s">
        <v>323</v>
      </c>
      <c r="H75" s="7" t="s">
        <v>87</v>
      </c>
      <c r="I75" s="7" t="s">
        <v>55</v>
      </c>
      <c r="J75" s="17" t="str">
        <f t="array" ref="J75">IFERROR(TEXT(INDEX(Sprints!$B$5:$B$7,MATCH(I75,Sprints!$A$5:$A$7,0)),"dd/mm")&amp;" – "&amp;TEXT(INDEX(Sprints!$C$5:$C$7,MATCH(I75,Sprints!$A$5:$A$7,0)),"dd/mm"),"")</f>
        <v>16/11 – 22/11</v>
      </c>
      <c r="K75" s="7" t="s">
        <v>25</v>
      </c>
      <c r="L75" s="7" t="s">
        <v>45</v>
      </c>
      <c r="M75" s="17" t="str">
        <f t="array" ref="M75">IFERROR(IF(AND(L75&lt;&gt;"Done",TODAY()&gt;INDEX(Sprints!$C$5:$C$7,MATCH(I75,Sprints!$A$5:$A$7,0))),"Trễ",""),"")</f>
        <v/>
      </c>
      <c r="N75" s="20"/>
      <c r="O75" s="20"/>
      <c r="P75" s="9"/>
    </row>
    <row r="76" ht="66.0" hidden="1" customHeight="1">
      <c r="A76" s="7" t="s">
        <v>324</v>
      </c>
      <c r="B76" s="7" t="s">
        <v>193</v>
      </c>
      <c r="C76" s="9" t="s">
        <v>194</v>
      </c>
      <c r="D76" s="9" t="s">
        <v>283</v>
      </c>
      <c r="E76" s="12" t="s">
        <v>325</v>
      </c>
      <c r="F76" s="7" t="s">
        <v>40</v>
      </c>
      <c r="G76" s="9" t="s">
        <v>326</v>
      </c>
      <c r="H76" s="7" t="s">
        <v>87</v>
      </c>
      <c r="I76" s="7" t="s">
        <v>55</v>
      </c>
      <c r="J76" s="17" t="str">
        <f t="array" ref="J76">IFERROR(TEXT(INDEX(Sprints!$B$5:$B$7,MATCH(I76,Sprints!$A$5:$A$7,0)),"dd/mm")&amp;" – "&amp;TEXT(INDEX(Sprints!$C$5:$C$7,MATCH(I76,Sprints!$A$5:$A$7,0)),"dd/mm"),"")</f>
        <v>16/11 – 22/11</v>
      </c>
      <c r="K76" s="7" t="s">
        <v>25</v>
      </c>
      <c r="L76" s="7" t="s">
        <v>45</v>
      </c>
      <c r="M76" s="17" t="str">
        <f t="array" ref="M76">IFERROR(IF(AND(L76&lt;&gt;"Done",TODAY()&gt;INDEX(Sprints!$C$5:$C$7,MATCH(I76,Sprints!$A$5:$A$7,0))),"Trễ",""),"")</f>
        <v/>
      </c>
      <c r="N76" s="20"/>
      <c r="O76" s="20"/>
      <c r="P76" s="9"/>
    </row>
    <row r="77" ht="66.0" hidden="1" customHeight="1">
      <c r="A77" s="7" t="s">
        <v>327</v>
      </c>
      <c r="B77" s="7" t="s">
        <v>193</v>
      </c>
      <c r="C77" s="9" t="s">
        <v>194</v>
      </c>
      <c r="D77" s="9" t="s">
        <v>283</v>
      </c>
      <c r="E77" s="12" t="s">
        <v>325</v>
      </c>
      <c r="F77" s="7" t="s">
        <v>53</v>
      </c>
      <c r="G77" s="9" t="s">
        <v>328</v>
      </c>
      <c r="H77" s="7" t="s">
        <v>87</v>
      </c>
      <c r="I77" s="7" t="s">
        <v>55</v>
      </c>
      <c r="J77" s="17" t="str">
        <f t="array" ref="J77">IFERROR(TEXT(INDEX(Sprints!$B$5:$B$7,MATCH(I77,Sprints!$A$5:$A$7,0)),"dd/mm")&amp;" – "&amp;TEXT(INDEX(Sprints!$C$5:$C$7,MATCH(I77,Sprints!$A$5:$A$7,0)),"dd/mm"),"")</f>
        <v>16/11 – 22/11</v>
      </c>
      <c r="K77" s="7" t="s">
        <v>25</v>
      </c>
      <c r="L77" s="7" t="s">
        <v>45</v>
      </c>
      <c r="M77" s="17" t="str">
        <f t="array" ref="M77">IFERROR(IF(AND(L77&lt;&gt;"Done",TODAY()&gt;INDEX(Sprints!$C$5:$C$7,MATCH(I77,Sprints!$A$5:$A$7,0))),"Trễ",""),"")</f>
        <v/>
      </c>
      <c r="N77" s="20"/>
      <c r="O77" s="20"/>
      <c r="P77" s="9"/>
    </row>
    <row r="78" ht="66.0" hidden="1" customHeight="1">
      <c r="A78" s="21" t="s">
        <v>329</v>
      </c>
      <c r="B78" s="21" t="s">
        <v>244</v>
      </c>
      <c r="C78" s="22" t="s">
        <v>246</v>
      </c>
      <c r="D78" s="22" t="s">
        <v>330</v>
      </c>
      <c r="E78" s="23" t="s">
        <v>331</v>
      </c>
      <c r="F78" s="21" t="s">
        <v>40</v>
      </c>
      <c r="G78" s="22" t="s">
        <v>332</v>
      </c>
      <c r="H78" s="21" t="s">
        <v>42</v>
      </c>
      <c r="I78" s="21" t="s">
        <v>38</v>
      </c>
      <c r="J78" s="17" t="str">
        <f t="array" ref="J78">IFERROR(TEXT(INDEX(Sprints!$B$5:$B$7,MATCH(I78,Sprints!$A$5:$A$7,0)),"dd/mm")&amp;" – "&amp;TEXT(INDEX(Sprints!$C$5:$C$7,MATCH(I78,Sprints!$A$5:$A$7,0)),"dd/mm"),"")</f>
        <v>19/10 – 01/11</v>
      </c>
      <c r="K78" s="21" t="s">
        <v>48</v>
      </c>
      <c r="L78" s="21" t="s">
        <v>45</v>
      </c>
      <c r="M78" s="17" t="str">
        <f t="array" ref="M78">IFERROR(IF(AND(L78&lt;&gt;"Done",TODAY()&gt;INDEX(Sprints!$C$5:$C$7,MATCH(I78,Sprints!$A$5:$A$7,0))),"Trễ",""),"")</f>
        <v/>
      </c>
      <c r="N78" s="24"/>
      <c r="O78" s="24"/>
      <c r="P78" s="22"/>
    </row>
    <row r="79" ht="66.0" hidden="1" customHeight="1">
      <c r="A79" s="21" t="s">
        <v>333</v>
      </c>
      <c r="B79" s="21" t="s">
        <v>244</v>
      </c>
      <c r="C79" s="22" t="s">
        <v>246</v>
      </c>
      <c r="D79" s="22" t="s">
        <v>330</v>
      </c>
      <c r="E79" s="23" t="s">
        <v>331</v>
      </c>
      <c r="F79" s="21" t="s">
        <v>53</v>
      </c>
      <c r="G79" s="22" t="s">
        <v>334</v>
      </c>
      <c r="H79" s="21" t="s">
        <v>42</v>
      </c>
      <c r="I79" s="21" t="s">
        <v>38</v>
      </c>
      <c r="J79" s="17" t="str">
        <f t="array" ref="J79">IFERROR(TEXT(INDEX(Sprints!$B$5:$B$7,MATCH(I79,Sprints!$A$5:$A$7,0)),"dd/mm")&amp;" – "&amp;TEXT(INDEX(Sprints!$C$5:$C$7,MATCH(I79,Sprints!$A$5:$A$7,0)),"dd/mm"),"")</f>
        <v>19/10 – 01/11</v>
      </c>
      <c r="K79" s="21" t="s">
        <v>56</v>
      </c>
      <c r="L79" s="21" t="s">
        <v>45</v>
      </c>
      <c r="M79" s="17" t="str">
        <f t="array" ref="M79">IFERROR(IF(AND(L79&lt;&gt;"Done",TODAY()&gt;INDEX(Sprints!$C$5:$C$7,MATCH(I79,Sprints!$A$5:$A$7,0))),"Trễ",""),"")</f>
        <v/>
      </c>
      <c r="N79" s="24"/>
      <c r="O79" s="24"/>
      <c r="P79" s="22"/>
    </row>
    <row r="80" ht="66.0" hidden="1" customHeight="1">
      <c r="A80" s="21" t="s">
        <v>335</v>
      </c>
      <c r="B80" s="21" t="s">
        <v>244</v>
      </c>
      <c r="C80" s="22" t="s">
        <v>246</v>
      </c>
      <c r="D80" s="22" t="s">
        <v>330</v>
      </c>
      <c r="E80" s="23" t="s">
        <v>336</v>
      </c>
      <c r="F80" s="21" t="s">
        <v>40</v>
      </c>
      <c r="G80" s="22" t="s">
        <v>337</v>
      </c>
      <c r="H80" s="21" t="s">
        <v>42</v>
      </c>
      <c r="I80" s="21" t="s">
        <v>38</v>
      </c>
      <c r="J80" s="17" t="str">
        <f t="array" ref="J80">IFERROR(TEXT(INDEX(Sprints!$B$5:$B$7,MATCH(I80,Sprints!$A$5:$A$7,0)),"dd/mm")&amp;" – "&amp;TEXT(INDEX(Sprints!$C$5:$C$7,MATCH(I80,Sprints!$A$5:$A$7,0)),"dd/mm"),"")</f>
        <v>19/10 – 01/11</v>
      </c>
      <c r="K80" s="21" t="s">
        <v>44</v>
      </c>
      <c r="L80" s="21" t="s">
        <v>45</v>
      </c>
      <c r="M80" s="17" t="str">
        <f t="array" ref="M80">IFERROR(IF(AND(L80&lt;&gt;"Done",TODAY()&gt;INDEX(Sprints!$C$5:$C$7,MATCH(I80,Sprints!$A$5:$A$7,0))),"Trễ",""),"")</f>
        <v/>
      </c>
      <c r="N80" s="24"/>
      <c r="O80" s="24"/>
      <c r="P80" s="22"/>
    </row>
    <row r="81" ht="66.0" hidden="1" customHeight="1">
      <c r="A81" s="21" t="s">
        <v>338</v>
      </c>
      <c r="B81" s="21" t="s">
        <v>244</v>
      </c>
      <c r="C81" s="22" t="s">
        <v>246</v>
      </c>
      <c r="D81" s="22" t="s">
        <v>330</v>
      </c>
      <c r="E81" s="23" t="s">
        <v>336</v>
      </c>
      <c r="F81" s="21" t="s">
        <v>53</v>
      </c>
      <c r="G81" s="22" t="s">
        <v>339</v>
      </c>
      <c r="H81" s="21" t="s">
        <v>42</v>
      </c>
      <c r="I81" s="21" t="s">
        <v>38</v>
      </c>
      <c r="J81" s="17" t="str">
        <f t="array" ref="J81">IFERROR(TEXT(INDEX(Sprints!$B$5:$B$7,MATCH(I81,Sprints!$A$5:$A$7,0)),"dd/mm")&amp;" – "&amp;TEXT(INDEX(Sprints!$C$5:$C$7,MATCH(I81,Sprints!$A$5:$A$7,0)),"dd/mm"),"")</f>
        <v>19/10 – 01/11</v>
      </c>
      <c r="K81" s="21" t="s">
        <v>59</v>
      </c>
      <c r="L81" s="21" t="s">
        <v>45</v>
      </c>
      <c r="M81" s="17" t="str">
        <f t="array" ref="M81">IFERROR(IF(AND(L81&lt;&gt;"Done",TODAY()&gt;INDEX(Sprints!$C$5:$C$7,MATCH(I81,Sprints!$A$5:$A$7,0))),"Trễ",""),"")</f>
        <v/>
      </c>
      <c r="N81" s="24"/>
      <c r="O81" s="24"/>
      <c r="P81" s="22"/>
    </row>
    <row r="82" ht="79.5" hidden="1" customHeight="1">
      <c r="A82" s="21" t="s">
        <v>340</v>
      </c>
      <c r="B82" s="21" t="s">
        <v>244</v>
      </c>
      <c r="C82" s="22" t="s">
        <v>246</v>
      </c>
      <c r="D82" s="22" t="s">
        <v>330</v>
      </c>
      <c r="E82" s="23" t="s">
        <v>341</v>
      </c>
      <c r="F82" s="21" t="s">
        <v>40</v>
      </c>
      <c r="G82" s="22" t="s">
        <v>342</v>
      </c>
      <c r="H82" s="21" t="s">
        <v>87</v>
      </c>
      <c r="I82" s="21" t="s">
        <v>38</v>
      </c>
      <c r="J82" s="17" t="str">
        <f t="array" ref="J82">IFERROR(TEXT(INDEX(Sprints!$B$5:$B$7,MATCH(I82,Sprints!$A$5:$A$7,0)),"dd/mm")&amp;" – "&amp;TEXT(INDEX(Sprints!$C$5:$C$7,MATCH(I82,Sprints!$A$5:$A$7,0)),"dd/mm"),"")</f>
        <v>19/10 – 01/11</v>
      </c>
      <c r="K82" s="21" t="s">
        <v>44</v>
      </c>
      <c r="L82" s="21" t="s">
        <v>45</v>
      </c>
      <c r="M82" s="17" t="str">
        <f t="array" ref="M82">IFERROR(IF(AND(L82&lt;&gt;"Done",TODAY()&gt;INDEX(Sprints!$C$5:$C$7,MATCH(I82,Sprints!$A$5:$A$7,0))),"Trễ",""),"")</f>
        <v/>
      </c>
      <c r="N82" s="24"/>
      <c r="O82" s="24"/>
      <c r="P82" s="22"/>
    </row>
    <row r="83" ht="66.0" hidden="1" customHeight="1">
      <c r="A83" s="21" t="s">
        <v>343</v>
      </c>
      <c r="B83" s="21" t="s">
        <v>244</v>
      </c>
      <c r="C83" s="22" t="s">
        <v>246</v>
      </c>
      <c r="D83" s="22" t="s">
        <v>330</v>
      </c>
      <c r="E83" s="23" t="s">
        <v>341</v>
      </c>
      <c r="F83" s="21" t="s">
        <v>53</v>
      </c>
      <c r="G83" s="22" t="s">
        <v>344</v>
      </c>
      <c r="H83" s="21" t="s">
        <v>87</v>
      </c>
      <c r="I83" s="21" t="s">
        <v>38</v>
      </c>
      <c r="J83" s="17" t="str">
        <f t="array" ref="J83">IFERROR(TEXT(INDEX(Sprints!$B$5:$B$7,MATCH(I83,Sprints!$A$5:$A$7,0)),"dd/mm")&amp;" – "&amp;TEXT(INDEX(Sprints!$C$5:$C$7,MATCH(I83,Sprints!$A$5:$A$7,0)),"dd/mm"),"")</f>
        <v>19/10 – 01/11</v>
      </c>
      <c r="K83" s="21" t="s">
        <v>56</v>
      </c>
      <c r="L83" s="21" t="s">
        <v>45</v>
      </c>
      <c r="M83" s="17" t="str">
        <f t="array" ref="M83">IFERROR(IF(AND(L83&lt;&gt;"Done",TODAY()&gt;INDEX(Sprints!$C$5:$C$7,MATCH(I83,Sprints!$A$5:$A$7,0))),"Trễ",""),"")</f>
        <v/>
      </c>
      <c r="N83" s="24"/>
      <c r="O83" s="24"/>
      <c r="P83" s="22"/>
    </row>
    <row r="84" ht="79.5" hidden="1" customHeight="1">
      <c r="A84" s="21" t="s">
        <v>345</v>
      </c>
      <c r="B84" s="21" t="s">
        <v>244</v>
      </c>
      <c r="C84" s="22" t="s">
        <v>246</v>
      </c>
      <c r="D84" s="22" t="s">
        <v>330</v>
      </c>
      <c r="E84" s="23" t="s">
        <v>346</v>
      </c>
      <c r="F84" s="21" t="s">
        <v>40</v>
      </c>
      <c r="G84" s="22" t="s">
        <v>347</v>
      </c>
      <c r="H84" s="21" t="s">
        <v>42</v>
      </c>
      <c r="I84" s="21" t="s">
        <v>38</v>
      </c>
      <c r="J84" s="17" t="str">
        <f t="array" ref="J84">IFERROR(TEXT(INDEX(Sprints!$B$5:$B$7,MATCH(I84,Sprints!$A$5:$A$7,0)),"dd/mm")&amp;" – "&amp;TEXT(INDEX(Sprints!$C$5:$C$7,MATCH(I84,Sprints!$A$5:$A$7,0)),"dd/mm"),"")</f>
        <v>19/10 – 01/11</v>
      </c>
      <c r="K84" s="21" t="s">
        <v>44</v>
      </c>
      <c r="L84" s="21" t="s">
        <v>45</v>
      </c>
      <c r="M84" s="17" t="str">
        <f t="array" ref="M84">IFERROR(IF(AND(L84&lt;&gt;"Done",TODAY()&gt;INDEX(Sprints!$C$5:$C$7,MATCH(I84,Sprints!$A$5:$A$7,0))),"Trễ",""),"")</f>
        <v/>
      </c>
      <c r="N84" s="24"/>
      <c r="O84" s="24"/>
      <c r="P84" s="22"/>
    </row>
    <row r="85" ht="93.75" hidden="1" customHeight="1">
      <c r="A85" s="21" t="s">
        <v>348</v>
      </c>
      <c r="B85" s="21" t="s">
        <v>244</v>
      </c>
      <c r="C85" s="22" t="s">
        <v>246</v>
      </c>
      <c r="D85" s="22" t="s">
        <v>349</v>
      </c>
      <c r="E85" s="23" t="s">
        <v>350</v>
      </c>
      <c r="F85" s="21" t="s">
        <v>40</v>
      </c>
      <c r="G85" s="22" t="s">
        <v>351</v>
      </c>
      <c r="H85" s="21" t="s">
        <v>42</v>
      </c>
      <c r="I85" s="21" t="s">
        <v>47</v>
      </c>
      <c r="J85" s="17" t="str">
        <f t="array" ref="J85">IFERROR(TEXT(INDEX(Sprints!$B$5:$B$7,MATCH(I85,Sprints!$A$5:$A$7,0)),"dd/mm")&amp;" – "&amp;TEXT(INDEX(Sprints!$C$5:$C$7,MATCH(I85,Sprints!$A$5:$A$7,0)),"dd/mm"),"")</f>
        <v>02/11 – 15/11</v>
      </c>
      <c r="K85" s="21" t="s">
        <v>25</v>
      </c>
      <c r="L85" s="21" t="s">
        <v>45</v>
      </c>
      <c r="M85" s="17" t="str">
        <f t="array" ref="M85">IFERROR(IF(AND(L85&lt;&gt;"Done",TODAY()&gt;INDEX(Sprints!$C$5:$C$7,MATCH(I85,Sprints!$A$5:$A$7,0))),"Trễ",""),"")</f>
        <v/>
      </c>
      <c r="N85" s="24"/>
      <c r="O85" s="24"/>
      <c r="P85" s="22" t="s">
        <v>352</v>
      </c>
    </row>
    <row r="86" ht="79.5" hidden="1" customHeight="1">
      <c r="A86" s="21" t="s">
        <v>353</v>
      </c>
      <c r="B86" s="21" t="s">
        <v>244</v>
      </c>
      <c r="C86" s="22" t="s">
        <v>246</v>
      </c>
      <c r="D86" s="22" t="s">
        <v>349</v>
      </c>
      <c r="E86" s="23" t="s">
        <v>350</v>
      </c>
      <c r="F86" s="21" t="s">
        <v>53</v>
      </c>
      <c r="G86" s="22" t="s">
        <v>354</v>
      </c>
      <c r="H86" s="21" t="s">
        <v>42</v>
      </c>
      <c r="I86" s="21" t="s">
        <v>47</v>
      </c>
      <c r="J86" s="17" t="str">
        <f t="array" ref="J86">IFERROR(TEXT(INDEX(Sprints!$B$5:$B$7,MATCH(I86,Sprints!$A$5:$A$7,0)),"dd/mm")&amp;" – "&amp;TEXT(INDEX(Sprints!$C$5:$C$7,MATCH(I86,Sprints!$A$5:$A$7,0)),"dd/mm"),"")</f>
        <v>02/11 – 15/11</v>
      </c>
      <c r="K86" s="21" t="s">
        <v>25</v>
      </c>
      <c r="L86" s="21" t="s">
        <v>45</v>
      </c>
      <c r="M86" s="17" t="str">
        <f t="array" ref="M86">IFERROR(IF(AND(L86&lt;&gt;"Done",TODAY()&gt;INDEX(Sprints!$C$5:$C$7,MATCH(I86,Sprints!$A$5:$A$7,0))),"Trễ",""),"")</f>
        <v/>
      </c>
      <c r="N86" s="24"/>
      <c r="O86" s="24"/>
      <c r="P86" s="22" t="s">
        <v>352</v>
      </c>
    </row>
    <row r="87" ht="66.0" customHeight="1">
      <c r="A87" s="21" t="s">
        <v>355</v>
      </c>
      <c r="B87" s="21" t="s">
        <v>244</v>
      </c>
      <c r="C87" s="22" t="s">
        <v>246</v>
      </c>
      <c r="D87" s="22" t="s">
        <v>349</v>
      </c>
      <c r="E87" s="23" t="s">
        <v>350</v>
      </c>
      <c r="F87" s="21" t="s">
        <v>68</v>
      </c>
      <c r="G87" s="22" t="s">
        <v>356</v>
      </c>
      <c r="H87" s="21" t="s">
        <v>42</v>
      </c>
      <c r="I87" s="21" t="s">
        <v>47</v>
      </c>
      <c r="J87" s="17" t="str">
        <f t="array" ref="J87">IFERROR(TEXT(INDEX(Sprints!$B$5:$B$7,MATCH(I87,Sprints!$A$5:$A$7,0)),"dd/mm")&amp;" – "&amp;TEXT(INDEX(Sprints!$C$5:$C$7,MATCH(I87,Sprints!$A$5:$A$7,0)),"dd/mm"),"")</f>
        <v>02/11 – 15/11</v>
      </c>
      <c r="K87" s="21" t="s">
        <v>25</v>
      </c>
      <c r="L87" s="21" t="s">
        <v>45</v>
      </c>
      <c r="M87" s="17" t="str">
        <f t="array" ref="M87">IFERROR(IF(AND(L87&lt;&gt;"Done",TODAY()&gt;INDEX(Sprints!$C$5:$C$7,MATCH(I87,Sprints!$A$5:$A$7,0))),"Trễ",""),"")</f>
        <v/>
      </c>
      <c r="N87" s="24"/>
      <c r="O87" s="24"/>
      <c r="P87" s="22" t="s">
        <v>352</v>
      </c>
    </row>
    <row r="88" ht="79.5" hidden="1" customHeight="1">
      <c r="A88" s="21" t="s">
        <v>357</v>
      </c>
      <c r="B88" s="21" t="s">
        <v>244</v>
      </c>
      <c r="C88" s="22" t="s">
        <v>246</v>
      </c>
      <c r="D88" s="22" t="s">
        <v>349</v>
      </c>
      <c r="E88" s="23" t="s">
        <v>358</v>
      </c>
      <c r="F88" s="21" t="s">
        <v>40</v>
      </c>
      <c r="G88" s="22" t="s">
        <v>359</v>
      </c>
      <c r="H88" s="21" t="s">
        <v>42</v>
      </c>
      <c r="I88" s="21" t="s">
        <v>47</v>
      </c>
      <c r="J88" s="17" t="str">
        <f t="array" ref="J88">IFERROR(TEXT(INDEX(Sprints!$B$5:$B$7,MATCH(I88,Sprints!$A$5:$A$7,0)),"dd/mm")&amp;" – "&amp;TEXT(INDEX(Sprints!$C$5:$C$7,MATCH(I88,Sprints!$A$5:$A$7,0)),"dd/mm"),"")</f>
        <v>02/11 – 15/11</v>
      </c>
      <c r="K88" s="21" t="s">
        <v>48</v>
      </c>
      <c r="L88" s="21" t="s">
        <v>45</v>
      </c>
      <c r="M88" s="17" t="str">
        <f t="array" ref="M88">IFERROR(IF(AND(L88&lt;&gt;"Done",TODAY()&gt;INDEX(Sprints!$C$5:$C$7,MATCH(I88,Sprints!$A$5:$A$7,0))),"Trễ",""),"")</f>
        <v/>
      </c>
      <c r="N88" s="24"/>
      <c r="O88" s="24"/>
      <c r="P88" s="22"/>
    </row>
    <row r="89" ht="66.0" customHeight="1">
      <c r="A89" s="21" t="s">
        <v>360</v>
      </c>
      <c r="B89" s="21" t="s">
        <v>244</v>
      </c>
      <c r="C89" s="22" t="s">
        <v>246</v>
      </c>
      <c r="D89" s="22" t="s">
        <v>349</v>
      </c>
      <c r="E89" s="23" t="s">
        <v>358</v>
      </c>
      <c r="F89" s="21" t="s">
        <v>68</v>
      </c>
      <c r="G89" s="22" t="s">
        <v>361</v>
      </c>
      <c r="H89" s="21" t="s">
        <v>42</v>
      </c>
      <c r="I89" s="21" t="s">
        <v>47</v>
      </c>
      <c r="J89" s="17" t="str">
        <f t="array" ref="J89">IFERROR(TEXT(INDEX(Sprints!$B$5:$B$7,MATCH(I89,Sprints!$A$5:$A$7,0)),"dd/mm")&amp;" – "&amp;TEXT(INDEX(Sprints!$C$5:$C$7,MATCH(I89,Sprints!$A$5:$A$7,0)),"dd/mm"),"")</f>
        <v>02/11 – 15/11</v>
      </c>
      <c r="K89" s="21" t="s">
        <v>56</v>
      </c>
      <c r="L89" s="21" t="s">
        <v>45</v>
      </c>
      <c r="M89" s="17" t="str">
        <f t="array" ref="M89">IFERROR(IF(AND(L89&lt;&gt;"Done",TODAY()&gt;INDEX(Sprints!$C$5:$C$7,MATCH(I89,Sprints!$A$5:$A$7,0))),"Trễ",""),"")</f>
        <v/>
      </c>
      <c r="N89" s="24"/>
      <c r="O89" s="24"/>
      <c r="P89" s="22"/>
    </row>
    <row r="90" ht="79.5" hidden="1" customHeight="1">
      <c r="A90" s="21" t="s">
        <v>362</v>
      </c>
      <c r="B90" s="21" t="s">
        <v>244</v>
      </c>
      <c r="C90" s="22" t="s">
        <v>246</v>
      </c>
      <c r="D90" s="22" t="s">
        <v>349</v>
      </c>
      <c r="E90" s="23" t="s">
        <v>363</v>
      </c>
      <c r="F90" s="21" t="s">
        <v>40</v>
      </c>
      <c r="G90" s="22" t="s">
        <v>364</v>
      </c>
      <c r="H90" s="21" t="s">
        <v>42</v>
      </c>
      <c r="I90" s="21" t="s">
        <v>47</v>
      </c>
      <c r="J90" s="17" t="str">
        <f t="array" ref="J90">IFERROR(TEXT(INDEX(Sprints!$B$5:$B$7,MATCH(I90,Sprints!$A$5:$A$7,0)),"dd/mm")&amp;" – "&amp;TEXT(INDEX(Sprints!$C$5:$C$7,MATCH(I90,Sprints!$A$5:$A$7,0)),"dd/mm"),"")</f>
        <v>02/11 – 15/11</v>
      </c>
      <c r="K90" s="21" t="s">
        <v>25</v>
      </c>
      <c r="L90" s="21" t="s">
        <v>45</v>
      </c>
      <c r="M90" s="17" t="str">
        <f t="array" ref="M90">IFERROR(IF(AND(L90&lt;&gt;"Done",TODAY()&gt;INDEX(Sprints!$C$5:$C$7,MATCH(I90,Sprints!$A$5:$A$7,0))),"Trễ",""),"")</f>
        <v/>
      </c>
      <c r="N90" s="24"/>
      <c r="O90" s="24"/>
      <c r="P90" s="22" t="s">
        <v>365</v>
      </c>
    </row>
    <row r="91" ht="79.5" hidden="1" customHeight="1">
      <c r="A91" s="21" t="s">
        <v>366</v>
      </c>
      <c r="B91" s="21" t="s">
        <v>244</v>
      </c>
      <c r="C91" s="22" t="s">
        <v>246</v>
      </c>
      <c r="D91" s="22" t="s">
        <v>349</v>
      </c>
      <c r="E91" s="23" t="s">
        <v>363</v>
      </c>
      <c r="F91" s="21" t="s">
        <v>53</v>
      </c>
      <c r="G91" s="22" t="s">
        <v>367</v>
      </c>
      <c r="H91" s="21" t="s">
        <v>42</v>
      </c>
      <c r="I91" s="21" t="s">
        <v>47</v>
      </c>
      <c r="J91" s="17" t="str">
        <f t="array" ref="J91">IFERROR(TEXT(INDEX(Sprints!$B$5:$B$7,MATCH(I91,Sprints!$A$5:$A$7,0)),"dd/mm")&amp;" – "&amp;TEXT(INDEX(Sprints!$C$5:$C$7,MATCH(I91,Sprints!$A$5:$A$7,0)),"dd/mm"),"")</f>
        <v>02/11 – 15/11</v>
      </c>
      <c r="K91" s="21" t="s">
        <v>25</v>
      </c>
      <c r="L91" s="21" t="s">
        <v>45</v>
      </c>
      <c r="M91" s="17" t="str">
        <f t="array" ref="M91">IFERROR(IF(AND(L91&lt;&gt;"Done",TODAY()&gt;INDEX(Sprints!$C$5:$C$7,MATCH(I91,Sprints!$A$5:$A$7,0))),"Trễ",""),"")</f>
        <v/>
      </c>
      <c r="N91" s="24"/>
      <c r="O91" s="24"/>
      <c r="P91" s="22" t="s">
        <v>365</v>
      </c>
    </row>
    <row r="92" ht="66.0" customHeight="1">
      <c r="A92" s="21" t="s">
        <v>368</v>
      </c>
      <c r="B92" s="21" t="s">
        <v>244</v>
      </c>
      <c r="C92" s="22" t="s">
        <v>246</v>
      </c>
      <c r="D92" s="22" t="s">
        <v>349</v>
      </c>
      <c r="E92" s="23" t="s">
        <v>363</v>
      </c>
      <c r="F92" s="21" t="s">
        <v>68</v>
      </c>
      <c r="G92" s="22" t="s">
        <v>369</v>
      </c>
      <c r="H92" s="21" t="s">
        <v>42</v>
      </c>
      <c r="I92" s="21" t="s">
        <v>47</v>
      </c>
      <c r="J92" s="17" t="str">
        <f t="array" ref="J92">IFERROR(TEXT(INDEX(Sprints!$B$5:$B$7,MATCH(I92,Sprints!$A$5:$A$7,0)),"dd/mm")&amp;" – "&amp;TEXT(INDEX(Sprints!$C$5:$C$7,MATCH(I92,Sprints!$A$5:$A$7,0)),"dd/mm"),"")</f>
        <v>02/11 – 15/11</v>
      </c>
      <c r="K92" s="21" t="s">
        <v>25</v>
      </c>
      <c r="L92" s="21" t="s">
        <v>45</v>
      </c>
      <c r="M92" s="17" t="str">
        <f t="array" ref="M92">IFERROR(IF(AND(L92&lt;&gt;"Done",TODAY()&gt;INDEX(Sprints!$C$5:$C$7,MATCH(I92,Sprints!$A$5:$A$7,0))),"Trễ",""),"")</f>
        <v/>
      </c>
      <c r="N92" s="24"/>
      <c r="O92" s="24"/>
      <c r="P92" s="22" t="s">
        <v>365</v>
      </c>
    </row>
    <row r="93" ht="79.5" hidden="1" customHeight="1">
      <c r="A93" s="21" t="s">
        <v>370</v>
      </c>
      <c r="B93" s="21" t="s">
        <v>244</v>
      </c>
      <c r="C93" s="22" t="s">
        <v>246</v>
      </c>
      <c r="D93" s="22" t="s">
        <v>349</v>
      </c>
      <c r="E93" s="23" t="s">
        <v>371</v>
      </c>
      <c r="F93" s="21" t="s">
        <v>40</v>
      </c>
      <c r="G93" s="22" t="s">
        <v>372</v>
      </c>
      <c r="H93" s="21" t="s">
        <v>42</v>
      </c>
      <c r="I93" s="21" t="s">
        <v>47</v>
      </c>
      <c r="J93" s="17" t="str">
        <f t="array" ref="J93">IFERROR(TEXT(INDEX(Sprints!$B$5:$B$7,MATCH(I93,Sprints!$A$5:$A$7,0)),"dd/mm")&amp;" – "&amp;TEXT(INDEX(Sprints!$C$5:$C$7,MATCH(I93,Sprints!$A$5:$A$7,0)),"dd/mm"),"")</f>
        <v>02/11 – 15/11</v>
      </c>
      <c r="K93" s="21" t="s">
        <v>25</v>
      </c>
      <c r="L93" s="21" t="s">
        <v>45</v>
      </c>
      <c r="M93" s="17" t="str">
        <f t="array" ref="M93">IFERROR(IF(AND(L93&lt;&gt;"Done",TODAY()&gt;INDEX(Sprints!$C$5:$C$7,MATCH(I93,Sprints!$A$5:$A$7,0))),"Trễ",""),"")</f>
        <v/>
      </c>
      <c r="N93" s="24"/>
      <c r="O93" s="24"/>
      <c r="P93" s="22" t="s">
        <v>373</v>
      </c>
    </row>
    <row r="94" ht="79.5" customHeight="1">
      <c r="A94" s="21" t="s">
        <v>374</v>
      </c>
      <c r="B94" s="21" t="s">
        <v>244</v>
      </c>
      <c r="C94" s="22" t="s">
        <v>246</v>
      </c>
      <c r="D94" s="22" t="s">
        <v>349</v>
      </c>
      <c r="E94" s="23" t="s">
        <v>371</v>
      </c>
      <c r="F94" s="21" t="s">
        <v>68</v>
      </c>
      <c r="G94" s="22" t="s">
        <v>375</v>
      </c>
      <c r="H94" s="21" t="s">
        <v>42</v>
      </c>
      <c r="I94" s="21" t="s">
        <v>47</v>
      </c>
      <c r="J94" s="17" t="str">
        <f t="array" ref="J94">IFERROR(TEXT(INDEX(Sprints!$B$5:$B$7,MATCH(I94,Sprints!$A$5:$A$7,0)),"dd/mm")&amp;" – "&amp;TEXT(INDEX(Sprints!$C$5:$C$7,MATCH(I94,Sprints!$A$5:$A$7,0)),"dd/mm"),"")</f>
        <v>02/11 – 15/11</v>
      </c>
      <c r="K94" s="21" t="s">
        <v>25</v>
      </c>
      <c r="L94" s="21" t="s">
        <v>45</v>
      </c>
      <c r="M94" s="17" t="str">
        <f t="array" ref="M94">IFERROR(IF(AND(L94&lt;&gt;"Done",TODAY()&gt;INDEX(Sprints!$C$5:$C$7,MATCH(I94,Sprints!$A$5:$A$7,0))),"Trễ",""),"")</f>
        <v/>
      </c>
      <c r="N94" s="24"/>
      <c r="O94" s="24"/>
      <c r="P94" s="22" t="s">
        <v>373</v>
      </c>
    </row>
    <row r="95" ht="66.0" hidden="1" customHeight="1">
      <c r="A95" s="21" t="s">
        <v>376</v>
      </c>
      <c r="B95" s="21" t="s">
        <v>244</v>
      </c>
      <c r="C95" s="22" t="s">
        <v>246</v>
      </c>
      <c r="D95" s="22" t="s">
        <v>349</v>
      </c>
      <c r="E95" s="23" t="s">
        <v>377</v>
      </c>
      <c r="F95" s="21" t="s">
        <v>40</v>
      </c>
      <c r="G95" s="22" t="s">
        <v>378</v>
      </c>
      <c r="H95" s="21" t="s">
        <v>87</v>
      </c>
      <c r="I95" s="21" t="s">
        <v>38</v>
      </c>
      <c r="J95" s="17" t="str">
        <f t="array" ref="J95">IFERROR(TEXT(INDEX(Sprints!$B$5:$B$7,MATCH(I95,Sprints!$A$5:$A$7,0)),"dd/mm")&amp;" – "&amp;TEXT(INDEX(Sprints!$C$5:$C$7,MATCH(I95,Sprints!$A$5:$A$7,0)),"dd/mm"),"")</f>
        <v>19/10 – 01/11</v>
      </c>
      <c r="K95" s="21" t="s">
        <v>48</v>
      </c>
      <c r="L95" s="21" t="s">
        <v>45</v>
      </c>
      <c r="M95" s="17" t="str">
        <f t="array" ref="M95">IFERROR(IF(AND(L95&lt;&gt;"Done",TODAY()&gt;INDEX(Sprints!$C$5:$C$7,MATCH(I95,Sprints!$A$5:$A$7,0))),"Trễ",""),"")</f>
        <v/>
      </c>
      <c r="N95" s="24"/>
      <c r="O95" s="24"/>
      <c r="P95" s="22"/>
    </row>
    <row r="96" ht="66.0" customHeight="1">
      <c r="A96" s="21" t="s">
        <v>379</v>
      </c>
      <c r="B96" s="21" t="s">
        <v>244</v>
      </c>
      <c r="C96" s="22" t="s">
        <v>246</v>
      </c>
      <c r="D96" s="22" t="s">
        <v>349</v>
      </c>
      <c r="E96" s="23" t="s">
        <v>377</v>
      </c>
      <c r="F96" s="21" t="s">
        <v>68</v>
      </c>
      <c r="G96" s="22" t="s">
        <v>380</v>
      </c>
      <c r="H96" s="21" t="s">
        <v>87</v>
      </c>
      <c r="I96" s="21" t="s">
        <v>38</v>
      </c>
      <c r="J96" s="17" t="str">
        <f t="array" ref="J96">IFERROR(TEXT(INDEX(Sprints!$B$5:$B$7,MATCH(I96,Sprints!$A$5:$A$7,0)),"dd/mm")&amp;" – "&amp;TEXT(INDEX(Sprints!$C$5:$C$7,MATCH(I96,Sprints!$A$5:$A$7,0)),"dd/mm"),"")</f>
        <v>19/10 – 01/11</v>
      </c>
      <c r="K96" s="21" t="s">
        <v>59</v>
      </c>
      <c r="L96" s="21" t="s">
        <v>45</v>
      </c>
      <c r="M96" s="17" t="str">
        <f t="array" ref="M96">IFERROR(IF(AND(L96&lt;&gt;"Done",TODAY()&gt;INDEX(Sprints!$C$5:$C$7,MATCH(I96,Sprints!$A$5:$A$7,0))),"Trễ",""),"")</f>
        <v/>
      </c>
      <c r="N96" s="24"/>
      <c r="O96" s="24"/>
      <c r="P96" s="22"/>
    </row>
    <row r="97" ht="93.75" hidden="1" customHeight="1">
      <c r="A97" s="21" t="s">
        <v>381</v>
      </c>
      <c r="B97" s="21" t="s">
        <v>244</v>
      </c>
      <c r="C97" s="22" t="s">
        <v>246</v>
      </c>
      <c r="D97" s="22" t="s">
        <v>382</v>
      </c>
      <c r="E97" s="23" t="s">
        <v>383</v>
      </c>
      <c r="F97" s="21" t="s">
        <v>40</v>
      </c>
      <c r="G97" s="22" t="s">
        <v>384</v>
      </c>
      <c r="H97" s="21" t="s">
        <v>42</v>
      </c>
      <c r="I97" s="21" t="s">
        <v>47</v>
      </c>
      <c r="J97" s="17" t="str">
        <f t="array" ref="J97">IFERROR(TEXT(INDEX(Sprints!$B$5:$B$7,MATCH(I97,Sprints!$A$5:$A$7,0)),"dd/mm")&amp;" – "&amp;TEXT(INDEX(Sprints!$C$5:$C$7,MATCH(I97,Sprints!$A$5:$A$7,0)),"dd/mm"),"")</f>
        <v>02/11 – 15/11</v>
      </c>
      <c r="K97" s="21" t="s">
        <v>25</v>
      </c>
      <c r="L97" s="21" t="s">
        <v>45</v>
      </c>
      <c r="M97" s="17" t="str">
        <f t="array" ref="M97">IFERROR(IF(AND(L97&lt;&gt;"Done",TODAY()&gt;INDEX(Sprints!$C$5:$C$7,MATCH(I97,Sprints!$A$5:$A$7,0))),"Trễ",""),"")</f>
        <v/>
      </c>
      <c r="N97" s="24"/>
      <c r="O97" s="24"/>
      <c r="P97" s="22" t="s">
        <v>385</v>
      </c>
    </row>
    <row r="98" ht="79.5" hidden="1" customHeight="1">
      <c r="A98" s="21" t="s">
        <v>386</v>
      </c>
      <c r="B98" s="21" t="s">
        <v>244</v>
      </c>
      <c r="C98" s="22" t="s">
        <v>246</v>
      </c>
      <c r="D98" s="22" t="s">
        <v>382</v>
      </c>
      <c r="E98" s="23" t="s">
        <v>383</v>
      </c>
      <c r="F98" s="21" t="s">
        <v>53</v>
      </c>
      <c r="G98" s="22" t="s">
        <v>387</v>
      </c>
      <c r="H98" s="21" t="s">
        <v>42</v>
      </c>
      <c r="I98" s="21" t="s">
        <v>47</v>
      </c>
      <c r="J98" s="17" t="str">
        <f t="array" ref="J98">IFERROR(TEXT(INDEX(Sprints!$B$5:$B$7,MATCH(I98,Sprints!$A$5:$A$7,0)),"dd/mm")&amp;" – "&amp;TEXT(INDEX(Sprints!$C$5:$C$7,MATCH(I98,Sprints!$A$5:$A$7,0)),"dd/mm"),"")</f>
        <v>02/11 – 15/11</v>
      </c>
      <c r="K98" s="21" t="s">
        <v>25</v>
      </c>
      <c r="L98" s="21" t="s">
        <v>45</v>
      </c>
      <c r="M98" s="17" t="str">
        <f t="array" ref="M98">IFERROR(IF(AND(L98&lt;&gt;"Done",TODAY()&gt;INDEX(Sprints!$C$5:$C$7,MATCH(I98,Sprints!$A$5:$A$7,0))),"Trễ",""),"")</f>
        <v/>
      </c>
      <c r="N98" s="24"/>
      <c r="O98" s="24"/>
      <c r="P98" s="22" t="s">
        <v>385</v>
      </c>
    </row>
    <row r="99" ht="66.0" hidden="1" customHeight="1">
      <c r="A99" s="21" t="s">
        <v>388</v>
      </c>
      <c r="B99" s="21" t="s">
        <v>244</v>
      </c>
      <c r="C99" s="22" t="s">
        <v>246</v>
      </c>
      <c r="D99" s="22" t="s">
        <v>382</v>
      </c>
      <c r="E99" s="23" t="s">
        <v>389</v>
      </c>
      <c r="F99" s="21" t="s">
        <v>40</v>
      </c>
      <c r="G99" s="22" t="s">
        <v>390</v>
      </c>
      <c r="H99" s="21" t="s">
        <v>87</v>
      </c>
      <c r="I99" s="21" t="s">
        <v>55</v>
      </c>
      <c r="J99" s="17" t="str">
        <f t="array" ref="J99">IFERROR(TEXT(INDEX(Sprints!$B$5:$B$7,MATCH(I99,Sprints!$A$5:$A$7,0)),"dd/mm")&amp;" – "&amp;TEXT(INDEX(Sprints!$C$5:$C$7,MATCH(I99,Sprints!$A$5:$A$7,0)),"dd/mm"),"")</f>
        <v>16/11 – 22/11</v>
      </c>
      <c r="K99" s="21" t="s">
        <v>44</v>
      </c>
      <c r="L99" s="21" t="s">
        <v>45</v>
      </c>
      <c r="M99" s="17" t="str">
        <f t="array" ref="M99">IFERROR(IF(AND(L99&lt;&gt;"Done",TODAY()&gt;INDEX(Sprints!$C$5:$C$7,MATCH(I99,Sprints!$A$5:$A$7,0))),"Trễ",""),"")</f>
        <v/>
      </c>
      <c r="N99" s="24"/>
      <c r="O99" s="24"/>
      <c r="P99" s="22"/>
    </row>
    <row r="100" ht="66.0" hidden="1" customHeight="1">
      <c r="A100" s="21" t="s">
        <v>391</v>
      </c>
      <c r="B100" s="21" t="s">
        <v>244</v>
      </c>
      <c r="C100" s="22" t="s">
        <v>246</v>
      </c>
      <c r="D100" s="22" t="s">
        <v>382</v>
      </c>
      <c r="E100" s="23" t="s">
        <v>389</v>
      </c>
      <c r="F100" s="21" t="s">
        <v>53</v>
      </c>
      <c r="G100" s="22" t="s">
        <v>392</v>
      </c>
      <c r="H100" s="21" t="s">
        <v>87</v>
      </c>
      <c r="I100" s="21" t="s">
        <v>55</v>
      </c>
      <c r="J100" s="17" t="str">
        <f t="array" ref="J100">IFERROR(TEXT(INDEX(Sprints!$B$5:$B$7,MATCH(I100,Sprints!$A$5:$A$7,0)),"dd/mm")&amp;" – "&amp;TEXT(INDEX(Sprints!$C$5:$C$7,MATCH(I100,Sprints!$A$5:$A$7,0)),"dd/mm"),"")</f>
        <v>16/11 – 22/11</v>
      </c>
      <c r="K100" s="21" t="s">
        <v>56</v>
      </c>
      <c r="L100" s="21" t="s">
        <v>45</v>
      </c>
      <c r="M100" s="17" t="str">
        <f t="array" ref="M100">IFERROR(IF(AND(L100&lt;&gt;"Done",TODAY()&gt;INDEX(Sprints!$C$5:$C$7,MATCH(I100,Sprints!$A$5:$A$7,0))),"Trễ",""),"")</f>
        <v/>
      </c>
      <c r="N100" s="24"/>
      <c r="O100" s="24"/>
      <c r="P100" s="22"/>
    </row>
    <row r="101" ht="66.0" hidden="1" customHeight="1">
      <c r="A101" s="7" t="s">
        <v>393</v>
      </c>
      <c r="B101" s="7" t="s">
        <v>253</v>
      </c>
      <c r="C101" s="9" t="s">
        <v>254</v>
      </c>
      <c r="D101" s="9" t="s">
        <v>394</v>
      </c>
      <c r="E101" s="12" t="s">
        <v>395</v>
      </c>
      <c r="F101" s="7" t="s">
        <v>40</v>
      </c>
      <c r="G101" s="9" t="s">
        <v>396</v>
      </c>
      <c r="H101" s="7" t="s">
        <v>42</v>
      </c>
      <c r="I101" s="7" t="s">
        <v>38</v>
      </c>
      <c r="J101" s="17" t="str">
        <f t="array" ref="J101">IFERROR(TEXT(INDEX(Sprints!$B$5:$B$7,MATCH(I101,Sprints!$A$5:$A$7,0)),"dd/mm")&amp;" – "&amp;TEXT(INDEX(Sprints!$C$5:$C$7,MATCH(I101,Sprints!$A$5:$A$7,0)),"dd/mm"),"")</f>
        <v>19/10 – 01/11</v>
      </c>
      <c r="K101" s="7" t="s">
        <v>25</v>
      </c>
      <c r="L101" s="7" t="s">
        <v>45</v>
      </c>
      <c r="M101" s="17" t="str">
        <f t="array" ref="M101">IFERROR(IF(AND(L101&lt;&gt;"Done",TODAY()&gt;INDEX(Sprints!$C$5:$C$7,MATCH(I101,Sprints!$A$5:$A$7,0))),"Trễ",""),"")</f>
        <v/>
      </c>
      <c r="N101" s="20"/>
      <c r="O101" s="20"/>
      <c r="P101" s="9" t="s">
        <v>397</v>
      </c>
    </row>
    <row r="102" ht="66.0" hidden="1" customHeight="1">
      <c r="A102" s="7" t="s">
        <v>398</v>
      </c>
      <c r="B102" s="7" t="s">
        <v>253</v>
      </c>
      <c r="C102" s="9" t="s">
        <v>254</v>
      </c>
      <c r="D102" s="9" t="s">
        <v>394</v>
      </c>
      <c r="E102" s="12" t="s">
        <v>395</v>
      </c>
      <c r="F102" s="7" t="s">
        <v>53</v>
      </c>
      <c r="G102" s="9" t="s">
        <v>399</v>
      </c>
      <c r="H102" s="7" t="s">
        <v>42</v>
      </c>
      <c r="I102" s="7" t="s">
        <v>38</v>
      </c>
      <c r="J102" s="17" t="str">
        <f t="array" ref="J102">IFERROR(TEXT(INDEX(Sprints!$B$5:$B$7,MATCH(I102,Sprints!$A$5:$A$7,0)),"dd/mm")&amp;" – "&amp;TEXT(INDEX(Sprints!$C$5:$C$7,MATCH(I102,Sprints!$A$5:$A$7,0)),"dd/mm"),"")</f>
        <v>19/10 – 01/11</v>
      </c>
      <c r="K102" s="7" t="s">
        <v>25</v>
      </c>
      <c r="L102" s="7" t="s">
        <v>45</v>
      </c>
      <c r="M102" s="17" t="str">
        <f t="array" ref="M102">IFERROR(IF(AND(L102&lt;&gt;"Done",TODAY()&gt;INDEX(Sprints!$C$5:$C$7,MATCH(I102,Sprints!$A$5:$A$7,0))),"Trễ",""),"")</f>
        <v/>
      </c>
      <c r="N102" s="20"/>
      <c r="O102" s="20"/>
      <c r="P102" s="9" t="s">
        <v>397</v>
      </c>
    </row>
    <row r="103" ht="79.5" hidden="1" customHeight="1">
      <c r="A103" s="7" t="s">
        <v>400</v>
      </c>
      <c r="B103" s="7" t="s">
        <v>253</v>
      </c>
      <c r="C103" s="9" t="s">
        <v>254</v>
      </c>
      <c r="D103" s="9" t="s">
        <v>394</v>
      </c>
      <c r="E103" s="12" t="s">
        <v>401</v>
      </c>
      <c r="F103" s="7" t="s">
        <v>40</v>
      </c>
      <c r="G103" s="9" t="s">
        <v>402</v>
      </c>
      <c r="H103" s="7" t="s">
        <v>42</v>
      </c>
      <c r="I103" s="7" t="s">
        <v>38</v>
      </c>
      <c r="J103" s="17" t="str">
        <f t="array" ref="J103">IFERROR(TEXT(INDEX(Sprints!$B$5:$B$7,MATCH(I103,Sprints!$A$5:$A$7,0)),"dd/mm")&amp;" – "&amp;TEXT(INDEX(Sprints!$C$5:$C$7,MATCH(I103,Sprints!$A$5:$A$7,0)),"dd/mm"),"")</f>
        <v>19/10 – 01/11</v>
      </c>
      <c r="K103" s="7" t="s">
        <v>25</v>
      </c>
      <c r="L103" s="7" t="s">
        <v>45</v>
      </c>
      <c r="M103" s="17" t="str">
        <f t="array" ref="M103">IFERROR(IF(AND(L103&lt;&gt;"Done",TODAY()&gt;INDEX(Sprints!$C$5:$C$7,MATCH(I103,Sprints!$A$5:$A$7,0))),"Trễ",""),"")</f>
        <v/>
      </c>
      <c r="N103" s="20"/>
      <c r="O103" s="20"/>
      <c r="P103" s="9"/>
    </row>
    <row r="104" ht="79.5" hidden="1" customHeight="1">
      <c r="A104" s="7" t="s">
        <v>403</v>
      </c>
      <c r="B104" s="7" t="s">
        <v>253</v>
      </c>
      <c r="C104" s="9" t="s">
        <v>254</v>
      </c>
      <c r="D104" s="9" t="s">
        <v>394</v>
      </c>
      <c r="E104" s="12" t="s">
        <v>404</v>
      </c>
      <c r="F104" s="7" t="s">
        <v>40</v>
      </c>
      <c r="G104" s="9" t="s">
        <v>405</v>
      </c>
      <c r="H104" s="7" t="s">
        <v>42</v>
      </c>
      <c r="I104" s="7" t="s">
        <v>38</v>
      </c>
      <c r="J104" s="17" t="str">
        <f t="array" ref="J104">IFERROR(TEXT(INDEX(Sprints!$B$5:$B$7,MATCH(I104,Sprints!$A$5:$A$7,0)),"dd/mm")&amp;" – "&amp;TEXT(INDEX(Sprints!$C$5:$C$7,MATCH(I104,Sprints!$A$5:$A$7,0)),"dd/mm"),"")</f>
        <v>19/10 – 01/11</v>
      </c>
      <c r="K104" s="7" t="s">
        <v>25</v>
      </c>
      <c r="L104" s="7" t="s">
        <v>45</v>
      </c>
      <c r="M104" s="17" t="str">
        <f t="array" ref="M104">IFERROR(IF(AND(L104&lt;&gt;"Done",TODAY()&gt;INDEX(Sprints!$C$5:$C$7,MATCH(I104,Sprints!$A$5:$A$7,0))),"Trễ",""),"")</f>
        <v/>
      </c>
      <c r="N104" s="20"/>
      <c r="O104" s="20"/>
      <c r="P104" s="9"/>
    </row>
    <row r="105" ht="66.0" hidden="1" customHeight="1">
      <c r="A105" s="7" t="s">
        <v>406</v>
      </c>
      <c r="B105" s="7" t="s">
        <v>253</v>
      </c>
      <c r="C105" s="9" t="s">
        <v>254</v>
      </c>
      <c r="D105" s="9" t="s">
        <v>407</v>
      </c>
      <c r="E105" s="12" t="s">
        <v>408</v>
      </c>
      <c r="F105" s="7" t="s">
        <v>40</v>
      </c>
      <c r="G105" s="9" t="s">
        <v>409</v>
      </c>
      <c r="H105" s="7" t="s">
        <v>42</v>
      </c>
      <c r="I105" s="7" t="s">
        <v>47</v>
      </c>
      <c r="J105" s="17" t="str">
        <f t="array" ref="J105">IFERROR(TEXT(INDEX(Sprints!$B$5:$B$7,MATCH(I105,Sprints!$A$5:$A$7,0)),"dd/mm")&amp;" – "&amp;TEXT(INDEX(Sprints!$C$5:$C$7,MATCH(I105,Sprints!$A$5:$A$7,0)),"dd/mm"),"")</f>
        <v>02/11 – 15/11</v>
      </c>
      <c r="K105" s="7" t="s">
        <v>44</v>
      </c>
      <c r="L105" s="7" t="s">
        <v>45</v>
      </c>
      <c r="M105" s="17" t="str">
        <f t="array" ref="M105">IFERROR(IF(AND(L105&lt;&gt;"Done",TODAY()&gt;INDEX(Sprints!$C$5:$C$7,MATCH(I105,Sprints!$A$5:$A$7,0))),"Trễ",""),"")</f>
        <v/>
      </c>
      <c r="N105" s="20"/>
      <c r="O105" s="20"/>
      <c r="P105" s="9" t="s">
        <v>410</v>
      </c>
    </row>
    <row r="106" ht="66.0" hidden="1" customHeight="1">
      <c r="A106" s="7" t="s">
        <v>411</v>
      </c>
      <c r="B106" s="7" t="s">
        <v>253</v>
      </c>
      <c r="C106" s="9" t="s">
        <v>254</v>
      </c>
      <c r="D106" s="9" t="s">
        <v>407</v>
      </c>
      <c r="E106" s="12" t="s">
        <v>408</v>
      </c>
      <c r="F106" s="7" t="s">
        <v>53</v>
      </c>
      <c r="G106" s="9" t="s">
        <v>412</v>
      </c>
      <c r="H106" s="7" t="s">
        <v>42</v>
      </c>
      <c r="I106" s="7" t="s">
        <v>47</v>
      </c>
      <c r="J106" s="17" t="str">
        <f t="array" ref="J106">IFERROR(TEXT(INDEX(Sprints!$B$5:$B$7,MATCH(I106,Sprints!$A$5:$A$7,0)),"dd/mm")&amp;" – "&amp;TEXT(INDEX(Sprints!$C$5:$C$7,MATCH(I106,Sprints!$A$5:$A$7,0)),"dd/mm"),"")</f>
        <v>02/11 – 15/11</v>
      </c>
      <c r="K106" s="7" t="s">
        <v>59</v>
      </c>
      <c r="L106" s="7" t="s">
        <v>45</v>
      </c>
      <c r="M106" s="17" t="str">
        <f t="array" ref="M106">IFERROR(IF(AND(L106&lt;&gt;"Done",TODAY()&gt;INDEX(Sprints!$C$5:$C$7,MATCH(I106,Sprints!$A$5:$A$7,0))),"Trễ",""),"")</f>
        <v/>
      </c>
      <c r="N106" s="20"/>
      <c r="O106" s="20"/>
      <c r="P106" s="9" t="s">
        <v>410</v>
      </c>
    </row>
    <row r="107" ht="79.5" hidden="1" customHeight="1">
      <c r="A107" s="7" t="s">
        <v>413</v>
      </c>
      <c r="B107" s="7" t="s">
        <v>253</v>
      </c>
      <c r="C107" s="9" t="s">
        <v>254</v>
      </c>
      <c r="D107" s="9" t="s">
        <v>407</v>
      </c>
      <c r="E107" s="12" t="s">
        <v>414</v>
      </c>
      <c r="F107" s="7" t="s">
        <v>40</v>
      </c>
      <c r="G107" s="9" t="s">
        <v>415</v>
      </c>
      <c r="H107" s="7" t="s">
        <v>42</v>
      </c>
      <c r="I107" s="7" t="s">
        <v>47</v>
      </c>
      <c r="J107" s="17" t="str">
        <f t="array" ref="J107">IFERROR(TEXT(INDEX(Sprints!$B$5:$B$7,MATCH(I107,Sprints!$A$5:$A$7,0)),"dd/mm")&amp;" – "&amp;TEXT(INDEX(Sprints!$C$5:$C$7,MATCH(I107,Sprints!$A$5:$A$7,0)),"dd/mm"),"")</f>
        <v>02/11 – 15/11</v>
      </c>
      <c r="K107" s="7" t="s">
        <v>44</v>
      </c>
      <c r="L107" s="7" t="s">
        <v>45</v>
      </c>
      <c r="M107" s="17" t="str">
        <f t="array" ref="M107">IFERROR(IF(AND(L107&lt;&gt;"Done",TODAY()&gt;INDEX(Sprints!$C$5:$C$7,MATCH(I107,Sprints!$A$5:$A$7,0))),"Trễ",""),"")</f>
        <v/>
      </c>
      <c r="N107" s="20"/>
      <c r="O107" s="20"/>
      <c r="P107" s="9"/>
    </row>
    <row r="108" ht="66.0" hidden="1" customHeight="1">
      <c r="A108" s="7" t="s">
        <v>416</v>
      </c>
      <c r="B108" s="7" t="s">
        <v>253</v>
      </c>
      <c r="C108" s="9" t="s">
        <v>254</v>
      </c>
      <c r="D108" s="9" t="s">
        <v>407</v>
      </c>
      <c r="E108" s="12" t="s">
        <v>414</v>
      </c>
      <c r="F108" s="7" t="s">
        <v>53</v>
      </c>
      <c r="G108" s="9" t="s">
        <v>417</v>
      </c>
      <c r="H108" s="7" t="s">
        <v>42</v>
      </c>
      <c r="I108" s="7" t="s">
        <v>47</v>
      </c>
      <c r="J108" s="17" t="str">
        <f t="array" ref="J108">IFERROR(TEXT(INDEX(Sprints!$B$5:$B$7,MATCH(I108,Sprints!$A$5:$A$7,0)),"dd/mm")&amp;" – "&amp;TEXT(INDEX(Sprints!$C$5:$C$7,MATCH(I108,Sprints!$A$5:$A$7,0)),"dd/mm"),"")</f>
        <v>02/11 – 15/11</v>
      </c>
      <c r="K108" s="7" t="s">
        <v>59</v>
      </c>
      <c r="L108" s="7" t="s">
        <v>45</v>
      </c>
      <c r="M108" s="17" t="str">
        <f t="array" ref="M108">IFERROR(IF(AND(L108&lt;&gt;"Done",TODAY()&gt;INDEX(Sprints!$C$5:$C$7,MATCH(I108,Sprints!$A$5:$A$7,0))),"Trễ",""),"")</f>
        <v/>
      </c>
      <c r="N108" s="20"/>
      <c r="O108" s="20"/>
      <c r="P108" s="9"/>
    </row>
    <row r="109" ht="66.0" hidden="1" customHeight="1">
      <c r="A109" s="7" t="s">
        <v>418</v>
      </c>
      <c r="B109" s="7" t="s">
        <v>253</v>
      </c>
      <c r="C109" s="9" t="s">
        <v>254</v>
      </c>
      <c r="D109" s="9" t="s">
        <v>407</v>
      </c>
      <c r="E109" s="12" t="s">
        <v>419</v>
      </c>
      <c r="F109" s="7" t="s">
        <v>40</v>
      </c>
      <c r="G109" s="9" t="s">
        <v>420</v>
      </c>
      <c r="H109" s="7" t="s">
        <v>87</v>
      </c>
      <c r="I109" s="7" t="s">
        <v>55</v>
      </c>
      <c r="J109" s="17" t="str">
        <f t="array" ref="J109">IFERROR(TEXT(INDEX(Sprints!$B$5:$B$7,MATCH(I109,Sprints!$A$5:$A$7,0)),"dd/mm")&amp;" – "&amp;TEXT(INDEX(Sprints!$C$5:$C$7,MATCH(I109,Sprints!$A$5:$A$7,0)),"dd/mm"),"")</f>
        <v>16/11 – 22/11</v>
      </c>
      <c r="K109" s="7" t="s">
        <v>44</v>
      </c>
      <c r="L109" s="7" t="s">
        <v>45</v>
      </c>
      <c r="M109" s="17" t="str">
        <f t="array" ref="M109">IFERROR(IF(AND(L109&lt;&gt;"Done",TODAY()&gt;INDEX(Sprints!$C$5:$C$7,MATCH(I109,Sprints!$A$5:$A$7,0))),"Trễ",""),"")</f>
        <v/>
      </c>
      <c r="N109" s="20"/>
      <c r="O109" s="20"/>
      <c r="P109" s="9"/>
    </row>
    <row r="110" ht="66.0" hidden="1" customHeight="1">
      <c r="A110" s="7" t="s">
        <v>421</v>
      </c>
      <c r="B110" s="7" t="s">
        <v>253</v>
      </c>
      <c r="C110" s="9" t="s">
        <v>254</v>
      </c>
      <c r="D110" s="9" t="s">
        <v>407</v>
      </c>
      <c r="E110" s="12" t="s">
        <v>419</v>
      </c>
      <c r="F110" s="7" t="s">
        <v>53</v>
      </c>
      <c r="G110" s="9" t="s">
        <v>422</v>
      </c>
      <c r="H110" s="7" t="s">
        <v>87</v>
      </c>
      <c r="I110" s="7" t="s">
        <v>55</v>
      </c>
      <c r="J110" s="17" t="str">
        <f t="array" ref="J110">IFERROR(TEXT(INDEX(Sprints!$B$5:$B$7,MATCH(I110,Sprints!$A$5:$A$7,0)),"dd/mm")&amp;" – "&amp;TEXT(INDEX(Sprints!$C$5:$C$7,MATCH(I110,Sprints!$A$5:$A$7,0)),"dd/mm"),"")</f>
        <v>16/11 – 22/11</v>
      </c>
      <c r="K110" s="7" t="s">
        <v>56</v>
      </c>
      <c r="L110" s="7" t="s">
        <v>45</v>
      </c>
      <c r="M110" s="17" t="str">
        <f t="array" ref="M110">IFERROR(IF(AND(L110&lt;&gt;"Done",TODAY()&gt;INDEX(Sprints!$C$5:$C$7,MATCH(I110,Sprints!$A$5:$A$7,0))),"Trễ",""),"")</f>
        <v/>
      </c>
      <c r="N110" s="20"/>
      <c r="O110" s="20"/>
      <c r="P110" s="9"/>
    </row>
    <row r="111" ht="93.75" hidden="1" customHeight="1">
      <c r="A111" s="7" t="s">
        <v>423</v>
      </c>
      <c r="B111" s="7" t="s">
        <v>253</v>
      </c>
      <c r="C111" s="9" t="s">
        <v>254</v>
      </c>
      <c r="D111" s="9" t="s">
        <v>407</v>
      </c>
      <c r="E111" s="12" t="s">
        <v>424</v>
      </c>
      <c r="F111" s="7" t="s">
        <v>40</v>
      </c>
      <c r="G111" s="9" t="s">
        <v>425</v>
      </c>
      <c r="H111" s="7" t="s">
        <v>42</v>
      </c>
      <c r="I111" s="7" t="s">
        <v>47</v>
      </c>
      <c r="J111" s="17" t="str">
        <f t="array" ref="J111">IFERROR(TEXT(INDEX(Sprints!$B$5:$B$7,MATCH(I111,Sprints!$A$5:$A$7,0)),"dd/mm")&amp;" – "&amp;TEXT(INDEX(Sprints!$C$5:$C$7,MATCH(I111,Sprints!$A$5:$A$7,0)),"dd/mm"),"")</f>
        <v>02/11 – 15/11</v>
      </c>
      <c r="K111" s="7" t="s">
        <v>44</v>
      </c>
      <c r="L111" s="7" t="s">
        <v>45</v>
      </c>
      <c r="M111" s="17" t="str">
        <f t="array" ref="M111">IFERROR(IF(AND(L111&lt;&gt;"Done",TODAY()&gt;INDEX(Sprints!$C$5:$C$7,MATCH(I111,Sprints!$A$5:$A$7,0))),"Trễ",""),"")</f>
        <v/>
      </c>
      <c r="N111" s="20"/>
      <c r="O111" s="20"/>
      <c r="P111" s="9" t="s">
        <v>373</v>
      </c>
    </row>
    <row r="112" ht="66.0" hidden="1" customHeight="1">
      <c r="A112" s="7" t="s">
        <v>426</v>
      </c>
      <c r="B112" s="7" t="s">
        <v>253</v>
      </c>
      <c r="C112" s="9" t="s">
        <v>254</v>
      </c>
      <c r="D112" s="9" t="s">
        <v>427</v>
      </c>
      <c r="E112" s="12" t="s">
        <v>428</v>
      </c>
      <c r="F112" s="7" t="s">
        <v>40</v>
      </c>
      <c r="G112" s="9" t="s">
        <v>429</v>
      </c>
      <c r="H112" s="7" t="s">
        <v>42</v>
      </c>
      <c r="I112" s="7" t="s">
        <v>47</v>
      </c>
      <c r="J112" s="17" t="str">
        <f t="array" ref="J112">IFERROR(TEXT(INDEX(Sprints!$B$5:$B$7,MATCH(I112,Sprints!$A$5:$A$7,0)),"dd/mm")&amp;" – "&amp;TEXT(INDEX(Sprints!$C$5:$C$7,MATCH(I112,Sprints!$A$5:$A$7,0)),"dd/mm"),"")</f>
        <v>02/11 – 15/11</v>
      </c>
      <c r="K112" s="7" t="s">
        <v>44</v>
      </c>
      <c r="L112" s="7" t="s">
        <v>45</v>
      </c>
      <c r="M112" s="17" t="str">
        <f t="array" ref="M112">IFERROR(IF(AND(L112&lt;&gt;"Done",TODAY()&gt;INDEX(Sprints!$C$5:$C$7,MATCH(I112,Sprints!$A$5:$A$7,0))),"Trễ",""),"")</f>
        <v/>
      </c>
      <c r="N112" s="20"/>
      <c r="O112" s="20"/>
      <c r="P112" s="9"/>
    </row>
    <row r="113" ht="66.0" customHeight="1">
      <c r="A113" s="7" t="s">
        <v>430</v>
      </c>
      <c r="B113" s="7" t="s">
        <v>253</v>
      </c>
      <c r="C113" s="9" t="s">
        <v>254</v>
      </c>
      <c r="D113" s="9" t="s">
        <v>427</v>
      </c>
      <c r="E113" s="12" t="s">
        <v>428</v>
      </c>
      <c r="F113" s="7" t="s">
        <v>68</v>
      </c>
      <c r="G113" s="9" t="s">
        <v>431</v>
      </c>
      <c r="H113" s="7" t="s">
        <v>42</v>
      </c>
      <c r="I113" s="7" t="s">
        <v>47</v>
      </c>
      <c r="J113" s="17" t="str">
        <f t="array" ref="J113">IFERROR(TEXT(INDEX(Sprints!$B$5:$B$7,MATCH(I113,Sprints!$A$5:$A$7,0)),"dd/mm")&amp;" – "&amp;TEXT(INDEX(Sprints!$C$5:$C$7,MATCH(I113,Sprints!$A$5:$A$7,0)),"dd/mm"),"")</f>
        <v>02/11 – 15/11</v>
      </c>
      <c r="K113" s="7" t="s">
        <v>59</v>
      </c>
      <c r="L113" s="7" t="s">
        <v>45</v>
      </c>
      <c r="M113" s="17" t="str">
        <f t="array" ref="M113">IFERROR(IF(AND(L113&lt;&gt;"Done",TODAY()&gt;INDEX(Sprints!$C$5:$C$7,MATCH(I113,Sprints!$A$5:$A$7,0))),"Trễ",""),"")</f>
        <v/>
      </c>
      <c r="N113" s="20"/>
      <c r="O113" s="20"/>
      <c r="P113" s="9"/>
    </row>
    <row r="114" ht="79.5" hidden="1" customHeight="1">
      <c r="A114" s="7" t="s">
        <v>432</v>
      </c>
      <c r="B114" s="7" t="s">
        <v>253</v>
      </c>
      <c r="C114" s="9" t="s">
        <v>254</v>
      </c>
      <c r="D114" s="9" t="s">
        <v>427</v>
      </c>
      <c r="E114" s="12" t="s">
        <v>433</v>
      </c>
      <c r="F114" s="7" t="s">
        <v>40</v>
      </c>
      <c r="G114" s="9" t="s">
        <v>434</v>
      </c>
      <c r="H114" s="7" t="s">
        <v>42</v>
      </c>
      <c r="I114" s="7" t="s">
        <v>47</v>
      </c>
      <c r="J114" s="17" t="str">
        <f t="array" ref="J114">IFERROR(TEXT(INDEX(Sprints!$B$5:$B$7,MATCH(I114,Sprints!$A$5:$A$7,0)),"dd/mm")&amp;" – "&amp;TEXT(INDEX(Sprints!$C$5:$C$7,MATCH(I114,Sprints!$A$5:$A$7,0)),"dd/mm"),"")</f>
        <v>02/11 – 15/11</v>
      </c>
      <c r="K114" s="7" t="s">
        <v>48</v>
      </c>
      <c r="L114" s="7" t="s">
        <v>45</v>
      </c>
      <c r="M114" s="17" t="str">
        <f t="array" ref="M114">IFERROR(IF(AND(L114&lt;&gt;"Done",TODAY()&gt;INDEX(Sprints!$C$5:$C$7,MATCH(I114,Sprints!$A$5:$A$7,0))),"Trễ",""),"")</f>
        <v/>
      </c>
      <c r="N114" s="20"/>
      <c r="O114" s="20"/>
      <c r="P114" s="9"/>
    </row>
    <row r="115" ht="79.5" customHeight="1">
      <c r="A115" s="7" t="s">
        <v>435</v>
      </c>
      <c r="B115" s="7" t="s">
        <v>253</v>
      </c>
      <c r="C115" s="9" t="s">
        <v>254</v>
      </c>
      <c r="D115" s="9" t="s">
        <v>427</v>
      </c>
      <c r="E115" s="12" t="s">
        <v>433</v>
      </c>
      <c r="F115" s="7" t="s">
        <v>68</v>
      </c>
      <c r="G115" s="9" t="s">
        <v>436</v>
      </c>
      <c r="H115" s="7" t="s">
        <v>42</v>
      </c>
      <c r="I115" s="7" t="s">
        <v>47</v>
      </c>
      <c r="J115" s="17" t="str">
        <f t="array" ref="J115">IFERROR(TEXT(INDEX(Sprints!$B$5:$B$7,MATCH(I115,Sprints!$A$5:$A$7,0)),"dd/mm")&amp;" – "&amp;TEXT(INDEX(Sprints!$C$5:$C$7,MATCH(I115,Sprints!$A$5:$A$7,0)),"dd/mm"),"")</f>
        <v>02/11 – 15/11</v>
      </c>
      <c r="K115" s="7" t="s">
        <v>56</v>
      </c>
      <c r="L115" s="7" t="s">
        <v>45</v>
      </c>
      <c r="M115" s="17" t="str">
        <f t="array" ref="M115">IFERROR(IF(AND(L115&lt;&gt;"Done",TODAY()&gt;INDEX(Sprints!$C$5:$C$7,MATCH(I115,Sprints!$A$5:$A$7,0))),"Trễ",""),"")</f>
        <v/>
      </c>
      <c r="N115" s="20"/>
      <c r="O115" s="20"/>
      <c r="P115" s="9"/>
    </row>
    <row r="116" ht="93.75" hidden="1" customHeight="1">
      <c r="A116" s="7" t="s">
        <v>437</v>
      </c>
      <c r="B116" s="7" t="s">
        <v>253</v>
      </c>
      <c r="C116" s="9" t="s">
        <v>254</v>
      </c>
      <c r="D116" s="9" t="s">
        <v>427</v>
      </c>
      <c r="E116" s="12" t="s">
        <v>438</v>
      </c>
      <c r="F116" s="7" t="s">
        <v>40</v>
      </c>
      <c r="G116" s="9" t="s">
        <v>439</v>
      </c>
      <c r="H116" s="7" t="s">
        <v>87</v>
      </c>
      <c r="I116" s="7" t="s">
        <v>55</v>
      </c>
      <c r="J116" s="17" t="str">
        <f t="array" ref="J116">IFERROR(TEXT(INDEX(Sprints!$B$5:$B$7,MATCH(I116,Sprints!$A$5:$A$7,0)),"dd/mm")&amp;" – "&amp;TEXT(INDEX(Sprints!$C$5:$C$7,MATCH(I116,Sprints!$A$5:$A$7,0)),"dd/mm"),"")</f>
        <v>16/11 – 22/11</v>
      </c>
      <c r="K116" s="7" t="s">
        <v>25</v>
      </c>
      <c r="L116" s="7" t="s">
        <v>45</v>
      </c>
      <c r="M116" s="17" t="str">
        <f t="array" ref="M116">IFERROR(IF(AND(L116&lt;&gt;"Done",TODAY()&gt;INDEX(Sprints!$C$5:$C$7,MATCH(I116,Sprints!$A$5:$A$7,0))),"Trễ",""),"")</f>
        <v/>
      </c>
      <c r="N116" s="20"/>
      <c r="O116" s="20"/>
      <c r="P116" s="9" t="s">
        <v>440</v>
      </c>
    </row>
    <row r="117" ht="79.5" hidden="1" customHeight="1">
      <c r="A117" s="7" t="s">
        <v>441</v>
      </c>
      <c r="B117" s="7" t="s">
        <v>253</v>
      </c>
      <c r="C117" s="9" t="s">
        <v>254</v>
      </c>
      <c r="D117" s="9" t="s">
        <v>427</v>
      </c>
      <c r="E117" s="12" t="s">
        <v>438</v>
      </c>
      <c r="F117" s="7" t="s">
        <v>53</v>
      </c>
      <c r="G117" s="9" t="s">
        <v>442</v>
      </c>
      <c r="H117" s="7" t="s">
        <v>87</v>
      </c>
      <c r="I117" s="7" t="s">
        <v>55</v>
      </c>
      <c r="J117" s="17" t="str">
        <f t="array" ref="J117">IFERROR(TEXT(INDEX(Sprints!$B$5:$B$7,MATCH(I117,Sprints!$A$5:$A$7,0)),"dd/mm")&amp;" – "&amp;TEXT(INDEX(Sprints!$C$5:$C$7,MATCH(I117,Sprints!$A$5:$A$7,0)),"dd/mm"),"")</f>
        <v>16/11 – 22/11</v>
      </c>
      <c r="K117" s="7" t="s">
        <v>25</v>
      </c>
      <c r="L117" s="7" t="s">
        <v>45</v>
      </c>
      <c r="M117" s="17" t="str">
        <f t="array" ref="M117">IFERROR(IF(AND(L117&lt;&gt;"Done",TODAY()&gt;INDEX(Sprints!$C$5:$C$7,MATCH(I117,Sprints!$A$5:$A$7,0))),"Trễ",""),"")</f>
        <v/>
      </c>
      <c r="N117" s="20"/>
      <c r="O117" s="20"/>
      <c r="P117" s="9" t="s">
        <v>440</v>
      </c>
    </row>
    <row r="118" ht="79.5" customHeight="1">
      <c r="A118" s="7" t="s">
        <v>443</v>
      </c>
      <c r="B118" s="7" t="s">
        <v>253</v>
      </c>
      <c r="C118" s="9" t="s">
        <v>254</v>
      </c>
      <c r="D118" s="9" t="s">
        <v>427</v>
      </c>
      <c r="E118" s="12" t="s">
        <v>438</v>
      </c>
      <c r="F118" s="7" t="s">
        <v>68</v>
      </c>
      <c r="G118" s="9" t="s">
        <v>444</v>
      </c>
      <c r="H118" s="7" t="s">
        <v>87</v>
      </c>
      <c r="I118" s="7" t="s">
        <v>55</v>
      </c>
      <c r="J118" s="17" t="str">
        <f t="array" ref="J118">IFERROR(TEXT(INDEX(Sprints!$B$5:$B$7,MATCH(I118,Sprints!$A$5:$A$7,0)),"dd/mm")&amp;" – "&amp;TEXT(INDEX(Sprints!$C$5:$C$7,MATCH(I118,Sprints!$A$5:$A$7,0)),"dd/mm"),"")</f>
        <v>16/11 – 22/11</v>
      </c>
      <c r="K118" s="7" t="s">
        <v>25</v>
      </c>
      <c r="L118" s="7" t="s">
        <v>45</v>
      </c>
      <c r="M118" s="17" t="str">
        <f t="array" ref="M118">IFERROR(IF(AND(L118&lt;&gt;"Done",TODAY()&gt;INDEX(Sprints!$C$5:$C$7,MATCH(I118,Sprints!$A$5:$A$7,0))),"Trễ",""),"")</f>
        <v/>
      </c>
      <c r="N118" s="20"/>
      <c r="O118" s="20"/>
      <c r="P118" s="9" t="s">
        <v>440</v>
      </c>
    </row>
    <row r="119" ht="93.75" hidden="1" customHeight="1">
      <c r="A119" s="21" t="s">
        <v>445</v>
      </c>
      <c r="B119" s="21" t="s">
        <v>258</v>
      </c>
      <c r="C119" s="22" t="s">
        <v>259</v>
      </c>
      <c r="D119" s="22" t="s">
        <v>446</v>
      </c>
      <c r="E119" s="23" t="s">
        <v>447</v>
      </c>
      <c r="F119" s="21" t="s">
        <v>40</v>
      </c>
      <c r="G119" s="22" t="s">
        <v>448</v>
      </c>
      <c r="H119" s="21" t="s">
        <v>42</v>
      </c>
      <c r="I119" s="21" t="s">
        <v>38</v>
      </c>
      <c r="J119" s="17" t="str">
        <f t="array" ref="J119">IFERROR(TEXT(INDEX(Sprints!$B$5:$B$7,MATCH(I119,Sprints!$A$5:$A$7,0)),"dd/mm")&amp;" – "&amp;TEXT(INDEX(Sprints!$C$5:$C$7,MATCH(I119,Sprints!$A$5:$A$7,0)),"dd/mm"),"")</f>
        <v>19/10 – 01/11</v>
      </c>
      <c r="K119" s="21" t="s">
        <v>44</v>
      </c>
      <c r="L119" s="21" t="s">
        <v>45</v>
      </c>
      <c r="M119" s="17" t="str">
        <f t="array" ref="M119">IFERROR(IF(AND(L119&lt;&gt;"Done",TODAY()&gt;INDEX(Sprints!$C$5:$C$7,MATCH(I119,Sprints!$A$5:$A$7,0))),"Trễ",""),"")</f>
        <v/>
      </c>
      <c r="N119" s="24"/>
      <c r="O119" s="24"/>
      <c r="P119" s="22"/>
    </row>
    <row r="120" ht="79.5" hidden="1" customHeight="1">
      <c r="A120" s="21" t="s">
        <v>449</v>
      </c>
      <c r="B120" s="21" t="s">
        <v>258</v>
      </c>
      <c r="C120" s="22" t="s">
        <v>259</v>
      </c>
      <c r="D120" s="22" t="s">
        <v>446</v>
      </c>
      <c r="E120" s="23" t="s">
        <v>447</v>
      </c>
      <c r="F120" s="21" t="s">
        <v>53</v>
      </c>
      <c r="G120" s="22" t="s">
        <v>450</v>
      </c>
      <c r="H120" s="21" t="s">
        <v>42</v>
      </c>
      <c r="I120" s="21" t="s">
        <v>38</v>
      </c>
      <c r="J120" s="17" t="str">
        <f t="array" ref="J120">IFERROR(TEXT(INDEX(Sprints!$B$5:$B$7,MATCH(I120,Sprints!$A$5:$A$7,0)),"dd/mm")&amp;" – "&amp;TEXT(INDEX(Sprints!$C$5:$C$7,MATCH(I120,Sprints!$A$5:$A$7,0)),"dd/mm"),"")</f>
        <v>19/10 – 01/11</v>
      </c>
      <c r="K120" s="21" t="s">
        <v>56</v>
      </c>
      <c r="L120" s="21" t="s">
        <v>45</v>
      </c>
      <c r="M120" s="17" t="str">
        <f t="array" ref="M120">IFERROR(IF(AND(L120&lt;&gt;"Done",TODAY()&gt;INDEX(Sprints!$C$5:$C$7,MATCH(I120,Sprints!$A$5:$A$7,0))),"Trễ",""),"")</f>
        <v/>
      </c>
      <c r="N120" s="24"/>
      <c r="O120" s="24"/>
      <c r="P120" s="22"/>
    </row>
    <row r="121" ht="79.5" customHeight="1">
      <c r="A121" s="21" t="s">
        <v>451</v>
      </c>
      <c r="B121" s="21" t="s">
        <v>258</v>
      </c>
      <c r="C121" s="22" t="s">
        <v>259</v>
      </c>
      <c r="D121" s="22" t="s">
        <v>446</v>
      </c>
      <c r="E121" s="23" t="s">
        <v>447</v>
      </c>
      <c r="F121" s="21" t="s">
        <v>68</v>
      </c>
      <c r="G121" s="22" t="s">
        <v>452</v>
      </c>
      <c r="H121" s="21" t="s">
        <v>42</v>
      </c>
      <c r="I121" s="21" t="s">
        <v>38</v>
      </c>
      <c r="J121" s="17" t="str">
        <f t="array" ref="J121">IFERROR(TEXT(INDEX(Sprints!$B$5:$B$7,MATCH(I121,Sprints!$A$5:$A$7,0)),"dd/mm")&amp;" – "&amp;TEXT(INDEX(Sprints!$C$5:$C$7,MATCH(I121,Sprints!$A$5:$A$7,0)),"dd/mm"),"")</f>
        <v>19/10 – 01/11</v>
      </c>
      <c r="K121" s="21" t="s">
        <v>56</v>
      </c>
      <c r="L121" s="21" t="s">
        <v>45</v>
      </c>
      <c r="M121" s="17" t="str">
        <f t="array" ref="M121">IFERROR(IF(AND(L121&lt;&gt;"Done",TODAY()&gt;INDEX(Sprints!$C$5:$C$7,MATCH(I121,Sprints!$A$5:$A$7,0))),"Trễ",""),"")</f>
        <v/>
      </c>
      <c r="N121" s="24"/>
      <c r="O121" s="24"/>
      <c r="P121" s="22"/>
    </row>
    <row r="122" ht="93.75" hidden="1" customHeight="1">
      <c r="A122" s="21" t="s">
        <v>453</v>
      </c>
      <c r="B122" s="21" t="s">
        <v>258</v>
      </c>
      <c r="C122" s="22" t="s">
        <v>259</v>
      </c>
      <c r="D122" s="22" t="s">
        <v>454</v>
      </c>
      <c r="E122" s="23" t="s">
        <v>455</v>
      </c>
      <c r="F122" s="21" t="s">
        <v>40</v>
      </c>
      <c r="G122" s="22" t="s">
        <v>456</v>
      </c>
      <c r="H122" s="21" t="s">
        <v>42</v>
      </c>
      <c r="I122" s="21" t="s">
        <v>47</v>
      </c>
      <c r="J122" s="17" t="str">
        <f t="array" ref="J122">IFERROR(TEXT(INDEX(Sprints!$B$5:$B$7,MATCH(I122,Sprints!$A$5:$A$7,0)),"dd/mm")&amp;" – "&amp;TEXT(INDEX(Sprints!$C$5:$C$7,MATCH(I122,Sprints!$A$5:$A$7,0)),"dd/mm"),"")</f>
        <v>02/11 – 15/11</v>
      </c>
      <c r="K122" s="21" t="s">
        <v>44</v>
      </c>
      <c r="L122" s="21" t="s">
        <v>45</v>
      </c>
      <c r="M122" s="17" t="str">
        <f t="array" ref="M122">IFERROR(IF(AND(L122&lt;&gt;"Done",TODAY()&gt;INDEX(Sprints!$C$5:$C$7,MATCH(I122,Sprints!$A$5:$A$7,0))),"Trễ",""),"")</f>
        <v/>
      </c>
      <c r="N122" s="24"/>
      <c r="O122" s="24"/>
      <c r="P122" s="22" t="s">
        <v>457</v>
      </c>
    </row>
    <row r="123" ht="66.0" hidden="1" customHeight="1">
      <c r="A123" s="21" t="s">
        <v>458</v>
      </c>
      <c r="B123" s="21" t="s">
        <v>258</v>
      </c>
      <c r="C123" s="22" t="s">
        <v>259</v>
      </c>
      <c r="D123" s="22" t="s">
        <v>454</v>
      </c>
      <c r="E123" s="23" t="s">
        <v>455</v>
      </c>
      <c r="F123" s="21" t="s">
        <v>53</v>
      </c>
      <c r="G123" s="22" t="s">
        <v>459</v>
      </c>
      <c r="H123" s="21" t="s">
        <v>42</v>
      </c>
      <c r="I123" s="21" t="s">
        <v>47</v>
      </c>
      <c r="J123" s="17" t="str">
        <f t="array" ref="J123">IFERROR(TEXT(INDEX(Sprints!$B$5:$B$7,MATCH(I123,Sprints!$A$5:$A$7,0)),"dd/mm")&amp;" – "&amp;TEXT(INDEX(Sprints!$C$5:$C$7,MATCH(I123,Sprints!$A$5:$A$7,0)),"dd/mm"),"")</f>
        <v>02/11 – 15/11</v>
      </c>
      <c r="K123" s="21" t="s">
        <v>56</v>
      </c>
      <c r="L123" s="21" t="s">
        <v>45</v>
      </c>
      <c r="M123" s="17" t="str">
        <f t="array" ref="M123">IFERROR(IF(AND(L123&lt;&gt;"Done",TODAY()&gt;INDEX(Sprints!$C$5:$C$7,MATCH(I123,Sprints!$A$5:$A$7,0))),"Trễ",""),"")</f>
        <v/>
      </c>
      <c r="N123" s="24"/>
      <c r="O123" s="24"/>
      <c r="P123" s="22" t="s">
        <v>457</v>
      </c>
    </row>
    <row r="124" ht="79.5" hidden="1" customHeight="1">
      <c r="A124" s="21" t="s">
        <v>460</v>
      </c>
      <c r="B124" s="21" t="s">
        <v>258</v>
      </c>
      <c r="C124" s="22" t="s">
        <v>259</v>
      </c>
      <c r="D124" s="22" t="s">
        <v>454</v>
      </c>
      <c r="E124" s="23" t="s">
        <v>461</v>
      </c>
      <c r="F124" s="21" t="s">
        <v>40</v>
      </c>
      <c r="G124" s="22" t="s">
        <v>462</v>
      </c>
      <c r="H124" s="21" t="s">
        <v>42</v>
      </c>
      <c r="I124" s="21" t="s">
        <v>47</v>
      </c>
      <c r="J124" s="17" t="str">
        <f t="array" ref="J124">IFERROR(TEXT(INDEX(Sprints!$B$5:$B$7,MATCH(I124,Sprints!$A$5:$A$7,0)),"dd/mm")&amp;" – "&amp;TEXT(INDEX(Sprints!$C$5:$C$7,MATCH(I124,Sprints!$A$5:$A$7,0)),"dd/mm"),"")</f>
        <v>02/11 – 15/11</v>
      </c>
      <c r="K124" s="21" t="s">
        <v>48</v>
      </c>
      <c r="L124" s="21" t="s">
        <v>45</v>
      </c>
      <c r="M124" s="17" t="str">
        <f t="array" ref="M124">IFERROR(IF(AND(L124&lt;&gt;"Done",TODAY()&gt;INDEX(Sprints!$C$5:$C$7,MATCH(I124,Sprints!$A$5:$A$7,0))),"Trễ",""),"")</f>
        <v/>
      </c>
      <c r="N124" s="24"/>
      <c r="O124" s="24"/>
      <c r="P124" s="22" t="s">
        <v>463</v>
      </c>
    </row>
    <row r="125" ht="79.5" hidden="1" customHeight="1">
      <c r="A125" s="21" t="s">
        <v>464</v>
      </c>
      <c r="B125" s="21" t="s">
        <v>258</v>
      </c>
      <c r="C125" s="22" t="s">
        <v>259</v>
      </c>
      <c r="D125" s="22" t="s">
        <v>454</v>
      </c>
      <c r="E125" s="23" t="s">
        <v>461</v>
      </c>
      <c r="F125" s="21" t="s">
        <v>53</v>
      </c>
      <c r="G125" s="22" t="s">
        <v>465</v>
      </c>
      <c r="H125" s="21" t="s">
        <v>42</v>
      </c>
      <c r="I125" s="21" t="s">
        <v>47</v>
      </c>
      <c r="J125" s="17" t="str">
        <f t="array" ref="J125">IFERROR(TEXT(INDEX(Sprints!$B$5:$B$7,MATCH(I125,Sprints!$A$5:$A$7,0)),"dd/mm")&amp;" – "&amp;TEXT(INDEX(Sprints!$C$5:$C$7,MATCH(I125,Sprints!$A$5:$A$7,0)),"dd/mm"),"")</f>
        <v>02/11 – 15/11</v>
      </c>
      <c r="K125" s="21" t="s">
        <v>59</v>
      </c>
      <c r="L125" s="21" t="s">
        <v>45</v>
      </c>
      <c r="M125" s="17" t="str">
        <f t="array" ref="M125">IFERROR(IF(AND(L125&lt;&gt;"Done",TODAY()&gt;INDEX(Sprints!$C$5:$C$7,MATCH(I125,Sprints!$A$5:$A$7,0))),"Trễ",""),"")</f>
        <v/>
      </c>
      <c r="N125" s="24"/>
      <c r="O125" s="24"/>
      <c r="P125" s="22" t="s">
        <v>463</v>
      </c>
    </row>
    <row r="126" ht="79.5" hidden="1" customHeight="1">
      <c r="A126" s="21" t="s">
        <v>466</v>
      </c>
      <c r="B126" s="21" t="s">
        <v>258</v>
      </c>
      <c r="C126" s="22" t="s">
        <v>259</v>
      </c>
      <c r="D126" s="22" t="s">
        <v>454</v>
      </c>
      <c r="E126" s="23" t="s">
        <v>467</v>
      </c>
      <c r="F126" s="21" t="s">
        <v>40</v>
      </c>
      <c r="G126" s="22" t="s">
        <v>468</v>
      </c>
      <c r="H126" s="21" t="s">
        <v>87</v>
      </c>
      <c r="I126" s="21" t="s">
        <v>55</v>
      </c>
      <c r="J126" s="17" t="str">
        <f t="array" ref="J126">IFERROR(TEXT(INDEX(Sprints!$B$5:$B$7,MATCH(I126,Sprints!$A$5:$A$7,0)),"dd/mm")&amp;" – "&amp;TEXT(INDEX(Sprints!$C$5:$C$7,MATCH(I126,Sprints!$A$5:$A$7,0)),"dd/mm"),"")</f>
        <v>16/11 – 22/11</v>
      </c>
      <c r="K126" s="21" t="s">
        <v>44</v>
      </c>
      <c r="L126" s="21" t="s">
        <v>45</v>
      </c>
      <c r="M126" s="17" t="str">
        <f t="array" ref="M126">IFERROR(IF(AND(L126&lt;&gt;"Done",TODAY()&gt;INDEX(Sprints!$C$5:$C$7,MATCH(I126,Sprints!$A$5:$A$7,0))),"Trễ",""),"")</f>
        <v/>
      </c>
      <c r="N126" s="24"/>
      <c r="O126" s="24"/>
      <c r="P126" s="22"/>
    </row>
    <row r="127" ht="66.0" hidden="1" customHeight="1">
      <c r="A127" s="21" t="s">
        <v>469</v>
      </c>
      <c r="B127" s="21" t="s">
        <v>258</v>
      </c>
      <c r="C127" s="22" t="s">
        <v>259</v>
      </c>
      <c r="D127" s="22" t="s">
        <v>454</v>
      </c>
      <c r="E127" s="23" t="s">
        <v>470</v>
      </c>
      <c r="F127" s="21" t="s">
        <v>40</v>
      </c>
      <c r="G127" s="22" t="s">
        <v>471</v>
      </c>
      <c r="H127" s="21" t="s">
        <v>87</v>
      </c>
      <c r="I127" s="21" t="s">
        <v>55</v>
      </c>
      <c r="J127" s="17" t="str">
        <f t="array" ref="J127">IFERROR(TEXT(INDEX(Sprints!$B$5:$B$7,MATCH(I127,Sprints!$A$5:$A$7,0)),"dd/mm")&amp;" – "&amp;TEXT(INDEX(Sprints!$C$5:$C$7,MATCH(I127,Sprints!$A$5:$A$7,0)),"dd/mm"),"")</f>
        <v>16/11 – 22/11</v>
      </c>
      <c r="K127" s="21" t="s">
        <v>44</v>
      </c>
      <c r="L127" s="21" t="s">
        <v>45</v>
      </c>
      <c r="M127" s="17" t="str">
        <f t="array" ref="M127">IFERROR(IF(AND(L127&lt;&gt;"Done",TODAY()&gt;INDEX(Sprints!$C$5:$C$7,MATCH(I127,Sprints!$A$5:$A$7,0))),"Trễ",""),"")</f>
        <v/>
      </c>
      <c r="N127" s="24"/>
      <c r="O127" s="24"/>
      <c r="P127" s="22"/>
    </row>
    <row r="128" ht="66.0" customHeight="1">
      <c r="A128" s="21" t="s">
        <v>472</v>
      </c>
      <c r="B128" s="21" t="s">
        <v>258</v>
      </c>
      <c r="C128" s="22" t="s">
        <v>259</v>
      </c>
      <c r="D128" s="22" t="s">
        <v>454</v>
      </c>
      <c r="E128" s="23" t="s">
        <v>470</v>
      </c>
      <c r="F128" s="21" t="s">
        <v>68</v>
      </c>
      <c r="G128" s="22" t="s">
        <v>473</v>
      </c>
      <c r="H128" s="21" t="s">
        <v>87</v>
      </c>
      <c r="I128" s="21" t="s">
        <v>55</v>
      </c>
      <c r="J128" s="17" t="str">
        <f t="array" ref="J128">IFERROR(TEXT(INDEX(Sprints!$B$5:$B$7,MATCH(I128,Sprints!$A$5:$A$7,0)),"dd/mm")&amp;" – "&amp;TEXT(INDEX(Sprints!$C$5:$C$7,MATCH(I128,Sprints!$A$5:$A$7,0)),"dd/mm"),"")</f>
        <v>16/11 – 22/11</v>
      </c>
      <c r="K128" s="21" t="s">
        <v>56</v>
      </c>
      <c r="L128" s="21" t="s">
        <v>45</v>
      </c>
      <c r="M128" s="17" t="str">
        <f t="array" ref="M128">IFERROR(IF(AND(L128&lt;&gt;"Done",TODAY()&gt;INDEX(Sprints!$C$5:$C$7,MATCH(I128,Sprints!$A$5:$A$7,0))),"Trễ",""),"")</f>
        <v/>
      </c>
      <c r="N128" s="24"/>
      <c r="O128" s="24"/>
      <c r="P128" s="22"/>
    </row>
    <row r="129" ht="66.0" hidden="1" customHeight="1">
      <c r="A129" s="21" t="s">
        <v>474</v>
      </c>
      <c r="B129" s="21" t="s">
        <v>258</v>
      </c>
      <c r="C129" s="22" t="s">
        <v>259</v>
      </c>
      <c r="D129" s="22" t="s">
        <v>454</v>
      </c>
      <c r="E129" s="23" t="s">
        <v>475</v>
      </c>
      <c r="F129" s="21" t="s">
        <v>40</v>
      </c>
      <c r="G129" s="22" t="s">
        <v>476</v>
      </c>
      <c r="H129" s="21" t="s">
        <v>87</v>
      </c>
      <c r="I129" s="21" t="s">
        <v>55</v>
      </c>
      <c r="J129" s="17" t="str">
        <f t="array" ref="J129">IFERROR(TEXT(INDEX(Sprints!$B$5:$B$7,MATCH(I129,Sprints!$A$5:$A$7,0)),"dd/mm")&amp;" – "&amp;TEXT(INDEX(Sprints!$C$5:$C$7,MATCH(I129,Sprints!$A$5:$A$7,0)),"dd/mm"),"")</f>
        <v>16/11 – 22/11</v>
      </c>
      <c r="K129" s="21" t="s">
        <v>48</v>
      </c>
      <c r="L129" s="21" t="s">
        <v>45</v>
      </c>
      <c r="M129" s="17" t="str">
        <f t="array" ref="M129">IFERROR(IF(AND(L129&lt;&gt;"Done",TODAY()&gt;INDEX(Sprints!$C$5:$C$7,MATCH(I129,Sprints!$A$5:$A$7,0))),"Trễ",""),"")</f>
        <v/>
      </c>
      <c r="N129" s="24"/>
      <c r="O129" s="24"/>
      <c r="P129" s="22"/>
    </row>
    <row r="130" ht="66.0" customHeight="1">
      <c r="A130" s="21" t="s">
        <v>477</v>
      </c>
      <c r="B130" s="21" t="s">
        <v>258</v>
      </c>
      <c r="C130" s="22" t="s">
        <v>259</v>
      </c>
      <c r="D130" s="22" t="s">
        <v>454</v>
      </c>
      <c r="E130" s="23" t="s">
        <v>475</v>
      </c>
      <c r="F130" s="21" t="s">
        <v>68</v>
      </c>
      <c r="G130" s="22" t="s">
        <v>478</v>
      </c>
      <c r="H130" s="21" t="s">
        <v>87</v>
      </c>
      <c r="I130" s="21" t="s">
        <v>55</v>
      </c>
      <c r="J130" s="17" t="str">
        <f t="array" ref="J130">IFERROR(TEXT(INDEX(Sprints!$B$5:$B$7,MATCH(I130,Sprints!$A$5:$A$7,0)),"dd/mm")&amp;" – "&amp;TEXT(INDEX(Sprints!$C$5:$C$7,MATCH(I130,Sprints!$A$5:$A$7,0)),"dd/mm"),"")</f>
        <v>16/11 – 22/11</v>
      </c>
      <c r="K130" s="21" t="s">
        <v>59</v>
      </c>
      <c r="L130" s="21" t="s">
        <v>45</v>
      </c>
      <c r="M130" s="17" t="str">
        <f t="array" ref="M130">IFERROR(IF(AND(L130&lt;&gt;"Done",TODAY()&gt;INDEX(Sprints!$C$5:$C$7,MATCH(I130,Sprints!$A$5:$A$7,0))),"Trễ",""),"")</f>
        <v/>
      </c>
      <c r="N130" s="24"/>
      <c r="O130" s="24"/>
      <c r="P130" s="22"/>
    </row>
    <row r="131" ht="66.0" hidden="1" customHeight="1">
      <c r="A131" s="7" t="s">
        <v>479</v>
      </c>
      <c r="B131" s="7" t="s">
        <v>265</v>
      </c>
      <c r="C131" s="9" t="s">
        <v>266</v>
      </c>
      <c r="D131" s="9" t="s">
        <v>480</v>
      </c>
      <c r="E131" s="12" t="s">
        <v>481</v>
      </c>
      <c r="F131" s="7" t="s">
        <v>40</v>
      </c>
      <c r="G131" s="9" t="s">
        <v>482</v>
      </c>
      <c r="H131" s="7" t="s">
        <v>42</v>
      </c>
      <c r="I131" s="7" t="s">
        <v>47</v>
      </c>
      <c r="J131" s="17" t="str">
        <f t="array" ref="J131">IFERROR(TEXT(INDEX(Sprints!$B$5:$B$7,MATCH(I131,Sprints!$A$5:$A$7,0)),"dd/mm")&amp;" – "&amp;TEXT(INDEX(Sprints!$C$5:$C$7,MATCH(I131,Sprints!$A$5:$A$7,0)),"dd/mm"),"")</f>
        <v>02/11 – 15/11</v>
      </c>
      <c r="K131" s="7" t="s">
        <v>25</v>
      </c>
      <c r="L131" s="7" t="s">
        <v>45</v>
      </c>
      <c r="M131" s="17" t="str">
        <f t="array" ref="M131">IFERROR(IF(AND(L131&lt;&gt;"Done",TODAY()&gt;INDEX(Sprints!$C$5:$C$7,MATCH(I131,Sprints!$A$5:$A$7,0))),"Trễ",""),"")</f>
        <v/>
      </c>
      <c r="N131" s="20"/>
      <c r="O131" s="20"/>
      <c r="P131" s="9"/>
    </row>
    <row r="132" ht="66.0" hidden="1" customHeight="1">
      <c r="A132" s="7" t="s">
        <v>483</v>
      </c>
      <c r="B132" s="7" t="s">
        <v>265</v>
      </c>
      <c r="C132" s="9" t="s">
        <v>266</v>
      </c>
      <c r="D132" s="9" t="s">
        <v>480</v>
      </c>
      <c r="E132" s="12" t="s">
        <v>481</v>
      </c>
      <c r="F132" s="7" t="s">
        <v>53</v>
      </c>
      <c r="G132" s="9" t="s">
        <v>484</v>
      </c>
      <c r="H132" s="7" t="s">
        <v>42</v>
      </c>
      <c r="I132" s="7" t="s">
        <v>47</v>
      </c>
      <c r="J132" s="17" t="str">
        <f t="array" ref="J132">IFERROR(TEXT(INDEX(Sprints!$B$5:$B$7,MATCH(I132,Sprints!$A$5:$A$7,0)),"dd/mm")&amp;" – "&amp;TEXT(INDEX(Sprints!$C$5:$C$7,MATCH(I132,Sprints!$A$5:$A$7,0)),"dd/mm"),"")</f>
        <v>02/11 – 15/11</v>
      </c>
      <c r="K132" s="7" t="s">
        <v>25</v>
      </c>
      <c r="L132" s="7" t="s">
        <v>45</v>
      </c>
      <c r="M132" s="17" t="str">
        <f t="array" ref="M132">IFERROR(IF(AND(L132&lt;&gt;"Done",TODAY()&gt;INDEX(Sprints!$C$5:$C$7,MATCH(I132,Sprints!$A$5:$A$7,0))),"Trễ",""),"")</f>
        <v/>
      </c>
      <c r="N132" s="20"/>
      <c r="O132" s="20"/>
      <c r="P132" s="9"/>
    </row>
    <row r="133" ht="79.5" hidden="1" customHeight="1">
      <c r="A133" s="7" t="s">
        <v>485</v>
      </c>
      <c r="B133" s="7" t="s">
        <v>265</v>
      </c>
      <c r="C133" s="9" t="s">
        <v>266</v>
      </c>
      <c r="D133" s="9" t="s">
        <v>480</v>
      </c>
      <c r="E133" s="12" t="s">
        <v>486</v>
      </c>
      <c r="F133" s="7" t="s">
        <v>40</v>
      </c>
      <c r="G133" s="9" t="s">
        <v>487</v>
      </c>
      <c r="H133" s="7" t="s">
        <v>42</v>
      </c>
      <c r="I133" s="7" t="s">
        <v>47</v>
      </c>
      <c r="J133" s="17" t="str">
        <f t="array" ref="J133">IFERROR(TEXT(INDEX(Sprints!$B$5:$B$7,MATCH(I133,Sprints!$A$5:$A$7,0)),"dd/mm")&amp;" – "&amp;TEXT(INDEX(Sprints!$C$5:$C$7,MATCH(I133,Sprints!$A$5:$A$7,0)),"dd/mm"),"")</f>
        <v>02/11 – 15/11</v>
      </c>
      <c r="K133" s="7" t="s">
        <v>25</v>
      </c>
      <c r="L133" s="7" t="s">
        <v>45</v>
      </c>
      <c r="M133" s="17" t="str">
        <f t="array" ref="M133">IFERROR(IF(AND(L133&lt;&gt;"Done",TODAY()&gt;INDEX(Sprints!$C$5:$C$7,MATCH(I133,Sprints!$A$5:$A$7,0))),"Trễ",""),"")</f>
        <v/>
      </c>
      <c r="N133" s="20"/>
      <c r="O133" s="20"/>
      <c r="P133" s="9"/>
    </row>
    <row r="134" ht="66.0" hidden="1" customHeight="1">
      <c r="A134" s="7" t="s">
        <v>488</v>
      </c>
      <c r="B134" s="7" t="s">
        <v>265</v>
      </c>
      <c r="C134" s="9" t="s">
        <v>266</v>
      </c>
      <c r="D134" s="9" t="s">
        <v>480</v>
      </c>
      <c r="E134" s="12" t="s">
        <v>489</v>
      </c>
      <c r="F134" s="7" t="s">
        <v>40</v>
      </c>
      <c r="G134" s="9" t="s">
        <v>490</v>
      </c>
      <c r="H134" s="7" t="s">
        <v>42</v>
      </c>
      <c r="I134" s="7" t="s">
        <v>47</v>
      </c>
      <c r="J134" s="17" t="str">
        <f t="array" ref="J134">IFERROR(TEXT(INDEX(Sprints!$B$5:$B$7,MATCH(I134,Sprints!$A$5:$A$7,0)),"dd/mm")&amp;" – "&amp;TEXT(INDEX(Sprints!$C$5:$C$7,MATCH(I134,Sprints!$A$5:$A$7,0)),"dd/mm"),"")</f>
        <v>02/11 – 15/11</v>
      </c>
      <c r="K134" s="7" t="s">
        <v>25</v>
      </c>
      <c r="L134" s="7" t="s">
        <v>45</v>
      </c>
      <c r="M134" s="17" t="str">
        <f t="array" ref="M134">IFERROR(IF(AND(L134&lt;&gt;"Done",TODAY()&gt;INDEX(Sprints!$C$5:$C$7,MATCH(I134,Sprints!$A$5:$A$7,0))),"Trễ",""),"")</f>
        <v/>
      </c>
      <c r="N134" s="20"/>
      <c r="O134" s="20"/>
      <c r="P134" s="9"/>
    </row>
    <row r="135" ht="66.0" hidden="1" customHeight="1">
      <c r="A135" s="7" t="s">
        <v>491</v>
      </c>
      <c r="B135" s="7" t="s">
        <v>265</v>
      </c>
      <c r="C135" s="9" t="s">
        <v>266</v>
      </c>
      <c r="D135" s="9" t="s">
        <v>480</v>
      </c>
      <c r="E135" s="12" t="s">
        <v>489</v>
      </c>
      <c r="F135" s="7" t="s">
        <v>53</v>
      </c>
      <c r="G135" s="9" t="s">
        <v>492</v>
      </c>
      <c r="H135" s="7" t="s">
        <v>42</v>
      </c>
      <c r="I135" s="7" t="s">
        <v>47</v>
      </c>
      <c r="J135" s="17" t="str">
        <f t="array" ref="J135">IFERROR(TEXT(INDEX(Sprints!$B$5:$B$7,MATCH(I135,Sprints!$A$5:$A$7,0)),"dd/mm")&amp;" – "&amp;TEXT(INDEX(Sprints!$C$5:$C$7,MATCH(I135,Sprints!$A$5:$A$7,0)),"dd/mm"),"")</f>
        <v>02/11 – 15/11</v>
      </c>
      <c r="K135" s="7" t="s">
        <v>25</v>
      </c>
      <c r="L135" s="7" t="s">
        <v>45</v>
      </c>
      <c r="M135" s="17" t="str">
        <f t="array" ref="M135">IFERROR(IF(AND(L135&lt;&gt;"Done",TODAY()&gt;INDEX(Sprints!$C$5:$C$7,MATCH(I135,Sprints!$A$5:$A$7,0))),"Trễ",""),"")</f>
        <v/>
      </c>
      <c r="N135" s="20"/>
      <c r="O135" s="20"/>
      <c r="P135" s="9"/>
    </row>
    <row r="136" ht="66.0" customHeight="1">
      <c r="A136" s="7" t="s">
        <v>493</v>
      </c>
      <c r="B136" s="7" t="s">
        <v>265</v>
      </c>
      <c r="C136" s="9" t="s">
        <v>266</v>
      </c>
      <c r="D136" s="9" t="s">
        <v>480</v>
      </c>
      <c r="E136" s="12" t="s">
        <v>489</v>
      </c>
      <c r="F136" s="7" t="s">
        <v>68</v>
      </c>
      <c r="G136" s="9" t="s">
        <v>494</v>
      </c>
      <c r="H136" s="7" t="s">
        <v>42</v>
      </c>
      <c r="I136" s="7" t="s">
        <v>47</v>
      </c>
      <c r="J136" s="17" t="str">
        <f t="array" ref="J136">IFERROR(TEXT(INDEX(Sprints!$B$5:$B$7,MATCH(I136,Sprints!$A$5:$A$7,0)),"dd/mm")&amp;" – "&amp;TEXT(INDEX(Sprints!$C$5:$C$7,MATCH(I136,Sprints!$A$5:$A$7,0)),"dd/mm"),"")</f>
        <v>02/11 – 15/11</v>
      </c>
      <c r="K136" s="7" t="s">
        <v>25</v>
      </c>
      <c r="L136" s="7" t="s">
        <v>45</v>
      </c>
      <c r="M136" s="17" t="str">
        <f t="array" ref="M136">IFERROR(IF(AND(L136&lt;&gt;"Done",TODAY()&gt;INDEX(Sprints!$C$5:$C$7,MATCH(I136,Sprints!$A$5:$A$7,0))),"Trễ",""),"")</f>
        <v/>
      </c>
      <c r="N136" s="20"/>
      <c r="O136" s="20"/>
      <c r="P136" s="9"/>
    </row>
    <row r="137" ht="66.0" hidden="1" customHeight="1">
      <c r="A137" s="7" t="s">
        <v>495</v>
      </c>
      <c r="B137" s="7" t="s">
        <v>265</v>
      </c>
      <c r="C137" s="9" t="s">
        <v>266</v>
      </c>
      <c r="D137" s="9" t="s">
        <v>496</v>
      </c>
      <c r="E137" s="12" t="s">
        <v>497</v>
      </c>
      <c r="F137" s="7" t="s">
        <v>40</v>
      </c>
      <c r="G137" s="9" t="s">
        <v>498</v>
      </c>
      <c r="H137" s="7" t="s">
        <v>42</v>
      </c>
      <c r="I137" s="7" t="s">
        <v>47</v>
      </c>
      <c r="J137" s="17" t="str">
        <f t="array" ref="J137">IFERROR(TEXT(INDEX(Sprints!$B$5:$B$7,MATCH(I137,Sprints!$A$5:$A$7,0)),"dd/mm")&amp;" – "&amp;TEXT(INDEX(Sprints!$C$5:$C$7,MATCH(I137,Sprints!$A$5:$A$7,0)),"dd/mm"),"")</f>
        <v>02/11 – 15/11</v>
      </c>
      <c r="K137" s="7" t="s">
        <v>25</v>
      </c>
      <c r="L137" s="7" t="s">
        <v>45</v>
      </c>
      <c r="M137" s="17" t="str">
        <f t="array" ref="M137">IFERROR(IF(AND(L137&lt;&gt;"Done",TODAY()&gt;INDEX(Sprints!$C$5:$C$7,MATCH(I137,Sprints!$A$5:$A$7,0))),"Trễ",""),"")</f>
        <v/>
      </c>
      <c r="N137" s="20"/>
      <c r="O137" s="20"/>
      <c r="P137" s="9"/>
    </row>
    <row r="138" ht="55.5" hidden="1" customHeight="1">
      <c r="A138" s="7" t="s">
        <v>499</v>
      </c>
      <c r="B138" s="7" t="s">
        <v>265</v>
      </c>
      <c r="C138" s="9" t="s">
        <v>266</v>
      </c>
      <c r="D138" s="9" t="s">
        <v>496</v>
      </c>
      <c r="E138" s="12" t="s">
        <v>497</v>
      </c>
      <c r="F138" s="7" t="s">
        <v>53</v>
      </c>
      <c r="G138" s="9" t="s">
        <v>500</v>
      </c>
      <c r="H138" s="7" t="s">
        <v>42</v>
      </c>
      <c r="I138" s="7" t="s">
        <v>47</v>
      </c>
      <c r="J138" s="17" t="str">
        <f t="array" ref="J138">IFERROR(TEXT(INDEX(Sprints!$B$5:$B$7,MATCH(I138,Sprints!$A$5:$A$7,0)),"dd/mm")&amp;" – "&amp;TEXT(INDEX(Sprints!$C$5:$C$7,MATCH(I138,Sprints!$A$5:$A$7,0)),"dd/mm"),"")</f>
        <v>02/11 – 15/11</v>
      </c>
      <c r="K138" s="7" t="s">
        <v>25</v>
      </c>
      <c r="L138" s="7" t="s">
        <v>45</v>
      </c>
      <c r="M138" s="17" t="str">
        <f t="array" ref="M138">IFERROR(IF(AND(L138&lt;&gt;"Done",TODAY()&gt;INDEX(Sprints!$C$5:$C$7,MATCH(I138,Sprints!$A$5:$A$7,0))),"Trễ",""),"")</f>
        <v/>
      </c>
      <c r="N138" s="20"/>
      <c r="O138" s="20"/>
      <c r="P138" s="9"/>
    </row>
    <row r="139" ht="66.0" hidden="1" customHeight="1">
      <c r="A139" s="7" t="s">
        <v>501</v>
      </c>
      <c r="B139" s="7" t="s">
        <v>265</v>
      </c>
      <c r="C139" s="9" t="s">
        <v>266</v>
      </c>
      <c r="D139" s="9" t="s">
        <v>496</v>
      </c>
      <c r="E139" s="12" t="s">
        <v>502</v>
      </c>
      <c r="F139" s="7" t="s">
        <v>40</v>
      </c>
      <c r="G139" s="9" t="s">
        <v>503</v>
      </c>
      <c r="H139" s="7" t="s">
        <v>42</v>
      </c>
      <c r="I139" s="7" t="s">
        <v>47</v>
      </c>
      <c r="J139" s="17" t="str">
        <f t="array" ref="J139">IFERROR(TEXT(INDEX(Sprints!$B$5:$B$7,MATCH(I139,Sprints!$A$5:$A$7,0)),"dd/mm")&amp;" – "&amp;TEXT(INDEX(Sprints!$C$5:$C$7,MATCH(I139,Sprints!$A$5:$A$7,0)),"dd/mm"),"")</f>
        <v>02/11 – 15/11</v>
      </c>
      <c r="K139" s="7" t="s">
        <v>25</v>
      </c>
      <c r="L139" s="7" t="s">
        <v>45</v>
      </c>
      <c r="M139" s="17" t="str">
        <f t="array" ref="M139">IFERROR(IF(AND(L139&lt;&gt;"Done",TODAY()&gt;INDEX(Sprints!$C$5:$C$7,MATCH(I139,Sprints!$A$5:$A$7,0))),"Trễ",""),"")</f>
        <v/>
      </c>
      <c r="N139" s="20"/>
      <c r="O139" s="20"/>
      <c r="P139" s="9"/>
    </row>
    <row r="140" ht="66.0" customHeight="1">
      <c r="A140" s="7" t="s">
        <v>504</v>
      </c>
      <c r="B140" s="7" t="s">
        <v>265</v>
      </c>
      <c r="C140" s="9" t="s">
        <v>266</v>
      </c>
      <c r="D140" s="9" t="s">
        <v>496</v>
      </c>
      <c r="E140" s="12" t="s">
        <v>502</v>
      </c>
      <c r="F140" s="7" t="s">
        <v>68</v>
      </c>
      <c r="G140" s="9" t="s">
        <v>505</v>
      </c>
      <c r="H140" s="7" t="s">
        <v>42</v>
      </c>
      <c r="I140" s="7" t="s">
        <v>47</v>
      </c>
      <c r="J140" s="17" t="str">
        <f t="array" ref="J140">IFERROR(TEXT(INDEX(Sprints!$B$5:$B$7,MATCH(I140,Sprints!$A$5:$A$7,0)),"dd/mm")&amp;" – "&amp;TEXT(INDEX(Sprints!$C$5:$C$7,MATCH(I140,Sprints!$A$5:$A$7,0)),"dd/mm"),"")</f>
        <v>02/11 – 15/11</v>
      </c>
      <c r="K140" s="7" t="s">
        <v>25</v>
      </c>
      <c r="L140" s="7" t="s">
        <v>45</v>
      </c>
      <c r="M140" s="17" t="str">
        <f t="array" ref="M140">IFERROR(IF(AND(L140&lt;&gt;"Done",TODAY()&gt;INDEX(Sprints!$C$5:$C$7,MATCH(I140,Sprints!$A$5:$A$7,0))),"Trễ",""),"")</f>
        <v/>
      </c>
      <c r="N140" s="20"/>
      <c r="O140" s="20"/>
      <c r="P140" s="9"/>
    </row>
    <row r="141" ht="66.0" hidden="1" customHeight="1">
      <c r="A141" s="7" t="s">
        <v>506</v>
      </c>
      <c r="B141" s="7" t="s">
        <v>265</v>
      </c>
      <c r="C141" s="9" t="s">
        <v>266</v>
      </c>
      <c r="D141" s="9" t="s">
        <v>496</v>
      </c>
      <c r="E141" s="12" t="s">
        <v>507</v>
      </c>
      <c r="F141" s="7" t="s">
        <v>40</v>
      </c>
      <c r="G141" s="9" t="s">
        <v>508</v>
      </c>
      <c r="H141" s="7" t="s">
        <v>42</v>
      </c>
      <c r="I141" s="7" t="s">
        <v>47</v>
      </c>
      <c r="J141" s="17" t="str">
        <f t="array" ref="J141">IFERROR(TEXT(INDEX(Sprints!$B$5:$B$7,MATCH(I141,Sprints!$A$5:$A$7,0)),"dd/mm")&amp;" – "&amp;TEXT(INDEX(Sprints!$C$5:$C$7,MATCH(I141,Sprints!$A$5:$A$7,0)),"dd/mm"),"")</f>
        <v>02/11 – 15/11</v>
      </c>
      <c r="K141" s="7" t="s">
        <v>25</v>
      </c>
      <c r="L141" s="7" t="s">
        <v>45</v>
      </c>
      <c r="M141" s="17" t="str">
        <f t="array" ref="M141">IFERROR(IF(AND(L141&lt;&gt;"Done",TODAY()&gt;INDEX(Sprints!$C$5:$C$7,MATCH(I141,Sprints!$A$5:$A$7,0))),"Trễ",""),"")</f>
        <v/>
      </c>
      <c r="N141" s="20"/>
      <c r="O141" s="20"/>
      <c r="P141" s="9"/>
    </row>
    <row r="142" ht="66.0" hidden="1" customHeight="1">
      <c r="A142" s="7" t="s">
        <v>509</v>
      </c>
      <c r="B142" s="7" t="s">
        <v>265</v>
      </c>
      <c r="C142" s="9" t="s">
        <v>266</v>
      </c>
      <c r="D142" s="9" t="s">
        <v>496</v>
      </c>
      <c r="E142" s="12" t="s">
        <v>507</v>
      </c>
      <c r="F142" s="7" t="s">
        <v>53</v>
      </c>
      <c r="G142" s="9" t="s">
        <v>510</v>
      </c>
      <c r="H142" s="7" t="s">
        <v>42</v>
      </c>
      <c r="I142" s="7" t="s">
        <v>47</v>
      </c>
      <c r="J142" s="17" t="str">
        <f t="array" ref="J142">IFERROR(TEXT(INDEX(Sprints!$B$5:$B$7,MATCH(I142,Sprints!$A$5:$A$7,0)),"dd/mm")&amp;" – "&amp;TEXT(INDEX(Sprints!$C$5:$C$7,MATCH(I142,Sprints!$A$5:$A$7,0)),"dd/mm"),"")</f>
        <v>02/11 – 15/11</v>
      </c>
      <c r="K142" s="7" t="s">
        <v>25</v>
      </c>
      <c r="L142" s="7" t="s">
        <v>45</v>
      </c>
      <c r="M142" s="17" t="str">
        <f t="array" ref="M142">IFERROR(IF(AND(L142&lt;&gt;"Done",TODAY()&gt;INDEX(Sprints!$C$5:$C$7,MATCH(I142,Sprints!$A$5:$A$7,0))),"Trễ",""),"")</f>
        <v/>
      </c>
      <c r="N142" s="20"/>
      <c r="O142" s="20"/>
      <c r="P142" s="9"/>
    </row>
    <row r="143" ht="79.5" hidden="1" customHeight="1">
      <c r="A143" s="21" t="s">
        <v>511</v>
      </c>
      <c r="B143" s="21" t="s">
        <v>270</v>
      </c>
      <c r="C143" s="22" t="s">
        <v>271</v>
      </c>
      <c r="D143" s="22" t="s">
        <v>512</v>
      </c>
      <c r="E143" s="23" t="s">
        <v>513</v>
      </c>
      <c r="F143" s="21" t="s">
        <v>40</v>
      </c>
      <c r="G143" s="22" t="s">
        <v>514</v>
      </c>
      <c r="H143" s="21" t="s">
        <v>42</v>
      </c>
      <c r="I143" s="21" t="s">
        <v>47</v>
      </c>
      <c r="J143" s="17" t="str">
        <f t="array" ref="J143">IFERROR(TEXT(INDEX(Sprints!$B$5:$B$7,MATCH(I143,Sprints!$A$5:$A$7,0)),"dd/mm")&amp;" – "&amp;TEXT(INDEX(Sprints!$C$5:$C$7,MATCH(I143,Sprints!$A$5:$A$7,0)),"dd/mm"),"")</f>
        <v>02/11 – 15/11</v>
      </c>
      <c r="K143" s="21" t="s">
        <v>48</v>
      </c>
      <c r="L143" s="21" t="s">
        <v>45</v>
      </c>
      <c r="M143" s="17" t="str">
        <f t="array" ref="M143">IFERROR(IF(AND(L143&lt;&gt;"Done",TODAY()&gt;INDEX(Sprints!$C$5:$C$7,MATCH(I143,Sprints!$A$5:$A$7,0))),"Trễ",""),"")</f>
        <v/>
      </c>
      <c r="N143" s="24"/>
      <c r="O143" s="24"/>
      <c r="P143" s="22"/>
    </row>
    <row r="144" ht="66.0" hidden="1" customHeight="1">
      <c r="A144" s="21" t="s">
        <v>515</v>
      </c>
      <c r="B144" s="21" t="s">
        <v>270</v>
      </c>
      <c r="C144" s="22" t="s">
        <v>271</v>
      </c>
      <c r="D144" s="22" t="s">
        <v>512</v>
      </c>
      <c r="E144" s="23" t="s">
        <v>513</v>
      </c>
      <c r="F144" s="21" t="s">
        <v>53</v>
      </c>
      <c r="G144" s="22" t="s">
        <v>516</v>
      </c>
      <c r="H144" s="21" t="s">
        <v>42</v>
      </c>
      <c r="I144" s="21" t="s">
        <v>47</v>
      </c>
      <c r="J144" s="17" t="str">
        <f t="array" ref="J144">IFERROR(TEXT(INDEX(Sprints!$B$5:$B$7,MATCH(I144,Sprints!$A$5:$A$7,0)),"dd/mm")&amp;" – "&amp;TEXT(INDEX(Sprints!$C$5:$C$7,MATCH(I144,Sprints!$A$5:$A$7,0)),"dd/mm"),"")</f>
        <v>02/11 – 15/11</v>
      </c>
      <c r="K144" s="21" t="s">
        <v>56</v>
      </c>
      <c r="L144" s="21" t="s">
        <v>45</v>
      </c>
      <c r="M144" s="17" t="str">
        <f t="array" ref="M144">IFERROR(IF(AND(L144&lt;&gt;"Done",TODAY()&gt;INDEX(Sprints!$C$5:$C$7,MATCH(I144,Sprints!$A$5:$A$7,0))),"Trễ",""),"")</f>
        <v/>
      </c>
      <c r="N144" s="24"/>
      <c r="O144" s="24"/>
      <c r="P144" s="22"/>
    </row>
    <row r="145" ht="66.0" hidden="1" customHeight="1">
      <c r="A145" s="21" t="s">
        <v>517</v>
      </c>
      <c r="B145" s="21" t="s">
        <v>270</v>
      </c>
      <c r="C145" s="22" t="s">
        <v>271</v>
      </c>
      <c r="D145" s="22" t="s">
        <v>512</v>
      </c>
      <c r="E145" s="23" t="s">
        <v>518</v>
      </c>
      <c r="F145" s="21" t="s">
        <v>40</v>
      </c>
      <c r="G145" s="22" t="s">
        <v>519</v>
      </c>
      <c r="H145" s="21" t="s">
        <v>42</v>
      </c>
      <c r="I145" s="21" t="s">
        <v>47</v>
      </c>
      <c r="J145" s="17" t="str">
        <f t="array" ref="J145">IFERROR(TEXT(INDEX(Sprints!$B$5:$B$7,MATCH(I145,Sprints!$A$5:$A$7,0)),"dd/mm")&amp;" – "&amp;TEXT(INDEX(Sprints!$C$5:$C$7,MATCH(I145,Sprints!$A$5:$A$7,0)),"dd/mm"),"")</f>
        <v>02/11 – 15/11</v>
      </c>
      <c r="K145" s="21" t="s">
        <v>44</v>
      </c>
      <c r="L145" s="21" t="s">
        <v>45</v>
      </c>
      <c r="M145" s="17" t="str">
        <f t="array" ref="M145">IFERROR(IF(AND(L145&lt;&gt;"Done",TODAY()&gt;INDEX(Sprints!$C$5:$C$7,MATCH(I145,Sprints!$A$5:$A$7,0))),"Trễ",""),"")</f>
        <v/>
      </c>
      <c r="N145" s="24"/>
      <c r="O145" s="24"/>
      <c r="P145" s="22" t="s">
        <v>83</v>
      </c>
    </row>
    <row r="146" ht="55.5" hidden="1" customHeight="1">
      <c r="A146" s="21" t="s">
        <v>520</v>
      </c>
      <c r="B146" s="21" t="s">
        <v>270</v>
      </c>
      <c r="C146" s="22" t="s">
        <v>271</v>
      </c>
      <c r="D146" s="22" t="s">
        <v>512</v>
      </c>
      <c r="E146" s="23" t="s">
        <v>518</v>
      </c>
      <c r="F146" s="21" t="s">
        <v>53</v>
      </c>
      <c r="G146" s="22" t="s">
        <v>521</v>
      </c>
      <c r="H146" s="21" t="s">
        <v>42</v>
      </c>
      <c r="I146" s="21" t="s">
        <v>47</v>
      </c>
      <c r="J146" s="17" t="str">
        <f t="array" ref="J146">IFERROR(TEXT(INDEX(Sprints!$B$5:$B$7,MATCH(I146,Sprints!$A$5:$A$7,0)),"dd/mm")&amp;" – "&amp;TEXT(INDEX(Sprints!$C$5:$C$7,MATCH(I146,Sprints!$A$5:$A$7,0)),"dd/mm"),"")</f>
        <v>02/11 – 15/11</v>
      </c>
      <c r="K146" s="21" t="s">
        <v>59</v>
      </c>
      <c r="L146" s="21" t="s">
        <v>45</v>
      </c>
      <c r="M146" s="17" t="str">
        <f t="array" ref="M146">IFERROR(IF(AND(L146&lt;&gt;"Done",TODAY()&gt;INDEX(Sprints!$C$5:$C$7,MATCH(I146,Sprints!$A$5:$A$7,0))),"Trễ",""),"")</f>
        <v/>
      </c>
      <c r="N146" s="24"/>
      <c r="O146" s="24"/>
      <c r="P146" s="22" t="s">
        <v>83</v>
      </c>
    </row>
    <row r="147" ht="66.0" customHeight="1">
      <c r="A147" s="21" t="s">
        <v>522</v>
      </c>
      <c r="B147" s="21" t="s">
        <v>270</v>
      </c>
      <c r="C147" s="22" t="s">
        <v>271</v>
      </c>
      <c r="D147" s="22" t="s">
        <v>512</v>
      </c>
      <c r="E147" s="23" t="s">
        <v>523</v>
      </c>
      <c r="F147" s="21" t="s">
        <v>68</v>
      </c>
      <c r="G147" s="22" t="s">
        <v>524</v>
      </c>
      <c r="H147" s="21" t="s">
        <v>87</v>
      </c>
      <c r="I147" s="21" t="s">
        <v>55</v>
      </c>
      <c r="J147" s="17" t="str">
        <f t="array" ref="J147">IFERROR(TEXT(INDEX(Sprints!$B$5:$B$7,MATCH(I147,Sprints!$A$5:$A$7,0)),"dd/mm")&amp;" – "&amp;TEXT(INDEX(Sprints!$C$5:$C$7,MATCH(I147,Sprints!$A$5:$A$7,0)),"dd/mm"),"")</f>
        <v>16/11 – 22/11</v>
      </c>
      <c r="K147" s="21" t="s">
        <v>56</v>
      </c>
      <c r="L147" s="21" t="s">
        <v>45</v>
      </c>
      <c r="M147" s="17" t="str">
        <f t="array" ref="M147">IFERROR(IF(AND(L147&lt;&gt;"Done",TODAY()&gt;INDEX(Sprints!$C$5:$C$7,MATCH(I147,Sprints!$A$5:$A$7,0))),"Trễ",""),"")</f>
        <v/>
      </c>
      <c r="N147" s="24"/>
      <c r="O147" s="24"/>
      <c r="P147" s="22"/>
    </row>
    <row r="148" ht="66.0" hidden="1" customHeight="1">
      <c r="A148" s="21" t="s">
        <v>525</v>
      </c>
      <c r="B148" s="21" t="s">
        <v>270</v>
      </c>
      <c r="C148" s="22" t="s">
        <v>271</v>
      </c>
      <c r="D148" s="22" t="s">
        <v>512</v>
      </c>
      <c r="E148" s="23" t="s">
        <v>526</v>
      </c>
      <c r="F148" s="21" t="s">
        <v>40</v>
      </c>
      <c r="G148" s="22" t="s">
        <v>527</v>
      </c>
      <c r="H148" s="21" t="s">
        <v>42</v>
      </c>
      <c r="I148" s="21" t="s">
        <v>47</v>
      </c>
      <c r="J148" s="17" t="str">
        <f t="array" ref="J148">IFERROR(TEXT(INDEX(Sprints!$B$5:$B$7,MATCH(I148,Sprints!$A$5:$A$7,0)),"dd/mm")&amp;" – "&amp;TEXT(INDEX(Sprints!$C$5:$C$7,MATCH(I148,Sprints!$A$5:$A$7,0)),"dd/mm"),"")</f>
        <v>02/11 – 15/11</v>
      </c>
      <c r="K148" s="21" t="s">
        <v>48</v>
      </c>
      <c r="L148" s="21" t="s">
        <v>45</v>
      </c>
      <c r="M148" s="17" t="str">
        <f t="array" ref="M148">IFERROR(IF(AND(L148&lt;&gt;"Done",TODAY()&gt;INDEX(Sprints!$C$5:$C$7,MATCH(I148,Sprints!$A$5:$A$7,0))),"Trễ",""),"")</f>
        <v/>
      </c>
      <c r="N148" s="24"/>
      <c r="O148" s="24"/>
      <c r="P148" s="22"/>
    </row>
    <row r="149" ht="66.0" hidden="1" customHeight="1">
      <c r="A149" s="21" t="s">
        <v>528</v>
      </c>
      <c r="B149" s="21" t="s">
        <v>270</v>
      </c>
      <c r="C149" s="22" t="s">
        <v>271</v>
      </c>
      <c r="D149" s="22" t="s">
        <v>512</v>
      </c>
      <c r="E149" s="23" t="s">
        <v>526</v>
      </c>
      <c r="F149" s="21" t="s">
        <v>53</v>
      </c>
      <c r="G149" s="22" t="s">
        <v>529</v>
      </c>
      <c r="H149" s="21" t="s">
        <v>42</v>
      </c>
      <c r="I149" s="21" t="s">
        <v>47</v>
      </c>
      <c r="J149" s="17" t="str">
        <f t="array" ref="J149">IFERROR(TEXT(INDEX(Sprints!$B$5:$B$7,MATCH(I149,Sprints!$A$5:$A$7,0)),"dd/mm")&amp;" – "&amp;TEXT(INDEX(Sprints!$C$5:$C$7,MATCH(I149,Sprints!$A$5:$A$7,0)),"dd/mm"),"")</f>
        <v>02/11 – 15/11</v>
      </c>
      <c r="K149" s="21" t="s">
        <v>59</v>
      </c>
      <c r="L149" s="21" t="s">
        <v>45</v>
      </c>
      <c r="M149" s="17" t="str">
        <f t="array" ref="M149">IFERROR(IF(AND(L149&lt;&gt;"Done",TODAY()&gt;INDEX(Sprints!$C$5:$C$7,MATCH(I149,Sprints!$A$5:$A$7,0))),"Trễ",""),"")</f>
        <v/>
      </c>
      <c r="N149" s="24"/>
      <c r="O149" s="24"/>
      <c r="P149" s="22"/>
    </row>
    <row r="150" ht="66.0" hidden="1" customHeight="1">
      <c r="A150" s="21" t="s">
        <v>530</v>
      </c>
      <c r="B150" s="21" t="s">
        <v>270</v>
      </c>
      <c r="C150" s="22" t="s">
        <v>271</v>
      </c>
      <c r="D150" s="22" t="s">
        <v>531</v>
      </c>
      <c r="E150" s="23" t="s">
        <v>532</v>
      </c>
      <c r="F150" s="21" t="s">
        <v>40</v>
      </c>
      <c r="G150" s="22" t="s">
        <v>533</v>
      </c>
      <c r="H150" s="21" t="s">
        <v>87</v>
      </c>
      <c r="I150" s="21" t="s">
        <v>55</v>
      </c>
      <c r="J150" s="17" t="str">
        <f t="array" ref="J150">IFERROR(TEXT(INDEX(Sprints!$B$5:$B$7,MATCH(I150,Sprints!$A$5:$A$7,0)),"dd/mm")&amp;" – "&amp;TEXT(INDEX(Sprints!$C$5:$C$7,MATCH(I150,Sprints!$A$5:$A$7,0)),"dd/mm"),"")</f>
        <v>16/11 – 22/11</v>
      </c>
      <c r="K150" s="21" t="s">
        <v>44</v>
      </c>
      <c r="L150" s="21" t="s">
        <v>45</v>
      </c>
      <c r="M150" s="17" t="str">
        <f t="array" ref="M150">IFERROR(IF(AND(L150&lt;&gt;"Done",TODAY()&gt;INDEX(Sprints!$C$5:$C$7,MATCH(I150,Sprints!$A$5:$A$7,0))),"Trễ",""),"")</f>
        <v/>
      </c>
      <c r="N150" s="24"/>
      <c r="O150" s="24"/>
      <c r="P150" s="22"/>
    </row>
    <row r="151" ht="66.0" hidden="1" customHeight="1">
      <c r="A151" s="21" t="s">
        <v>534</v>
      </c>
      <c r="B151" s="21" t="s">
        <v>270</v>
      </c>
      <c r="C151" s="22" t="s">
        <v>271</v>
      </c>
      <c r="D151" s="22" t="s">
        <v>531</v>
      </c>
      <c r="E151" s="23" t="s">
        <v>532</v>
      </c>
      <c r="F151" s="21" t="s">
        <v>53</v>
      </c>
      <c r="G151" s="22" t="s">
        <v>535</v>
      </c>
      <c r="H151" s="21" t="s">
        <v>87</v>
      </c>
      <c r="I151" s="21" t="s">
        <v>55</v>
      </c>
      <c r="J151" s="17" t="str">
        <f t="array" ref="J151">IFERROR(TEXT(INDEX(Sprints!$B$5:$B$7,MATCH(I151,Sprints!$A$5:$A$7,0)),"dd/mm")&amp;" – "&amp;TEXT(INDEX(Sprints!$C$5:$C$7,MATCH(I151,Sprints!$A$5:$A$7,0)),"dd/mm"),"")</f>
        <v>16/11 – 22/11</v>
      </c>
      <c r="K151" s="21" t="s">
        <v>56</v>
      </c>
      <c r="L151" s="21" t="s">
        <v>45</v>
      </c>
      <c r="M151" s="17" t="str">
        <f t="array" ref="M151">IFERROR(IF(AND(L151&lt;&gt;"Done",TODAY()&gt;INDEX(Sprints!$C$5:$C$7,MATCH(I151,Sprints!$A$5:$A$7,0))),"Trễ",""),"")</f>
        <v/>
      </c>
      <c r="N151" s="24"/>
      <c r="O151" s="24"/>
      <c r="P151" s="22"/>
    </row>
    <row r="152" ht="79.5" hidden="1" customHeight="1">
      <c r="A152" s="21" t="s">
        <v>536</v>
      </c>
      <c r="B152" s="21" t="s">
        <v>270</v>
      </c>
      <c r="C152" s="22" t="s">
        <v>271</v>
      </c>
      <c r="D152" s="22" t="s">
        <v>537</v>
      </c>
      <c r="E152" s="23" t="s">
        <v>538</v>
      </c>
      <c r="F152" s="21" t="s">
        <v>40</v>
      </c>
      <c r="G152" s="22" t="s">
        <v>539</v>
      </c>
      <c r="H152" s="21" t="s">
        <v>87</v>
      </c>
      <c r="I152" s="21" t="s">
        <v>55</v>
      </c>
      <c r="J152" s="17" t="str">
        <f t="array" ref="J152">IFERROR(TEXT(INDEX(Sprints!$B$5:$B$7,MATCH(I152,Sprints!$A$5:$A$7,0)),"dd/mm")&amp;" – "&amp;TEXT(INDEX(Sprints!$C$5:$C$7,MATCH(I152,Sprints!$A$5:$A$7,0)),"dd/mm"),"")</f>
        <v>16/11 – 22/11</v>
      </c>
      <c r="K152" s="21" t="s">
        <v>48</v>
      </c>
      <c r="L152" s="21" t="s">
        <v>45</v>
      </c>
      <c r="M152" s="17" t="str">
        <f t="array" ref="M152">IFERROR(IF(AND(L152&lt;&gt;"Done",TODAY()&gt;INDEX(Sprints!$C$5:$C$7,MATCH(I152,Sprints!$A$5:$A$7,0))),"Trễ",""),"")</f>
        <v/>
      </c>
      <c r="N152" s="24"/>
      <c r="O152" s="24"/>
      <c r="P152" s="22"/>
    </row>
    <row r="153" ht="66.0" hidden="1" customHeight="1">
      <c r="A153" s="21" t="s">
        <v>540</v>
      </c>
      <c r="B153" s="21" t="s">
        <v>270</v>
      </c>
      <c r="C153" s="22" t="s">
        <v>271</v>
      </c>
      <c r="D153" s="22" t="s">
        <v>537</v>
      </c>
      <c r="E153" s="23" t="s">
        <v>538</v>
      </c>
      <c r="F153" s="21" t="s">
        <v>53</v>
      </c>
      <c r="G153" s="22" t="s">
        <v>541</v>
      </c>
      <c r="H153" s="21" t="s">
        <v>87</v>
      </c>
      <c r="I153" s="21" t="s">
        <v>55</v>
      </c>
      <c r="J153" s="17" t="str">
        <f t="array" ref="J153">IFERROR(TEXT(INDEX(Sprints!$B$5:$B$7,MATCH(I153,Sprints!$A$5:$A$7,0)),"dd/mm")&amp;" – "&amp;TEXT(INDEX(Sprints!$C$5:$C$7,MATCH(I153,Sprints!$A$5:$A$7,0)),"dd/mm"),"")</f>
        <v>16/11 – 22/11</v>
      </c>
      <c r="K153" s="21" t="s">
        <v>59</v>
      </c>
      <c r="L153" s="21" t="s">
        <v>45</v>
      </c>
      <c r="M153" s="17" t="str">
        <f t="array" ref="M153">IFERROR(IF(AND(L153&lt;&gt;"Done",TODAY()&gt;INDEX(Sprints!$C$5:$C$7,MATCH(I153,Sprints!$A$5:$A$7,0))),"Trễ",""),"")</f>
        <v/>
      </c>
      <c r="N153" s="24"/>
      <c r="O153" s="24"/>
      <c r="P153" s="22"/>
    </row>
    <row r="154" ht="66.0" customHeight="1">
      <c r="A154" s="21" t="s">
        <v>542</v>
      </c>
      <c r="B154" s="21" t="s">
        <v>270</v>
      </c>
      <c r="C154" s="22" t="s">
        <v>271</v>
      </c>
      <c r="D154" s="22" t="s">
        <v>537</v>
      </c>
      <c r="E154" s="23" t="s">
        <v>538</v>
      </c>
      <c r="F154" s="21" t="s">
        <v>68</v>
      </c>
      <c r="G154" s="22" t="s">
        <v>543</v>
      </c>
      <c r="H154" s="21" t="s">
        <v>87</v>
      </c>
      <c r="I154" s="21" t="s">
        <v>55</v>
      </c>
      <c r="J154" s="17" t="str">
        <f t="array" ref="J154">IFERROR(TEXT(INDEX(Sprints!$B$5:$B$7,MATCH(I154,Sprints!$A$5:$A$7,0)),"dd/mm")&amp;" – "&amp;TEXT(INDEX(Sprints!$C$5:$C$7,MATCH(I154,Sprints!$A$5:$A$7,0)),"dd/mm"),"")</f>
        <v>16/11 – 22/11</v>
      </c>
      <c r="K154" s="21" t="s">
        <v>59</v>
      </c>
      <c r="L154" s="21" t="s">
        <v>45</v>
      </c>
      <c r="M154" s="17" t="str">
        <f t="array" ref="M154">IFERROR(IF(AND(L154&lt;&gt;"Done",TODAY()&gt;INDEX(Sprints!$C$5:$C$7,MATCH(I154,Sprints!$A$5:$A$7,0))),"Trễ",""),"")</f>
        <v/>
      </c>
      <c r="N154" s="24"/>
      <c r="O154" s="24"/>
      <c r="P154" s="22"/>
    </row>
    <row r="155" ht="66.0" hidden="1" customHeight="1">
      <c r="A155" s="21" t="s">
        <v>544</v>
      </c>
      <c r="B155" s="21" t="s">
        <v>270</v>
      </c>
      <c r="C155" s="22" t="s">
        <v>271</v>
      </c>
      <c r="D155" s="22" t="s">
        <v>537</v>
      </c>
      <c r="E155" s="23" t="s">
        <v>545</v>
      </c>
      <c r="F155" s="21" t="s">
        <v>40</v>
      </c>
      <c r="G155" s="22" t="s">
        <v>546</v>
      </c>
      <c r="H155" s="21" t="s">
        <v>87</v>
      </c>
      <c r="I155" s="21" t="s">
        <v>55</v>
      </c>
      <c r="J155" s="17" t="str">
        <f t="array" ref="J155">IFERROR(TEXT(INDEX(Sprints!$B$5:$B$7,MATCH(I155,Sprints!$A$5:$A$7,0)),"dd/mm")&amp;" – "&amp;TEXT(INDEX(Sprints!$C$5:$C$7,MATCH(I155,Sprints!$A$5:$A$7,0)),"dd/mm"),"")</f>
        <v>16/11 – 22/11</v>
      </c>
      <c r="K155" s="21" t="s">
        <v>44</v>
      </c>
      <c r="L155" s="21" t="s">
        <v>45</v>
      </c>
      <c r="M155" s="17" t="str">
        <f t="array" ref="M155">IFERROR(IF(AND(L155&lt;&gt;"Done",TODAY()&gt;INDEX(Sprints!$C$5:$C$7,MATCH(I155,Sprints!$A$5:$A$7,0))),"Trễ",""),"")</f>
        <v/>
      </c>
      <c r="N155" s="24"/>
      <c r="O155" s="24"/>
      <c r="P155" s="22"/>
    </row>
    <row r="156" ht="66.0" customHeight="1">
      <c r="A156" s="21" t="s">
        <v>547</v>
      </c>
      <c r="B156" s="21" t="s">
        <v>270</v>
      </c>
      <c r="C156" s="22" t="s">
        <v>271</v>
      </c>
      <c r="D156" s="22" t="s">
        <v>537</v>
      </c>
      <c r="E156" s="23" t="s">
        <v>545</v>
      </c>
      <c r="F156" s="21" t="s">
        <v>68</v>
      </c>
      <c r="G156" s="22" t="s">
        <v>548</v>
      </c>
      <c r="H156" s="21" t="s">
        <v>87</v>
      </c>
      <c r="I156" s="21" t="s">
        <v>55</v>
      </c>
      <c r="J156" s="17" t="str">
        <f t="array" ref="J156">IFERROR(TEXT(INDEX(Sprints!$B$5:$B$7,MATCH(I156,Sprints!$A$5:$A$7,0)),"dd/mm")&amp;" – "&amp;TEXT(INDEX(Sprints!$C$5:$C$7,MATCH(I156,Sprints!$A$5:$A$7,0)),"dd/mm"),"")</f>
        <v>16/11 – 22/11</v>
      </c>
      <c r="K156" s="21" t="s">
        <v>56</v>
      </c>
      <c r="L156" s="21" t="s">
        <v>45</v>
      </c>
      <c r="M156" s="17" t="str">
        <f t="array" ref="M156">IFERROR(IF(AND(L156&lt;&gt;"Done",TODAY()&gt;INDEX(Sprints!$C$5:$C$7,MATCH(I156,Sprints!$A$5:$A$7,0))),"Trễ",""),"")</f>
        <v/>
      </c>
      <c r="N156" s="24"/>
      <c r="O156" s="24"/>
      <c r="P156" s="22"/>
    </row>
    <row r="157" ht="93.75" hidden="1" customHeight="1">
      <c r="A157" s="7" t="s">
        <v>549</v>
      </c>
      <c r="B157" s="7" t="s">
        <v>274</v>
      </c>
      <c r="C157" s="9" t="s">
        <v>275</v>
      </c>
      <c r="D157" s="9" t="s">
        <v>275</v>
      </c>
      <c r="E157" s="12" t="s">
        <v>550</v>
      </c>
      <c r="F157" s="7" t="s">
        <v>40</v>
      </c>
      <c r="G157" s="9" t="s">
        <v>551</v>
      </c>
      <c r="H157" s="7" t="s">
        <v>42</v>
      </c>
      <c r="I157" s="7" t="s">
        <v>55</v>
      </c>
      <c r="J157" s="17" t="str">
        <f t="array" ref="J157">IFERROR(TEXT(INDEX(Sprints!$B$5:$B$7,MATCH(I157,Sprints!$A$5:$A$7,0)),"dd/mm")&amp;" – "&amp;TEXT(INDEX(Sprints!$C$5:$C$7,MATCH(I157,Sprints!$A$5:$A$7,0)),"dd/mm"),"")</f>
        <v>16/11 – 22/11</v>
      </c>
      <c r="K157" s="7" t="s">
        <v>25</v>
      </c>
      <c r="L157" s="7" t="s">
        <v>45</v>
      </c>
      <c r="M157" s="17" t="str">
        <f t="array" ref="M157">IFERROR(IF(AND(L157&lt;&gt;"Done",TODAY()&gt;INDEX(Sprints!$C$5:$C$7,MATCH(I157,Sprints!$A$5:$A$7,0))),"Trễ",""),"")</f>
        <v/>
      </c>
      <c r="N157" s="20"/>
      <c r="O157" s="20"/>
      <c r="P157" s="9" t="s">
        <v>552</v>
      </c>
    </row>
    <row r="158" ht="79.5" hidden="1" customHeight="1">
      <c r="A158" s="7" t="s">
        <v>553</v>
      </c>
      <c r="B158" s="7" t="s">
        <v>274</v>
      </c>
      <c r="C158" s="9" t="s">
        <v>275</v>
      </c>
      <c r="D158" s="9" t="s">
        <v>275</v>
      </c>
      <c r="E158" s="12" t="s">
        <v>554</v>
      </c>
      <c r="F158" s="7" t="s">
        <v>40</v>
      </c>
      <c r="G158" s="9" t="s">
        <v>555</v>
      </c>
      <c r="H158" s="7" t="s">
        <v>42</v>
      </c>
      <c r="I158" s="7" t="s">
        <v>55</v>
      </c>
      <c r="J158" s="17" t="str">
        <f t="array" ref="J158">IFERROR(TEXT(INDEX(Sprints!$B$5:$B$7,MATCH(I158,Sprints!$A$5:$A$7,0)),"dd/mm")&amp;" – "&amp;TEXT(INDEX(Sprints!$C$5:$C$7,MATCH(I158,Sprints!$A$5:$A$7,0)),"dd/mm"),"")</f>
        <v>16/11 – 22/11</v>
      </c>
      <c r="K158" s="7" t="s">
        <v>44</v>
      </c>
      <c r="L158" s="7" t="s">
        <v>45</v>
      </c>
      <c r="M158" s="17" t="str">
        <f t="array" ref="M158">IFERROR(IF(AND(L158&lt;&gt;"Done",TODAY()&gt;INDEX(Sprints!$C$5:$C$7,MATCH(I158,Sprints!$A$5:$A$7,0))),"Trễ",""),"")</f>
        <v/>
      </c>
      <c r="N158" s="20"/>
      <c r="O158" s="20"/>
      <c r="P158" s="9"/>
    </row>
    <row r="159" ht="79.5" hidden="1" customHeight="1">
      <c r="A159" s="7" t="s">
        <v>556</v>
      </c>
      <c r="B159" s="7" t="s">
        <v>274</v>
      </c>
      <c r="C159" s="9" t="s">
        <v>275</v>
      </c>
      <c r="D159" s="9" t="s">
        <v>275</v>
      </c>
      <c r="E159" s="12" t="s">
        <v>557</v>
      </c>
      <c r="F159" s="7" t="s">
        <v>40</v>
      </c>
      <c r="G159" s="9" t="s">
        <v>558</v>
      </c>
      <c r="H159" s="7" t="s">
        <v>42</v>
      </c>
      <c r="I159" s="7" t="s">
        <v>55</v>
      </c>
      <c r="J159" s="17" t="str">
        <f t="array" ref="J159">IFERROR(TEXT(INDEX(Sprints!$B$5:$B$7,MATCH(I159,Sprints!$A$5:$A$7,0)),"dd/mm")&amp;" – "&amp;TEXT(INDEX(Sprints!$C$5:$C$7,MATCH(I159,Sprints!$A$5:$A$7,0)),"dd/mm"),"")</f>
        <v>16/11 – 22/11</v>
      </c>
      <c r="K159" s="7" t="s">
        <v>48</v>
      </c>
      <c r="L159" s="7" t="s">
        <v>45</v>
      </c>
      <c r="M159" s="17" t="str">
        <f t="array" ref="M159">IFERROR(IF(AND(L159&lt;&gt;"Done",TODAY()&gt;INDEX(Sprints!$C$5:$C$7,MATCH(I159,Sprints!$A$5:$A$7,0))),"Trễ",""),"")</f>
        <v/>
      </c>
      <c r="N159" s="20"/>
      <c r="O159" s="20"/>
      <c r="P159" s="9"/>
    </row>
    <row r="160" ht="79.5" hidden="1" customHeight="1">
      <c r="A160" s="7" t="s">
        <v>559</v>
      </c>
      <c r="B160" s="7" t="s">
        <v>274</v>
      </c>
      <c r="C160" s="9" t="s">
        <v>275</v>
      </c>
      <c r="D160" s="9" t="s">
        <v>275</v>
      </c>
      <c r="E160" s="12" t="s">
        <v>557</v>
      </c>
      <c r="F160" s="7" t="s">
        <v>53</v>
      </c>
      <c r="G160" s="9" t="s">
        <v>560</v>
      </c>
      <c r="H160" s="7" t="s">
        <v>42</v>
      </c>
      <c r="I160" s="7" t="s">
        <v>55</v>
      </c>
      <c r="J160" s="17" t="str">
        <f t="array" ref="J160">IFERROR(TEXT(INDEX(Sprints!$B$5:$B$7,MATCH(I160,Sprints!$A$5:$A$7,0)),"dd/mm")&amp;" – "&amp;TEXT(INDEX(Sprints!$C$5:$C$7,MATCH(I160,Sprints!$A$5:$A$7,0)),"dd/mm"),"")</f>
        <v>16/11 – 22/11</v>
      </c>
      <c r="K160" s="7" t="s">
        <v>59</v>
      </c>
      <c r="L160" s="7" t="s">
        <v>45</v>
      </c>
      <c r="M160" s="17" t="str">
        <f t="array" ref="M160">IFERROR(IF(AND(L160&lt;&gt;"Done",TODAY()&gt;INDEX(Sprints!$C$5:$C$7,MATCH(I160,Sprints!$A$5:$A$7,0))),"Trễ",""),"")</f>
        <v/>
      </c>
      <c r="N160" s="20"/>
      <c r="O160" s="20"/>
      <c r="P160" s="9"/>
    </row>
    <row r="161" ht="79.5" customHeight="1">
      <c r="A161" s="7" t="s">
        <v>561</v>
      </c>
      <c r="B161" s="7" t="s">
        <v>274</v>
      </c>
      <c r="C161" s="9" t="s">
        <v>275</v>
      </c>
      <c r="D161" s="9" t="s">
        <v>275</v>
      </c>
      <c r="E161" s="12" t="s">
        <v>557</v>
      </c>
      <c r="F161" s="7" t="s">
        <v>68</v>
      </c>
      <c r="G161" s="9" t="s">
        <v>562</v>
      </c>
      <c r="H161" s="7" t="s">
        <v>42</v>
      </c>
      <c r="I161" s="7" t="s">
        <v>55</v>
      </c>
      <c r="J161" s="17" t="str">
        <f t="array" ref="J161">IFERROR(TEXT(INDEX(Sprints!$B$5:$B$7,MATCH(I161,Sprints!$A$5:$A$7,0)),"dd/mm")&amp;" – "&amp;TEXT(INDEX(Sprints!$C$5:$C$7,MATCH(I161,Sprints!$A$5:$A$7,0)),"dd/mm"),"")</f>
        <v>16/11 – 22/11</v>
      </c>
      <c r="K161" s="7" t="s">
        <v>59</v>
      </c>
      <c r="L161" s="7" t="s">
        <v>45</v>
      </c>
      <c r="M161" s="17" t="str">
        <f t="array" ref="M161">IFERROR(IF(AND(L161&lt;&gt;"Done",TODAY()&gt;INDEX(Sprints!$C$5:$C$7,MATCH(I161,Sprints!$A$5:$A$7,0))),"Trễ",""),"")</f>
        <v/>
      </c>
      <c r="N161" s="20"/>
      <c r="O161" s="20"/>
      <c r="P161" s="9"/>
    </row>
    <row r="162" ht="66.0" hidden="1" customHeight="1">
      <c r="A162" s="7" t="s">
        <v>563</v>
      </c>
      <c r="B162" s="7" t="s">
        <v>274</v>
      </c>
      <c r="C162" s="9" t="s">
        <v>275</v>
      </c>
      <c r="D162" s="9" t="s">
        <v>275</v>
      </c>
      <c r="E162" s="12" t="s">
        <v>564</v>
      </c>
      <c r="F162" s="7" t="s">
        <v>40</v>
      </c>
      <c r="G162" s="9" t="s">
        <v>565</v>
      </c>
      <c r="H162" s="7" t="s">
        <v>42</v>
      </c>
      <c r="I162" s="7" t="s">
        <v>55</v>
      </c>
      <c r="J162" s="17" t="str">
        <f t="array" ref="J162">IFERROR(TEXT(INDEX(Sprints!$B$5:$B$7,MATCH(I162,Sprints!$A$5:$A$7,0)),"dd/mm")&amp;" – "&amp;TEXT(INDEX(Sprints!$C$5:$C$7,MATCH(I162,Sprints!$A$5:$A$7,0)),"dd/mm"),"")</f>
        <v>16/11 – 22/11</v>
      </c>
      <c r="K162" s="7" t="s">
        <v>48</v>
      </c>
      <c r="L162" s="7" t="s">
        <v>45</v>
      </c>
      <c r="M162" s="17" t="str">
        <f t="array" ref="M162">IFERROR(IF(AND(L162&lt;&gt;"Done",TODAY()&gt;INDEX(Sprints!$C$5:$C$7,MATCH(I162,Sprints!$A$5:$A$7,0))),"Trễ",""),"")</f>
        <v/>
      </c>
      <c r="N162" s="20"/>
      <c r="O162" s="20"/>
      <c r="P162" s="9"/>
    </row>
    <row r="163" ht="66.0" hidden="1" customHeight="1">
      <c r="A163" s="7" t="s">
        <v>566</v>
      </c>
      <c r="B163" s="7" t="s">
        <v>274</v>
      </c>
      <c r="C163" s="9" t="s">
        <v>275</v>
      </c>
      <c r="D163" s="9" t="s">
        <v>275</v>
      </c>
      <c r="E163" s="12" t="s">
        <v>564</v>
      </c>
      <c r="F163" s="7" t="s">
        <v>53</v>
      </c>
      <c r="G163" s="9" t="s">
        <v>567</v>
      </c>
      <c r="H163" s="7" t="s">
        <v>42</v>
      </c>
      <c r="I163" s="7" t="s">
        <v>55</v>
      </c>
      <c r="J163" s="17" t="str">
        <f t="array" ref="J163">IFERROR(TEXT(INDEX(Sprints!$B$5:$B$7,MATCH(I163,Sprints!$A$5:$A$7,0)),"dd/mm")&amp;" – "&amp;TEXT(INDEX(Sprints!$C$5:$C$7,MATCH(I163,Sprints!$A$5:$A$7,0)),"dd/mm"),"")</f>
        <v>16/11 – 22/11</v>
      </c>
      <c r="K163" s="7" t="s">
        <v>56</v>
      </c>
      <c r="L163" s="7" t="s">
        <v>45</v>
      </c>
      <c r="M163" s="17" t="str">
        <f t="array" ref="M163">IFERROR(IF(AND(L163&lt;&gt;"Done",TODAY()&gt;INDEX(Sprints!$C$5:$C$7,MATCH(I163,Sprints!$A$5:$A$7,0))),"Trễ",""),"")</f>
        <v/>
      </c>
      <c r="N163" s="20"/>
      <c r="O163" s="20"/>
      <c r="P163" s="9"/>
    </row>
    <row r="164" ht="66.0" customHeight="1">
      <c r="A164" s="7" t="s">
        <v>568</v>
      </c>
      <c r="B164" s="7" t="s">
        <v>274</v>
      </c>
      <c r="C164" s="9" t="s">
        <v>275</v>
      </c>
      <c r="D164" s="9" t="s">
        <v>275</v>
      </c>
      <c r="E164" s="12" t="s">
        <v>564</v>
      </c>
      <c r="F164" s="7" t="s">
        <v>68</v>
      </c>
      <c r="G164" s="9" t="s">
        <v>569</v>
      </c>
      <c r="H164" s="7" t="s">
        <v>42</v>
      </c>
      <c r="I164" s="7" t="s">
        <v>55</v>
      </c>
      <c r="J164" s="17" t="str">
        <f t="array" ref="J164">IFERROR(TEXT(INDEX(Sprints!$B$5:$B$7,MATCH(I164,Sprints!$A$5:$A$7,0)),"dd/mm")&amp;" – "&amp;TEXT(INDEX(Sprints!$C$5:$C$7,MATCH(I164,Sprints!$A$5:$A$7,0)),"dd/mm"),"")</f>
        <v>16/11 – 22/11</v>
      </c>
      <c r="K164" s="7" t="s">
        <v>56</v>
      </c>
      <c r="L164" s="7" t="s">
        <v>45</v>
      </c>
      <c r="M164" s="17" t="str">
        <f t="array" ref="M164">IFERROR(IF(AND(L164&lt;&gt;"Done",TODAY()&gt;INDEX(Sprints!$C$5:$C$7,MATCH(I164,Sprints!$A$5:$A$7,0))),"Trễ",""),"")</f>
        <v/>
      </c>
      <c r="N164" s="20"/>
      <c r="O164" s="20"/>
      <c r="P164" s="9"/>
    </row>
    <row r="165" ht="93.75" hidden="1" customHeight="1">
      <c r="A165" s="7" t="s">
        <v>570</v>
      </c>
      <c r="B165" s="7" t="s">
        <v>193</v>
      </c>
      <c r="C165" s="9" t="s">
        <v>194</v>
      </c>
      <c r="D165" s="9" t="s">
        <v>571</v>
      </c>
      <c r="E165" s="12" t="s">
        <v>572</v>
      </c>
      <c r="F165" s="7" t="s">
        <v>40</v>
      </c>
      <c r="G165" s="9" t="s">
        <v>573</v>
      </c>
      <c r="H165" s="7" t="s">
        <v>42</v>
      </c>
      <c r="I165" s="7" t="s">
        <v>47</v>
      </c>
      <c r="J165" s="50" t="str">
        <f t="array" ref="J165">IF(I165="","",IFERROR(TEXT(INDEX(Sprints!$B$5:$B$7,MATCH(I165,Sprints!$A$5:$A$7,0)),"dd/mm")&amp;" – "&amp;TEXT(INDEX(Sprints!$C$5:$C$7,MATCH(I165,Sprints!$A$5:$A$7,0)),"dd/mm"),""))</f>
        <v>02/11 – 15/11</v>
      </c>
      <c r="K165" s="7" t="s">
        <v>25</v>
      </c>
      <c r="L165" s="7" t="s">
        <v>45</v>
      </c>
      <c r="M165" s="50" t="str">
        <f t="array" ref="M165">IF(G165="","",IFERROR(IF(AND(L165&lt;&gt;"Done",TODAY()&gt;INDEX(Sprints!$C$5:$C$7,MATCH(I165,Sprints!$A$5:$A$7,0))),"Trễ",""),""))</f>
        <v/>
      </c>
      <c r="N165" s="20"/>
      <c r="O165" s="20"/>
      <c r="P165" s="9" t="s">
        <v>574</v>
      </c>
    </row>
    <row r="166" ht="93.75" customHeight="1">
      <c r="A166" s="7" t="s">
        <v>575</v>
      </c>
      <c r="B166" s="7" t="s">
        <v>193</v>
      </c>
      <c r="C166" s="9" t="s">
        <v>194</v>
      </c>
      <c r="D166" s="9" t="s">
        <v>571</v>
      </c>
      <c r="E166" s="12" t="s">
        <v>572</v>
      </c>
      <c r="F166" s="7" t="s">
        <v>68</v>
      </c>
      <c r="G166" s="9" t="s">
        <v>576</v>
      </c>
      <c r="H166" s="7" t="s">
        <v>42</v>
      </c>
      <c r="I166" s="7" t="s">
        <v>47</v>
      </c>
      <c r="J166" s="50" t="str">
        <f t="array" ref="J166">IF(I166="","",IFERROR(TEXT(INDEX(Sprints!$B$5:$B$7,MATCH(I166,Sprints!$A$5:$A$7,0)),"dd/mm")&amp;" – "&amp;TEXT(INDEX(Sprints!$C$5:$C$7,MATCH(I166,Sprints!$A$5:$A$7,0)),"dd/mm"),""))</f>
        <v>02/11 – 15/11</v>
      </c>
      <c r="K166" s="7" t="s">
        <v>56</v>
      </c>
      <c r="L166" s="7" t="s">
        <v>45</v>
      </c>
      <c r="M166" s="50" t="str">
        <f t="array" ref="M166">IF(G166="","",IFERROR(IF(AND(L166&lt;&gt;"Done",TODAY()&gt;INDEX(Sprints!$C$5:$C$7,MATCH(I166,Sprints!$A$5:$A$7,0))),"Trễ",""),""))</f>
        <v/>
      </c>
      <c r="N166" s="20"/>
      <c r="O166" s="20"/>
      <c r="P166" s="9" t="s">
        <v>574</v>
      </c>
    </row>
    <row r="167" ht="121.5" hidden="1" customHeight="1">
      <c r="A167" s="51" t="s">
        <v>577</v>
      </c>
      <c r="B167" s="51" t="s">
        <v>193</v>
      </c>
      <c r="C167" s="51" t="s">
        <v>194</v>
      </c>
      <c r="D167" s="51" t="s">
        <v>571</v>
      </c>
      <c r="E167" s="51" t="s">
        <v>572</v>
      </c>
      <c r="F167" s="51" t="s">
        <v>53</v>
      </c>
      <c r="G167" s="51" t="s">
        <v>578</v>
      </c>
      <c r="H167" s="51" t="s">
        <v>42</v>
      </c>
      <c r="I167" s="51" t="s">
        <v>47</v>
      </c>
      <c r="J167" s="50" t="str">
        <f t="array" ref="J167">IF(I167="","",IFERROR(TEXT(INDEX(Sprints!$B$5:$B$7,MATCH(I167,Sprints!$A$5:$A$7,0)),"dd/mm")&amp;" – "&amp;TEXT(INDEX(Sprints!$C$5:$C$7,MATCH(I167,Sprints!$A$5:$A$7,0)),"dd/mm"),""))</f>
        <v>02/11 – 15/11</v>
      </c>
      <c r="K167" s="51" t="s">
        <v>25</v>
      </c>
      <c r="L167" s="51" t="s">
        <v>45</v>
      </c>
      <c r="M167" s="50" t="str">
        <f t="array" ref="M167">IF(G167="","",IFERROR(IF(AND(L167&lt;&gt;"Done",TODAY()&gt;INDEX(Sprints!$C$5:$C$7,MATCH(I167,Sprints!$A$5:$A$7,0))),"Trễ",""),""))</f>
        <v/>
      </c>
      <c r="P167" s="51" t="s">
        <v>579</v>
      </c>
    </row>
    <row r="168" ht="14.25" hidden="1" customHeight="1">
      <c r="F168" s="51"/>
      <c r="H168" s="51"/>
      <c r="I168" s="51"/>
      <c r="J168" s="50" t="str">
        <f t="array" ref="J168">IF(I168="","",IFERROR(TEXT(INDEX(Sprints!$B$5:$B$7,MATCH(I168,Sprints!$A$5:$A$7,0)),"dd/mm")&amp;" – "&amp;TEXT(INDEX(Sprints!$C$5:$C$7,MATCH(I168,Sprints!$A$5:$A$7,0)),"dd/mm"),""))</f>
        <v/>
      </c>
      <c r="K168" s="51"/>
      <c r="L168" s="51"/>
      <c r="M168" s="50" t="str">
        <f t="array" ref="M168">IF(G168="","",IFERROR(IF(AND(L168&lt;&gt;"Done",TODAY()&gt;INDEX(Sprints!$C$5:$C$7,MATCH(I168,Sprints!$A$5:$A$7,0))),"Trễ",""),""))</f>
        <v/>
      </c>
    </row>
    <row r="169" ht="14.25" hidden="1" customHeight="1">
      <c r="F169" s="51"/>
      <c r="H169" s="51"/>
      <c r="I169" s="51"/>
      <c r="J169" s="50" t="str">
        <f t="array" ref="J169">IF(I169="","",IFERROR(TEXT(INDEX(Sprints!$B$5:$B$7,MATCH(I169,Sprints!$A$5:$A$7,0)),"dd/mm")&amp;" – "&amp;TEXT(INDEX(Sprints!$C$5:$C$7,MATCH(I169,Sprints!$A$5:$A$7,0)),"dd/mm"),""))</f>
        <v/>
      </c>
      <c r="K169" s="51"/>
      <c r="L169" s="51"/>
      <c r="M169" s="50" t="str">
        <f t="array" ref="M169">IF(G169="","",IFERROR(IF(AND(L169&lt;&gt;"Done",TODAY()&gt;INDEX(Sprints!$C$5:$C$7,MATCH(I169,Sprints!$A$5:$A$7,0))),"Trễ",""),""))</f>
        <v/>
      </c>
    </row>
    <row r="170" ht="14.25" hidden="1" customHeight="1">
      <c r="F170" s="51"/>
      <c r="H170" s="51"/>
      <c r="I170" s="51"/>
      <c r="J170" s="50" t="str">
        <f t="array" ref="J170">IF(I170="","",IFERROR(TEXT(INDEX(Sprints!$B$5:$B$7,MATCH(I170,Sprints!$A$5:$A$7,0)),"dd/mm")&amp;" – "&amp;TEXT(INDEX(Sprints!$C$5:$C$7,MATCH(I170,Sprints!$A$5:$A$7,0)),"dd/mm"),""))</f>
        <v/>
      </c>
      <c r="K170" s="51"/>
      <c r="L170" s="51"/>
      <c r="M170" s="50" t="str">
        <f t="array" ref="M170">IF(G170="","",IFERROR(IF(AND(L170&lt;&gt;"Done",TODAY()&gt;INDEX(Sprints!$C$5:$C$7,MATCH(I170,Sprints!$A$5:$A$7,0))),"Trễ",""),""))</f>
        <v/>
      </c>
    </row>
    <row r="171" ht="14.25" hidden="1" customHeight="1">
      <c r="F171" s="51"/>
      <c r="H171" s="51"/>
      <c r="I171" s="51"/>
      <c r="J171" s="50" t="str">
        <f t="array" ref="J171">IF(I171="","",IFERROR(TEXT(INDEX(Sprints!$B$5:$B$7,MATCH(I171,Sprints!$A$5:$A$7,0)),"dd/mm")&amp;" – "&amp;TEXT(INDEX(Sprints!$C$5:$C$7,MATCH(I171,Sprints!$A$5:$A$7,0)),"dd/mm"),""))</f>
        <v/>
      </c>
      <c r="K171" s="51"/>
      <c r="L171" s="51"/>
      <c r="M171" s="50" t="str">
        <f t="array" ref="M171">IF(G171="","",IFERROR(IF(AND(L171&lt;&gt;"Done",TODAY()&gt;INDEX(Sprints!$C$5:$C$7,MATCH(I171,Sprints!$A$5:$A$7,0))),"Trễ",""),""))</f>
        <v/>
      </c>
    </row>
    <row r="172" ht="14.25" hidden="1" customHeight="1">
      <c r="F172" s="51"/>
      <c r="H172" s="51"/>
      <c r="I172" s="51"/>
      <c r="J172" s="50" t="str">
        <f t="array" ref="J172">IF(I172="","",IFERROR(TEXT(INDEX(Sprints!$B$5:$B$7,MATCH(I172,Sprints!$A$5:$A$7,0)),"dd/mm")&amp;" – "&amp;TEXT(INDEX(Sprints!$C$5:$C$7,MATCH(I172,Sprints!$A$5:$A$7,0)),"dd/mm"),""))</f>
        <v/>
      </c>
      <c r="K172" s="51"/>
      <c r="L172" s="51"/>
      <c r="M172" s="50" t="str">
        <f t="array" ref="M172">IF(G172="","",IFERROR(IF(AND(L172&lt;&gt;"Done",TODAY()&gt;INDEX(Sprints!$C$5:$C$7,MATCH(I172,Sprints!$A$5:$A$7,0))),"Trễ",""),""))</f>
        <v/>
      </c>
    </row>
    <row r="173" ht="14.25" hidden="1" customHeight="1">
      <c r="F173" s="51"/>
      <c r="H173" s="51"/>
      <c r="I173" s="51"/>
      <c r="J173" s="50" t="str">
        <f t="array" ref="J173">IF(I173="","",IFERROR(TEXT(INDEX(Sprints!$B$5:$B$7,MATCH(I173,Sprints!$A$5:$A$7,0)),"dd/mm")&amp;" – "&amp;TEXT(INDEX(Sprints!$C$5:$C$7,MATCH(I173,Sprints!$A$5:$A$7,0)),"dd/mm"),""))</f>
        <v/>
      </c>
      <c r="K173" s="51"/>
      <c r="L173" s="51"/>
      <c r="M173" s="50" t="str">
        <f t="array" ref="M173">IF(G173="","",IFERROR(IF(AND(L173&lt;&gt;"Done",TODAY()&gt;INDEX(Sprints!$C$5:$C$7,MATCH(I173,Sprints!$A$5:$A$7,0))),"Trễ",""),""))</f>
        <v/>
      </c>
    </row>
    <row r="174" ht="14.25" hidden="1" customHeight="1">
      <c r="F174" s="51"/>
      <c r="H174" s="51"/>
      <c r="I174" s="51"/>
      <c r="J174" s="50" t="str">
        <f t="array" ref="J174">IF(I174="","",IFERROR(TEXT(INDEX(Sprints!$B$5:$B$7,MATCH(I174,Sprints!$A$5:$A$7,0)),"dd/mm")&amp;" – "&amp;TEXT(INDEX(Sprints!$C$5:$C$7,MATCH(I174,Sprints!$A$5:$A$7,0)),"dd/mm"),""))</f>
        <v/>
      </c>
      <c r="K174" s="51"/>
      <c r="L174" s="51"/>
      <c r="M174" s="50" t="str">
        <f t="array" ref="M174">IF(G174="","",IFERROR(IF(AND(L174&lt;&gt;"Done",TODAY()&gt;INDEX(Sprints!$C$5:$C$7,MATCH(I174,Sprints!$A$5:$A$7,0))),"Trễ",""),""))</f>
        <v/>
      </c>
    </row>
    <row r="175" ht="14.25" hidden="1" customHeight="1">
      <c r="F175" s="51"/>
      <c r="H175" s="51"/>
      <c r="I175" s="51"/>
      <c r="J175" s="50" t="str">
        <f t="array" ref="J175">IF(I175="","",IFERROR(TEXT(INDEX(Sprints!$B$5:$B$7,MATCH(I175,Sprints!$A$5:$A$7,0)),"dd/mm")&amp;" – "&amp;TEXT(INDEX(Sprints!$C$5:$C$7,MATCH(I175,Sprints!$A$5:$A$7,0)),"dd/mm"),""))</f>
        <v/>
      </c>
      <c r="K175" s="51"/>
      <c r="L175" s="51"/>
      <c r="M175" s="50" t="str">
        <f t="array" ref="M175">IF(G175="","",IFERROR(IF(AND(L175&lt;&gt;"Done",TODAY()&gt;INDEX(Sprints!$C$5:$C$7,MATCH(I175,Sprints!$A$5:$A$7,0))),"Trễ",""),""))</f>
        <v/>
      </c>
    </row>
    <row r="176" ht="14.25" hidden="1" customHeight="1">
      <c r="F176" s="51"/>
      <c r="H176" s="51"/>
      <c r="I176" s="51"/>
      <c r="J176" s="50" t="str">
        <f t="array" ref="J176">IF(I176="","",IFERROR(TEXT(INDEX(Sprints!$B$5:$B$7,MATCH(I176,Sprints!$A$5:$A$7,0)),"dd/mm")&amp;" – "&amp;TEXT(INDEX(Sprints!$C$5:$C$7,MATCH(I176,Sprints!$A$5:$A$7,0)),"dd/mm"),""))</f>
        <v/>
      </c>
      <c r="K176" s="51"/>
      <c r="L176" s="51"/>
      <c r="M176" s="50" t="str">
        <f t="array" ref="M176">IF(G176="","",IFERROR(IF(AND(L176&lt;&gt;"Done",TODAY()&gt;INDEX(Sprints!$C$5:$C$7,MATCH(I176,Sprints!$A$5:$A$7,0))),"Trễ",""),""))</f>
        <v/>
      </c>
    </row>
    <row r="177" ht="14.25" hidden="1" customHeight="1">
      <c r="F177" s="51"/>
      <c r="H177" s="51"/>
      <c r="I177" s="51"/>
      <c r="J177" s="50" t="str">
        <f t="array" ref="J177">IF(I177="","",IFERROR(TEXT(INDEX(Sprints!$B$5:$B$7,MATCH(I177,Sprints!$A$5:$A$7,0)),"dd/mm")&amp;" – "&amp;TEXT(INDEX(Sprints!$C$5:$C$7,MATCH(I177,Sprints!$A$5:$A$7,0)),"dd/mm"),""))</f>
        <v/>
      </c>
      <c r="K177" s="51"/>
      <c r="L177" s="51"/>
      <c r="M177" s="50" t="str">
        <f t="array" ref="M177">IF(G177="","",IFERROR(IF(AND(L177&lt;&gt;"Done",TODAY()&gt;INDEX(Sprints!$C$5:$C$7,MATCH(I177,Sprints!$A$5:$A$7,0))),"Trễ",""),""))</f>
        <v/>
      </c>
    </row>
    <row r="178" ht="14.25" hidden="1" customHeight="1">
      <c r="F178" s="51"/>
      <c r="H178" s="51"/>
      <c r="I178" s="51"/>
      <c r="J178" s="50" t="str">
        <f t="array" ref="J178">IF(I178="","",IFERROR(TEXT(INDEX(Sprints!$B$5:$B$7,MATCH(I178,Sprints!$A$5:$A$7,0)),"dd/mm")&amp;" – "&amp;TEXT(INDEX(Sprints!$C$5:$C$7,MATCH(I178,Sprints!$A$5:$A$7,0)),"dd/mm"),""))</f>
        <v/>
      </c>
      <c r="K178" s="51"/>
      <c r="L178" s="51"/>
      <c r="M178" s="50" t="str">
        <f t="array" ref="M178">IF(G178="","",IFERROR(IF(AND(L178&lt;&gt;"Done",TODAY()&gt;INDEX(Sprints!$C$5:$C$7,MATCH(I178,Sprints!$A$5:$A$7,0))),"Trễ",""),""))</f>
        <v/>
      </c>
    </row>
    <row r="179" ht="14.25" hidden="1" customHeight="1">
      <c r="F179" s="51"/>
      <c r="H179" s="51"/>
      <c r="I179" s="51"/>
      <c r="J179" s="50" t="str">
        <f t="array" ref="J179">IF(I179="","",IFERROR(TEXT(INDEX(Sprints!$B$5:$B$7,MATCH(I179,Sprints!$A$5:$A$7,0)),"dd/mm")&amp;" – "&amp;TEXT(INDEX(Sprints!$C$5:$C$7,MATCH(I179,Sprints!$A$5:$A$7,0)),"dd/mm"),""))</f>
        <v/>
      </c>
      <c r="K179" s="51"/>
      <c r="L179" s="51"/>
      <c r="M179" s="50" t="str">
        <f t="array" ref="M179">IF(G179="","",IFERROR(IF(AND(L179&lt;&gt;"Done",TODAY()&gt;INDEX(Sprints!$C$5:$C$7,MATCH(I179,Sprints!$A$5:$A$7,0))),"Trễ",""),""))</f>
        <v/>
      </c>
    </row>
    <row r="180" ht="14.25" hidden="1" customHeight="1">
      <c r="F180" s="51"/>
      <c r="H180" s="51"/>
      <c r="I180" s="51"/>
      <c r="J180" s="50" t="str">
        <f t="array" ref="J180">IF(I180="","",IFERROR(TEXT(INDEX(Sprints!$B$5:$B$7,MATCH(I180,Sprints!$A$5:$A$7,0)),"dd/mm")&amp;" – "&amp;TEXT(INDEX(Sprints!$C$5:$C$7,MATCH(I180,Sprints!$A$5:$A$7,0)),"dd/mm"),""))</f>
        <v/>
      </c>
      <c r="K180" s="51"/>
      <c r="L180" s="51"/>
      <c r="M180" s="50" t="str">
        <f t="array" ref="M180">IF(G180="","",IFERROR(IF(AND(L180&lt;&gt;"Done",TODAY()&gt;INDEX(Sprints!$C$5:$C$7,MATCH(I180,Sprints!$A$5:$A$7,0))),"Trễ",""),""))</f>
        <v/>
      </c>
    </row>
    <row r="181" ht="14.25" hidden="1" customHeight="1">
      <c r="F181" s="51"/>
      <c r="H181" s="51"/>
      <c r="I181" s="51"/>
      <c r="J181" s="50" t="str">
        <f t="array" ref="J181">IF(I181="","",IFERROR(TEXT(INDEX(Sprints!$B$5:$B$7,MATCH(I181,Sprints!$A$5:$A$7,0)),"dd/mm")&amp;" – "&amp;TEXT(INDEX(Sprints!$C$5:$C$7,MATCH(I181,Sprints!$A$5:$A$7,0)),"dd/mm"),""))</f>
        <v/>
      </c>
      <c r="K181" s="51"/>
      <c r="L181" s="51"/>
      <c r="M181" s="50" t="str">
        <f t="array" ref="M181">IF(G181="","",IFERROR(IF(AND(L181&lt;&gt;"Done",TODAY()&gt;INDEX(Sprints!$C$5:$C$7,MATCH(I181,Sprints!$A$5:$A$7,0))),"Trễ",""),""))</f>
        <v/>
      </c>
    </row>
    <row r="182" ht="14.25" hidden="1" customHeight="1">
      <c r="F182" s="51"/>
      <c r="H182" s="51"/>
      <c r="I182" s="51"/>
      <c r="J182" s="50" t="str">
        <f t="array" ref="J182">IF(I182="","",IFERROR(TEXT(INDEX(Sprints!$B$5:$B$7,MATCH(I182,Sprints!$A$5:$A$7,0)),"dd/mm")&amp;" – "&amp;TEXT(INDEX(Sprints!$C$5:$C$7,MATCH(I182,Sprints!$A$5:$A$7,0)),"dd/mm"),""))</f>
        <v/>
      </c>
      <c r="K182" s="51"/>
      <c r="L182" s="51"/>
      <c r="M182" s="50" t="str">
        <f t="array" ref="M182">IF(G182="","",IFERROR(IF(AND(L182&lt;&gt;"Done",TODAY()&gt;INDEX(Sprints!$C$5:$C$7,MATCH(I182,Sprints!$A$5:$A$7,0))),"Trễ",""),""))</f>
        <v/>
      </c>
    </row>
    <row r="183" ht="14.25" hidden="1" customHeight="1">
      <c r="F183" s="51"/>
      <c r="H183" s="51"/>
      <c r="I183" s="51"/>
      <c r="J183" s="50" t="str">
        <f t="array" ref="J183">IF(I183="","",IFERROR(TEXT(INDEX(Sprints!$B$5:$B$7,MATCH(I183,Sprints!$A$5:$A$7,0)),"dd/mm")&amp;" – "&amp;TEXT(INDEX(Sprints!$C$5:$C$7,MATCH(I183,Sprints!$A$5:$A$7,0)),"dd/mm"),""))</f>
        <v/>
      </c>
      <c r="K183" s="51"/>
      <c r="L183" s="51"/>
      <c r="M183" s="50" t="str">
        <f t="array" ref="M183">IF(G183="","",IFERROR(IF(AND(L183&lt;&gt;"Done",TODAY()&gt;INDEX(Sprints!$C$5:$C$7,MATCH(I183,Sprints!$A$5:$A$7,0))),"Trễ",""),""))</f>
        <v/>
      </c>
    </row>
    <row r="184" ht="14.25" hidden="1" customHeight="1">
      <c r="F184" s="51"/>
      <c r="H184" s="51"/>
      <c r="I184" s="51"/>
      <c r="J184" s="50" t="str">
        <f t="array" ref="J184">IF(I184="","",IFERROR(TEXT(INDEX(Sprints!$B$5:$B$7,MATCH(I184,Sprints!$A$5:$A$7,0)),"dd/mm")&amp;" – "&amp;TEXT(INDEX(Sprints!$C$5:$C$7,MATCH(I184,Sprints!$A$5:$A$7,0)),"dd/mm"),""))</f>
        <v/>
      </c>
      <c r="K184" s="51"/>
      <c r="L184" s="51"/>
      <c r="M184" s="50" t="str">
        <f t="array" ref="M184">IF(G184="","",IFERROR(IF(AND(L184&lt;&gt;"Done",TODAY()&gt;INDEX(Sprints!$C$5:$C$7,MATCH(I184,Sprints!$A$5:$A$7,0))),"Trễ",""),""))</f>
        <v/>
      </c>
    </row>
    <row r="185" ht="14.25" hidden="1" customHeight="1">
      <c r="F185" s="51"/>
      <c r="H185" s="51"/>
      <c r="I185" s="51"/>
      <c r="J185" s="50" t="str">
        <f t="array" ref="J185">IF(I185="","",IFERROR(TEXT(INDEX(Sprints!$B$5:$B$7,MATCH(I185,Sprints!$A$5:$A$7,0)),"dd/mm")&amp;" – "&amp;TEXT(INDEX(Sprints!$C$5:$C$7,MATCH(I185,Sprints!$A$5:$A$7,0)),"dd/mm"),""))</f>
        <v/>
      </c>
      <c r="K185" s="51"/>
      <c r="L185" s="51"/>
      <c r="M185" s="50" t="str">
        <f t="array" ref="M185">IF(G185="","",IFERROR(IF(AND(L185&lt;&gt;"Done",TODAY()&gt;INDEX(Sprints!$C$5:$C$7,MATCH(I185,Sprints!$A$5:$A$7,0))),"Trễ",""),""))</f>
        <v/>
      </c>
    </row>
    <row r="186" ht="14.25" hidden="1" customHeight="1">
      <c r="F186" s="51"/>
      <c r="H186" s="51"/>
      <c r="I186" s="51"/>
      <c r="J186" s="50" t="str">
        <f t="array" ref="J186">IF(I186="","",IFERROR(TEXT(INDEX(Sprints!$B$5:$B$7,MATCH(I186,Sprints!$A$5:$A$7,0)),"dd/mm")&amp;" – "&amp;TEXT(INDEX(Sprints!$C$5:$C$7,MATCH(I186,Sprints!$A$5:$A$7,0)),"dd/mm"),""))</f>
        <v/>
      </c>
      <c r="K186" s="51"/>
      <c r="L186" s="51"/>
      <c r="M186" s="50" t="str">
        <f t="array" ref="M186">IF(G186="","",IFERROR(IF(AND(L186&lt;&gt;"Done",TODAY()&gt;INDEX(Sprints!$C$5:$C$7,MATCH(I186,Sprints!$A$5:$A$7,0))),"Trễ",""),""))</f>
        <v/>
      </c>
    </row>
    <row r="187" ht="14.25" hidden="1" customHeight="1">
      <c r="F187" s="51"/>
      <c r="H187" s="51"/>
      <c r="I187" s="51"/>
      <c r="J187" s="50" t="str">
        <f t="array" ref="J187">IF(I187="","",IFERROR(TEXT(INDEX(Sprints!$B$5:$B$7,MATCH(I187,Sprints!$A$5:$A$7,0)),"dd/mm")&amp;" – "&amp;TEXT(INDEX(Sprints!$C$5:$C$7,MATCH(I187,Sprints!$A$5:$A$7,0)),"dd/mm"),""))</f>
        <v/>
      </c>
      <c r="K187" s="51"/>
      <c r="L187" s="51"/>
      <c r="M187" s="50" t="str">
        <f t="array" ref="M187">IF(G187="","",IFERROR(IF(AND(L187&lt;&gt;"Done",TODAY()&gt;INDEX(Sprints!$C$5:$C$7,MATCH(I187,Sprints!$A$5:$A$7,0))),"Trễ",""),""))</f>
        <v/>
      </c>
    </row>
    <row r="188" ht="14.25" hidden="1" customHeight="1">
      <c r="F188" s="51"/>
      <c r="H188" s="51"/>
      <c r="I188" s="51"/>
      <c r="J188" s="50" t="str">
        <f t="array" ref="J188">IF(I188="","",IFERROR(TEXT(INDEX(Sprints!$B$5:$B$7,MATCH(I188,Sprints!$A$5:$A$7,0)),"dd/mm")&amp;" – "&amp;TEXT(INDEX(Sprints!$C$5:$C$7,MATCH(I188,Sprints!$A$5:$A$7,0)),"dd/mm"),""))</f>
        <v/>
      </c>
      <c r="K188" s="51"/>
      <c r="L188" s="51"/>
      <c r="M188" s="50" t="str">
        <f t="array" ref="M188">IF(G188="","",IFERROR(IF(AND(L188&lt;&gt;"Done",TODAY()&gt;INDEX(Sprints!$C$5:$C$7,MATCH(I188,Sprints!$A$5:$A$7,0))),"Trễ",""),""))</f>
        <v/>
      </c>
    </row>
    <row r="189" ht="14.25" hidden="1" customHeight="1">
      <c r="F189" s="51"/>
      <c r="H189" s="51"/>
      <c r="I189" s="51"/>
      <c r="J189" s="50" t="str">
        <f t="array" ref="J189">IF(I189="","",IFERROR(TEXT(INDEX(Sprints!$B$5:$B$7,MATCH(I189,Sprints!$A$5:$A$7,0)),"dd/mm")&amp;" – "&amp;TEXT(INDEX(Sprints!$C$5:$C$7,MATCH(I189,Sprints!$A$5:$A$7,0)),"dd/mm"),""))</f>
        <v/>
      </c>
      <c r="K189" s="51"/>
      <c r="L189" s="51"/>
      <c r="M189" s="50" t="str">
        <f t="array" ref="M189">IF(G189="","",IFERROR(IF(AND(L189&lt;&gt;"Done",TODAY()&gt;INDEX(Sprints!$C$5:$C$7,MATCH(I189,Sprints!$A$5:$A$7,0))),"Trễ",""),""))</f>
        <v/>
      </c>
    </row>
    <row r="190" ht="14.25" hidden="1" customHeight="1">
      <c r="F190" s="51"/>
      <c r="H190" s="51"/>
      <c r="I190" s="51"/>
      <c r="J190" s="50" t="str">
        <f t="array" ref="J190">IF(I190="","",IFERROR(TEXT(INDEX(Sprints!$B$5:$B$7,MATCH(I190,Sprints!$A$5:$A$7,0)),"dd/mm")&amp;" – "&amp;TEXT(INDEX(Sprints!$C$5:$C$7,MATCH(I190,Sprints!$A$5:$A$7,0)),"dd/mm"),""))</f>
        <v/>
      </c>
      <c r="K190" s="51"/>
      <c r="L190" s="51"/>
      <c r="M190" s="50" t="str">
        <f t="array" ref="M190">IF(G190="","",IFERROR(IF(AND(L190&lt;&gt;"Done",TODAY()&gt;INDEX(Sprints!$C$5:$C$7,MATCH(I190,Sprints!$A$5:$A$7,0))),"Trễ",""),""))</f>
        <v/>
      </c>
    </row>
    <row r="191" ht="14.25" hidden="1" customHeight="1">
      <c r="F191" s="51"/>
      <c r="H191" s="51"/>
      <c r="I191" s="51"/>
      <c r="J191" s="50" t="str">
        <f t="array" ref="J191">IF(I191="","",IFERROR(TEXT(INDEX(Sprints!$B$5:$B$7,MATCH(I191,Sprints!$A$5:$A$7,0)),"dd/mm")&amp;" – "&amp;TEXT(INDEX(Sprints!$C$5:$C$7,MATCH(I191,Sprints!$A$5:$A$7,0)),"dd/mm"),""))</f>
        <v/>
      </c>
      <c r="K191" s="51"/>
      <c r="L191" s="51"/>
      <c r="M191" s="50" t="str">
        <f t="array" ref="M191">IF(G191="","",IFERROR(IF(AND(L191&lt;&gt;"Done",TODAY()&gt;INDEX(Sprints!$C$5:$C$7,MATCH(I191,Sprints!$A$5:$A$7,0))),"Trễ",""),""))</f>
        <v/>
      </c>
    </row>
    <row r="192" ht="14.25" hidden="1" customHeight="1">
      <c r="F192" s="51"/>
      <c r="H192" s="51"/>
      <c r="I192" s="51"/>
      <c r="J192" s="50" t="str">
        <f t="array" ref="J192">IF(I192="","",IFERROR(TEXT(INDEX(Sprints!$B$5:$B$7,MATCH(I192,Sprints!$A$5:$A$7,0)),"dd/mm")&amp;" – "&amp;TEXT(INDEX(Sprints!$C$5:$C$7,MATCH(I192,Sprints!$A$5:$A$7,0)),"dd/mm"),""))</f>
        <v/>
      </c>
      <c r="K192" s="51"/>
      <c r="L192" s="51"/>
      <c r="M192" s="50" t="str">
        <f t="array" ref="M192">IF(G192="","",IFERROR(IF(AND(L192&lt;&gt;"Done",TODAY()&gt;INDEX(Sprints!$C$5:$C$7,MATCH(I192,Sprints!$A$5:$A$7,0))),"Trễ",""),""))</f>
        <v/>
      </c>
    </row>
    <row r="193" ht="14.25" hidden="1" customHeight="1">
      <c r="F193" s="51"/>
      <c r="H193" s="51"/>
      <c r="I193" s="51"/>
      <c r="J193" s="50" t="str">
        <f t="array" ref="J193">IF(I193="","",IFERROR(TEXT(INDEX(Sprints!$B$5:$B$7,MATCH(I193,Sprints!$A$5:$A$7,0)),"dd/mm")&amp;" – "&amp;TEXT(INDEX(Sprints!$C$5:$C$7,MATCH(I193,Sprints!$A$5:$A$7,0)),"dd/mm"),""))</f>
        <v/>
      </c>
      <c r="K193" s="51"/>
      <c r="L193" s="51"/>
      <c r="M193" s="50" t="str">
        <f t="array" ref="M193">IF(G193="","",IFERROR(IF(AND(L193&lt;&gt;"Done",TODAY()&gt;INDEX(Sprints!$C$5:$C$7,MATCH(I193,Sprints!$A$5:$A$7,0))),"Trễ",""),""))</f>
        <v/>
      </c>
    </row>
    <row r="194" ht="14.25" hidden="1" customHeight="1">
      <c r="F194" s="51"/>
      <c r="H194" s="51"/>
      <c r="I194" s="51"/>
      <c r="J194" s="50" t="str">
        <f t="array" ref="J194">IF(I194="","",IFERROR(TEXT(INDEX(Sprints!$B$5:$B$7,MATCH(I194,Sprints!$A$5:$A$7,0)),"dd/mm")&amp;" – "&amp;TEXT(INDEX(Sprints!$C$5:$C$7,MATCH(I194,Sprints!$A$5:$A$7,0)),"dd/mm"),""))</f>
        <v/>
      </c>
      <c r="K194" s="51"/>
      <c r="L194" s="51"/>
      <c r="M194" s="50" t="str">
        <f t="array" ref="M194">IF(G194="","",IFERROR(IF(AND(L194&lt;&gt;"Done",TODAY()&gt;INDEX(Sprints!$C$5:$C$7,MATCH(I194,Sprints!$A$5:$A$7,0))),"Trễ",""),""))</f>
        <v/>
      </c>
    </row>
    <row r="195" ht="14.25" hidden="1" customHeight="1">
      <c r="F195" s="51"/>
      <c r="H195" s="51"/>
      <c r="I195" s="51"/>
      <c r="J195" s="50" t="str">
        <f t="array" ref="J195">IF(I195="","",IFERROR(TEXT(INDEX(Sprints!$B$5:$B$7,MATCH(I195,Sprints!$A$5:$A$7,0)),"dd/mm")&amp;" – "&amp;TEXT(INDEX(Sprints!$C$5:$C$7,MATCH(I195,Sprints!$A$5:$A$7,0)),"dd/mm"),""))</f>
        <v/>
      </c>
      <c r="K195" s="51"/>
      <c r="L195" s="51"/>
      <c r="M195" s="50" t="str">
        <f t="array" ref="M195">IF(G195="","",IFERROR(IF(AND(L195&lt;&gt;"Done",TODAY()&gt;INDEX(Sprints!$C$5:$C$7,MATCH(I195,Sprints!$A$5:$A$7,0))),"Trễ",""),""))</f>
        <v/>
      </c>
    </row>
    <row r="196" ht="14.25" hidden="1" customHeight="1">
      <c r="F196" s="51"/>
      <c r="H196" s="51"/>
      <c r="I196" s="51"/>
      <c r="J196" s="50" t="str">
        <f t="array" ref="J196">IF(I196="","",IFERROR(TEXT(INDEX(Sprints!$B$5:$B$7,MATCH(I196,Sprints!$A$5:$A$7,0)),"dd/mm")&amp;" – "&amp;TEXT(INDEX(Sprints!$C$5:$C$7,MATCH(I196,Sprints!$A$5:$A$7,0)),"dd/mm"),""))</f>
        <v/>
      </c>
      <c r="K196" s="51"/>
      <c r="L196" s="51"/>
      <c r="M196" s="50" t="str">
        <f t="array" ref="M196">IF(G196="","",IFERROR(IF(AND(L196&lt;&gt;"Done",TODAY()&gt;INDEX(Sprints!$C$5:$C$7,MATCH(I196,Sprints!$A$5:$A$7,0))),"Trễ",""),""))</f>
        <v/>
      </c>
    </row>
    <row r="197" ht="14.25" hidden="1" customHeight="1">
      <c r="F197" s="51"/>
      <c r="H197" s="51"/>
      <c r="I197" s="51"/>
      <c r="J197" s="50" t="str">
        <f t="array" ref="J197">IF(I197="","",IFERROR(TEXT(INDEX(Sprints!$B$5:$B$7,MATCH(I197,Sprints!$A$5:$A$7,0)),"dd/mm")&amp;" – "&amp;TEXT(INDEX(Sprints!$C$5:$C$7,MATCH(I197,Sprints!$A$5:$A$7,0)),"dd/mm"),""))</f>
        <v/>
      </c>
      <c r="K197" s="51"/>
      <c r="L197" s="51"/>
      <c r="M197" s="50" t="str">
        <f t="array" ref="M197">IF(G197="","",IFERROR(IF(AND(L197&lt;&gt;"Done",TODAY()&gt;INDEX(Sprints!$C$5:$C$7,MATCH(I197,Sprints!$A$5:$A$7,0))),"Trễ",""),""))</f>
        <v/>
      </c>
    </row>
    <row r="198" ht="14.25" hidden="1" customHeight="1">
      <c r="F198" s="51"/>
      <c r="H198" s="51"/>
      <c r="I198" s="51"/>
      <c r="J198" s="50" t="str">
        <f t="array" ref="J198">IF(I198="","",IFERROR(TEXT(INDEX(Sprints!$B$5:$B$7,MATCH(I198,Sprints!$A$5:$A$7,0)),"dd/mm")&amp;" – "&amp;TEXT(INDEX(Sprints!$C$5:$C$7,MATCH(I198,Sprints!$A$5:$A$7,0)),"dd/mm"),""))</f>
        <v/>
      </c>
      <c r="K198" s="51"/>
      <c r="L198" s="51"/>
      <c r="M198" s="50" t="str">
        <f t="array" ref="M198">IF(G198="","",IFERROR(IF(AND(L198&lt;&gt;"Done",TODAY()&gt;INDEX(Sprints!$C$5:$C$7,MATCH(I198,Sprints!$A$5:$A$7,0))),"Trễ",""),""))</f>
        <v/>
      </c>
    </row>
    <row r="199" ht="14.25" hidden="1" customHeight="1">
      <c r="F199" s="51"/>
      <c r="H199" s="51"/>
      <c r="I199" s="51"/>
      <c r="J199" s="50" t="str">
        <f t="array" ref="J199">IF(I199="","",IFERROR(TEXT(INDEX(Sprints!$B$5:$B$7,MATCH(I199,Sprints!$A$5:$A$7,0)),"dd/mm")&amp;" – "&amp;TEXT(INDEX(Sprints!$C$5:$C$7,MATCH(I199,Sprints!$A$5:$A$7,0)),"dd/mm"),""))</f>
        <v/>
      </c>
      <c r="K199" s="51"/>
      <c r="L199" s="51"/>
      <c r="M199" s="50" t="str">
        <f t="array" ref="M199">IF(G199="","",IFERROR(IF(AND(L199&lt;&gt;"Done",TODAY()&gt;INDEX(Sprints!$C$5:$C$7,MATCH(I199,Sprints!$A$5:$A$7,0))),"Trễ",""),""))</f>
        <v/>
      </c>
    </row>
    <row r="200" ht="14.25" hidden="1" customHeight="1">
      <c r="F200" s="51"/>
      <c r="H200" s="51"/>
      <c r="I200" s="51"/>
      <c r="J200" s="50" t="str">
        <f t="array" ref="J200">IF(I200="","",IFERROR(TEXT(INDEX(Sprints!$B$5:$B$7,MATCH(I200,Sprints!$A$5:$A$7,0)),"dd/mm")&amp;" – "&amp;TEXT(INDEX(Sprints!$C$5:$C$7,MATCH(I200,Sprints!$A$5:$A$7,0)),"dd/mm"),""))</f>
        <v/>
      </c>
      <c r="K200" s="51"/>
      <c r="L200" s="51"/>
      <c r="M200" s="50" t="str">
        <f t="array" ref="M200">IF(G200="","",IFERROR(IF(AND(L200&lt;&gt;"Done",TODAY()&gt;INDEX(Sprints!$C$5:$C$7,MATCH(I200,Sprints!$A$5:$A$7,0))),"Trễ",""),""))</f>
        <v/>
      </c>
    </row>
    <row r="201" ht="14.25" hidden="1" customHeight="1">
      <c r="F201" s="51"/>
      <c r="H201" s="51"/>
      <c r="I201" s="51"/>
      <c r="J201" s="50" t="str">
        <f t="array" ref="J201">IF(I201="","",IFERROR(TEXT(INDEX(Sprints!$B$5:$B$7,MATCH(I201,Sprints!$A$5:$A$7,0)),"dd/mm")&amp;" – "&amp;TEXT(INDEX(Sprints!$C$5:$C$7,MATCH(I201,Sprints!$A$5:$A$7,0)),"dd/mm"),""))</f>
        <v/>
      </c>
      <c r="K201" s="51"/>
      <c r="L201" s="51"/>
      <c r="M201" s="50" t="str">
        <f t="array" ref="M201">IF(G201="","",IFERROR(IF(AND(L201&lt;&gt;"Done",TODAY()&gt;INDEX(Sprints!$C$5:$C$7,MATCH(I201,Sprints!$A$5:$A$7,0))),"Trễ",""),""))</f>
        <v/>
      </c>
    </row>
    <row r="202" ht="14.25" hidden="1" customHeight="1">
      <c r="F202" s="51"/>
      <c r="H202" s="51"/>
      <c r="I202" s="51"/>
      <c r="J202" s="50" t="str">
        <f t="array" ref="J202">IF(I202="","",IFERROR(TEXT(INDEX(Sprints!$B$5:$B$7,MATCH(I202,Sprints!$A$5:$A$7,0)),"dd/mm")&amp;" – "&amp;TEXT(INDEX(Sprints!$C$5:$C$7,MATCH(I202,Sprints!$A$5:$A$7,0)),"dd/mm"),""))</f>
        <v/>
      </c>
      <c r="K202" s="51"/>
      <c r="L202" s="51"/>
      <c r="M202" s="50" t="str">
        <f t="array" ref="M202">IF(G202="","",IFERROR(IF(AND(L202&lt;&gt;"Done",TODAY()&gt;INDEX(Sprints!$C$5:$C$7,MATCH(I202,Sprints!$A$5:$A$7,0))),"Trễ",""),""))</f>
        <v/>
      </c>
    </row>
    <row r="203" ht="14.25" hidden="1" customHeight="1">
      <c r="F203" s="51"/>
      <c r="H203" s="51"/>
      <c r="I203" s="51"/>
      <c r="J203" s="50" t="str">
        <f t="array" ref="J203">IF(I203="","",IFERROR(TEXT(INDEX(Sprints!$B$5:$B$7,MATCH(I203,Sprints!$A$5:$A$7,0)),"dd/mm")&amp;" – "&amp;TEXT(INDEX(Sprints!$C$5:$C$7,MATCH(I203,Sprints!$A$5:$A$7,0)),"dd/mm"),""))</f>
        <v/>
      </c>
      <c r="K203" s="51"/>
      <c r="L203" s="51"/>
      <c r="M203" s="50" t="str">
        <f t="array" ref="M203">IF(G203="","",IFERROR(IF(AND(L203&lt;&gt;"Done",TODAY()&gt;INDEX(Sprints!$C$5:$C$7,MATCH(I203,Sprints!$A$5:$A$7,0))),"Trễ",""),""))</f>
        <v/>
      </c>
    </row>
    <row r="204" ht="14.25" hidden="1" customHeight="1">
      <c r="F204" s="51"/>
      <c r="H204" s="51"/>
      <c r="I204" s="51"/>
      <c r="J204" s="50" t="str">
        <f t="array" ref="J204">IF(I204="","",IFERROR(TEXT(INDEX(Sprints!$B$5:$B$7,MATCH(I204,Sprints!$A$5:$A$7,0)),"dd/mm")&amp;" – "&amp;TEXT(INDEX(Sprints!$C$5:$C$7,MATCH(I204,Sprints!$A$5:$A$7,0)),"dd/mm"),""))</f>
        <v/>
      </c>
      <c r="K204" s="51"/>
      <c r="L204" s="51"/>
      <c r="M204" s="50" t="str">
        <f t="array" ref="M204">IF(G204="","",IFERROR(IF(AND(L204&lt;&gt;"Done",TODAY()&gt;INDEX(Sprints!$C$5:$C$7,MATCH(I204,Sprints!$A$5:$A$7,0))),"Trễ",""),""))</f>
        <v/>
      </c>
    </row>
    <row r="205" ht="14.25" hidden="1" customHeight="1">
      <c r="F205" s="51"/>
      <c r="H205" s="51"/>
      <c r="I205" s="51"/>
      <c r="J205" s="50" t="str">
        <f t="array" ref="J205">IF(I205="","",IFERROR(TEXT(INDEX(Sprints!$B$5:$B$7,MATCH(I205,Sprints!$A$5:$A$7,0)),"dd/mm")&amp;" – "&amp;TEXT(INDEX(Sprints!$C$5:$C$7,MATCH(I205,Sprints!$A$5:$A$7,0)),"dd/mm"),""))</f>
        <v/>
      </c>
      <c r="K205" s="51"/>
      <c r="L205" s="51"/>
      <c r="M205" s="50" t="str">
        <f t="array" ref="M205">IF(G205="","",IFERROR(IF(AND(L205&lt;&gt;"Done",TODAY()&gt;INDEX(Sprints!$C$5:$C$7,MATCH(I205,Sprints!$A$5:$A$7,0))),"Trễ",""),""))</f>
        <v/>
      </c>
    </row>
    <row r="206" ht="14.25" hidden="1" customHeight="1">
      <c r="F206" s="51"/>
      <c r="H206" s="51"/>
      <c r="I206" s="51"/>
      <c r="J206" s="50" t="str">
        <f t="array" ref="J206">IF(I206="","",IFERROR(TEXT(INDEX(Sprints!$B$5:$B$7,MATCH(I206,Sprints!$A$5:$A$7,0)),"dd/mm")&amp;" – "&amp;TEXT(INDEX(Sprints!$C$5:$C$7,MATCH(I206,Sprints!$A$5:$A$7,0)),"dd/mm"),""))</f>
        <v/>
      </c>
      <c r="K206" s="51"/>
      <c r="L206" s="51"/>
      <c r="M206" s="50" t="str">
        <f t="array" ref="M206">IF(G206="","",IFERROR(IF(AND(L206&lt;&gt;"Done",TODAY()&gt;INDEX(Sprints!$C$5:$C$7,MATCH(I206,Sprints!$A$5:$A$7,0))),"Trễ",""),""))</f>
        <v/>
      </c>
    </row>
    <row r="207" ht="14.25" hidden="1" customHeight="1">
      <c r="F207" s="51"/>
      <c r="H207" s="51"/>
      <c r="I207" s="51"/>
      <c r="J207" s="50" t="str">
        <f t="array" ref="J207">IF(I207="","",IFERROR(TEXT(INDEX(Sprints!$B$5:$B$7,MATCH(I207,Sprints!$A$5:$A$7,0)),"dd/mm")&amp;" – "&amp;TEXT(INDEX(Sprints!$C$5:$C$7,MATCH(I207,Sprints!$A$5:$A$7,0)),"dd/mm"),""))</f>
        <v/>
      </c>
      <c r="K207" s="51"/>
      <c r="L207" s="51"/>
      <c r="M207" s="50" t="str">
        <f t="array" ref="M207">IF(G207="","",IFERROR(IF(AND(L207&lt;&gt;"Done",TODAY()&gt;INDEX(Sprints!$C$5:$C$7,MATCH(I207,Sprints!$A$5:$A$7,0))),"Trễ",""),""))</f>
        <v/>
      </c>
    </row>
    <row r="208" ht="14.25" hidden="1" customHeight="1">
      <c r="F208" s="51"/>
      <c r="H208" s="51"/>
      <c r="I208" s="51"/>
      <c r="J208" s="50" t="str">
        <f t="array" ref="J208">IF(I208="","",IFERROR(TEXT(INDEX(Sprints!$B$5:$B$7,MATCH(I208,Sprints!$A$5:$A$7,0)),"dd/mm")&amp;" – "&amp;TEXT(INDEX(Sprints!$C$5:$C$7,MATCH(I208,Sprints!$A$5:$A$7,0)),"dd/mm"),""))</f>
        <v/>
      </c>
      <c r="K208" s="51"/>
      <c r="L208" s="51"/>
      <c r="M208" s="50" t="str">
        <f t="array" ref="M208">IF(G208="","",IFERROR(IF(AND(L208&lt;&gt;"Done",TODAY()&gt;INDEX(Sprints!$C$5:$C$7,MATCH(I208,Sprints!$A$5:$A$7,0))),"Trễ",""),""))</f>
        <v/>
      </c>
    </row>
    <row r="209" ht="14.25" hidden="1" customHeight="1">
      <c r="F209" s="51"/>
      <c r="H209" s="51"/>
      <c r="I209" s="51"/>
      <c r="J209" s="50" t="str">
        <f t="array" ref="J209">IF(I209="","",IFERROR(TEXT(INDEX(Sprints!$B$5:$B$7,MATCH(I209,Sprints!$A$5:$A$7,0)),"dd/mm")&amp;" – "&amp;TEXT(INDEX(Sprints!$C$5:$C$7,MATCH(I209,Sprints!$A$5:$A$7,0)),"dd/mm"),""))</f>
        <v/>
      </c>
      <c r="K209" s="51"/>
      <c r="L209" s="51"/>
      <c r="M209" s="50" t="str">
        <f t="array" ref="M209">IF(G209="","",IFERROR(IF(AND(L209&lt;&gt;"Done",TODAY()&gt;INDEX(Sprints!$C$5:$C$7,MATCH(I209,Sprints!$A$5:$A$7,0))),"Trễ",""),""))</f>
        <v/>
      </c>
    </row>
    <row r="210" ht="14.25" hidden="1" customHeight="1">
      <c r="F210" s="51"/>
      <c r="H210" s="51"/>
      <c r="I210" s="51"/>
      <c r="J210" s="50" t="str">
        <f t="array" ref="J210">IF(I210="","",IFERROR(TEXT(INDEX(Sprints!$B$5:$B$7,MATCH(I210,Sprints!$A$5:$A$7,0)),"dd/mm")&amp;" – "&amp;TEXT(INDEX(Sprints!$C$5:$C$7,MATCH(I210,Sprints!$A$5:$A$7,0)),"dd/mm"),""))</f>
        <v/>
      </c>
      <c r="K210" s="51"/>
      <c r="L210" s="51"/>
      <c r="M210" s="50" t="str">
        <f t="array" ref="M210">IF(G210="","",IFERROR(IF(AND(L210&lt;&gt;"Done",TODAY()&gt;INDEX(Sprints!$C$5:$C$7,MATCH(I210,Sprints!$A$5:$A$7,0))),"Trễ",""),""))</f>
        <v/>
      </c>
    </row>
    <row r="211" ht="14.25" hidden="1" customHeight="1">
      <c r="F211" s="51"/>
      <c r="H211" s="51"/>
      <c r="I211" s="51"/>
      <c r="J211" s="50" t="str">
        <f t="array" ref="J211">IF(I211="","",IFERROR(TEXT(INDEX(Sprints!$B$5:$B$7,MATCH(I211,Sprints!$A$5:$A$7,0)),"dd/mm")&amp;" – "&amp;TEXT(INDEX(Sprints!$C$5:$C$7,MATCH(I211,Sprints!$A$5:$A$7,0)),"dd/mm"),""))</f>
        <v/>
      </c>
      <c r="K211" s="51"/>
      <c r="L211" s="51"/>
      <c r="M211" s="50" t="str">
        <f t="array" ref="M211">IF(G211="","",IFERROR(IF(AND(L211&lt;&gt;"Done",TODAY()&gt;INDEX(Sprints!$C$5:$C$7,MATCH(I211,Sprints!$A$5:$A$7,0))),"Trễ",""),""))</f>
        <v/>
      </c>
    </row>
    <row r="212" ht="14.25" hidden="1" customHeight="1">
      <c r="F212" s="51"/>
      <c r="H212" s="51"/>
      <c r="I212" s="51"/>
      <c r="J212" s="50" t="str">
        <f t="array" ref="J212">IF(I212="","",IFERROR(TEXT(INDEX(Sprints!$B$5:$B$7,MATCH(I212,Sprints!$A$5:$A$7,0)),"dd/mm")&amp;" – "&amp;TEXT(INDEX(Sprints!$C$5:$C$7,MATCH(I212,Sprints!$A$5:$A$7,0)),"dd/mm"),""))</f>
        <v/>
      </c>
      <c r="K212" s="51"/>
      <c r="L212" s="51"/>
      <c r="M212" s="50" t="str">
        <f t="array" ref="M212">IF(G212="","",IFERROR(IF(AND(L212&lt;&gt;"Done",TODAY()&gt;INDEX(Sprints!$C$5:$C$7,MATCH(I212,Sprints!$A$5:$A$7,0))),"Trễ",""),""))</f>
        <v/>
      </c>
    </row>
    <row r="213" ht="14.25" hidden="1" customHeight="1">
      <c r="F213" s="51"/>
      <c r="H213" s="51"/>
      <c r="I213" s="51"/>
      <c r="J213" s="50" t="str">
        <f t="array" ref="J213">IF(I213="","",IFERROR(TEXT(INDEX(Sprints!$B$5:$B$7,MATCH(I213,Sprints!$A$5:$A$7,0)),"dd/mm")&amp;" – "&amp;TEXT(INDEX(Sprints!$C$5:$C$7,MATCH(I213,Sprints!$A$5:$A$7,0)),"dd/mm"),""))</f>
        <v/>
      </c>
      <c r="K213" s="51"/>
      <c r="L213" s="51"/>
      <c r="M213" s="50" t="str">
        <f t="array" ref="M213">IF(G213="","",IFERROR(IF(AND(L213&lt;&gt;"Done",TODAY()&gt;INDEX(Sprints!$C$5:$C$7,MATCH(I213,Sprints!$A$5:$A$7,0))),"Trễ",""),""))</f>
        <v/>
      </c>
    </row>
    <row r="214" ht="14.25" hidden="1" customHeight="1">
      <c r="F214" s="51"/>
      <c r="H214" s="51"/>
      <c r="I214" s="51"/>
      <c r="J214" s="50" t="str">
        <f t="array" ref="J214">IF(I214="","",IFERROR(TEXT(INDEX(Sprints!$B$5:$B$7,MATCH(I214,Sprints!$A$5:$A$7,0)),"dd/mm")&amp;" – "&amp;TEXT(INDEX(Sprints!$C$5:$C$7,MATCH(I214,Sprints!$A$5:$A$7,0)),"dd/mm"),""))</f>
        <v/>
      </c>
      <c r="K214" s="51"/>
      <c r="L214" s="51"/>
      <c r="M214" s="50" t="str">
        <f t="array" ref="M214">IF(G214="","",IFERROR(IF(AND(L214&lt;&gt;"Done",TODAY()&gt;INDEX(Sprints!$C$5:$C$7,MATCH(I214,Sprints!$A$5:$A$7,0))),"Trễ",""),""))</f>
        <v/>
      </c>
    </row>
    <row r="215" ht="14.25" hidden="1" customHeight="1">
      <c r="F215" s="51"/>
      <c r="H215" s="51"/>
      <c r="I215" s="51"/>
      <c r="J215" s="50" t="str">
        <f t="array" ref="J215">IF(I215="","",IFERROR(TEXT(INDEX(Sprints!$B$5:$B$7,MATCH(I215,Sprints!$A$5:$A$7,0)),"dd/mm")&amp;" – "&amp;TEXT(INDEX(Sprints!$C$5:$C$7,MATCH(I215,Sprints!$A$5:$A$7,0)),"dd/mm"),""))</f>
        <v/>
      </c>
      <c r="K215" s="51"/>
      <c r="L215" s="51"/>
      <c r="M215" s="50" t="str">
        <f t="array" ref="M215">IF(G215="","",IFERROR(IF(AND(L215&lt;&gt;"Done",TODAY()&gt;INDEX(Sprints!$C$5:$C$7,MATCH(I215,Sprints!$A$5:$A$7,0))),"Trễ",""),""))</f>
        <v/>
      </c>
    </row>
    <row r="216" ht="14.25" hidden="1" customHeight="1">
      <c r="F216" s="51"/>
      <c r="H216" s="51"/>
      <c r="I216" s="51"/>
      <c r="J216" s="50" t="str">
        <f t="array" ref="J216">IF(I216="","",IFERROR(TEXT(INDEX(Sprints!$B$5:$B$7,MATCH(I216,Sprints!$A$5:$A$7,0)),"dd/mm")&amp;" – "&amp;TEXT(INDEX(Sprints!$C$5:$C$7,MATCH(I216,Sprints!$A$5:$A$7,0)),"dd/mm"),""))</f>
        <v/>
      </c>
      <c r="K216" s="51"/>
      <c r="L216" s="51"/>
      <c r="M216" s="50" t="str">
        <f t="array" ref="M216">IF(G216="","",IFERROR(IF(AND(L216&lt;&gt;"Done",TODAY()&gt;INDEX(Sprints!$C$5:$C$7,MATCH(I216,Sprints!$A$5:$A$7,0))),"Trễ",""),""))</f>
        <v/>
      </c>
    </row>
    <row r="217" ht="14.25" hidden="1" customHeight="1">
      <c r="F217" s="51"/>
      <c r="H217" s="51"/>
      <c r="I217" s="51"/>
      <c r="J217" s="50" t="str">
        <f t="array" ref="J217">IF(I217="","",IFERROR(TEXT(INDEX(Sprints!$B$5:$B$7,MATCH(I217,Sprints!$A$5:$A$7,0)),"dd/mm")&amp;" – "&amp;TEXT(INDEX(Sprints!$C$5:$C$7,MATCH(I217,Sprints!$A$5:$A$7,0)),"dd/mm"),""))</f>
        <v/>
      </c>
      <c r="K217" s="51"/>
      <c r="L217" s="51"/>
      <c r="M217" s="50" t="str">
        <f t="array" ref="M217">IF(G217="","",IFERROR(IF(AND(L217&lt;&gt;"Done",TODAY()&gt;INDEX(Sprints!$C$5:$C$7,MATCH(I217,Sprints!$A$5:$A$7,0))),"Trễ",""),""))</f>
        <v/>
      </c>
    </row>
    <row r="218" ht="14.25" hidden="1" customHeight="1">
      <c r="F218" s="51"/>
      <c r="H218" s="51"/>
      <c r="I218" s="51"/>
      <c r="J218" s="50" t="str">
        <f t="array" ref="J218">IF(I218="","",IFERROR(TEXT(INDEX(Sprints!$B$5:$B$7,MATCH(I218,Sprints!$A$5:$A$7,0)),"dd/mm")&amp;" – "&amp;TEXT(INDEX(Sprints!$C$5:$C$7,MATCH(I218,Sprints!$A$5:$A$7,0)),"dd/mm"),""))</f>
        <v/>
      </c>
      <c r="K218" s="51"/>
      <c r="L218" s="51"/>
      <c r="M218" s="50" t="str">
        <f t="array" ref="M218">IF(G218="","",IFERROR(IF(AND(L218&lt;&gt;"Done",TODAY()&gt;INDEX(Sprints!$C$5:$C$7,MATCH(I218,Sprints!$A$5:$A$7,0))),"Trễ",""),""))</f>
        <v/>
      </c>
    </row>
    <row r="219" ht="14.25" hidden="1" customHeight="1">
      <c r="F219" s="51"/>
      <c r="H219" s="51"/>
      <c r="I219" s="51"/>
      <c r="J219" s="50" t="str">
        <f t="array" ref="J219">IF(I219="","",IFERROR(TEXT(INDEX(Sprints!$B$5:$B$7,MATCH(I219,Sprints!$A$5:$A$7,0)),"dd/mm")&amp;" – "&amp;TEXT(INDEX(Sprints!$C$5:$C$7,MATCH(I219,Sprints!$A$5:$A$7,0)),"dd/mm"),""))</f>
        <v/>
      </c>
      <c r="K219" s="51"/>
      <c r="L219" s="51"/>
      <c r="M219" s="50" t="str">
        <f t="array" ref="M219">IF(G219="","",IFERROR(IF(AND(L219&lt;&gt;"Done",TODAY()&gt;INDEX(Sprints!$C$5:$C$7,MATCH(I219,Sprints!$A$5:$A$7,0))),"Trễ",""),""))</f>
        <v/>
      </c>
    </row>
    <row r="220" ht="14.25" hidden="1" customHeight="1">
      <c r="F220" s="51"/>
      <c r="H220" s="51"/>
      <c r="I220" s="51"/>
      <c r="J220" s="50" t="str">
        <f t="array" ref="J220">IF(I220="","",IFERROR(TEXT(INDEX(Sprints!$B$5:$B$7,MATCH(I220,Sprints!$A$5:$A$7,0)),"dd/mm")&amp;" – "&amp;TEXT(INDEX(Sprints!$C$5:$C$7,MATCH(I220,Sprints!$A$5:$A$7,0)),"dd/mm"),""))</f>
        <v/>
      </c>
      <c r="K220" s="51"/>
      <c r="L220" s="51"/>
      <c r="M220" s="50" t="str">
        <f t="array" ref="M220">IF(G220="","",IFERROR(IF(AND(L220&lt;&gt;"Done",TODAY()&gt;INDEX(Sprints!$C$5:$C$7,MATCH(I220,Sprints!$A$5:$A$7,0))),"Trễ",""),""))</f>
        <v/>
      </c>
    </row>
    <row r="221" ht="14.25" hidden="1" customHeight="1">
      <c r="F221" s="51"/>
      <c r="H221" s="51"/>
      <c r="I221" s="51"/>
      <c r="J221" s="50" t="str">
        <f t="array" ref="J221">IF(I221="","",IFERROR(TEXT(INDEX(Sprints!$B$5:$B$7,MATCH(I221,Sprints!$A$5:$A$7,0)),"dd/mm")&amp;" – "&amp;TEXT(INDEX(Sprints!$C$5:$C$7,MATCH(I221,Sprints!$A$5:$A$7,0)),"dd/mm"),""))</f>
        <v/>
      </c>
      <c r="K221" s="51"/>
      <c r="L221" s="51"/>
      <c r="M221" s="50" t="str">
        <f t="array" ref="M221">IF(G221="","",IFERROR(IF(AND(L221&lt;&gt;"Done",TODAY()&gt;INDEX(Sprints!$C$5:$C$7,MATCH(I221,Sprints!$A$5:$A$7,0))),"Trễ",""),""))</f>
        <v/>
      </c>
    </row>
    <row r="222" ht="14.25" hidden="1" customHeight="1">
      <c r="F222" s="51"/>
      <c r="H222" s="51"/>
      <c r="I222" s="51"/>
      <c r="J222" s="50" t="str">
        <f t="array" ref="J222">IF(I222="","",IFERROR(TEXT(INDEX(Sprints!$B$5:$B$7,MATCH(I222,Sprints!$A$5:$A$7,0)),"dd/mm")&amp;" – "&amp;TEXT(INDEX(Sprints!$C$5:$C$7,MATCH(I222,Sprints!$A$5:$A$7,0)),"dd/mm"),""))</f>
        <v/>
      </c>
      <c r="K222" s="51"/>
      <c r="L222" s="51"/>
      <c r="M222" s="50" t="str">
        <f t="array" ref="M222">IF(G222="","",IFERROR(IF(AND(L222&lt;&gt;"Done",TODAY()&gt;INDEX(Sprints!$C$5:$C$7,MATCH(I222,Sprints!$A$5:$A$7,0))),"Trễ",""),""))</f>
        <v/>
      </c>
    </row>
    <row r="223" ht="14.25" hidden="1" customHeight="1">
      <c r="F223" s="51"/>
      <c r="H223" s="51"/>
      <c r="I223" s="51"/>
      <c r="J223" s="50" t="str">
        <f t="array" ref="J223">IF(I223="","",IFERROR(TEXT(INDEX(Sprints!$B$5:$B$7,MATCH(I223,Sprints!$A$5:$A$7,0)),"dd/mm")&amp;" – "&amp;TEXT(INDEX(Sprints!$C$5:$C$7,MATCH(I223,Sprints!$A$5:$A$7,0)),"dd/mm"),""))</f>
        <v/>
      </c>
      <c r="K223" s="51"/>
      <c r="L223" s="51"/>
      <c r="M223" s="50" t="str">
        <f t="array" ref="M223">IF(G223="","",IFERROR(IF(AND(L223&lt;&gt;"Done",TODAY()&gt;INDEX(Sprints!$C$5:$C$7,MATCH(I223,Sprints!$A$5:$A$7,0))),"Trễ",""),""))</f>
        <v/>
      </c>
    </row>
    <row r="224" ht="14.25" hidden="1" customHeight="1">
      <c r="F224" s="51"/>
      <c r="H224" s="51"/>
      <c r="I224" s="51"/>
      <c r="J224" s="50" t="str">
        <f t="array" ref="J224">IF(I224="","",IFERROR(TEXT(INDEX(Sprints!$B$5:$B$7,MATCH(I224,Sprints!$A$5:$A$7,0)),"dd/mm")&amp;" – "&amp;TEXT(INDEX(Sprints!$C$5:$C$7,MATCH(I224,Sprints!$A$5:$A$7,0)),"dd/mm"),""))</f>
        <v/>
      </c>
      <c r="K224" s="51"/>
      <c r="L224" s="51"/>
      <c r="M224" s="50" t="str">
        <f t="array" ref="M224">IF(G224="","",IFERROR(IF(AND(L224&lt;&gt;"Done",TODAY()&gt;INDEX(Sprints!$C$5:$C$7,MATCH(I224,Sprints!$A$5:$A$7,0))),"Trễ",""),""))</f>
        <v/>
      </c>
    </row>
    <row r="225" ht="14.25" hidden="1" customHeight="1">
      <c r="F225" s="51"/>
      <c r="H225" s="51"/>
      <c r="I225" s="51"/>
      <c r="J225" s="50" t="str">
        <f t="array" ref="J225">IF(I225="","",IFERROR(TEXT(INDEX(Sprints!$B$5:$B$7,MATCH(I225,Sprints!$A$5:$A$7,0)),"dd/mm")&amp;" – "&amp;TEXT(INDEX(Sprints!$C$5:$C$7,MATCH(I225,Sprints!$A$5:$A$7,0)),"dd/mm"),""))</f>
        <v/>
      </c>
      <c r="K225" s="51"/>
      <c r="L225" s="51"/>
      <c r="M225" s="50" t="str">
        <f t="array" ref="M225">IF(G225="","",IFERROR(IF(AND(L225&lt;&gt;"Done",TODAY()&gt;INDEX(Sprints!$C$5:$C$7,MATCH(I225,Sprints!$A$5:$A$7,0))),"Trễ",""),""))</f>
        <v/>
      </c>
    </row>
    <row r="226" ht="14.25" hidden="1" customHeight="1">
      <c r="F226" s="51"/>
      <c r="H226" s="51"/>
      <c r="I226" s="51"/>
      <c r="J226" s="50" t="str">
        <f t="array" ref="J226">IF(I226="","",IFERROR(TEXT(INDEX(Sprints!$B$5:$B$7,MATCH(I226,Sprints!$A$5:$A$7,0)),"dd/mm")&amp;" – "&amp;TEXT(INDEX(Sprints!$C$5:$C$7,MATCH(I226,Sprints!$A$5:$A$7,0)),"dd/mm"),""))</f>
        <v/>
      </c>
      <c r="K226" s="51"/>
      <c r="L226" s="51"/>
      <c r="M226" s="50" t="str">
        <f t="array" ref="M226">IF(G226="","",IFERROR(IF(AND(L226&lt;&gt;"Done",TODAY()&gt;INDEX(Sprints!$C$5:$C$7,MATCH(I226,Sprints!$A$5:$A$7,0))),"Trễ",""),""))</f>
        <v/>
      </c>
    </row>
    <row r="227" ht="14.25" hidden="1" customHeight="1">
      <c r="F227" s="51"/>
      <c r="H227" s="51"/>
      <c r="I227" s="51"/>
      <c r="J227" s="50" t="str">
        <f t="array" ref="J227">IF(I227="","",IFERROR(TEXT(INDEX(Sprints!$B$5:$B$7,MATCH(I227,Sprints!$A$5:$A$7,0)),"dd/mm")&amp;" – "&amp;TEXT(INDEX(Sprints!$C$5:$C$7,MATCH(I227,Sprints!$A$5:$A$7,0)),"dd/mm"),""))</f>
        <v/>
      </c>
      <c r="K227" s="51"/>
      <c r="L227" s="51"/>
      <c r="M227" s="50" t="str">
        <f t="array" ref="M227">IF(G227="","",IFERROR(IF(AND(L227&lt;&gt;"Done",TODAY()&gt;INDEX(Sprints!$C$5:$C$7,MATCH(I227,Sprints!$A$5:$A$7,0))),"Trễ",""),""))</f>
        <v/>
      </c>
    </row>
    <row r="228" ht="14.25" hidden="1" customHeight="1">
      <c r="F228" s="51"/>
      <c r="H228" s="51"/>
      <c r="I228" s="51"/>
      <c r="J228" s="50" t="str">
        <f t="array" ref="J228">IF(I228="","",IFERROR(TEXT(INDEX(Sprints!$B$5:$B$7,MATCH(I228,Sprints!$A$5:$A$7,0)),"dd/mm")&amp;" – "&amp;TEXT(INDEX(Sprints!$C$5:$C$7,MATCH(I228,Sprints!$A$5:$A$7,0)),"dd/mm"),""))</f>
        <v/>
      </c>
      <c r="K228" s="51"/>
      <c r="L228" s="51"/>
      <c r="M228" s="50" t="str">
        <f t="array" ref="M228">IF(G228="","",IFERROR(IF(AND(L228&lt;&gt;"Done",TODAY()&gt;INDEX(Sprints!$C$5:$C$7,MATCH(I228,Sprints!$A$5:$A$7,0))),"Trễ",""),""))</f>
        <v/>
      </c>
    </row>
    <row r="229" ht="14.25" hidden="1" customHeight="1">
      <c r="F229" s="51"/>
      <c r="H229" s="51"/>
      <c r="I229" s="51"/>
      <c r="J229" s="50" t="str">
        <f t="array" ref="J229">IF(I229="","",IFERROR(TEXT(INDEX(Sprints!$B$5:$B$7,MATCH(I229,Sprints!$A$5:$A$7,0)),"dd/mm")&amp;" – "&amp;TEXT(INDEX(Sprints!$C$5:$C$7,MATCH(I229,Sprints!$A$5:$A$7,0)),"dd/mm"),""))</f>
        <v/>
      </c>
      <c r="K229" s="51"/>
      <c r="L229" s="51"/>
      <c r="M229" s="50" t="str">
        <f t="array" ref="M229">IF(G229="","",IFERROR(IF(AND(L229&lt;&gt;"Done",TODAY()&gt;INDEX(Sprints!$C$5:$C$7,MATCH(I229,Sprints!$A$5:$A$7,0))),"Trễ",""),""))</f>
        <v/>
      </c>
    </row>
    <row r="230" ht="14.25" hidden="1" customHeight="1">
      <c r="F230" s="51"/>
      <c r="H230" s="51"/>
      <c r="I230" s="51"/>
      <c r="J230" s="50" t="str">
        <f t="array" ref="J230">IF(I230="","",IFERROR(TEXT(INDEX(Sprints!$B$5:$B$7,MATCH(I230,Sprints!$A$5:$A$7,0)),"dd/mm")&amp;" – "&amp;TEXT(INDEX(Sprints!$C$5:$C$7,MATCH(I230,Sprints!$A$5:$A$7,0)),"dd/mm"),""))</f>
        <v/>
      </c>
      <c r="K230" s="51"/>
      <c r="L230" s="51"/>
      <c r="M230" s="50" t="str">
        <f t="array" ref="M230">IF(G230="","",IFERROR(IF(AND(L230&lt;&gt;"Done",TODAY()&gt;INDEX(Sprints!$C$5:$C$7,MATCH(I230,Sprints!$A$5:$A$7,0))),"Trễ",""),""))</f>
        <v/>
      </c>
    </row>
    <row r="231" ht="14.25" hidden="1" customHeight="1">
      <c r="F231" s="51"/>
      <c r="H231" s="51"/>
      <c r="I231" s="51"/>
      <c r="J231" s="50" t="str">
        <f t="array" ref="J231">IF(I231="","",IFERROR(TEXT(INDEX(Sprints!$B$5:$B$7,MATCH(I231,Sprints!$A$5:$A$7,0)),"dd/mm")&amp;" – "&amp;TEXT(INDEX(Sprints!$C$5:$C$7,MATCH(I231,Sprints!$A$5:$A$7,0)),"dd/mm"),""))</f>
        <v/>
      </c>
      <c r="K231" s="51"/>
      <c r="L231" s="51"/>
      <c r="M231" s="50" t="str">
        <f t="array" ref="M231">IF(G231="","",IFERROR(IF(AND(L231&lt;&gt;"Done",TODAY()&gt;INDEX(Sprints!$C$5:$C$7,MATCH(I231,Sprints!$A$5:$A$7,0))),"Trễ",""),""))</f>
        <v/>
      </c>
    </row>
    <row r="232" ht="14.25" hidden="1" customHeight="1">
      <c r="F232" s="51"/>
      <c r="H232" s="51"/>
      <c r="I232" s="51"/>
      <c r="J232" s="50" t="str">
        <f t="array" ref="J232">IF(I232="","",IFERROR(TEXT(INDEX(Sprints!$B$5:$B$7,MATCH(I232,Sprints!$A$5:$A$7,0)),"dd/mm")&amp;" – "&amp;TEXT(INDEX(Sprints!$C$5:$C$7,MATCH(I232,Sprints!$A$5:$A$7,0)),"dd/mm"),""))</f>
        <v/>
      </c>
      <c r="K232" s="51"/>
      <c r="L232" s="51"/>
      <c r="M232" s="50" t="str">
        <f t="array" ref="M232">IF(G232="","",IFERROR(IF(AND(L232&lt;&gt;"Done",TODAY()&gt;INDEX(Sprints!$C$5:$C$7,MATCH(I232,Sprints!$A$5:$A$7,0))),"Trễ",""),""))</f>
        <v/>
      </c>
    </row>
    <row r="233" ht="14.25" hidden="1" customHeight="1">
      <c r="F233" s="51"/>
      <c r="H233" s="51"/>
      <c r="I233" s="51"/>
      <c r="J233" s="50" t="str">
        <f t="array" ref="J233">IF(I233="","",IFERROR(TEXT(INDEX(Sprints!$B$5:$B$7,MATCH(I233,Sprints!$A$5:$A$7,0)),"dd/mm")&amp;" – "&amp;TEXT(INDEX(Sprints!$C$5:$C$7,MATCH(I233,Sprints!$A$5:$A$7,0)),"dd/mm"),""))</f>
        <v/>
      </c>
      <c r="K233" s="51"/>
      <c r="L233" s="51"/>
      <c r="M233" s="50" t="str">
        <f t="array" ref="M233">IF(G233="","",IFERROR(IF(AND(L233&lt;&gt;"Done",TODAY()&gt;INDEX(Sprints!$C$5:$C$7,MATCH(I233,Sprints!$A$5:$A$7,0))),"Trễ",""),""))</f>
        <v/>
      </c>
    </row>
    <row r="234" ht="14.25" hidden="1" customHeight="1">
      <c r="F234" s="51"/>
      <c r="H234" s="51"/>
      <c r="I234" s="51"/>
      <c r="J234" s="50" t="str">
        <f t="array" ref="J234">IF(I234="","",IFERROR(TEXT(INDEX(Sprints!$B$5:$B$7,MATCH(I234,Sprints!$A$5:$A$7,0)),"dd/mm")&amp;" – "&amp;TEXT(INDEX(Sprints!$C$5:$C$7,MATCH(I234,Sprints!$A$5:$A$7,0)),"dd/mm"),""))</f>
        <v/>
      </c>
      <c r="K234" s="51"/>
      <c r="L234" s="51"/>
      <c r="M234" s="50" t="str">
        <f t="array" ref="M234">IF(G234="","",IFERROR(IF(AND(L234&lt;&gt;"Done",TODAY()&gt;INDEX(Sprints!$C$5:$C$7,MATCH(I234,Sprints!$A$5:$A$7,0))),"Trễ",""),""))</f>
        <v/>
      </c>
    </row>
    <row r="235" ht="14.25" hidden="1" customHeight="1">
      <c r="F235" s="51"/>
      <c r="H235" s="51"/>
      <c r="I235" s="51"/>
      <c r="J235" s="50" t="str">
        <f t="array" ref="J235">IF(I235="","",IFERROR(TEXT(INDEX(Sprints!$B$5:$B$7,MATCH(I235,Sprints!$A$5:$A$7,0)),"dd/mm")&amp;" – "&amp;TEXT(INDEX(Sprints!$C$5:$C$7,MATCH(I235,Sprints!$A$5:$A$7,0)),"dd/mm"),""))</f>
        <v/>
      </c>
      <c r="K235" s="51"/>
      <c r="L235" s="51"/>
      <c r="M235" s="50" t="str">
        <f t="array" ref="M235">IF(G235="","",IFERROR(IF(AND(L235&lt;&gt;"Done",TODAY()&gt;INDEX(Sprints!$C$5:$C$7,MATCH(I235,Sprints!$A$5:$A$7,0))),"Trễ",""),""))</f>
        <v/>
      </c>
    </row>
    <row r="236" ht="14.25" hidden="1" customHeight="1">
      <c r="F236" s="51"/>
      <c r="H236" s="51"/>
      <c r="I236" s="51"/>
      <c r="J236" s="50" t="str">
        <f t="array" ref="J236">IF(I236="","",IFERROR(TEXT(INDEX(Sprints!$B$5:$B$7,MATCH(I236,Sprints!$A$5:$A$7,0)),"dd/mm")&amp;" – "&amp;TEXT(INDEX(Sprints!$C$5:$C$7,MATCH(I236,Sprints!$A$5:$A$7,0)),"dd/mm"),""))</f>
        <v/>
      </c>
      <c r="K236" s="51"/>
      <c r="L236" s="51"/>
      <c r="M236" s="50" t="str">
        <f t="array" ref="M236">IF(G236="","",IFERROR(IF(AND(L236&lt;&gt;"Done",TODAY()&gt;INDEX(Sprints!$C$5:$C$7,MATCH(I236,Sprints!$A$5:$A$7,0))),"Trễ",""),""))</f>
        <v/>
      </c>
    </row>
    <row r="237" ht="14.25" hidden="1" customHeight="1">
      <c r="F237" s="51"/>
      <c r="H237" s="51"/>
      <c r="I237" s="51"/>
      <c r="J237" s="50" t="str">
        <f t="array" ref="J237">IF(I237="","",IFERROR(TEXT(INDEX(Sprints!$B$5:$B$7,MATCH(I237,Sprints!$A$5:$A$7,0)),"dd/mm")&amp;" – "&amp;TEXT(INDEX(Sprints!$C$5:$C$7,MATCH(I237,Sprints!$A$5:$A$7,0)),"dd/mm"),""))</f>
        <v/>
      </c>
      <c r="K237" s="51"/>
      <c r="L237" s="51"/>
      <c r="M237" s="50" t="str">
        <f t="array" ref="M237">IF(G237="","",IFERROR(IF(AND(L237&lt;&gt;"Done",TODAY()&gt;INDEX(Sprints!$C$5:$C$7,MATCH(I237,Sprints!$A$5:$A$7,0))),"Trễ",""),""))</f>
        <v/>
      </c>
    </row>
    <row r="238" ht="14.25" hidden="1" customHeight="1">
      <c r="F238" s="51"/>
      <c r="H238" s="51"/>
      <c r="I238" s="51"/>
      <c r="J238" s="50" t="str">
        <f t="array" ref="J238">IF(I238="","",IFERROR(TEXT(INDEX(Sprints!$B$5:$B$7,MATCH(I238,Sprints!$A$5:$A$7,0)),"dd/mm")&amp;" – "&amp;TEXT(INDEX(Sprints!$C$5:$C$7,MATCH(I238,Sprints!$A$5:$A$7,0)),"dd/mm"),""))</f>
        <v/>
      </c>
      <c r="K238" s="51"/>
      <c r="L238" s="51"/>
      <c r="M238" s="50" t="str">
        <f t="array" ref="M238">IF(G238="","",IFERROR(IF(AND(L238&lt;&gt;"Done",TODAY()&gt;INDEX(Sprints!$C$5:$C$7,MATCH(I238,Sprints!$A$5:$A$7,0))),"Trễ",""),""))</f>
        <v/>
      </c>
    </row>
    <row r="239" ht="14.25" hidden="1" customHeight="1">
      <c r="F239" s="51"/>
      <c r="H239" s="51"/>
      <c r="I239" s="51"/>
      <c r="J239" s="50" t="str">
        <f t="array" ref="J239">IF(I239="","",IFERROR(TEXT(INDEX(Sprints!$B$5:$B$7,MATCH(I239,Sprints!$A$5:$A$7,0)),"dd/mm")&amp;" – "&amp;TEXT(INDEX(Sprints!$C$5:$C$7,MATCH(I239,Sprints!$A$5:$A$7,0)),"dd/mm"),""))</f>
        <v/>
      </c>
      <c r="K239" s="51"/>
      <c r="L239" s="51"/>
      <c r="M239" s="50" t="str">
        <f t="array" ref="M239">IF(G239="","",IFERROR(IF(AND(L239&lt;&gt;"Done",TODAY()&gt;INDEX(Sprints!$C$5:$C$7,MATCH(I239,Sprints!$A$5:$A$7,0))),"Trễ",""),""))</f>
        <v/>
      </c>
    </row>
    <row r="240" ht="14.25" hidden="1" customHeight="1">
      <c r="F240" s="51"/>
      <c r="H240" s="51"/>
      <c r="I240" s="51"/>
      <c r="J240" s="50" t="str">
        <f t="array" ref="J240">IF(I240="","",IFERROR(TEXT(INDEX(Sprints!$B$5:$B$7,MATCH(I240,Sprints!$A$5:$A$7,0)),"dd/mm")&amp;" – "&amp;TEXT(INDEX(Sprints!$C$5:$C$7,MATCH(I240,Sprints!$A$5:$A$7,0)),"dd/mm"),""))</f>
        <v/>
      </c>
      <c r="K240" s="51"/>
      <c r="L240" s="51"/>
      <c r="M240" s="50" t="str">
        <f t="array" ref="M240">IF(G240="","",IFERROR(IF(AND(L240&lt;&gt;"Done",TODAY()&gt;INDEX(Sprints!$C$5:$C$7,MATCH(I240,Sprints!$A$5:$A$7,0))),"Trễ",""),""))</f>
        <v/>
      </c>
    </row>
    <row r="241" ht="14.25" hidden="1" customHeight="1">
      <c r="F241" s="51"/>
      <c r="H241" s="51"/>
      <c r="I241" s="51"/>
      <c r="J241" s="50" t="str">
        <f t="array" ref="J241">IF(I241="","",IFERROR(TEXT(INDEX(Sprints!$B$5:$B$7,MATCH(I241,Sprints!$A$5:$A$7,0)),"dd/mm")&amp;" – "&amp;TEXT(INDEX(Sprints!$C$5:$C$7,MATCH(I241,Sprints!$A$5:$A$7,0)),"dd/mm"),""))</f>
        <v/>
      </c>
      <c r="K241" s="51"/>
      <c r="L241" s="51"/>
      <c r="M241" s="50" t="str">
        <f t="array" ref="M241">IF(G241="","",IFERROR(IF(AND(L241&lt;&gt;"Done",TODAY()&gt;INDEX(Sprints!$C$5:$C$7,MATCH(I241,Sprints!$A$5:$A$7,0))),"Trễ",""),""))</f>
        <v/>
      </c>
    </row>
    <row r="242" ht="14.25" hidden="1" customHeight="1">
      <c r="F242" s="51"/>
      <c r="H242" s="51"/>
      <c r="I242" s="51"/>
      <c r="J242" s="50" t="str">
        <f t="array" ref="J242">IF(I242="","",IFERROR(TEXT(INDEX(Sprints!$B$5:$B$7,MATCH(I242,Sprints!$A$5:$A$7,0)),"dd/mm")&amp;" – "&amp;TEXT(INDEX(Sprints!$C$5:$C$7,MATCH(I242,Sprints!$A$5:$A$7,0)),"dd/mm"),""))</f>
        <v/>
      </c>
      <c r="K242" s="51"/>
      <c r="L242" s="51"/>
      <c r="M242" s="50" t="str">
        <f t="array" ref="M242">IF(G242="","",IFERROR(IF(AND(L242&lt;&gt;"Done",TODAY()&gt;INDEX(Sprints!$C$5:$C$7,MATCH(I242,Sprints!$A$5:$A$7,0))),"Trễ",""),""))</f>
        <v/>
      </c>
    </row>
    <row r="243" ht="14.25" hidden="1" customHeight="1">
      <c r="F243" s="51"/>
      <c r="H243" s="51"/>
      <c r="I243" s="51"/>
      <c r="J243" s="50" t="str">
        <f t="array" ref="J243">IF(I243="","",IFERROR(TEXT(INDEX(Sprints!$B$5:$B$7,MATCH(I243,Sprints!$A$5:$A$7,0)),"dd/mm")&amp;" – "&amp;TEXT(INDEX(Sprints!$C$5:$C$7,MATCH(I243,Sprints!$A$5:$A$7,0)),"dd/mm"),""))</f>
        <v/>
      </c>
      <c r="K243" s="51"/>
      <c r="L243" s="51"/>
      <c r="M243" s="50" t="str">
        <f t="array" ref="M243">IF(G243="","",IFERROR(IF(AND(L243&lt;&gt;"Done",TODAY()&gt;INDEX(Sprints!$C$5:$C$7,MATCH(I243,Sprints!$A$5:$A$7,0))),"Trễ",""),""))</f>
        <v/>
      </c>
    </row>
    <row r="244" ht="14.25" hidden="1" customHeight="1">
      <c r="F244" s="51"/>
      <c r="H244" s="51"/>
      <c r="I244" s="51"/>
      <c r="J244" s="50" t="str">
        <f t="array" ref="J244">IF(I244="","",IFERROR(TEXT(INDEX(Sprints!$B$5:$B$7,MATCH(I244,Sprints!$A$5:$A$7,0)),"dd/mm")&amp;" – "&amp;TEXT(INDEX(Sprints!$C$5:$C$7,MATCH(I244,Sprints!$A$5:$A$7,0)),"dd/mm"),""))</f>
        <v/>
      </c>
      <c r="K244" s="51"/>
      <c r="L244" s="51"/>
      <c r="M244" s="50" t="str">
        <f t="array" ref="M244">IF(G244="","",IFERROR(IF(AND(L244&lt;&gt;"Done",TODAY()&gt;INDEX(Sprints!$C$5:$C$7,MATCH(I244,Sprints!$A$5:$A$7,0))),"Trễ",""),""))</f>
        <v/>
      </c>
    </row>
    <row r="245" ht="14.25" hidden="1" customHeight="1">
      <c r="F245" s="51"/>
      <c r="H245" s="51"/>
      <c r="I245" s="51"/>
      <c r="J245" s="50" t="str">
        <f t="array" ref="J245">IF(I245="","",IFERROR(TEXT(INDEX(Sprints!$B$5:$B$7,MATCH(I245,Sprints!$A$5:$A$7,0)),"dd/mm")&amp;" – "&amp;TEXT(INDEX(Sprints!$C$5:$C$7,MATCH(I245,Sprints!$A$5:$A$7,0)),"dd/mm"),""))</f>
        <v/>
      </c>
      <c r="K245" s="51"/>
      <c r="L245" s="51"/>
      <c r="M245" s="50" t="str">
        <f t="array" ref="M245">IF(G245="","",IFERROR(IF(AND(L245&lt;&gt;"Done",TODAY()&gt;INDEX(Sprints!$C$5:$C$7,MATCH(I245,Sprints!$A$5:$A$7,0))),"Trễ",""),""))</f>
        <v/>
      </c>
    </row>
    <row r="246" ht="14.25" hidden="1" customHeight="1">
      <c r="F246" s="51"/>
      <c r="H246" s="51"/>
      <c r="I246" s="51"/>
      <c r="J246" s="50" t="str">
        <f t="array" ref="J246">IF(I246="","",IFERROR(TEXT(INDEX(Sprints!$B$5:$B$7,MATCH(I246,Sprints!$A$5:$A$7,0)),"dd/mm")&amp;" – "&amp;TEXT(INDEX(Sprints!$C$5:$C$7,MATCH(I246,Sprints!$A$5:$A$7,0)),"dd/mm"),""))</f>
        <v/>
      </c>
      <c r="K246" s="51"/>
      <c r="L246" s="51"/>
      <c r="M246" s="50" t="str">
        <f t="array" ref="M246">IF(G246="","",IFERROR(IF(AND(L246&lt;&gt;"Done",TODAY()&gt;INDEX(Sprints!$C$5:$C$7,MATCH(I246,Sprints!$A$5:$A$7,0))),"Trễ",""),""))</f>
        <v/>
      </c>
    </row>
    <row r="247" ht="14.25" hidden="1" customHeight="1">
      <c r="F247" s="51"/>
      <c r="H247" s="51"/>
      <c r="I247" s="51"/>
      <c r="J247" s="50" t="str">
        <f t="array" ref="J247">IF(I247="","",IFERROR(TEXT(INDEX(Sprints!$B$5:$B$7,MATCH(I247,Sprints!$A$5:$A$7,0)),"dd/mm")&amp;" – "&amp;TEXT(INDEX(Sprints!$C$5:$C$7,MATCH(I247,Sprints!$A$5:$A$7,0)),"dd/mm"),""))</f>
        <v/>
      </c>
      <c r="K247" s="51"/>
      <c r="L247" s="51"/>
      <c r="M247" s="50" t="str">
        <f t="array" ref="M247">IF(G247="","",IFERROR(IF(AND(L247&lt;&gt;"Done",TODAY()&gt;INDEX(Sprints!$C$5:$C$7,MATCH(I247,Sprints!$A$5:$A$7,0))),"Trễ",""),""))</f>
        <v/>
      </c>
    </row>
    <row r="248" ht="14.25" hidden="1" customHeight="1">
      <c r="F248" s="51"/>
      <c r="H248" s="51"/>
      <c r="I248" s="51"/>
      <c r="J248" s="50" t="str">
        <f t="array" ref="J248">IF(I248="","",IFERROR(TEXT(INDEX(Sprints!$B$5:$B$7,MATCH(I248,Sprints!$A$5:$A$7,0)),"dd/mm")&amp;" – "&amp;TEXT(INDEX(Sprints!$C$5:$C$7,MATCH(I248,Sprints!$A$5:$A$7,0)),"dd/mm"),""))</f>
        <v/>
      </c>
      <c r="K248" s="51"/>
      <c r="L248" s="51"/>
      <c r="M248" s="50" t="str">
        <f t="array" ref="M248">IF(G248="","",IFERROR(IF(AND(L248&lt;&gt;"Done",TODAY()&gt;INDEX(Sprints!$C$5:$C$7,MATCH(I248,Sprints!$A$5:$A$7,0))),"Trễ",""),""))</f>
        <v/>
      </c>
    </row>
    <row r="249" ht="14.25" hidden="1" customHeight="1">
      <c r="F249" s="51"/>
      <c r="H249" s="51"/>
      <c r="I249" s="51"/>
      <c r="J249" s="50" t="str">
        <f t="array" ref="J249">IF(I249="","",IFERROR(TEXT(INDEX(Sprints!$B$5:$B$7,MATCH(I249,Sprints!$A$5:$A$7,0)),"dd/mm")&amp;" – "&amp;TEXT(INDEX(Sprints!$C$5:$C$7,MATCH(I249,Sprints!$A$5:$A$7,0)),"dd/mm"),""))</f>
        <v/>
      </c>
      <c r="K249" s="51"/>
      <c r="L249" s="51"/>
      <c r="M249" s="50" t="str">
        <f t="array" ref="M249">IF(G249="","",IFERROR(IF(AND(L249&lt;&gt;"Done",TODAY()&gt;INDEX(Sprints!$C$5:$C$7,MATCH(I249,Sprints!$A$5:$A$7,0))),"Trễ",""),""))</f>
        <v/>
      </c>
    </row>
    <row r="250" ht="14.25" hidden="1" customHeight="1">
      <c r="F250" s="51"/>
      <c r="H250" s="51"/>
      <c r="I250" s="51"/>
      <c r="J250" s="50" t="str">
        <f t="array" ref="J250">IF(I250="","",IFERROR(TEXT(INDEX(Sprints!$B$5:$B$7,MATCH(I250,Sprints!$A$5:$A$7,0)),"dd/mm")&amp;" – "&amp;TEXT(INDEX(Sprints!$C$5:$C$7,MATCH(I250,Sprints!$A$5:$A$7,0)),"dd/mm"),""))</f>
        <v/>
      </c>
      <c r="K250" s="51"/>
      <c r="L250" s="51"/>
      <c r="M250" s="50" t="str">
        <f t="array" ref="M250">IF(G250="","",IFERROR(IF(AND(L250&lt;&gt;"Done",TODAY()&gt;INDEX(Sprints!$C$5:$C$7,MATCH(I250,Sprints!$A$5:$A$7,0))),"Trễ",""),""))</f>
        <v/>
      </c>
    </row>
    <row r="251" ht="14.25" hidden="1" customHeight="1">
      <c r="F251" s="51"/>
      <c r="H251" s="51"/>
      <c r="I251" s="51"/>
      <c r="J251" s="50" t="str">
        <f t="array" ref="J251">IF(I251="","",IFERROR(TEXT(INDEX(Sprints!$B$5:$B$7,MATCH(I251,Sprints!$A$5:$A$7,0)),"dd/mm")&amp;" – "&amp;TEXT(INDEX(Sprints!$C$5:$C$7,MATCH(I251,Sprints!$A$5:$A$7,0)),"dd/mm"),""))</f>
        <v/>
      </c>
      <c r="K251" s="51"/>
      <c r="L251" s="51"/>
      <c r="M251" s="50" t="str">
        <f t="array" ref="M251">IF(G251="","",IFERROR(IF(AND(L251&lt;&gt;"Done",TODAY()&gt;INDEX(Sprints!$C$5:$C$7,MATCH(I251,Sprints!$A$5:$A$7,0))),"Trễ",""),""))</f>
        <v/>
      </c>
    </row>
    <row r="252" ht="14.25" hidden="1" customHeight="1">
      <c r="F252" s="51"/>
      <c r="H252" s="51"/>
      <c r="I252" s="51"/>
      <c r="J252" s="50" t="str">
        <f t="array" ref="J252">IF(I252="","",IFERROR(TEXT(INDEX(Sprints!$B$5:$B$7,MATCH(I252,Sprints!$A$5:$A$7,0)),"dd/mm")&amp;" – "&amp;TEXT(INDEX(Sprints!$C$5:$C$7,MATCH(I252,Sprints!$A$5:$A$7,0)),"dd/mm"),""))</f>
        <v/>
      </c>
      <c r="K252" s="51"/>
      <c r="L252" s="51"/>
      <c r="M252" s="50" t="str">
        <f t="array" ref="M252">IF(G252="","",IFERROR(IF(AND(L252&lt;&gt;"Done",TODAY()&gt;INDEX(Sprints!$C$5:$C$7,MATCH(I252,Sprints!$A$5:$A$7,0))),"Trễ",""),""))</f>
        <v/>
      </c>
    </row>
    <row r="253" ht="14.25" hidden="1" customHeight="1">
      <c r="F253" s="51"/>
      <c r="H253" s="51"/>
      <c r="I253" s="51"/>
      <c r="J253" s="50" t="str">
        <f t="array" ref="J253">IF(I253="","",IFERROR(TEXT(INDEX(Sprints!$B$5:$B$7,MATCH(I253,Sprints!$A$5:$A$7,0)),"dd/mm")&amp;" – "&amp;TEXT(INDEX(Sprints!$C$5:$C$7,MATCH(I253,Sprints!$A$5:$A$7,0)),"dd/mm"),""))</f>
        <v/>
      </c>
      <c r="K253" s="51"/>
      <c r="L253" s="51"/>
      <c r="M253" s="50" t="str">
        <f t="array" ref="M253">IF(G253="","",IFERROR(IF(AND(L253&lt;&gt;"Done",TODAY()&gt;INDEX(Sprints!$C$5:$C$7,MATCH(I253,Sprints!$A$5:$A$7,0))),"Trễ",""),""))</f>
        <v/>
      </c>
    </row>
    <row r="254" ht="14.25" hidden="1" customHeight="1">
      <c r="F254" s="51"/>
      <c r="H254" s="51"/>
      <c r="I254" s="51"/>
      <c r="J254" s="50" t="str">
        <f t="array" ref="J254">IF(I254="","",IFERROR(TEXT(INDEX(Sprints!$B$5:$B$7,MATCH(I254,Sprints!$A$5:$A$7,0)),"dd/mm")&amp;" – "&amp;TEXT(INDEX(Sprints!$C$5:$C$7,MATCH(I254,Sprints!$A$5:$A$7,0)),"dd/mm"),""))</f>
        <v/>
      </c>
      <c r="K254" s="51"/>
      <c r="L254" s="51"/>
      <c r="M254" s="50" t="str">
        <f t="array" ref="M254">IF(G254="","",IFERROR(IF(AND(L254&lt;&gt;"Done",TODAY()&gt;INDEX(Sprints!$C$5:$C$7,MATCH(I254,Sprints!$A$5:$A$7,0))),"Trễ",""),""))</f>
        <v/>
      </c>
    </row>
    <row r="255" ht="14.25" hidden="1" customHeight="1">
      <c r="F255" s="51"/>
      <c r="H255" s="51"/>
      <c r="I255" s="51"/>
      <c r="J255" s="50" t="str">
        <f t="array" ref="J255">IF(I255="","",IFERROR(TEXT(INDEX(Sprints!$B$5:$B$7,MATCH(I255,Sprints!$A$5:$A$7,0)),"dd/mm")&amp;" – "&amp;TEXT(INDEX(Sprints!$C$5:$C$7,MATCH(I255,Sprints!$A$5:$A$7,0)),"dd/mm"),""))</f>
        <v/>
      </c>
      <c r="K255" s="51"/>
      <c r="L255" s="51"/>
      <c r="M255" s="50" t="str">
        <f t="array" ref="M255">IF(G255="","",IFERROR(IF(AND(L255&lt;&gt;"Done",TODAY()&gt;INDEX(Sprints!$C$5:$C$7,MATCH(I255,Sprints!$A$5:$A$7,0))),"Trễ",""),""))</f>
        <v/>
      </c>
    </row>
    <row r="256" ht="14.25" hidden="1" customHeight="1">
      <c r="F256" s="51"/>
      <c r="H256" s="51"/>
      <c r="I256" s="51"/>
      <c r="J256" s="50" t="str">
        <f t="array" ref="J256">IF(I256="","",IFERROR(TEXT(INDEX(Sprints!$B$5:$B$7,MATCH(I256,Sprints!$A$5:$A$7,0)),"dd/mm")&amp;" – "&amp;TEXT(INDEX(Sprints!$C$5:$C$7,MATCH(I256,Sprints!$A$5:$A$7,0)),"dd/mm"),""))</f>
        <v/>
      </c>
      <c r="K256" s="51"/>
      <c r="L256" s="51"/>
      <c r="M256" s="50" t="str">
        <f t="array" ref="M256">IF(G256="","",IFERROR(IF(AND(L256&lt;&gt;"Done",TODAY()&gt;INDEX(Sprints!$C$5:$C$7,MATCH(I256,Sprints!$A$5:$A$7,0))),"Trễ",""),""))</f>
        <v/>
      </c>
    </row>
    <row r="257" ht="14.25" hidden="1" customHeight="1">
      <c r="F257" s="51"/>
      <c r="H257" s="51"/>
      <c r="I257" s="51"/>
      <c r="J257" s="50" t="str">
        <f t="array" ref="J257">IF(I257="","",IFERROR(TEXT(INDEX(Sprints!$B$5:$B$7,MATCH(I257,Sprints!$A$5:$A$7,0)),"dd/mm")&amp;" – "&amp;TEXT(INDEX(Sprints!$C$5:$C$7,MATCH(I257,Sprints!$A$5:$A$7,0)),"dd/mm"),""))</f>
        <v/>
      </c>
      <c r="K257" s="51"/>
      <c r="L257" s="51"/>
      <c r="M257" s="50" t="str">
        <f t="array" ref="M257">IF(G257="","",IFERROR(IF(AND(L257&lt;&gt;"Done",TODAY()&gt;INDEX(Sprints!$C$5:$C$7,MATCH(I257,Sprints!$A$5:$A$7,0))),"Trễ",""),""))</f>
        <v/>
      </c>
    </row>
    <row r="258" ht="14.25" hidden="1" customHeight="1">
      <c r="F258" s="51"/>
      <c r="H258" s="51"/>
      <c r="I258" s="51"/>
      <c r="J258" s="50" t="str">
        <f t="array" ref="J258">IF(I258="","",IFERROR(TEXT(INDEX(Sprints!$B$5:$B$7,MATCH(I258,Sprints!$A$5:$A$7,0)),"dd/mm")&amp;" – "&amp;TEXT(INDEX(Sprints!$C$5:$C$7,MATCH(I258,Sprints!$A$5:$A$7,0)),"dd/mm"),""))</f>
        <v/>
      </c>
      <c r="K258" s="51"/>
      <c r="L258" s="51"/>
      <c r="M258" s="50" t="str">
        <f t="array" ref="M258">IF(G258="","",IFERROR(IF(AND(L258&lt;&gt;"Done",TODAY()&gt;INDEX(Sprints!$C$5:$C$7,MATCH(I258,Sprints!$A$5:$A$7,0))),"Trễ",""),""))</f>
        <v/>
      </c>
    </row>
    <row r="259" ht="14.25" hidden="1" customHeight="1">
      <c r="F259" s="51"/>
      <c r="H259" s="51"/>
      <c r="I259" s="51"/>
      <c r="J259" s="50" t="str">
        <f t="array" ref="J259">IF(I259="","",IFERROR(TEXT(INDEX(Sprints!$B$5:$B$7,MATCH(I259,Sprints!$A$5:$A$7,0)),"dd/mm")&amp;" – "&amp;TEXT(INDEX(Sprints!$C$5:$C$7,MATCH(I259,Sprints!$A$5:$A$7,0)),"dd/mm"),""))</f>
        <v/>
      </c>
      <c r="K259" s="51"/>
      <c r="L259" s="51"/>
      <c r="M259" s="50" t="str">
        <f t="array" ref="M259">IF(G259="","",IFERROR(IF(AND(L259&lt;&gt;"Done",TODAY()&gt;INDEX(Sprints!$C$5:$C$7,MATCH(I259,Sprints!$A$5:$A$7,0))),"Trễ",""),""))</f>
        <v/>
      </c>
    </row>
    <row r="260" ht="14.25" hidden="1" customHeight="1">
      <c r="F260" s="51"/>
      <c r="H260" s="51"/>
      <c r="I260" s="51"/>
      <c r="J260" s="50" t="str">
        <f t="array" ref="J260">IF(I260="","",IFERROR(TEXT(INDEX(Sprints!$B$5:$B$7,MATCH(I260,Sprints!$A$5:$A$7,0)),"dd/mm")&amp;" – "&amp;TEXT(INDEX(Sprints!$C$5:$C$7,MATCH(I260,Sprints!$A$5:$A$7,0)),"dd/mm"),""))</f>
        <v/>
      </c>
      <c r="K260" s="51"/>
      <c r="L260" s="51"/>
      <c r="M260" s="50" t="str">
        <f t="array" ref="M260">IF(G260="","",IFERROR(IF(AND(L260&lt;&gt;"Done",TODAY()&gt;INDEX(Sprints!$C$5:$C$7,MATCH(I260,Sprints!$A$5:$A$7,0))),"Trễ",""),""))</f>
        <v/>
      </c>
    </row>
    <row r="261" ht="14.25" hidden="1" customHeight="1">
      <c r="F261" s="51"/>
      <c r="H261" s="51"/>
      <c r="I261" s="51"/>
      <c r="J261" s="50" t="str">
        <f t="array" ref="J261">IF(I261="","",IFERROR(TEXT(INDEX(Sprints!$B$5:$B$7,MATCH(I261,Sprints!$A$5:$A$7,0)),"dd/mm")&amp;" – "&amp;TEXT(INDEX(Sprints!$C$5:$C$7,MATCH(I261,Sprints!$A$5:$A$7,0)),"dd/mm"),""))</f>
        <v/>
      </c>
      <c r="K261" s="51"/>
      <c r="L261" s="51"/>
      <c r="M261" s="50" t="str">
        <f t="array" ref="M261">IF(G261="","",IFERROR(IF(AND(L261&lt;&gt;"Done",TODAY()&gt;INDEX(Sprints!$C$5:$C$7,MATCH(I261,Sprints!$A$5:$A$7,0))),"Trễ",""),""))</f>
        <v/>
      </c>
    </row>
    <row r="262" ht="14.25" hidden="1" customHeight="1">
      <c r="F262" s="51"/>
      <c r="H262" s="51"/>
      <c r="I262" s="51"/>
      <c r="J262" s="50" t="str">
        <f t="array" ref="J262">IF(I262="","",IFERROR(TEXT(INDEX(Sprints!$B$5:$B$7,MATCH(I262,Sprints!$A$5:$A$7,0)),"dd/mm")&amp;" – "&amp;TEXT(INDEX(Sprints!$C$5:$C$7,MATCH(I262,Sprints!$A$5:$A$7,0)),"dd/mm"),""))</f>
        <v/>
      </c>
      <c r="K262" s="51"/>
      <c r="L262" s="51"/>
      <c r="M262" s="50" t="str">
        <f t="array" ref="M262">IF(G262="","",IFERROR(IF(AND(L262&lt;&gt;"Done",TODAY()&gt;INDEX(Sprints!$C$5:$C$7,MATCH(I262,Sprints!$A$5:$A$7,0))),"Trễ",""),""))</f>
        <v/>
      </c>
    </row>
    <row r="263" ht="14.25" hidden="1" customHeight="1">
      <c r="F263" s="51"/>
      <c r="H263" s="51"/>
      <c r="I263" s="51"/>
      <c r="J263" s="50" t="str">
        <f t="array" ref="J263">IF(I263="","",IFERROR(TEXT(INDEX(Sprints!$B$5:$B$7,MATCH(I263,Sprints!$A$5:$A$7,0)),"dd/mm")&amp;" – "&amp;TEXT(INDEX(Sprints!$C$5:$C$7,MATCH(I263,Sprints!$A$5:$A$7,0)),"dd/mm"),""))</f>
        <v/>
      </c>
      <c r="K263" s="51"/>
      <c r="L263" s="51"/>
      <c r="M263" s="50" t="str">
        <f t="array" ref="M263">IF(G263="","",IFERROR(IF(AND(L263&lt;&gt;"Done",TODAY()&gt;INDEX(Sprints!$C$5:$C$7,MATCH(I263,Sprints!$A$5:$A$7,0))),"Trễ",""),""))</f>
        <v/>
      </c>
    </row>
    <row r="264" ht="14.25" hidden="1" customHeight="1">
      <c r="F264" s="51"/>
      <c r="H264" s="51"/>
      <c r="I264" s="51"/>
      <c r="J264" s="50" t="str">
        <f t="array" ref="J264">IF(I264="","",IFERROR(TEXT(INDEX(Sprints!$B$5:$B$7,MATCH(I264,Sprints!$A$5:$A$7,0)),"dd/mm")&amp;" – "&amp;TEXT(INDEX(Sprints!$C$5:$C$7,MATCH(I264,Sprints!$A$5:$A$7,0)),"dd/mm"),""))</f>
        <v/>
      </c>
      <c r="K264" s="51"/>
      <c r="L264" s="51"/>
      <c r="M264" s="50" t="str">
        <f t="array" ref="M264">IF(G264="","",IFERROR(IF(AND(L264&lt;&gt;"Done",TODAY()&gt;INDEX(Sprints!$C$5:$C$7,MATCH(I264,Sprints!$A$5:$A$7,0))),"Trễ",""),""))</f>
        <v/>
      </c>
    </row>
    <row r="265" ht="14.25" hidden="1" customHeight="1">
      <c r="F265" s="51"/>
      <c r="H265" s="51"/>
      <c r="I265" s="51"/>
      <c r="J265" s="50" t="str">
        <f t="array" ref="J265">IF(I265="","",IFERROR(TEXT(INDEX(Sprints!$B$5:$B$7,MATCH(I265,Sprints!$A$5:$A$7,0)),"dd/mm")&amp;" – "&amp;TEXT(INDEX(Sprints!$C$5:$C$7,MATCH(I265,Sprints!$A$5:$A$7,0)),"dd/mm"),""))</f>
        <v/>
      </c>
      <c r="K265" s="51"/>
      <c r="L265" s="51"/>
      <c r="M265" s="50" t="str">
        <f t="array" ref="M265">IF(G265="","",IFERROR(IF(AND(L265&lt;&gt;"Done",TODAY()&gt;INDEX(Sprints!$C$5:$C$7,MATCH(I265,Sprints!$A$5:$A$7,0))),"Trễ",""),""))</f>
        <v/>
      </c>
    </row>
    <row r="266" ht="14.25" hidden="1" customHeight="1">
      <c r="F266" s="51"/>
      <c r="H266" s="51"/>
      <c r="I266" s="51"/>
      <c r="J266" s="50" t="str">
        <f t="array" ref="J266">IF(I266="","",IFERROR(TEXT(INDEX(Sprints!$B$5:$B$7,MATCH(I266,Sprints!$A$5:$A$7,0)),"dd/mm")&amp;" – "&amp;TEXT(INDEX(Sprints!$C$5:$C$7,MATCH(I266,Sprints!$A$5:$A$7,0)),"dd/mm"),""))</f>
        <v/>
      </c>
      <c r="K266" s="51"/>
      <c r="L266" s="51"/>
      <c r="M266" s="50" t="str">
        <f t="array" ref="M266">IF(G266="","",IFERROR(IF(AND(L266&lt;&gt;"Done",TODAY()&gt;INDEX(Sprints!$C$5:$C$7,MATCH(I266,Sprints!$A$5:$A$7,0))),"Trễ",""),""))</f>
        <v/>
      </c>
    </row>
    <row r="267" ht="14.25" hidden="1" customHeight="1">
      <c r="F267" s="51"/>
      <c r="H267" s="51"/>
      <c r="I267" s="51"/>
      <c r="J267" s="50" t="str">
        <f t="array" ref="J267">IF(I267="","",IFERROR(TEXT(INDEX(Sprints!$B$5:$B$7,MATCH(I267,Sprints!$A$5:$A$7,0)),"dd/mm")&amp;" – "&amp;TEXT(INDEX(Sprints!$C$5:$C$7,MATCH(I267,Sprints!$A$5:$A$7,0)),"dd/mm"),""))</f>
        <v/>
      </c>
      <c r="K267" s="51"/>
      <c r="L267" s="51"/>
      <c r="M267" s="50" t="str">
        <f t="array" ref="M267">IF(G267="","",IFERROR(IF(AND(L267&lt;&gt;"Done",TODAY()&gt;INDEX(Sprints!$C$5:$C$7,MATCH(I267,Sprints!$A$5:$A$7,0))),"Trễ",""),""))</f>
        <v/>
      </c>
    </row>
    <row r="268" ht="14.25" hidden="1" customHeight="1">
      <c r="F268" s="51"/>
      <c r="H268" s="51"/>
      <c r="I268" s="51"/>
      <c r="J268" s="50" t="str">
        <f t="array" ref="J268">IF(I268="","",IFERROR(TEXT(INDEX(Sprints!$B$5:$B$7,MATCH(I268,Sprints!$A$5:$A$7,0)),"dd/mm")&amp;" – "&amp;TEXT(INDEX(Sprints!$C$5:$C$7,MATCH(I268,Sprints!$A$5:$A$7,0)),"dd/mm"),""))</f>
        <v/>
      </c>
      <c r="K268" s="51"/>
      <c r="L268" s="51"/>
      <c r="M268" s="50" t="str">
        <f t="array" ref="M268">IF(G268="","",IFERROR(IF(AND(L268&lt;&gt;"Done",TODAY()&gt;INDEX(Sprints!$C$5:$C$7,MATCH(I268,Sprints!$A$5:$A$7,0))),"Trễ",""),""))</f>
        <v/>
      </c>
    </row>
    <row r="269" ht="14.25" hidden="1" customHeight="1">
      <c r="F269" s="51"/>
      <c r="H269" s="51"/>
      <c r="I269" s="51"/>
      <c r="J269" s="50" t="str">
        <f t="array" ref="J269">IF(I269="","",IFERROR(TEXT(INDEX(Sprints!$B$5:$B$7,MATCH(I269,Sprints!$A$5:$A$7,0)),"dd/mm")&amp;" – "&amp;TEXT(INDEX(Sprints!$C$5:$C$7,MATCH(I269,Sprints!$A$5:$A$7,0)),"dd/mm"),""))</f>
        <v/>
      </c>
      <c r="K269" s="51"/>
      <c r="L269" s="51"/>
      <c r="M269" s="50" t="str">
        <f t="array" ref="M269">IF(G269="","",IFERROR(IF(AND(L269&lt;&gt;"Done",TODAY()&gt;INDEX(Sprints!$C$5:$C$7,MATCH(I269,Sprints!$A$5:$A$7,0))),"Trễ",""),""))</f>
        <v/>
      </c>
    </row>
    <row r="270" ht="14.25" hidden="1" customHeight="1">
      <c r="F270" s="51"/>
      <c r="H270" s="51"/>
      <c r="I270" s="51"/>
      <c r="J270" s="50" t="str">
        <f t="array" ref="J270">IF(I270="","",IFERROR(TEXT(INDEX(Sprints!$B$5:$B$7,MATCH(I270,Sprints!$A$5:$A$7,0)),"dd/mm")&amp;" – "&amp;TEXT(INDEX(Sprints!$C$5:$C$7,MATCH(I270,Sprints!$A$5:$A$7,0)),"dd/mm"),""))</f>
        <v/>
      </c>
      <c r="K270" s="51"/>
      <c r="L270" s="51"/>
      <c r="M270" s="50" t="str">
        <f t="array" ref="M270">IF(G270="","",IFERROR(IF(AND(L270&lt;&gt;"Done",TODAY()&gt;INDEX(Sprints!$C$5:$C$7,MATCH(I270,Sprints!$A$5:$A$7,0))),"Trễ",""),""))</f>
        <v/>
      </c>
    </row>
    <row r="271" ht="14.25" hidden="1" customHeight="1">
      <c r="F271" s="51"/>
      <c r="H271" s="51"/>
      <c r="I271" s="51"/>
      <c r="J271" s="50" t="str">
        <f t="array" ref="J271">IF(I271="","",IFERROR(TEXT(INDEX(Sprints!$B$5:$B$7,MATCH(I271,Sprints!$A$5:$A$7,0)),"dd/mm")&amp;" – "&amp;TEXT(INDEX(Sprints!$C$5:$C$7,MATCH(I271,Sprints!$A$5:$A$7,0)),"dd/mm"),""))</f>
        <v/>
      </c>
      <c r="K271" s="51"/>
      <c r="L271" s="51"/>
      <c r="M271" s="50" t="str">
        <f t="array" ref="M271">IF(G271="","",IFERROR(IF(AND(L271&lt;&gt;"Done",TODAY()&gt;INDEX(Sprints!$C$5:$C$7,MATCH(I271,Sprints!$A$5:$A$7,0))),"Trễ",""),""))</f>
        <v/>
      </c>
    </row>
    <row r="272" ht="14.25" hidden="1" customHeight="1">
      <c r="F272" s="51"/>
      <c r="H272" s="51"/>
      <c r="I272" s="51"/>
      <c r="J272" s="50" t="str">
        <f t="array" ref="J272">IF(I272="","",IFERROR(TEXT(INDEX(Sprints!$B$5:$B$7,MATCH(I272,Sprints!$A$5:$A$7,0)),"dd/mm")&amp;" – "&amp;TEXT(INDEX(Sprints!$C$5:$C$7,MATCH(I272,Sprints!$A$5:$A$7,0)),"dd/mm"),""))</f>
        <v/>
      </c>
      <c r="K272" s="51"/>
      <c r="L272" s="51"/>
      <c r="M272" s="50" t="str">
        <f t="array" ref="M272">IF(G272="","",IFERROR(IF(AND(L272&lt;&gt;"Done",TODAY()&gt;INDEX(Sprints!$C$5:$C$7,MATCH(I272,Sprints!$A$5:$A$7,0))),"Trễ",""),""))</f>
        <v/>
      </c>
    </row>
    <row r="273" ht="14.25" hidden="1" customHeight="1">
      <c r="F273" s="51"/>
      <c r="H273" s="51"/>
      <c r="I273" s="51"/>
      <c r="J273" s="50" t="str">
        <f t="array" ref="J273">IF(I273="","",IFERROR(TEXT(INDEX(Sprints!$B$5:$B$7,MATCH(I273,Sprints!$A$5:$A$7,0)),"dd/mm")&amp;" – "&amp;TEXT(INDEX(Sprints!$C$5:$C$7,MATCH(I273,Sprints!$A$5:$A$7,0)),"dd/mm"),""))</f>
        <v/>
      </c>
      <c r="K273" s="51"/>
      <c r="L273" s="51"/>
      <c r="M273" s="50" t="str">
        <f t="array" ref="M273">IF(G273="","",IFERROR(IF(AND(L273&lt;&gt;"Done",TODAY()&gt;INDEX(Sprints!$C$5:$C$7,MATCH(I273,Sprints!$A$5:$A$7,0))),"Trễ",""),""))</f>
        <v/>
      </c>
    </row>
    <row r="274" ht="14.25" hidden="1" customHeight="1">
      <c r="F274" s="51"/>
      <c r="H274" s="51"/>
      <c r="I274" s="51"/>
      <c r="J274" s="50" t="str">
        <f t="array" ref="J274">IF(I274="","",IFERROR(TEXT(INDEX(Sprints!$B$5:$B$7,MATCH(I274,Sprints!$A$5:$A$7,0)),"dd/mm")&amp;" – "&amp;TEXT(INDEX(Sprints!$C$5:$C$7,MATCH(I274,Sprints!$A$5:$A$7,0)),"dd/mm"),""))</f>
        <v/>
      </c>
      <c r="K274" s="51"/>
      <c r="L274" s="51"/>
      <c r="M274" s="50" t="str">
        <f t="array" ref="M274">IF(G274="","",IFERROR(IF(AND(L274&lt;&gt;"Done",TODAY()&gt;INDEX(Sprints!$C$5:$C$7,MATCH(I274,Sprints!$A$5:$A$7,0))),"Trễ",""),""))</f>
        <v/>
      </c>
    </row>
    <row r="275" ht="14.25" hidden="1" customHeight="1">
      <c r="F275" s="51"/>
      <c r="H275" s="51"/>
      <c r="I275" s="51"/>
      <c r="J275" s="50" t="str">
        <f t="array" ref="J275">IF(I275="","",IFERROR(TEXT(INDEX(Sprints!$B$5:$B$7,MATCH(I275,Sprints!$A$5:$A$7,0)),"dd/mm")&amp;" – "&amp;TEXT(INDEX(Sprints!$C$5:$C$7,MATCH(I275,Sprints!$A$5:$A$7,0)),"dd/mm"),""))</f>
        <v/>
      </c>
      <c r="K275" s="51"/>
      <c r="L275" s="51"/>
      <c r="M275" s="50" t="str">
        <f t="array" ref="M275">IF(G275="","",IFERROR(IF(AND(L275&lt;&gt;"Done",TODAY()&gt;INDEX(Sprints!$C$5:$C$7,MATCH(I275,Sprints!$A$5:$A$7,0))),"Trễ",""),""))</f>
        <v/>
      </c>
    </row>
    <row r="276" ht="14.25" hidden="1" customHeight="1">
      <c r="F276" s="51"/>
      <c r="H276" s="51"/>
      <c r="I276" s="51"/>
      <c r="J276" s="50" t="str">
        <f t="array" ref="J276">IF(I276="","",IFERROR(TEXT(INDEX(Sprints!$B$5:$B$7,MATCH(I276,Sprints!$A$5:$A$7,0)),"dd/mm")&amp;" – "&amp;TEXT(INDEX(Sprints!$C$5:$C$7,MATCH(I276,Sprints!$A$5:$A$7,0)),"dd/mm"),""))</f>
        <v/>
      </c>
      <c r="K276" s="51"/>
      <c r="L276" s="51"/>
      <c r="M276" s="50" t="str">
        <f t="array" ref="M276">IF(G276="","",IFERROR(IF(AND(L276&lt;&gt;"Done",TODAY()&gt;INDEX(Sprints!$C$5:$C$7,MATCH(I276,Sprints!$A$5:$A$7,0))),"Trễ",""),""))</f>
        <v/>
      </c>
    </row>
    <row r="277" ht="14.25" hidden="1" customHeight="1">
      <c r="F277" s="51"/>
      <c r="H277" s="51"/>
      <c r="I277" s="51"/>
      <c r="J277" s="50" t="str">
        <f t="array" ref="J277">IF(I277="","",IFERROR(TEXT(INDEX(Sprints!$B$5:$B$7,MATCH(I277,Sprints!$A$5:$A$7,0)),"dd/mm")&amp;" – "&amp;TEXT(INDEX(Sprints!$C$5:$C$7,MATCH(I277,Sprints!$A$5:$A$7,0)),"dd/mm"),""))</f>
        <v/>
      </c>
      <c r="K277" s="51"/>
      <c r="L277" s="51"/>
      <c r="M277" s="50" t="str">
        <f t="array" ref="M277">IF(G277="","",IFERROR(IF(AND(L277&lt;&gt;"Done",TODAY()&gt;INDEX(Sprints!$C$5:$C$7,MATCH(I277,Sprints!$A$5:$A$7,0))),"Trễ",""),""))</f>
        <v/>
      </c>
    </row>
    <row r="278" ht="14.25" hidden="1" customHeight="1">
      <c r="F278" s="51"/>
      <c r="H278" s="51"/>
      <c r="I278" s="51"/>
      <c r="J278" s="50" t="str">
        <f t="array" ref="J278">IF(I278="","",IFERROR(TEXT(INDEX(Sprints!$B$5:$B$7,MATCH(I278,Sprints!$A$5:$A$7,0)),"dd/mm")&amp;" – "&amp;TEXT(INDEX(Sprints!$C$5:$C$7,MATCH(I278,Sprints!$A$5:$A$7,0)),"dd/mm"),""))</f>
        <v/>
      </c>
      <c r="K278" s="51"/>
      <c r="L278" s="51"/>
      <c r="M278" s="50" t="str">
        <f t="array" ref="M278">IF(G278="","",IFERROR(IF(AND(L278&lt;&gt;"Done",TODAY()&gt;INDEX(Sprints!$C$5:$C$7,MATCH(I278,Sprints!$A$5:$A$7,0))),"Trễ",""),""))</f>
        <v/>
      </c>
    </row>
    <row r="279" ht="14.25" hidden="1" customHeight="1">
      <c r="F279" s="51"/>
      <c r="H279" s="51"/>
      <c r="I279" s="51"/>
      <c r="J279" s="50" t="str">
        <f t="array" ref="J279">IF(I279="","",IFERROR(TEXT(INDEX(Sprints!$B$5:$B$7,MATCH(I279,Sprints!$A$5:$A$7,0)),"dd/mm")&amp;" – "&amp;TEXT(INDEX(Sprints!$C$5:$C$7,MATCH(I279,Sprints!$A$5:$A$7,0)),"dd/mm"),""))</f>
        <v/>
      </c>
      <c r="K279" s="51"/>
      <c r="L279" s="51"/>
      <c r="M279" s="50" t="str">
        <f t="array" ref="M279">IF(G279="","",IFERROR(IF(AND(L279&lt;&gt;"Done",TODAY()&gt;INDEX(Sprints!$C$5:$C$7,MATCH(I279,Sprints!$A$5:$A$7,0))),"Trễ",""),""))</f>
        <v/>
      </c>
    </row>
    <row r="280" ht="14.25" hidden="1" customHeight="1">
      <c r="F280" s="51"/>
      <c r="H280" s="51"/>
      <c r="I280" s="51"/>
      <c r="J280" s="50" t="str">
        <f t="array" ref="J280">IF(I280="","",IFERROR(TEXT(INDEX(Sprints!$B$5:$B$7,MATCH(I280,Sprints!$A$5:$A$7,0)),"dd/mm")&amp;" – "&amp;TEXT(INDEX(Sprints!$C$5:$C$7,MATCH(I280,Sprints!$A$5:$A$7,0)),"dd/mm"),""))</f>
        <v/>
      </c>
      <c r="K280" s="51"/>
      <c r="L280" s="51"/>
      <c r="M280" s="50" t="str">
        <f t="array" ref="M280">IF(G280="","",IFERROR(IF(AND(L280&lt;&gt;"Done",TODAY()&gt;INDEX(Sprints!$C$5:$C$7,MATCH(I280,Sprints!$A$5:$A$7,0))),"Trễ",""),""))</f>
        <v/>
      </c>
    </row>
    <row r="281" ht="14.25" hidden="1" customHeight="1">
      <c r="F281" s="51"/>
      <c r="H281" s="51"/>
      <c r="I281" s="51"/>
      <c r="J281" s="50" t="str">
        <f t="array" ref="J281">IF(I281="","",IFERROR(TEXT(INDEX(Sprints!$B$5:$B$7,MATCH(I281,Sprints!$A$5:$A$7,0)),"dd/mm")&amp;" – "&amp;TEXT(INDEX(Sprints!$C$5:$C$7,MATCH(I281,Sprints!$A$5:$A$7,0)),"dd/mm"),""))</f>
        <v/>
      </c>
      <c r="K281" s="51"/>
      <c r="L281" s="51"/>
      <c r="M281" s="50" t="str">
        <f t="array" ref="M281">IF(G281="","",IFERROR(IF(AND(L281&lt;&gt;"Done",TODAY()&gt;INDEX(Sprints!$C$5:$C$7,MATCH(I281,Sprints!$A$5:$A$7,0))),"Trễ",""),""))</f>
        <v/>
      </c>
    </row>
    <row r="282" ht="14.25" hidden="1" customHeight="1">
      <c r="F282" s="51"/>
      <c r="H282" s="51"/>
      <c r="I282" s="51"/>
      <c r="J282" s="50" t="str">
        <f t="array" ref="J282">IF(I282="","",IFERROR(TEXT(INDEX(Sprints!$B$5:$B$7,MATCH(I282,Sprints!$A$5:$A$7,0)),"dd/mm")&amp;" – "&amp;TEXT(INDEX(Sprints!$C$5:$C$7,MATCH(I282,Sprints!$A$5:$A$7,0)),"dd/mm"),""))</f>
        <v/>
      </c>
      <c r="K282" s="51"/>
      <c r="L282" s="51"/>
      <c r="M282" s="50" t="str">
        <f t="array" ref="M282">IF(G282="","",IFERROR(IF(AND(L282&lt;&gt;"Done",TODAY()&gt;INDEX(Sprints!$C$5:$C$7,MATCH(I282,Sprints!$A$5:$A$7,0))),"Trễ",""),""))</f>
        <v/>
      </c>
    </row>
    <row r="283" ht="14.25" hidden="1" customHeight="1">
      <c r="F283" s="51"/>
      <c r="H283" s="51"/>
      <c r="I283" s="51"/>
      <c r="J283" s="50" t="str">
        <f t="array" ref="J283">IF(I283="","",IFERROR(TEXT(INDEX(Sprints!$B$5:$B$7,MATCH(I283,Sprints!$A$5:$A$7,0)),"dd/mm")&amp;" – "&amp;TEXT(INDEX(Sprints!$C$5:$C$7,MATCH(I283,Sprints!$A$5:$A$7,0)),"dd/mm"),""))</f>
        <v/>
      </c>
      <c r="K283" s="51"/>
      <c r="L283" s="51"/>
      <c r="M283" s="50" t="str">
        <f t="array" ref="M283">IF(G283="","",IFERROR(IF(AND(L283&lt;&gt;"Done",TODAY()&gt;INDEX(Sprints!$C$5:$C$7,MATCH(I283,Sprints!$A$5:$A$7,0))),"Trễ",""),""))</f>
        <v/>
      </c>
    </row>
    <row r="284" ht="14.25" hidden="1" customHeight="1">
      <c r="F284" s="51"/>
      <c r="H284" s="51"/>
      <c r="I284" s="51"/>
      <c r="J284" s="50" t="str">
        <f t="array" ref="J284">IF(I284="","",IFERROR(TEXT(INDEX(Sprints!$B$5:$B$7,MATCH(I284,Sprints!$A$5:$A$7,0)),"dd/mm")&amp;" – "&amp;TEXT(INDEX(Sprints!$C$5:$C$7,MATCH(I284,Sprints!$A$5:$A$7,0)),"dd/mm"),""))</f>
        <v/>
      </c>
      <c r="K284" s="51"/>
      <c r="L284" s="51"/>
      <c r="M284" s="50" t="str">
        <f t="array" ref="M284">IF(G284="","",IFERROR(IF(AND(L284&lt;&gt;"Done",TODAY()&gt;INDEX(Sprints!$C$5:$C$7,MATCH(I284,Sprints!$A$5:$A$7,0))),"Trễ",""),""))</f>
        <v/>
      </c>
    </row>
    <row r="285" ht="14.25" hidden="1" customHeight="1">
      <c r="F285" s="51"/>
      <c r="H285" s="51"/>
      <c r="I285" s="51"/>
      <c r="J285" s="50" t="str">
        <f t="array" ref="J285">IF(I285="","",IFERROR(TEXT(INDEX(Sprints!$B$5:$B$7,MATCH(I285,Sprints!$A$5:$A$7,0)),"dd/mm")&amp;" – "&amp;TEXT(INDEX(Sprints!$C$5:$C$7,MATCH(I285,Sprints!$A$5:$A$7,0)),"dd/mm"),""))</f>
        <v/>
      </c>
      <c r="K285" s="51"/>
      <c r="L285" s="51"/>
      <c r="M285" s="50" t="str">
        <f t="array" ref="M285">IF(G285="","",IFERROR(IF(AND(L285&lt;&gt;"Done",TODAY()&gt;INDEX(Sprints!$C$5:$C$7,MATCH(I285,Sprints!$A$5:$A$7,0))),"Trễ",""),""))</f>
        <v/>
      </c>
    </row>
    <row r="286" ht="14.25" hidden="1" customHeight="1">
      <c r="F286" s="51"/>
      <c r="H286" s="51"/>
      <c r="I286" s="51"/>
      <c r="J286" s="50" t="str">
        <f t="array" ref="J286">IF(I286="","",IFERROR(TEXT(INDEX(Sprints!$B$5:$B$7,MATCH(I286,Sprints!$A$5:$A$7,0)),"dd/mm")&amp;" – "&amp;TEXT(INDEX(Sprints!$C$5:$C$7,MATCH(I286,Sprints!$A$5:$A$7,0)),"dd/mm"),""))</f>
        <v/>
      </c>
      <c r="K286" s="51"/>
      <c r="L286" s="51"/>
      <c r="M286" s="50" t="str">
        <f t="array" ref="M286">IF(G286="","",IFERROR(IF(AND(L286&lt;&gt;"Done",TODAY()&gt;INDEX(Sprints!$C$5:$C$7,MATCH(I286,Sprints!$A$5:$A$7,0))),"Trễ",""),""))</f>
        <v/>
      </c>
    </row>
    <row r="287" ht="14.25" hidden="1" customHeight="1">
      <c r="F287" s="51"/>
      <c r="H287" s="51"/>
      <c r="I287" s="51"/>
      <c r="J287" s="50" t="str">
        <f t="array" ref="J287">IF(I287="","",IFERROR(TEXT(INDEX(Sprints!$B$5:$B$7,MATCH(I287,Sprints!$A$5:$A$7,0)),"dd/mm")&amp;" – "&amp;TEXT(INDEX(Sprints!$C$5:$C$7,MATCH(I287,Sprints!$A$5:$A$7,0)),"dd/mm"),""))</f>
        <v/>
      </c>
      <c r="K287" s="51"/>
      <c r="L287" s="51"/>
      <c r="M287" s="50" t="str">
        <f t="array" ref="M287">IF(G287="","",IFERROR(IF(AND(L287&lt;&gt;"Done",TODAY()&gt;INDEX(Sprints!$C$5:$C$7,MATCH(I287,Sprints!$A$5:$A$7,0))),"Trễ",""),""))</f>
        <v/>
      </c>
    </row>
    <row r="288" ht="14.25" hidden="1" customHeight="1">
      <c r="F288" s="51"/>
      <c r="H288" s="51"/>
      <c r="I288" s="51"/>
      <c r="J288" s="50" t="str">
        <f t="array" ref="J288">IF(I288="","",IFERROR(TEXT(INDEX(Sprints!$B$5:$B$7,MATCH(I288,Sprints!$A$5:$A$7,0)),"dd/mm")&amp;" – "&amp;TEXT(INDEX(Sprints!$C$5:$C$7,MATCH(I288,Sprints!$A$5:$A$7,0)),"dd/mm"),""))</f>
        <v/>
      </c>
      <c r="K288" s="51"/>
      <c r="L288" s="51"/>
      <c r="M288" s="50" t="str">
        <f t="array" ref="M288">IF(G288="","",IFERROR(IF(AND(L288&lt;&gt;"Done",TODAY()&gt;INDEX(Sprints!$C$5:$C$7,MATCH(I288,Sprints!$A$5:$A$7,0))),"Trễ",""),""))</f>
        <v/>
      </c>
    </row>
    <row r="289" ht="14.25" hidden="1" customHeight="1">
      <c r="F289" s="51"/>
      <c r="H289" s="51"/>
      <c r="I289" s="51"/>
      <c r="J289" s="50" t="str">
        <f t="array" ref="J289">IF(I289="","",IFERROR(TEXT(INDEX(Sprints!$B$5:$B$7,MATCH(I289,Sprints!$A$5:$A$7,0)),"dd/mm")&amp;" – "&amp;TEXT(INDEX(Sprints!$C$5:$C$7,MATCH(I289,Sprints!$A$5:$A$7,0)),"dd/mm"),""))</f>
        <v/>
      </c>
      <c r="K289" s="51"/>
      <c r="L289" s="51"/>
      <c r="M289" s="50" t="str">
        <f t="array" ref="M289">IF(G289="","",IFERROR(IF(AND(L289&lt;&gt;"Done",TODAY()&gt;INDEX(Sprints!$C$5:$C$7,MATCH(I289,Sprints!$A$5:$A$7,0))),"Trễ",""),""))</f>
        <v/>
      </c>
    </row>
    <row r="290" ht="14.25" hidden="1" customHeight="1">
      <c r="F290" s="51"/>
      <c r="H290" s="51"/>
      <c r="I290" s="51"/>
      <c r="J290" s="50" t="str">
        <f t="array" ref="J290">IF(I290="","",IFERROR(TEXT(INDEX(Sprints!$B$5:$B$7,MATCH(I290,Sprints!$A$5:$A$7,0)),"dd/mm")&amp;" – "&amp;TEXT(INDEX(Sprints!$C$5:$C$7,MATCH(I290,Sprints!$A$5:$A$7,0)),"dd/mm"),""))</f>
        <v/>
      </c>
      <c r="K290" s="51"/>
      <c r="L290" s="51"/>
      <c r="M290" s="50" t="str">
        <f t="array" ref="M290">IF(G290="","",IFERROR(IF(AND(L290&lt;&gt;"Done",TODAY()&gt;INDEX(Sprints!$C$5:$C$7,MATCH(I290,Sprints!$A$5:$A$7,0))),"Trễ",""),""))</f>
        <v/>
      </c>
    </row>
    <row r="291" ht="14.25" hidden="1" customHeight="1">
      <c r="F291" s="51"/>
      <c r="H291" s="51"/>
      <c r="I291" s="51"/>
      <c r="J291" s="50" t="str">
        <f t="array" ref="J291">IF(I291="","",IFERROR(TEXT(INDEX(Sprints!$B$5:$B$7,MATCH(I291,Sprints!$A$5:$A$7,0)),"dd/mm")&amp;" – "&amp;TEXT(INDEX(Sprints!$C$5:$C$7,MATCH(I291,Sprints!$A$5:$A$7,0)),"dd/mm"),""))</f>
        <v/>
      </c>
      <c r="K291" s="51"/>
      <c r="L291" s="51"/>
      <c r="M291" s="50" t="str">
        <f t="array" ref="M291">IF(G291="","",IFERROR(IF(AND(L291&lt;&gt;"Done",TODAY()&gt;INDEX(Sprints!$C$5:$C$7,MATCH(I291,Sprints!$A$5:$A$7,0))),"Trễ",""),""))</f>
        <v/>
      </c>
    </row>
    <row r="292" ht="14.25" hidden="1" customHeight="1">
      <c r="F292" s="51"/>
      <c r="H292" s="51"/>
      <c r="I292" s="51"/>
      <c r="J292" s="50" t="str">
        <f t="array" ref="J292">IF(I292="","",IFERROR(TEXT(INDEX(Sprints!$B$5:$B$7,MATCH(I292,Sprints!$A$5:$A$7,0)),"dd/mm")&amp;" – "&amp;TEXT(INDEX(Sprints!$C$5:$C$7,MATCH(I292,Sprints!$A$5:$A$7,0)),"dd/mm"),""))</f>
        <v/>
      </c>
      <c r="K292" s="51"/>
      <c r="L292" s="51"/>
      <c r="M292" s="50" t="str">
        <f t="array" ref="M292">IF(G292="","",IFERROR(IF(AND(L292&lt;&gt;"Done",TODAY()&gt;INDEX(Sprints!$C$5:$C$7,MATCH(I292,Sprints!$A$5:$A$7,0))),"Trễ",""),""))</f>
        <v/>
      </c>
    </row>
    <row r="293" ht="14.25" hidden="1" customHeight="1">
      <c r="F293" s="51"/>
      <c r="H293" s="51"/>
      <c r="I293" s="51"/>
      <c r="J293" s="50" t="str">
        <f t="array" ref="J293">IF(I293="","",IFERROR(TEXT(INDEX(Sprints!$B$5:$B$7,MATCH(I293,Sprints!$A$5:$A$7,0)),"dd/mm")&amp;" – "&amp;TEXT(INDEX(Sprints!$C$5:$C$7,MATCH(I293,Sprints!$A$5:$A$7,0)),"dd/mm"),""))</f>
        <v/>
      </c>
      <c r="K293" s="51"/>
      <c r="L293" s="51"/>
      <c r="M293" s="50" t="str">
        <f t="array" ref="M293">IF(G293="","",IFERROR(IF(AND(L293&lt;&gt;"Done",TODAY()&gt;INDEX(Sprints!$C$5:$C$7,MATCH(I293,Sprints!$A$5:$A$7,0))),"Trễ",""),""))</f>
        <v/>
      </c>
    </row>
    <row r="294" ht="14.25" hidden="1" customHeight="1">
      <c r="F294" s="51"/>
      <c r="H294" s="51"/>
      <c r="I294" s="51"/>
      <c r="J294" s="50" t="str">
        <f t="array" ref="J294">IF(I294="","",IFERROR(TEXT(INDEX(Sprints!$B$5:$B$7,MATCH(I294,Sprints!$A$5:$A$7,0)),"dd/mm")&amp;" – "&amp;TEXT(INDEX(Sprints!$C$5:$C$7,MATCH(I294,Sprints!$A$5:$A$7,0)),"dd/mm"),""))</f>
        <v/>
      </c>
      <c r="K294" s="51"/>
      <c r="L294" s="51"/>
      <c r="M294" s="50" t="str">
        <f t="array" ref="M294">IF(G294="","",IFERROR(IF(AND(L294&lt;&gt;"Done",TODAY()&gt;INDEX(Sprints!$C$5:$C$7,MATCH(I294,Sprints!$A$5:$A$7,0))),"Trễ",""),""))</f>
        <v/>
      </c>
    </row>
    <row r="295" ht="14.25" hidden="1" customHeight="1">
      <c r="F295" s="51"/>
      <c r="H295" s="51"/>
      <c r="I295" s="51"/>
      <c r="J295" s="50" t="str">
        <f t="array" ref="J295">IF(I295="","",IFERROR(TEXT(INDEX(Sprints!$B$5:$B$7,MATCH(I295,Sprints!$A$5:$A$7,0)),"dd/mm")&amp;" – "&amp;TEXT(INDEX(Sprints!$C$5:$C$7,MATCH(I295,Sprints!$A$5:$A$7,0)),"dd/mm"),""))</f>
        <v/>
      </c>
      <c r="K295" s="51"/>
      <c r="L295" s="51"/>
      <c r="M295" s="50" t="str">
        <f t="array" ref="M295">IF(G295="","",IFERROR(IF(AND(L295&lt;&gt;"Done",TODAY()&gt;INDEX(Sprints!$C$5:$C$7,MATCH(I295,Sprints!$A$5:$A$7,0))),"Trễ",""),""))</f>
        <v/>
      </c>
    </row>
    <row r="296" ht="14.25" hidden="1" customHeight="1">
      <c r="F296" s="51"/>
      <c r="H296" s="51"/>
      <c r="I296" s="51"/>
      <c r="J296" s="50" t="str">
        <f t="array" ref="J296">IF(I296="","",IFERROR(TEXT(INDEX(Sprints!$B$5:$B$7,MATCH(I296,Sprints!$A$5:$A$7,0)),"dd/mm")&amp;" – "&amp;TEXT(INDEX(Sprints!$C$5:$C$7,MATCH(I296,Sprints!$A$5:$A$7,0)),"dd/mm"),""))</f>
        <v/>
      </c>
      <c r="K296" s="51"/>
      <c r="L296" s="51"/>
      <c r="M296" s="50" t="str">
        <f t="array" ref="M296">IF(G296="","",IFERROR(IF(AND(L296&lt;&gt;"Done",TODAY()&gt;INDEX(Sprints!$C$5:$C$7,MATCH(I296,Sprints!$A$5:$A$7,0))),"Trễ",""),""))</f>
        <v/>
      </c>
    </row>
    <row r="297" ht="14.25" hidden="1" customHeight="1">
      <c r="F297" s="51"/>
      <c r="H297" s="51"/>
      <c r="I297" s="51"/>
      <c r="J297" s="50" t="str">
        <f t="array" ref="J297">IF(I297="","",IFERROR(TEXT(INDEX(Sprints!$B$5:$B$7,MATCH(I297,Sprints!$A$5:$A$7,0)),"dd/mm")&amp;" – "&amp;TEXT(INDEX(Sprints!$C$5:$C$7,MATCH(I297,Sprints!$A$5:$A$7,0)),"dd/mm"),""))</f>
        <v/>
      </c>
      <c r="K297" s="51"/>
      <c r="L297" s="51"/>
      <c r="M297" s="50" t="str">
        <f t="array" ref="M297">IF(G297="","",IFERROR(IF(AND(L297&lt;&gt;"Done",TODAY()&gt;INDEX(Sprints!$C$5:$C$7,MATCH(I297,Sprints!$A$5:$A$7,0))),"Trễ",""),""))</f>
        <v/>
      </c>
    </row>
    <row r="298" ht="14.25" hidden="1" customHeight="1">
      <c r="F298" s="51"/>
      <c r="H298" s="51"/>
      <c r="I298" s="51"/>
      <c r="J298" s="50" t="str">
        <f t="array" ref="J298">IF(I298="","",IFERROR(TEXT(INDEX(Sprints!$B$5:$B$7,MATCH(I298,Sprints!$A$5:$A$7,0)),"dd/mm")&amp;" – "&amp;TEXT(INDEX(Sprints!$C$5:$C$7,MATCH(I298,Sprints!$A$5:$A$7,0)),"dd/mm"),""))</f>
        <v/>
      </c>
      <c r="K298" s="51"/>
      <c r="L298" s="51"/>
      <c r="M298" s="50" t="str">
        <f t="array" ref="M298">IF(G298="","",IFERROR(IF(AND(L298&lt;&gt;"Done",TODAY()&gt;INDEX(Sprints!$C$5:$C$7,MATCH(I298,Sprints!$A$5:$A$7,0))),"Trễ",""),""))</f>
        <v/>
      </c>
    </row>
    <row r="299" ht="14.25" hidden="1" customHeight="1">
      <c r="F299" s="51"/>
      <c r="H299" s="51"/>
      <c r="I299" s="51"/>
      <c r="J299" s="50" t="str">
        <f t="array" ref="J299">IF(I299="","",IFERROR(TEXT(INDEX(Sprints!$B$5:$B$7,MATCH(I299,Sprints!$A$5:$A$7,0)),"dd/mm")&amp;" – "&amp;TEXT(INDEX(Sprints!$C$5:$C$7,MATCH(I299,Sprints!$A$5:$A$7,0)),"dd/mm"),""))</f>
        <v/>
      </c>
      <c r="K299" s="51"/>
      <c r="L299" s="51"/>
      <c r="M299" s="50" t="str">
        <f t="array" ref="M299">IF(G299="","",IFERROR(IF(AND(L299&lt;&gt;"Done",TODAY()&gt;INDEX(Sprints!$C$5:$C$7,MATCH(I299,Sprints!$A$5:$A$7,0))),"Trễ",""),""))</f>
        <v/>
      </c>
    </row>
    <row r="300" ht="14.25" hidden="1" customHeight="1">
      <c r="F300" s="51"/>
      <c r="H300" s="51"/>
      <c r="I300" s="51"/>
      <c r="J300" s="50" t="str">
        <f t="array" ref="J300">IF(I300="","",IFERROR(TEXT(INDEX(Sprints!$B$5:$B$7,MATCH(I300,Sprints!$A$5:$A$7,0)),"dd/mm")&amp;" – "&amp;TEXT(INDEX(Sprints!$C$5:$C$7,MATCH(I300,Sprints!$A$5:$A$7,0)),"dd/mm"),""))</f>
        <v/>
      </c>
      <c r="K300" s="51"/>
      <c r="L300" s="51"/>
      <c r="M300" s="50" t="str">
        <f t="array" ref="M300">IF(G300="","",IFERROR(IF(AND(L300&lt;&gt;"Done",TODAY()&gt;INDEX(Sprints!$C$5:$C$7,MATCH(I300,Sprints!$A$5:$A$7,0))),"Trễ",""),""))</f>
        <v/>
      </c>
    </row>
    <row r="301" ht="14.25" hidden="1" customHeight="1">
      <c r="F301" s="51"/>
      <c r="H301" s="51"/>
      <c r="I301" s="51"/>
      <c r="J301" s="50" t="str">
        <f t="array" ref="J301">IF(I301="","",IFERROR(TEXT(INDEX(Sprints!$B$5:$B$7,MATCH(I301,Sprints!$A$5:$A$7,0)),"dd/mm")&amp;" – "&amp;TEXT(INDEX(Sprints!$C$5:$C$7,MATCH(I301,Sprints!$A$5:$A$7,0)),"dd/mm"),""))</f>
        <v/>
      </c>
      <c r="K301" s="51"/>
      <c r="L301" s="51"/>
      <c r="M301" s="50" t="str">
        <f t="array" ref="M301">IF(G301="","",IFERROR(IF(AND(L301&lt;&gt;"Done",TODAY()&gt;INDEX(Sprints!$C$5:$C$7,MATCH(I301,Sprints!$A$5:$A$7,0))),"Trễ",""),""))</f>
        <v/>
      </c>
    </row>
    <row r="302" ht="14.25" hidden="1" customHeight="1">
      <c r="F302" s="51"/>
      <c r="H302" s="51"/>
      <c r="I302" s="51"/>
      <c r="J302" s="50" t="str">
        <f t="array" ref="J302">IF(I302="","",IFERROR(TEXT(INDEX(Sprints!$B$5:$B$7,MATCH(I302,Sprints!$A$5:$A$7,0)),"dd/mm")&amp;" – "&amp;TEXT(INDEX(Sprints!$C$5:$C$7,MATCH(I302,Sprints!$A$5:$A$7,0)),"dd/mm"),""))</f>
        <v/>
      </c>
      <c r="K302" s="51"/>
      <c r="L302" s="51"/>
      <c r="M302" s="50" t="str">
        <f t="array" ref="M302">IF(G302="","",IFERROR(IF(AND(L302&lt;&gt;"Done",TODAY()&gt;INDEX(Sprints!$C$5:$C$7,MATCH(I302,Sprints!$A$5:$A$7,0))),"Trễ",""),""))</f>
        <v/>
      </c>
    </row>
    <row r="303" ht="14.25" hidden="1" customHeight="1">
      <c r="F303" s="51"/>
      <c r="H303" s="51"/>
      <c r="I303" s="51"/>
      <c r="J303" s="50" t="str">
        <f t="array" ref="J303">IF(I303="","",IFERROR(TEXT(INDEX(Sprints!$B$5:$B$7,MATCH(I303,Sprints!$A$5:$A$7,0)),"dd/mm")&amp;" – "&amp;TEXT(INDEX(Sprints!$C$5:$C$7,MATCH(I303,Sprints!$A$5:$A$7,0)),"dd/mm"),""))</f>
        <v/>
      </c>
      <c r="K303" s="51"/>
      <c r="L303" s="51"/>
      <c r="M303" s="50" t="str">
        <f t="array" ref="M303">IF(G303="","",IFERROR(IF(AND(L303&lt;&gt;"Done",TODAY()&gt;INDEX(Sprints!$C$5:$C$7,MATCH(I303,Sprints!$A$5:$A$7,0))),"Trễ",""),""))</f>
        <v/>
      </c>
    </row>
    <row r="304" ht="14.25" hidden="1" customHeight="1">
      <c r="F304" s="51"/>
      <c r="H304" s="51"/>
      <c r="I304" s="51"/>
      <c r="J304" s="50" t="str">
        <f t="array" ref="J304">IF(I304="","",IFERROR(TEXT(INDEX(Sprints!$B$5:$B$7,MATCH(I304,Sprints!$A$5:$A$7,0)),"dd/mm")&amp;" – "&amp;TEXT(INDEX(Sprints!$C$5:$C$7,MATCH(I304,Sprints!$A$5:$A$7,0)),"dd/mm"),""))</f>
        <v/>
      </c>
      <c r="K304" s="51"/>
      <c r="L304" s="51"/>
      <c r="M304" s="50" t="str">
        <f t="array" ref="M304">IF(G304="","",IFERROR(IF(AND(L304&lt;&gt;"Done",TODAY()&gt;INDEX(Sprints!$C$5:$C$7,MATCH(I304,Sprints!$A$5:$A$7,0))),"Trễ",""),""))</f>
        <v/>
      </c>
    </row>
    <row r="305" ht="14.25" hidden="1" customHeight="1">
      <c r="F305" s="51"/>
      <c r="H305" s="51"/>
      <c r="I305" s="51"/>
      <c r="J305" s="50" t="str">
        <f t="array" ref="J305">IF(I305="","",IFERROR(TEXT(INDEX(Sprints!$B$5:$B$7,MATCH(I305,Sprints!$A$5:$A$7,0)),"dd/mm")&amp;" – "&amp;TEXT(INDEX(Sprints!$C$5:$C$7,MATCH(I305,Sprints!$A$5:$A$7,0)),"dd/mm"),""))</f>
        <v/>
      </c>
      <c r="K305" s="51"/>
      <c r="L305" s="51"/>
      <c r="M305" s="50" t="str">
        <f t="array" ref="M305">IF(G305="","",IFERROR(IF(AND(L305&lt;&gt;"Done",TODAY()&gt;INDEX(Sprints!$C$5:$C$7,MATCH(I305,Sprints!$A$5:$A$7,0))),"Trễ",""),""))</f>
        <v/>
      </c>
    </row>
    <row r="306" ht="14.25" hidden="1" customHeight="1">
      <c r="F306" s="51"/>
      <c r="H306" s="51"/>
      <c r="I306" s="51"/>
      <c r="J306" s="50" t="str">
        <f t="array" ref="J306">IF(I306="","",IFERROR(TEXT(INDEX(Sprints!$B$5:$B$7,MATCH(I306,Sprints!$A$5:$A$7,0)),"dd/mm")&amp;" – "&amp;TEXT(INDEX(Sprints!$C$5:$C$7,MATCH(I306,Sprints!$A$5:$A$7,0)),"dd/mm"),""))</f>
        <v/>
      </c>
      <c r="K306" s="51"/>
      <c r="L306" s="51"/>
      <c r="M306" s="50" t="str">
        <f t="array" ref="M306">IF(G306="","",IFERROR(IF(AND(L306&lt;&gt;"Done",TODAY()&gt;INDEX(Sprints!$C$5:$C$7,MATCH(I306,Sprints!$A$5:$A$7,0))),"Trễ",""),""))</f>
        <v/>
      </c>
    </row>
    <row r="307" ht="14.25" hidden="1" customHeight="1">
      <c r="F307" s="51"/>
      <c r="H307" s="51"/>
      <c r="I307" s="51"/>
      <c r="J307" s="50" t="str">
        <f t="array" ref="J307">IF(I307="","",IFERROR(TEXT(INDEX(Sprints!$B$5:$B$7,MATCH(I307,Sprints!$A$5:$A$7,0)),"dd/mm")&amp;" – "&amp;TEXT(INDEX(Sprints!$C$5:$C$7,MATCH(I307,Sprints!$A$5:$A$7,0)),"dd/mm"),""))</f>
        <v/>
      </c>
      <c r="K307" s="51"/>
      <c r="L307" s="51"/>
      <c r="M307" s="50" t="str">
        <f t="array" ref="M307">IF(G307="","",IFERROR(IF(AND(L307&lt;&gt;"Done",TODAY()&gt;INDEX(Sprints!$C$5:$C$7,MATCH(I307,Sprints!$A$5:$A$7,0))),"Trễ",""),""))</f>
        <v/>
      </c>
    </row>
    <row r="308" ht="14.25" hidden="1" customHeight="1">
      <c r="F308" s="51"/>
      <c r="H308" s="51"/>
      <c r="I308" s="51"/>
      <c r="J308" s="50" t="str">
        <f t="array" ref="J308">IF(I308="","",IFERROR(TEXT(INDEX(Sprints!$B$5:$B$7,MATCH(I308,Sprints!$A$5:$A$7,0)),"dd/mm")&amp;" – "&amp;TEXT(INDEX(Sprints!$C$5:$C$7,MATCH(I308,Sprints!$A$5:$A$7,0)),"dd/mm"),""))</f>
        <v/>
      </c>
      <c r="K308" s="51"/>
      <c r="L308" s="51"/>
      <c r="M308" s="50" t="str">
        <f t="array" ref="M308">IF(G308="","",IFERROR(IF(AND(L308&lt;&gt;"Done",TODAY()&gt;INDEX(Sprints!$C$5:$C$7,MATCH(I308,Sprints!$A$5:$A$7,0))),"Trễ",""),""))</f>
        <v/>
      </c>
    </row>
    <row r="309" ht="14.25" hidden="1" customHeight="1">
      <c r="F309" s="51"/>
      <c r="H309" s="51"/>
      <c r="I309" s="51"/>
      <c r="J309" s="50" t="str">
        <f t="array" ref="J309">IF(I309="","",IFERROR(TEXT(INDEX(Sprints!$B$5:$B$7,MATCH(I309,Sprints!$A$5:$A$7,0)),"dd/mm")&amp;" – "&amp;TEXT(INDEX(Sprints!$C$5:$C$7,MATCH(I309,Sprints!$A$5:$A$7,0)),"dd/mm"),""))</f>
        <v/>
      </c>
      <c r="K309" s="51"/>
      <c r="L309" s="51"/>
      <c r="M309" s="50" t="str">
        <f t="array" ref="M309">IF(G309="","",IFERROR(IF(AND(L309&lt;&gt;"Done",TODAY()&gt;INDEX(Sprints!$C$5:$C$7,MATCH(I309,Sprints!$A$5:$A$7,0))),"Trễ",""),""))</f>
        <v/>
      </c>
    </row>
    <row r="310" ht="14.25" hidden="1" customHeight="1">
      <c r="F310" s="51"/>
      <c r="H310" s="51"/>
      <c r="I310" s="51"/>
      <c r="J310" s="50" t="str">
        <f t="array" ref="J310">IF(I310="","",IFERROR(TEXT(INDEX(Sprints!$B$5:$B$7,MATCH(I310,Sprints!$A$5:$A$7,0)),"dd/mm")&amp;" – "&amp;TEXT(INDEX(Sprints!$C$5:$C$7,MATCH(I310,Sprints!$A$5:$A$7,0)),"dd/mm"),""))</f>
        <v/>
      </c>
      <c r="K310" s="51"/>
      <c r="L310" s="51"/>
      <c r="M310" s="50" t="str">
        <f t="array" ref="M310">IF(G310="","",IFERROR(IF(AND(L310&lt;&gt;"Done",TODAY()&gt;INDEX(Sprints!$C$5:$C$7,MATCH(I310,Sprints!$A$5:$A$7,0))),"Trễ",""),""))</f>
        <v/>
      </c>
    </row>
    <row r="311" ht="14.25" hidden="1" customHeight="1">
      <c r="F311" s="51"/>
      <c r="H311" s="51"/>
      <c r="I311" s="51"/>
      <c r="J311" s="50" t="str">
        <f t="array" ref="J311">IF(I311="","",IFERROR(TEXT(INDEX(Sprints!$B$5:$B$7,MATCH(I311,Sprints!$A$5:$A$7,0)),"dd/mm")&amp;" – "&amp;TEXT(INDEX(Sprints!$C$5:$C$7,MATCH(I311,Sprints!$A$5:$A$7,0)),"dd/mm"),""))</f>
        <v/>
      </c>
      <c r="K311" s="51"/>
      <c r="L311" s="51"/>
      <c r="M311" s="50" t="str">
        <f t="array" ref="M311">IF(G311="","",IFERROR(IF(AND(L311&lt;&gt;"Done",TODAY()&gt;INDEX(Sprints!$C$5:$C$7,MATCH(I311,Sprints!$A$5:$A$7,0))),"Trễ",""),""))</f>
        <v/>
      </c>
    </row>
    <row r="312" ht="14.25" hidden="1" customHeight="1">
      <c r="F312" s="51"/>
      <c r="H312" s="51"/>
      <c r="I312" s="51"/>
      <c r="J312" s="50" t="str">
        <f t="array" ref="J312">IF(I312="","",IFERROR(TEXT(INDEX(Sprints!$B$5:$B$7,MATCH(I312,Sprints!$A$5:$A$7,0)),"dd/mm")&amp;" – "&amp;TEXT(INDEX(Sprints!$C$5:$C$7,MATCH(I312,Sprints!$A$5:$A$7,0)),"dd/mm"),""))</f>
        <v/>
      </c>
      <c r="K312" s="51"/>
      <c r="L312" s="51"/>
      <c r="M312" s="50" t="str">
        <f t="array" ref="M312">IF(G312="","",IFERROR(IF(AND(L312&lt;&gt;"Done",TODAY()&gt;INDEX(Sprints!$C$5:$C$7,MATCH(I312,Sprints!$A$5:$A$7,0))),"Trễ",""),""))</f>
        <v/>
      </c>
    </row>
    <row r="313" ht="14.25" hidden="1" customHeight="1">
      <c r="F313" s="51"/>
      <c r="H313" s="51"/>
      <c r="I313" s="51"/>
      <c r="J313" s="50" t="str">
        <f t="array" ref="J313">IF(I313="","",IFERROR(TEXT(INDEX(Sprints!$B$5:$B$7,MATCH(I313,Sprints!$A$5:$A$7,0)),"dd/mm")&amp;" – "&amp;TEXT(INDEX(Sprints!$C$5:$C$7,MATCH(I313,Sprints!$A$5:$A$7,0)),"dd/mm"),""))</f>
        <v/>
      </c>
      <c r="K313" s="51"/>
      <c r="L313" s="51"/>
      <c r="M313" s="50" t="str">
        <f t="array" ref="M313">IF(G313="","",IFERROR(IF(AND(L313&lt;&gt;"Done",TODAY()&gt;INDEX(Sprints!$C$5:$C$7,MATCH(I313,Sprints!$A$5:$A$7,0))),"Trễ",""),""))</f>
        <v/>
      </c>
    </row>
    <row r="314" ht="14.25" hidden="1" customHeight="1">
      <c r="F314" s="51"/>
      <c r="H314" s="51"/>
      <c r="I314" s="51"/>
      <c r="J314" s="50" t="str">
        <f t="array" ref="J314">IF(I314="","",IFERROR(TEXT(INDEX(Sprints!$B$5:$B$7,MATCH(I314,Sprints!$A$5:$A$7,0)),"dd/mm")&amp;" – "&amp;TEXT(INDEX(Sprints!$C$5:$C$7,MATCH(I314,Sprints!$A$5:$A$7,0)),"dd/mm"),""))</f>
        <v/>
      </c>
      <c r="K314" s="51"/>
      <c r="L314" s="51"/>
      <c r="M314" s="50" t="str">
        <f t="array" ref="M314">IF(G314="","",IFERROR(IF(AND(L314&lt;&gt;"Done",TODAY()&gt;INDEX(Sprints!$C$5:$C$7,MATCH(I314,Sprints!$A$5:$A$7,0))),"Trễ",""),""))</f>
        <v/>
      </c>
    </row>
    <row r="315" ht="14.25" hidden="1" customHeight="1">
      <c r="F315" s="51"/>
      <c r="H315" s="51"/>
      <c r="I315" s="51"/>
      <c r="J315" s="50" t="str">
        <f t="array" ref="J315">IF(I315="","",IFERROR(TEXT(INDEX(Sprints!$B$5:$B$7,MATCH(I315,Sprints!$A$5:$A$7,0)),"dd/mm")&amp;" – "&amp;TEXT(INDEX(Sprints!$C$5:$C$7,MATCH(I315,Sprints!$A$5:$A$7,0)),"dd/mm"),""))</f>
        <v/>
      </c>
      <c r="K315" s="51"/>
      <c r="L315" s="51"/>
      <c r="M315" s="50" t="str">
        <f t="array" ref="M315">IF(G315="","",IFERROR(IF(AND(L315&lt;&gt;"Done",TODAY()&gt;INDEX(Sprints!$C$5:$C$7,MATCH(I315,Sprints!$A$5:$A$7,0))),"Trễ",""),""))</f>
        <v/>
      </c>
    </row>
    <row r="316" ht="14.25" hidden="1" customHeight="1">
      <c r="F316" s="51"/>
      <c r="H316" s="51"/>
      <c r="I316" s="51"/>
      <c r="J316" s="50" t="str">
        <f t="array" ref="J316">IF(I316="","",IFERROR(TEXT(INDEX(Sprints!$B$5:$B$7,MATCH(I316,Sprints!$A$5:$A$7,0)),"dd/mm")&amp;" – "&amp;TEXT(INDEX(Sprints!$C$5:$C$7,MATCH(I316,Sprints!$A$5:$A$7,0)),"dd/mm"),""))</f>
        <v/>
      </c>
      <c r="K316" s="51"/>
      <c r="L316" s="51"/>
      <c r="M316" s="50" t="str">
        <f t="array" ref="M316">IF(G316="","",IFERROR(IF(AND(L316&lt;&gt;"Done",TODAY()&gt;INDEX(Sprints!$C$5:$C$7,MATCH(I316,Sprints!$A$5:$A$7,0))),"Trễ",""),""))</f>
        <v/>
      </c>
    </row>
    <row r="317" ht="14.25" hidden="1" customHeight="1">
      <c r="F317" s="51"/>
      <c r="H317" s="51"/>
      <c r="I317" s="51"/>
      <c r="J317" s="50" t="str">
        <f t="array" ref="J317">IF(I317="","",IFERROR(TEXT(INDEX(Sprints!$B$5:$B$7,MATCH(I317,Sprints!$A$5:$A$7,0)),"dd/mm")&amp;" – "&amp;TEXT(INDEX(Sprints!$C$5:$C$7,MATCH(I317,Sprints!$A$5:$A$7,0)),"dd/mm"),""))</f>
        <v/>
      </c>
      <c r="K317" s="51"/>
      <c r="L317" s="51"/>
      <c r="M317" s="50" t="str">
        <f t="array" ref="M317">IF(G317="","",IFERROR(IF(AND(L317&lt;&gt;"Done",TODAY()&gt;INDEX(Sprints!$C$5:$C$7,MATCH(I317,Sprints!$A$5:$A$7,0))),"Trễ",""),""))</f>
        <v/>
      </c>
    </row>
    <row r="318" ht="14.25" hidden="1" customHeight="1">
      <c r="F318" s="51"/>
      <c r="H318" s="51"/>
      <c r="I318" s="51"/>
      <c r="J318" s="50" t="str">
        <f t="array" ref="J318">IF(I318="","",IFERROR(TEXT(INDEX(Sprints!$B$5:$B$7,MATCH(I318,Sprints!$A$5:$A$7,0)),"dd/mm")&amp;" – "&amp;TEXT(INDEX(Sprints!$C$5:$C$7,MATCH(I318,Sprints!$A$5:$A$7,0)),"dd/mm"),""))</f>
        <v/>
      </c>
      <c r="K318" s="51"/>
      <c r="L318" s="51"/>
      <c r="M318" s="50" t="str">
        <f t="array" ref="M318">IF(G318="","",IFERROR(IF(AND(L318&lt;&gt;"Done",TODAY()&gt;INDEX(Sprints!$C$5:$C$7,MATCH(I318,Sprints!$A$5:$A$7,0))),"Trễ",""),""))</f>
        <v/>
      </c>
    </row>
    <row r="319" ht="14.25" hidden="1" customHeight="1">
      <c r="F319" s="51"/>
      <c r="H319" s="51"/>
      <c r="I319" s="51"/>
      <c r="J319" s="50" t="str">
        <f t="array" ref="J319">IF(I319="","",IFERROR(TEXT(INDEX(Sprints!$B$5:$B$7,MATCH(I319,Sprints!$A$5:$A$7,0)),"dd/mm")&amp;" – "&amp;TEXT(INDEX(Sprints!$C$5:$C$7,MATCH(I319,Sprints!$A$5:$A$7,0)),"dd/mm"),""))</f>
        <v/>
      </c>
      <c r="K319" s="51"/>
      <c r="L319" s="51"/>
      <c r="M319" s="50" t="str">
        <f t="array" ref="M319">IF(G319="","",IFERROR(IF(AND(L319&lt;&gt;"Done",TODAY()&gt;INDEX(Sprints!$C$5:$C$7,MATCH(I319,Sprints!$A$5:$A$7,0))),"Trễ",""),""))</f>
        <v/>
      </c>
    </row>
    <row r="320" ht="14.25" hidden="1" customHeight="1">
      <c r="F320" s="51"/>
      <c r="H320" s="51"/>
      <c r="I320" s="51"/>
      <c r="J320" s="50" t="str">
        <f t="array" ref="J320">IF(I320="","",IFERROR(TEXT(INDEX(Sprints!$B$5:$B$7,MATCH(I320,Sprints!$A$5:$A$7,0)),"dd/mm")&amp;" – "&amp;TEXT(INDEX(Sprints!$C$5:$C$7,MATCH(I320,Sprints!$A$5:$A$7,0)),"dd/mm"),""))</f>
        <v/>
      </c>
      <c r="K320" s="51"/>
      <c r="L320" s="51"/>
      <c r="M320" s="50" t="str">
        <f t="array" ref="M320">IF(G320="","",IFERROR(IF(AND(L320&lt;&gt;"Done",TODAY()&gt;INDEX(Sprints!$C$5:$C$7,MATCH(I320,Sprints!$A$5:$A$7,0))),"Trễ",""),""))</f>
        <v/>
      </c>
    </row>
    <row r="321" ht="14.25" hidden="1" customHeight="1">
      <c r="F321" s="51"/>
      <c r="H321" s="51"/>
      <c r="I321" s="51"/>
      <c r="J321" s="50" t="str">
        <f t="array" ref="J321">IF(I321="","",IFERROR(TEXT(INDEX(Sprints!$B$5:$B$7,MATCH(I321,Sprints!$A$5:$A$7,0)),"dd/mm")&amp;" – "&amp;TEXT(INDEX(Sprints!$C$5:$C$7,MATCH(I321,Sprints!$A$5:$A$7,0)),"dd/mm"),""))</f>
        <v/>
      </c>
      <c r="K321" s="51"/>
      <c r="L321" s="51"/>
      <c r="M321" s="50" t="str">
        <f t="array" ref="M321">IF(G321="","",IFERROR(IF(AND(L321&lt;&gt;"Done",TODAY()&gt;INDEX(Sprints!$C$5:$C$7,MATCH(I321,Sprints!$A$5:$A$7,0))),"Trễ",""),""))</f>
        <v/>
      </c>
    </row>
    <row r="322" ht="14.25" hidden="1" customHeight="1">
      <c r="F322" s="51"/>
      <c r="H322" s="51"/>
      <c r="I322" s="51"/>
      <c r="J322" s="50" t="str">
        <f t="array" ref="J322">IF(I322="","",IFERROR(TEXT(INDEX(Sprints!$B$5:$B$7,MATCH(I322,Sprints!$A$5:$A$7,0)),"dd/mm")&amp;" – "&amp;TEXT(INDEX(Sprints!$C$5:$C$7,MATCH(I322,Sprints!$A$5:$A$7,0)),"dd/mm"),""))</f>
        <v/>
      </c>
      <c r="K322" s="51"/>
      <c r="L322" s="51"/>
      <c r="M322" s="50" t="str">
        <f t="array" ref="M322">IF(G322="","",IFERROR(IF(AND(L322&lt;&gt;"Done",TODAY()&gt;INDEX(Sprints!$C$5:$C$7,MATCH(I322,Sprints!$A$5:$A$7,0))),"Trễ",""),""))</f>
        <v/>
      </c>
    </row>
    <row r="323" ht="14.25" hidden="1" customHeight="1">
      <c r="F323" s="51"/>
      <c r="H323" s="51"/>
      <c r="I323" s="51"/>
      <c r="J323" s="50" t="str">
        <f t="array" ref="J323">IF(I323="","",IFERROR(TEXT(INDEX(Sprints!$B$5:$B$7,MATCH(I323,Sprints!$A$5:$A$7,0)),"dd/mm")&amp;" – "&amp;TEXT(INDEX(Sprints!$C$5:$C$7,MATCH(I323,Sprints!$A$5:$A$7,0)),"dd/mm"),""))</f>
        <v/>
      </c>
      <c r="K323" s="51"/>
      <c r="L323" s="51"/>
      <c r="M323" s="50" t="str">
        <f t="array" ref="M323">IF(G323="","",IFERROR(IF(AND(L323&lt;&gt;"Done",TODAY()&gt;INDEX(Sprints!$C$5:$C$7,MATCH(I323,Sprints!$A$5:$A$7,0))),"Trễ",""),""))</f>
        <v/>
      </c>
    </row>
    <row r="324" ht="14.25" hidden="1" customHeight="1">
      <c r="F324" s="51"/>
      <c r="H324" s="51"/>
      <c r="I324" s="51"/>
      <c r="J324" s="50" t="str">
        <f t="array" ref="J324">IF(I324="","",IFERROR(TEXT(INDEX(Sprints!$B$5:$B$7,MATCH(I324,Sprints!$A$5:$A$7,0)),"dd/mm")&amp;" – "&amp;TEXT(INDEX(Sprints!$C$5:$C$7,MATCH(I324,Sprints!$A$5:$A$7,0)),"dd/mm"),""))</f>
        <v/>
      </c>
      <c r="K324" s="51"/>
      <c r="L324" s="51"/>
      <c r="M324" s="50" t="str">
        <f t="array" ref="M324">IF(G324="","",IFERROR(IF(AND(L324&lt;&gt;"Done",TODAY()&gt;INDEX(Sprints!$C$5:$C$7,MATCH(I324,Sprints!$A$5:$A$7,0))),"Trễ",""),""))</f>
        <v/>
      </c>
    </row>
    <row r="325" ht="14.25" hidden="1" customHeight="1">
      <c r="F325" s="51"/>
      <c r="H325" s="51"/>
      <c r="I325" s="51"/>
      <c r="J325" s="50" t="str">
        <f t="array" ref="J325">IF(I325="","",IFERROR(TEXT(INDEX(Sprints!$B$5:$B$7,MATCH(I325,Sprints!$A$5:$A$7,0)),"dd/mm")&amp;" – "&amp;TEXT(INDEX(Sprints!$C$5:$C$7,MATCH(I325,Sprints!$A$5:$A$7,0)),"dd/mm"),""))</f>
        <v/>
      </c>
      <c r="K325" s="51"/>
      <c r="L325" s="51"/>
      <c r="M325" s="50" t="str">
        <f t="array" ref="M325">IF(G325="","",IFERROR(IF(AND(L325&lt;&gt;"Done",TODAY()&gt;INDEX(Sprints!$C$5:$C$7,MATCH(I325,Sprints!$A$5:$A$7,0))),"Trễ",""),""))</f>
        <v/>
      </c>
    </row>
    <row r="326" ht="14.25" hidden="1" customHeight="1">
      <c r="F326" s="51"/>
      <c r="H326" s="51"/>
      <c r="I326" s="51"/>
      <c r="J326" s="50" t="str">
        <f t="array" ref="J326">IF(I326="","",IFERROR(TEXT(INDEX(Sprints!$B$5:$B$7,MATCH(I326,Sprints!$A$5:$A$7,0)),"dd/mm")&amp;" – "&amp;TEXT(INDEX(Sprints!$C$5:$C$7,MATCH(I326,Sprints!$A$5:$A$7,0)),"dd/mm"),""))</f>
        <v/>
      </c>
      <c r="K326" s="51"/>
      <c r="L326" s="51"/>
      <c r="M326" s="50" t="str">
        <f t="array" ref="M326">IF(G326="","",IFERROR(IF(AND(L326&lt;&gt;"Done",TODAY()&gt;INDEX(Sprints!$C$5:$C$7,MATCH(I326,Sprints!$A$5:$A$7,0))),"Trễ",""),""))</f>
        <v/>
      </c>
    </row>
    <row r="327" ht="14.25" hidden="1" customHeight="1">
      <c r="F327" s="51"/>
      <c r="H327" s="51"/>
      <c r="I327" s="51"/>
      <c r="J327" s="50" t="str">
        <f t="array" ref="J327">IF(I327="","",IFERROR(TEXT(INDEX(Sprints!$B$5:$B$7,MATCH(I327,Sprints!$A$5:$A$7,0)),"dd/mm")&amp;" – "&amp;TEXT(INDEX(Sprints!$C$5:$C$7,MATCH(I327,Sprints!$A$5:$A$7,0)),"dd/mm"),""))</f>
        <v/>
      </c>
      <c r="K327" s="51"/>
      <c r="L327" s="51"/>
      <c r="M327" s="50" t="str">
        <f t="array" ref="M327">IF(G327="","",IFERROR(IF(AND(L327&lt;&gt;"Done",TODAY()&gt;INDEX(Sprints!$C$5:$C$7,MATCH(I327,Sprints!$A$5:$A$7,0))),"Trễ",""),""))</f>
        <v/>
      </c>
    </row>
    <row r="328" ht="14.25" hidden="1" customHeight="1">
      <c r="F328" s="51"/>
      <c r="H328" s="51"/>
      <c r="I328" s="51"/>
      <c r="J328" s="50" t="str">
        <f t="array" ref="J328">IF(I328="","",IFERROR(TEXT(INDEX(Sprints!$B$5:$B$7,MATCH(I328,Sprints!$A$5:$A$7,0)),"dd/mm")&amp;" – "&amp;TEXT(INDEX(Sprints!$C$5:$C$7,MATCH(I328,Sprints!$A$5:$A$7,0)),"dd/mm"),""))</f>
        <v/>
      </c>
      <c r="K328" s="51"/>
      <c r="L328" s="51"/>
      <c r="M328" s="50" t="str">
        <f t="array" ref="M328">IF(G328="","",IFERROR(IF(AND(L328&lt;&gt;"Done",TODAY()&gt;INDEX(Sprints!$C$5:$C$7,MATCH(I328,Sprints!$A$5:$A$7,0))),"Trễ",""),""))</f>
        <v/>
      </c>
    </row>
    <row r="329" ht="14.25" hidden="1" customHeight="1">
      <c r="F329" s="51"/>
      <c r="H329" s="51"/>
      <c r="I329" s="51"/>
      <c r="J329" s="50" t="str">
        <f t="array" ref="J329">IF(I329="","",IFERROR(TEXT(INDEX(Sprints!$B$5:$B$7,MATCH(I329,Sprints!$A$5:$A$7,0)),"dd/mm")&amp;" – "&amp;TEXT(INDEX(Sprints!$C$5:$C$7,MATCH(I329,Sprints!$A$5:$A$7,0)),"dd/mm"),""))</f>
        <v/>
      </c>
      <c r="K329" s="51"/>
      <c r="L329" s="51"/>
      <c r="M329" s="50" t="str">
        <f t="array" ref="M329">IF(G329="","",IFERROR(IF(AND(L329&lt;&gt;"Done",TODAY()&gt;INDEX(Sprints!$C$5:$C$7,MATCH(I329,Sprints!$A$5:$A$7,0))),"Trễ",""),""))</f>
        <v/>
      </c>
    </row>
    <row r="330" ht="14.25" hidden="1" customHeight="1">
      <c r="F330" s="51"/>
      <c r="H330" s="51"/>
      <c r="I330" s="51"/>
      <c r="J330" s="50" t="str">
        <f t="array" ref="J330">IF(I330="","",IFERROR(TEXT(INDEX(Sprints!$B$5:$B$7,MATCH(I330,Sprints!$A$5:$A$7,0)),"dd/mm")&amp;" – "&amp;TEXT(INDEX(Sprints!$C$5:$C$7,MATCH(I330,Sprints!$A$5:$A$7,0)),"dd/mm"),""))</f>
        <v/>
      </c>
      <c r="K330" s="51"/>
      <c r="L330" s="51"/>
      <c r="M330" s="50" t="str">
        <f t="array" ref="M330">IF(G330="","",IFERROR(IF(AND(L330&lt;&gt;"Done",TODAY()&gt;INDEX(Sprints!$C$5:$C$7,MATCH(I330,Sprints!$A$5:$A$7,0))),"Trễ",""),""))</f>
        <v/>
      </c>
    </row>
    <row r="331" ht="14.25" hidden="1" customHeight="1">
      <c r="F331" s="51"/>
      <c r="H331" s="51"/>
      <c r="I331" s="51"/>
      <c r="J331" s="50" t="str">
        <f t="array" ref="J331">IF(I331="","",IFERROR(TEXT(INDEX(Sprints!$B$5:$B$7,MATCH(I331,Sprints!$A$5:$A$7,0)),"dd/mm")&amp;" – "&amp;TEXT(INDEX(Sprints!$C$5:$C$7,MATCH(I331,Sprints!$A$5:$A$7,0)),"dd/mm"),""))</f>
        <v/>
      </c>
      <c r="K331" s="51"/>
      <c r="L331" s="51"/>
      <c r="M331" s="50" t="str">
        <f t="array" ref="M331">IF(G331="","",IFERROR(IF(AND(L331&lt;&gt;"Done",TODAY()&gt;INDEX(Sprints!$C$5:$C$7,MATCH(I331,Sprints!$A$5:$A$7,0))),"Trễ",""),""))</f>
        <v/>
      </c>
    </row>
    <row r="332" ht="14.25" hidden="1" customHeight="1">
      <c r="F332" s="51"/>
      <c r="H332" s="51"/>
      <c r="I332" s="51"/>
      <c r="J332" s="50" t="str">
        <f t="array" ref="J332">IF(I332="","",IFERROR(TEXT(INDEX(Sprints!$B$5:$B$7,MATCH(I332,Sprints!$A$5:$A$7,0)),"dd/mm")&amp;" – "&amp;TEXT(INDEX(Sprints!$C$5:$C$7,MATCH(I332,Sprints!$A$5:$A$7,0)),"dd/mm"),""))</f>
        <v/>
      </c>
      <c r="K332" s="51"/>
      <c r="L332" s="51"/>
      <c r="M332" s="50" t="str">
        <f t="array" ref="M332">IF(G332="","",IFERROR(IF(AND(L332&lt;&gt;"Done",TODAY()&gt;INDEX(Sprints!$C$5:$C$7,MATCH(I332,Sprints!$A$5:$A$7,0))),"Trễ",""),""))</f>
        <v/>
      </c>
    </row>
    <row r="333" ht="14.25" hidden="1" customHeight="1">
      <c r="F333" s="51"/>
      <c r="H333" s="51"/>
      <c r="I333" s="51"/>
      <c r="J333" s="50" t="str">
        <f t="array" ref="J333">IF(I333="","",IFERROR(TEXT(INDEX(Sprints!$B$5:$B$7,MATCH(I333,Sprints!$A$5:$A$7,0)),"dd/mm")&amp;" – "&amp;TEXT(INDEX(Sprints!$C$5:$C$7,MATCH(I333,Sprints!$A$5:$A$7,0)),"dd/mm"),""))</f>
        <v/>
      </c>
      <c r="K333" s="51"/>
      <c r="L333" s="51"/>
      <c r="M333" s="50" t="str">
        <f t="array" ref="M333">IF(G333="","",IFERROR(IF(AND(L333&lt;&gt;"Done",TODAY()&gt;INDEX(Sprints!$C$5:$C$7,MATCH(I333,Sprints!$A$5:$A$7,0))),"Trễ",""),""))</f>
        <v/>
      </c>
    </row>
    <row r="334" ht="14.25" hidden="1" customHeight="1">
      <c r="F334" s="51"/>
      <c r="H334" s="51"/>
      <c r="I334" s="51"/>
      <c r="J334" s="50" t="str">
        <f t="array" ref="J334">IF(I334="","",IFERROR(TEXT(INDEX(Sprints!$B$5:$B$7,MATCH(I334,Sprints!$A$5:$A$7,0)),"dd/mm")&amp;" – "&amp;TEXT(INDEX(Sprints!$C$5:$C$7,MATCH(I334,Sprints!$A$5:$A$7,0)),"dd/mm"),""))</f>
        <v/>
      </c>
      <c r="K334" s="51"/>
      <c r="L334" s="51"/>
      <c r="M334" s="50" t="str">
        <f t="array" ref="M334">IF(G334="","",IFERROR(IF(AND(L334&lt;&gt;"Done",TODAY()&gt;INDEX(Sprints!$C$5:$C$7,MATCH(I334,Sprints!$A$5:$A$7,0))),"Trễ",""),""))</f>
        <v/>
      </c>
    </row>
    <row r="335" ht="14.25" hidden="1" customHeight="1">
      <c r="F335" s="51"/>
      <c r="H335" s="51"/>
      <c r="I335" s="51"/>
      <c r="J335" s="50" t="str">
        <f t="array" ref="J335">IF(I335="","",IFERROR(TEXT(INDEX(Sprints!$B$5:$B$7,MATCH(I335,Sprints!$A$5:$A$7,0)),"dd/mm")&amp;" – "&amp;TEXT(INDEX(Sprints!$C$5:$C$7,MATCH(I335,Sprints!$A$5:$A$7,0)),"dd/mm"),""))</f>
        <v/>
      </c>
      <c r="K335" s="51"/>
      <c r="L335" s="51"/>
      <c r="M335" s="50" t="str">
        <f t="array" ref="M335">IF(G335="","",IFERROR(IF(AND(L335&lt;&gt;"Done",TODAY()&gt;INDEX(Sprints!$C$5:$C$7,MATCH(I335,Sprints!$A$5:$A$7,0))),"Trễ",""),""))</f>
        <v/>
      </c>
    </row>
    <row r="336" ht="14.25" hidden="1" customHeight="1">
      <c r="F336" s="51"/>
      <c r="H336" s="51"/>
      <c r="I336" s="51"/>
      <c r="J336" s="50" t="str">
        <f t="array" ref="J336">IF(I336="","",IFERROR(TEXT(INDEX(Sprints!$B$5:$B$7,MATCH(I336,Sprints!$A$5:$A$7,0)),"dd/mm")&amp;" – "&amp;TEXT(INDEX(Sprints!$C$5:$C$7,MATCH(I336,Sprints!$A$5:$A$7,0)),"dd/mm"),""))</f>
        <v/>
      </c>
      <c r="K336" s="51"/>
      <c r="L336" s="51"/>
      <c r="M336" s="50" t="str">
        <f t="array" ref="M336">IF(G336="","",IFERROR(IF(AND(L336&lt;&gt;"Done",TODAY()&gt;INDEX(Sprints!$C$5:$C$7,MATCH(I336,Sprints!$A$5:$A$7,0))),"Trễ",""),""))</f>
        <v/>
      </c>
    </row>
    <row r="337" ht="14.25" hidden="1" customHeight="1">
      <c r="F337" s="51"/>
      <c r="H337" s="51"/>
      <c r="I337" s="51"/>
      <c r="J337" s="50" t="str">
        <f t="array" ref="J337">IF(I337="","",IFERROR(TEXT(INDEX(Sprints!$B$5:$B$7,MATCH(I337,Sprints!$A$5:$A$7,0)),"dd/mm")&amp;" – "&amp;TEXT(INDEX(Sprints!$C$5:$C$7,MATCH(I337,Sprints!$A$5:$A$7,0)),"dd/mm"),""))</f>
        <v/>
      </c>
      <c r="K337" s="51"/>
      <c r="L337" s="51"/>
      <c r="M337" s="50" t="str">
        <f t="array" ref="M337">IF(G337="","",IFERROR(IF(AND(L337&lt;&gt;"Done",TODAY()&gt;INDEX(Sprints!$C$5:$C$7,MATCH(I337,Sprints!$A$5:$A$7,0))),"Trễ",""),""))</f>
        <v/>
      </c>
    </row>
    <row r="338" ht="14.25" hidden="1" customHeight="1">
      <c r="F338" s="51"/>
      <c r="H338" s="51"/>
      <c r="I338" s="51"/>
      <c r="J338" s="50" t="str">
        <f t="array" ref="J338">IF(I338="","",IFERROR(TEXT(INDEX(Sprints!$B$5:$B$7,MATCH(I338,Sprints!$A$5:$A$7,0)),"dd/mm")&amp;" – "&amp;TEXT(INDEX(Sprints!$C$5:$C$7,MATCH(I338,Sprints!$A$5:$A$7,0)),"dd/mm"),""))</f>
        <v/>
      </c>
      <c r="K338" s="51"/>
      <c r="L338" s="51"/>
      <c r="M338" s="50" t="str">
        <f t="array" ref="M338">IF(G338="","",IFERROR(IF(AND(L338&lt;&gt;"Done",TODAY()&gt;INDEX(Sprints!$C$5:$C$7,MATCH(I338,Sprints!$A$5:$A$7,0))),"Trễ",""),""))</f>
        <v/>
      </c>
    </row>
    <row r="339" ht="14.25" hidden="1" customHeight="1">
      <c r="F339" s="51"/>
      <c r="H339" s="51"/>
      <c r="I339" s="51"/>
      <c r="J339" s="50" t="str">
        <f t="array" ref="J339">IF(I339="","",IFERROR(TEXT(INDEX(Sprints!$B$5:$B$7,MATCH(I339,Sprints!$A$5:$A$7,0)),"dd/mm")&amp;" – "&amp;TEXT(INDEX(Sprints!$C$5:$C$7,MATCH(I339,Sprints!$A$5:$A$7,0)),"dd/mm"),""))</f>
        <v/>
      </c>
      <c r="K339" s="51"/>
      <c r="L339" s="51"/>
      <c r="M339" s="50" t="str">
        <f t="array" ref="M339">IF(G339="","",IFERROR(IF(AND(L339&lt;&gt;"Done",TODAY()&gt;INDEX(Sprints!$C$5:$C$7,MATCH(I339,Sprints!$A$5:$A$7,0))),"Trễ",""),""))</f>
        <v/>
      </c>
    </row>
    <row r="340" ht="14.25" hidden="1" customHeight="1">
      <c r="F340" s="51"/>
      <c r="H340" s="51"/>
      <c r="I340" s="51"/>
      <c r="J340" s="50" t="str">
        <f t="array" ref="J340">IF(I340="","",IFERROR(TEXT(INDEX(Sprints!$B$5:$B$7,MATCH(I340,Sprints!$A$5:$A$7,0)),"dd/mm")&amp;" – "&amp;TEXT(INDEX(Sprints!$C$5:$C$7,MATCH(I340,Sprints!$A$5:$A$7,0)),"dd/mm"),""))</f>
        <v/>
      </c>
      <c r="K340" s="51"/>
      <c r="L340" s="51"/>
      <c r="M340" s="50" t="str">
        <f t="array" ref="M340">IF(G340="","",IFERROR(IF(AND(L340&lt;&gt;"Done",TODAY()&gt;INDEX(Sprints!$C$5:$C$7,MATCH(I340,Sprints!$A$5:$A$7,0))),"Trễ",""),""))</f>
        <v/>
      </c>
    </row>
    <row r="341" ht="14.25" hidden="1" customHeight="1">
      <c r="F341" s="51"/>
      <c r="H341" s="51"/>
      <c r="I341" s="51"/>
      <c r="J341" s="50" t="str">
        <f t="array" ref="J341">IF(I341="","",IFERROR(TEXT(INDEX(Sprints!$B$5:$B$7,MATCH(I341,Sprints!$A$5:$A$7,0)),"dd/mm")&amp;" – "&amp;TEXT(INDEX(Sprints!$C$5:$C$7,MATCH(I341,Sprints!$A$5:$A$7,0)),"dd/mm"),""))</f>
        <v/>
      </c>
      <c r="K341" s="51"/>
      <c r="L341" s="51"/>
      <c r="M341" s="50" t="str">
        <f t="array" ref="M341">IF(G341="","",IFERROR(IF(AND(L341&lt;&gt;"Done",TODAY()&gt;INDEX(Sprints!$C$5:$C$7,MATCH(I341,Sprints!$A$5:$A$7,0))),"Trễ",""),""))</f>
        <v/>
      </c>
    </row>
    <row r="342" ht="14.25" hidden="1" customHeight="1">
      <c r="F342" s="51"/>
      <c r="H342" s="51"/>
      <c r="I342" s="51"/>
      <c r="J342" s="50" t="str">
        <f t="array" ref="J342">IF(I342="","",IFERROR(TEXT(INDEX(Sprints!$B$5:$B$7,MATCH(I342,Sprints!$A$5:$A$7,0)),"dd/mm")&amp;" – "&amp;TEXT(INDEX(Sprints!$C$5:$C$7,MATCH(I342,Sprints!$A$5:$A$7,0)),"dd/mm"),""))</f>
        <v/>
      </c>
      <c r="K342" s="51"/>
      <c r="L342" s="51"/>
      <c r="M342" s="50" t="str">
        <f t="array" ref="M342">IF(G342="","",IFERROR(IF(AND(L342&lt;&gt;"Done",TODAY()&gt;INDEX(Sprints!$C$5:$C$7,MATCH(I342,Sprints!$A$5:$A$7,0))),"Trễ",""),""))</f>
        <v/>
      </c>
    </row>
    <row r="343" ht="14.25" hidden="1" customHeight="1">
      <c r="F343" s="51"/>
      <c r="H343" s="51"/>
      <c r="I343" s="51"/>
      <c r="J343" s="50" t="str">
        <f t="array" ref="J343">IF(I343="","",IFERROR(TEXT(INDEX(Sprints!$B$5:$B$7,MATCH(I343,Sprints!$A$5:$A$7,0)),"dd/mm")&amp;" – "&amp;TEXT(INDEX(Sprints!$C$5:$C$7,MATCH(I343,Sprints!$A$5:$A$7,0)),"dd/mm"),""))</f>
        <v/>
      </c>
      <c r="K343" s="51"/>
      <c r="L343" s="51"/>
      <c r="M343" s="50" t="str">
        <f t="array" ref="M343">IF(G343="","",IFERROR(IF(AND(L343&lt;&gt;"Done",TODAY()&gt;INDEX(Sprints!$C$5:$C$7,MATCH(I343,Sprints!$A$5:$A$7,0))),"Trễ",""),""))</f>
        <v/>
      </c>
    </row>
    <row r="344" ht="14.25" hidden="1" customHeight="1">
      <c r="F344" s="51"/>
      <c r="H344" s="51"/>
      <c r="I344" s="51"/>
      <c r="J344" s="50" t="str">
        <f t="array" ref="J344">IF(I344="","",IFERROR(TEXT(INDEX(Sprints!$B$5:$B$7,MATCH(I344,Sprints!$A$5:$A$7,0)),"dd/mm")&amp;" – "&amp;TEXT(INDEX(Sprints!$C$5:$C$7,MATCH(I344,Sprints!$A$5:$A$7,0)),"dd/mm"),""))</f>
        <v/>
      </c>
      <c r="K344" s="51"/>
      <c r="L344" s="51"/>
      <c r="M344" s="50" t="str">
        <f t="array" ref="M344">IF(G344="","",IFERROR(IF(AND(L344&lt;&gt;"Done",TODAY()&gt;INDEX(Sprints!$C$5:$C$7,MATCH(I344,Sprints!$A$5:$A$7,0))),"Trễ",""),""))</f>
        <v/>
      </c>
    </row>
    <row r="345" ht="14.25" hidden="1" customHeight="1">
      <c r="F345" s="51"/>
      <c r="H345" s="51"/>
      <c r="I345" s="51"/>
      <c r="J345" s="50" t="str">
        <f t="array" ref="J345">IF(I345="","",IFERROR(TEXT(INDEX(Sprints!$B$5:$B$7,MATCH(I345,Sprints!$A$5:$A$7,0)),"dd/mm")&amp;" – "&amp;TEXT(INDEX(Sprints!$C$5:$C$7,MATCH(I345,Sprints!$A$5:$A$7,0)),"dd/mm"),""))</f>
        <v/>
      </c>
      <c r="K345" s="51"/>
      <c r="L345" s="51"/>
      <c r="M345" s="50" t="str">
        <f t="array" ref="M345">IF(G345="","",IFERROR(IF(AND(L345&lt;&gt;"Done",TODAY()&gt;INDEX(Sprints!$C$5:$C$7,MATCH(I345,Sprints!$A$5:$A$7,0))),"Trễ",""),""))</f>
        <v/>
      </c>
    </row>
    <row r="346" ht="14.25" hidden="1" customHeight="1">
      <c r="F346" s="51"/>
      <c r="H346" s="51"/>
      <c r="I346" s="51"/>
      <c r="J346" s="50" t="str">
        <f t="array" ref="J346">IF(I346="","",IFERROR(TEXT(INDEX(Sprints!$B$5:$B$7,MATCH(I346,Sprints!$A$5:$A$7,0)),"dd/mm")&amp;" – "&amp;TEXT(INDEX(Sprints!$C$5:$C$7,MATCH(I346,Sprints!$A$5:$A$7,0)),"dd/mm"),""))</f>
        <v/>
      </c>
      <c r="K346" s="51"/>
      <c r="L346" s="51"/>
      <c r="M346" s="50" t="str">
        <f t="array" ref="M346">IF(G346="","",IFERROR(IF(AND(L346&lt;&gt;"Done",TODAY()&gt;INDEX(Sprints!$C$5:$C$7,MATCH(I346,Sprints!$A$5:$A$7,0))),"Trễ",""),""))</f>
        <v/>
      </c>
    </row>
    <row r="347" ht="14.25" hidden="1" customHeight="1">
      <c r="F347" s="51"/>
      <c r="H347" s="51"/>
      <c r="I347" s="51"/>
      <c r="J347" s="50" t="str">
        <f t="array" ref="J347">IF(I347="","",IFERROR(TEXT(INDEX(Sprints!$B$5:$B$7,MATCH(I347,Sprints!$A$5:$A$7,0)),"dd/mm")&amp;" – "&amp;TEXT(INDEX(Sprints!$C$5:$C$7,MATCH(I347,Sprints!$A$5:$A$7,0)),"dd/mm"),""))</f>
        <v/>
      </c>
      <c r="K347" s="51"/>
      <c r="L347" s="51"/>
      <c r="M347" s="50" t="str">
        <f t="array" ref="M347">IF(G347="","",IFERROR(IF(AND(L347&lt;&gt;"Done",TODAY()&gt;INDEX(Sprints!$C$5:$C$7,MATCH(I347,Sprints!$A$5:$A$7,0))),"Trễ",""),""))</f>
        <v/>
      </c>
    </row>
    <row r="348" ht="14.25" hidden="1" customHeight="1">
      <c r="F348" s="51"/>
      <c r="H348" s="51"/>
      <c r="I348" s="51"/>
      <c r="J348" s="50" t="str">
        <f t="array" ref="J348">IF(I348="","",IFERROR(TEXT(INDEX(Sprints!$B$5:$B$7,MATCH(I348,Sprints!$A$5:$A$7,0)),"dd/mm")&amp;" – "&amp;TEXT(INDEX(Sprints!$C$5:$C$7,MATCH(I348,Sprints!$A$5:$A$7,0)),"dd/mm"),""))</f>
        <v/>
      </c>
      <c r="K348" s="51"/>
      <c r="L348" s="51"/>
      <c r="M348" s="50" t="str">
        <f t="array" ref="M348">IF(G348="","",IFERROR(IF(AND(L348&lt;&gt;"Done",TODAY()&gt;INDEX(Sprints!$C$5:$C$7,MATCH(I348,Sprints!$A$5:$A$7,0))),"Trễ",""),""))</f>
        <v/>
      </c>
    </row>
    <row r="349" ht="14.25" hidden="1" customHeight="1">
      <c r="F349" s="51"/>
      <c r="H349" s="51"/>
      <c r="I349" s="51"/>
      <c r="J349" s="50" t="str">
        <f t="array" ref="J349">IF(I349="","",IFERROR(TEXT(INDEX(Sprints!$B$5:$B$7,MATCH(I349,Sprints!$A$5:$A$7,0)),"dd/mm")&amp;" – "&amp;TEXT(INDEX(Sprints!$C$5:$C$7,MATCH(I349,Sprints!$A$5:$A$7,0)),"dd/mm"),""))</f>
        <v/>
      </c>
      <c r="K349" s="51"/>
      <c r="L349" s="51"/>
      <c r="M349" s="50" t="str">
        <f t="array" ref="M349">IF(G349="","",IFERROR(IF(AND(L349&lt;&gt;"Done",TODAY()&gt;INDEX(Sprints!$C$5:$C$7,MATCH(I349,Sprints!$A$5:$A$7,0))),"Trễ",""),""))</f>
        <v/>
      </c>
    </row>
    <row r="350" ht="14.25" hidden="1" customHeight="1">
      <c r="F350" s="51"/>
      <c r="H350" s="51"/>
      <c r="I350" s="51"/>
      <c r="J350" s="50" t="str">
        <f t="array" ref="J350">IF(I350="","",IFERROR(TEXT(INDEX(Sprints!$B$5:$B$7,MATCH(I350,Sprints!$A$5:$A$7,0)),"dd/mm")&amp;" – "&amp;TEXT(INDEX(Sprints!$C$5:$C$7,MATCH(I350,Sprints!$A$5:$A$7,0)),"dd/mm"),""))</f>
        <v/>
      </c>
      <c r="K350" s="51"/>
      <c r="L350" s="51"/>
      <c r="M350" s="50" t="str">
        <f t="array" ref="M350">IF(G350="","",IFERROR(IF(AND(L350&lt;&gt;"Done",TODAY()&gt;INDEX(Sprints!$C$5:$C$7,MATCH(I350,Sprints!$A$5:$A$7,0))),"Trễ",""),""))</f>
        <v/>
      </c>
    </row>
    <row r="351" ht="14.25" hidden="1" customHeight="1">
      <c r="F351" s="51"/>
      <c r="H351" s="51"/>
      <c r="I351" s="51"/>
      <c r="J351" s="50" t="str">
        <f t="array" ref="J351">IF(I351="","",IFERROR(TEXT(INDEX(Sprints!$B$5:$B$7,MATCH(I351,Sprints!$A$5:$A$7,0)),"dd/mm")&amp;" – "&amp;TEXT(INDEX(Sprints!$C$5:$C$7,MATCH(I351,Sprints!$A$5:$A$7,0)),"dd/mm"),""))</f>
        <v/>
      </c>
      <c r="K351" s="51"/>
      <c r="L351" s="51"/>
      <c r="M351" s="50" t="str">
        <f t="array" ref="M351">IF(G351="","",IFERROR(IF(AND(L351&lt;&gt;"Done",TODAY()&gt;INDEX(Sprints!$C$5:$C$7,MATCH(I351,Sprints!$A$5:$A$7,0))),"Trễ",""),""))</f>
        <v/>
      </c>
    </row>
    <row r="352" ht="14.25" hidden="1" customHeight="1">
      <c r="F352" s="51"/>
      <c r="H352" s="51"/>
      <c r="I352" s="51"/>
      <c r="J352" s="50" t="str">
        <f t="array" ref="J352">IF(I352="","",IFERROR(TEXT(INDEX(Sprints!$B$5:$B$7,MATCH(I352,Sprints!$A$5:$A$7,0)),"dd/mm")&amp;" – "&amp;TEXT(INDEX(Sprints!$C$5:$C$7,MATCH(I352,Sprints!$A$5:$A$7,0)),"dd/mm"),""))</f>
        <v/>
      </c>
      <c r="K352" s="51"/>
      <c r="L352" s="51"/>
      <c r="M352" s="50" t="str">
        <f t="array" ref="M352">IF(G352="","",IFERROR(IF(AND(L352&lt;&gt;"Done",TODAY()&gt;INDEX(Sprints!$C$5:$C$7,MATCH(I352,Sprints!$A$5:$A$7,0))),"Trễ",""),""))</f>
        <v/>
      </c>
    </row>
    <row r="353" ht="14.25" hidden="1" customHeight="1">
      <c r="F353" s="51"/>
      <c r="H353" s="51"/>
      <c r="I353" s="51"/>
      <c r="J353" s="50" t="str">
        <f t="array" ref="J353">IF(I353="","",IFERROR(TEXT(INDEX(Sprints!$B$5:$B$7,MATCH(I353,Sprints!$A$5:$A$7,0)),"dd/mm")&amp;" – "&amp;TEXT(INDEX(Sprints!$C$5:$C$7,MATCH(I353,Sprints!$A$5:$A$7,0)),"dd/mm"),""))</f>
        <v/>
      </c>
      <c r="K353" s="51"/>
      <c r="L353" s="51"/>
      <c r="M353" s="50" t="str">
        <f t="array" ref="M353">IF(G353="","",IFERROR(IF(AND(L353&lt;&gt;"Done",TODAY()&gt;INDEX(Sprints!$C$5:$C$7,MATCH(I353,Sprints!$A$5:$A$7,0))),"Trễ",""),""))</f>
        <v/>
      </c>
    </row>
    <row r="354" ht="14.25" hidden="1" customHeight="1">
      <c r="F354" s="51"/>
      <c r="H354" s="51"/>
      <c r="I354" s="51"/>
      <c r="J354" s="50" t="str">
        <f t="array" ref="J354">IF(I354="","",IFERROR(TEXT(INDEX(Sprints!$B$5:$B$7,MATCH(I354,Sprints!$A$5:$A$7,0)),"dd/mm")&amp;" – "&amp;TEXT(INDEX(Sprints!$C$5:$C$7,MATCH(I354,Sprints!$A$5:$A$7,0)),"dd/mm"),""))</f>
        <v/>
      </c>
      <c r="K354" s="51"/>
      <c r="L354" s="51"/>
      <c r="M354" s="50" t="str">
        <f t="array" ref="M354">IF(G354="","",IFERROR(IF(AND(L354&lt;&gt;"Done",TODAY()&gt;INDEX(Sprints!$C$5:$C$7,MATCH(I354,Sprints!$A$5:$A$7,0))),"Trễ",""),""))</f>
        <v/>
      </c>
    </row>
    <row r="355" ht="14.25" hidden="1" customHeight="1">
      <c r="F355" s="51"/>
      <c r="H355" s="51"/>
      <c r="I355" s="51"/>
      <c r="J355" s="50" t="str">
        <f t="array" ref="J355">IF(I355="","",IFERROR(TEXT(INDEX(Sprints!$B$5:$B$7,MATCH(I355,Sprints!$A$5:$A$7,0)),"dd/mm")&amp;" – "&amp;TEXT(INDEX(Sprints!$C$5:$C$7,MATCH(I355,Sprints!$A$5:$A$7,0)),"dd/mm"),""))</f>
        <v/>
      </c>
      <c r="K355" s="51"/>
      <c r="L355" s="51"/>
      <c r="M355" s="50" t="str">
        <f t="array" ref="M355">IF(G355="","",IFERROR(IF(AND(L355&lt;&gt;"Done",TODAY()&gt;INDEX(Sprints!$C$5:$C$7,MATCH(I355,Sprints!$A$5:$A$7,0))),"Trễ",""),""))</f>
        <v/>
      </c>
    </row>
    <row r="356" ht="14.25" hidden="1" customHeight="1">
      <c r="F356" s="51"/>
      <c r="H356" s="51"/>
      <c r="I356" s="51"/>
      <c r="J356" s="50" t="str">
        <f t="array" ref="J356">IF(I356="","",IFERROR(TEXT(INDEX(Sprints!$B$5:$B$7,MATCH(I356,Sprints!$A$5:$A$7,0)),"dd/mm")&amp;" – "&amp;TEXT(INDEX(Sprints!$C$5:$C$7,MATCH(I356,Sprints!$A$5:$A$7,0)),"dd/mm"),""))</f>
        <v/>
      </c>
      <c r="K356" s="51"/>
      <c r="L356" s="51"/>
      <c r="M356" s="50" t="str">
        <f t="array" ref="M356">IF(G356="","",IFERROR(IF(AND(L356&lt;&gt;"Done",TODAY()&gt;INDEX(Sprints!$C$5:$C$7,MATCH(I356,Sprints!$A$5:$A$7,0))),"Trễ",""),""))</f>
        <v/>
      </c>
    </row>
    <row r="357" ht="14.25" hidden="1" customHeight="1">
      <c r="F357" s="51"/>
      <c r="H357" s="51"/>
      <c r="I357" s="51"/>
      <c r="J357" s="50" t="str">
        <f t="array" ref="J357">IF(I357="","",IFERROR(TEXT(INDEX(Sprints!$B$5:$B$7,MATCH(I357,Sprints!$A$5:$A$7,0)),"dd/mm")&amp;" – "&amp;TEXT(INDEX(Sprints!$C$5:$C$7,MATCH(I357,Sprints!$A$5:$A$7,0)),"dd/mm"),""))</f>
        <v/>
      </c>
      <c r="K357" s="51"/>
      <c r="L357" s="51"/>
      <c r="M357" s="50" t="str">
        <f t="array" ref="M357">IF(G357="","",IFERROR(IF(AND(L357&lt;&gt;"Done",TODAY()&gt;INDEX(Sprints!$C$5:$C$7,MATCH(I357,Sprints!$A$5:$A$7,0))),"Trễ",""),""))</f>
        <v/>
      </c>
    </row>
    <row r="358" ht="14.25" hidden="1" customHeight="1">
      <c r="F358" s="51"/>
      <c r="H358" s="51"/>
      <c r="I358" s="51"/>
      <c r="J358" s="50" t="str">
        <f t="array" ref="J358">IF(I358="","",IFERROR(TEXT(INDEX(Sprints!$B$5:$B$7,MATCH(I358,Sprints!$A$5:$A$7,0)),"dd/mm")&amp;" – "&amp;TEXT(INDEX(Sprints!$C$5:$C$7,MATCH(I358,Sprints!$A$5:$A$7,0)),"dd/mm"),""))</f>
        <v/>
      </c>
      <c r="K358" s="51"/>
      <c r="L358" s="51"/>
      <c r="M358" s="50" t="str">
        <f t="array" ref="M358">IF(G358="","",IFERROR(IF(AND(L358&lt;&gt;"Done",TODAY()&gt;INDEX(Sprints!$C$5:$C$7,MATCH(I358,Sprints!$A$5:$A$7,0))),"Trễ",""),""))</f>
        <v/>
      </c>
    </row>
    <row r="359" ht="14.25" hidden="1" customHeight="1">
      <c r="F359" s="51"/>
      <c r="H359" s="51"/>
      <c r="I359" s="51"/>
      <c r="J359" s="50" t="str">
        <f t="array" ref="J359">IF(I359="","",IFERROR(TEXT(INDEX(Sprints!$B$5:$B$7,MATCH(I359,Sprints!$A$5:$A$7,0)),"dd/mm")&amp;" – "&amp;TEXT(INDEX(Sprints!$C$5:$C$7,MATCH(I359,Sprints!$A$5:$A$7,0)),"dd/mm"),""))</f>
        <v/>
      </c>
      <c r="K359" s="51"/>
      <c r="L359" s="51"/>
      <c r="M359" s="50" t="str">
        <f t="array" ref="M359">IF(G359="","",IFERROR(IF(AND(L359&lt;&gt;"Done",TODAY()&gt;INDEX(Sprints!$C$5:$C$7,MATCH(I359,Sprints!$A$5:$A$7,0))),"Trễ",""),""))</f>
        <v/>
      </c>
    </row>
    <row r="360" ht="14.25" hidden="1" customHeight="1">
      <c r="F360" s="51"/>
      <c r="H360" s="51"/>
      <c r="I360" s="51"/>
      <c r="J360" s="50" t="str">
        <f t="array" ref="J360">IF(I360="","",IFERROR(TEXT(INDEX(Sprints!$B$5:$B$7,MATCH(I360,Sprints!$A$5:$A$7,0)),"dd/mm")&amp;" – "&amp;TEXT(INDEX(Sprints!$C$5:$C$7,MATCH(I360,Sprints!$A$5:$A$7,0)),"dd/mm"),""))</f>
        <v/>
      </c>
      <c r="K360" s="51"/>
      <c r="L360" s="51"/>
      <c r="M360" s="50" t="str">
        <f t="array" ref="M360">IF(G360="","",IFERROR(IF(AND(L360&lt;&gt;"Done",TODAY()&gt;INDEX(Sprints!$C$5:$C$7,MATCH(I360,Sprints!$A$5:$A$7,0))),"Trễ",""),""))</f>
        <v/>
      </c>
    </row>
    <row r="361" ht="14.25" hidden="1" customHeight="1">
      <c r="F361" s="51"/>
      <c r="H361" s="51"/>
      <c r="I361" s="51"/>
      <c r="J361" s="50" t="str">
        <f t="array" ref="J361">IF(I361="","",IFERROR(TEXT(INDEX(Sprints!$B$5:$B$7,MATCH(I361,Sprints!$A$5:$A$7,0)),"dd/mm")&amp;" – "&amp;TEXT(INDEX(Sprints!$C$5:$C$7,MATCH(I361,Sprints!$A$5:$A$7,0)),"dd/mm"),""))</f>
        <v/>
      </c>
      <c r="K361" s="51"/>
      <c r="L361" s="51"/>
      <c r="M361" s="50" t="str">
        <f t="array" ref="M361">IF(G361="","",IFERROR(IF(AND(L361&lt;&gt;"Done",TODAY()&gt;INDEX(Sprints!$C$5:$C$7,MATCH(I361,Sprints!$A$5:$A$7,0))),"Trễ",""),""))</f>
        <v/>
      </c>
    </row>
    <row r="362" ht="14.25" hidden="1" customHeight="1">
      <c r="F362" s="51"/>
      <c r="H362" s="51"/>
      <c r="I362" s="51"/>
      <c r="J362" s="50" t="str">
        <f t="array" ref="J362">IF(I362="","",IFERROR(TEXT(INDEX(Sprints!$B$5:$B$7,MATCH(I362,Sprints!$A$5:$A$7,0)),"dd/mm")&amp;" – "&amp;TEXT(INDEX(Sprints!$C$5:$C$7,MATCH(I362,Sprints!$A$5:$A$7,0)),"dd/mm"),""))</f>
        <v/>
      </c>
      <c r="K362" s="51"/>
      <c r="L362" s="51"/>
      <c r="M362" s="50" t="str">
        <f t="array" ref="M362">IF(G362="","",IFERROR(IF(AND(L362&lt;&gt;"Done",TODAY()&gt;INDEX(Sprints!$C$5:$C$7,MATCH(I362,Sprints!$A$5:$A$7,0))),"Trễ",""),""))</f>
        <v/>
      </c>
    </row>
    <row r="363" ht="14.25" hidden="1" customHeight="1">
      <c r="F363" s="51"/>
      <c r="H363" s="51"/>
      <c r="I363" s="51"/>
      <c r="J363" s="50" t="str">
        <f t="array" ref="J363">IF(I363="","",IFERROR(TEXT(INDEX(Sprints!$B$5:$B$7,MATCH(I363,Sprints!$A$5:$A$7,0)),"dd/mm")&amp;" – "&amp;TEXT(INDEX(Sprints!$C$5:$C$7,MATCH(I363,Sprints!$A$5:$A$7,0)),"dd/mm"),""))</f>
        <v/>
      </c>
      <c r="K363" s="51"/>
      <c r="L363" s="51"/>
      <c r="M363" s="50" t="str">
        <f t="array" ref="M363">IF(G363="","",IFERROR(IF(AND(L363&lt;&gt;"Done",TODAY()&gt;INDEX(Sprints!$C$5:$C$7,MATCH(I363,Sprints!$A$5:$A$7,0))),"Trễ",""),""))</f>
        <v/>
      </c>
    </row>
    <row r="364" ht="14.25" hidden="1" customHeight="1">
      <c r="F364" s="51"/>
      <c r="H364" s="51"/>
      <c r="I364" s="51"/>
      <c r="J364" s="50" t="str">
        <f t="array" ref="J364">IF(I364="","",IFERROR(TEXT(INDEX(Sprints!$B$5:$B$7,MATCH(I364,Sprints!$A$5:$A$7,0)),"dd/mm")&amp;" – "&amp;TEXT(INDEX(Sprints!$C$5:$C$7,MATCH(I364,Sprints!$A$5:$A$7,0)),"dd/mm"),""))</f>
        <v/>
      </c>
      <c r="K364" s="51"/>
      <c r="L364" s="51"/>
      <c r="M364" s="50" t="str">
        <f t="array" ref="M364">IF(G364="","",IFERROR(IF(AND(L364&lt;&gt;"Done",TODAY()&gt;INDEX(Sprints!$C$5:$C$7,MATCH(I364,Sprints!$A$5:$A$7,0))),"Trễ",""),""))</f>
        <v/>
      </c>
    </row>
    <row r="365" ht="14.25" hidden="1" customHeight="1">
      <c r="F365" s="51"/>
      <c r="H365" s="51"/>
      <c r="I365" s="51"/>
      <c r="J365" s="50" t="str">
        <f t="array" ref="J365">IF(I365="","",IFERROR(TEXT(INDEX(Sprints!$B$5:$B$7,MATCH(I365,Sprints!$A$5:$A$7,0)),"dd/mm")&amp;" – "&amp;TEXT(INDEX(Sprints!$C$5:$C$7,MATCH(I365,Sprints!$A$5:$A$7,0)),"dd/mm"),""))</f>
        <v/>
      </c>
      <c r="K365" s="51"/>
      <c r="L365" s="51"/>
      <c r="M365" s="50" t="str">
        <f t="array" ref="M365">IF(G365="","",IFERROR(IF(AND(L365&lt;&gt;"Done",TODAY()&gt;INDEX(Sprints!$C$5:$C$7,MATCH(I365,Sprints!$A$5:$A$7,0))),"Trễ",""),""))</f>
        <v/>
      </c>
    </row>
    <row r="366" ht="14.25" hidden="1" customHeight="1">
      <c r="F366" s="51"/>
      <c r="H366" s="51"/>
      <c r="I366" s="51"/>
      <c r="J366" s="50" t="str">
        <f t="array" ref="J366">IF(I366="","",IFERROR(TEXT(INDEX(Sprints!$B$5:$B$7,MATCH(I366,Sprints!$A$5:$A$7,0)),"dd/mm")&amp;" – "&amp;TEXT(INDEX(Sprints!$C$5:$C$7,MATCH(I366,Sprints!$A$5:$A$7,0)),"dd/mm"),""))</f>
        <v/>
      </c>
      <c r="K366" s="51"/>
      <c r="L366" s="51"/>
      <c r="M366" s="50" t="str">
        <f t="array" ref="M366">IF(G366="","",IFERROR(IF(AND(L366&lt;&gt;"Done",TODAY()&gt;INDEX(Sprints!$C$5:$C$7,MATCH(I366,Sprints!$A$5:$A$7,0))),"Trễ",""),""))</f>
        <v/>
      </c>
    </row>
    <row r="367" ht="14.25" hidden="1" customHeight="1">
      <c r="F367" s="51"/>
      <c r="H367" s="51"/>
      <c r="I367" s="51"/>
      <c r="J367" s="50" t="str">
        <f t="array" ref="J367">IF(I367="","",IFERROR(TEXT(INDEX(Sprints!$B$5:$B$7,MATCH(I367,Sprints!$A$5:$A$7,0)),"dd/mm")&amp;" – "&amp;TEXT(INDEX(Sprints!$C$5:$C$7,MATCH(I367,Sprints!$A$5:$A$7,0)),"dd/mm"),""))</f>
        <v/>
      </c>
      <c r="K367" s="51"/>
      <c r="L367" s="51"/>
      <c r="M367" s="50" t="str">
        <f t="array" ref="M367">IF(G367="","",IFERROR(IF(AND(L367&lt;&gt;"Done",TODAY()&gt;INDEX(Sprints!$C$5:$C$7,MATCH(I367,Sprints!$A$5:$A$7,0))),"Trễ",""),""))</f>
        <v/>
      </c>
    </row>
    <row r="368" ht="14.25" hidden="1" customHeight="1">
      <c r="F368" s="51"/>
      <c r="H368" s="51"/>
      <c r="I368" s="51"/>
      <c r="J368" s="50" t="str">
        <f t="array" ref="J368">IF(I368="","",IFERROR(TEXT(INDEX(Sprints!$B$5:$B$7,MATCH(I368,Sprints!$A$5:$A$7,0)),"dd/mm")&amp;" – "&amp;TEXT(INDEX(Sprints!$C$5:$C$7,MATCH(I368,Sprints!$A$5:$A$7,0)),"dd/mm"),""))</f>
        <v/>
      </c>
      <c r="K368" s="51"/>
      <c r="L368" s="51"/>
      <c r="M368" s="50" t="str">
        <f t="array" ref="M368">IF(G368="","",IFERROR(IF(AND(L368&lt;&gt;"Done",TODAY()&gt;INDEX(Sprints!$C$5:$C$7,MATCH(I368,Sprints!$A$5:$A$7,0))),"Trễ",""),""))</f>
        <v/>
      </c>
    </row>
    <row r="369" ht="14.25" hidden="1" customHeight="1">
      <c r="F369" s="51"/>
      <c r="H369" s="51"/>
      <c r="I369" s="51"/>
      <c r="J369" s="50" t="str">
        <f t="array" ref="J369">IF(I369="","",IFERROR(TEXT(INDEX(Sprints!$B$5:$B$7,MATCH(I369,Sprints!$A$5:$A$7,0)),"dd/mm")&amp;" – "&amp;TEXT(INDEX(Sprints!$C$5:$C$7,MATCH(I369,Sprints!$A$5:$A$7,0)),"dd/mm"),""))</f>
        <v/>
      </c>
      <c r="K369" s="51"/>
      <c r="L369" s="51"/>
      <c r="M369" s="50" t="str">
        <f t="array" ref="M369">IF(G369="","",IFERROR(IF(AND(L369&lt;&gt;"Done",TODAY()&gt;INDEX(Sprints!$C$5:$C$7,MATCH(I369,Sprints!$A$5:$A$7,0))),"Trễ",""),""))</f>
        <v/>
      </c>
    </row>
    <row r="370" ht="14.25" hidden="1" customHeight="1">
      <c r="F370" s="51"/>
      <c r="H370" s="51"/>
      <c r="I370" s="51"/>
      <c r="J370" s="50" t="str">
        <f t="array" ref="J370">IF(I370="","",IFERROR(TEXT(INDEX(Sprints!$B$5:$B$7,MATCH(I370,Sprints!$A$5:$A$7,0)),"dd/mm")&amp;" – "&amp;TEXT(INDEX(Sprints!$C$5:$C$7,MATCH(I370,Sprints!$A$5:$A$7,0)),"dd/mm"),""))</f>
        <v/>
      </c>
      <c r="K370" s="51"/>
      <c r="L370" s="51"/>
      <c r="M370" s="50" t="str">
        <f t="array" ref="M370">IF(G370="","",IFERROR(IF(AND(L370&lt;&gt;"Done",TODAY()&gt;INDEX(Sprints!$C$5:$C$7,MATCH(I370,Sprints!$A$5:$A$7,0))),"Trễ",""),""))</f>
        <v/>
      </c>
    </row>
    <row r="371" ht="14.25" hidden="1" customHeight="1">
      <c r="F371" s="51"/>
      <c r="H371" s="51"/>
      <c r="I371" s="51"/>
      <c r="J371" s="50" t="str">
        <f t="array" ref="J371">IF(I371="","",IFERROR(TEXT(INDEX(Sprints!$B$5:$B$7,MATCH(I371,Sprints!$A$5:$A$7,0)),"dd/mm")&amp;" – "&amp;TEXT(INDEX(Sprints!$C$5:$C$7,MATCH(I371,Sprints!$A$5:$A$7,0)),"dd/mm"),""))</f>
        <v/>
      </c>
      <c r="K371" s="51"/>
      <c r="L371" s="51"/>
      <c r="M371" s="50" t="str">
        <f t="array" ref="M371">IF(G371="","",IFERROR(IF(AND(L371&lt;&gt;"Done",TODAY()&gt;INDEX(Sprints!$C$5:$C$7,MATCH(I371,Sprints!$A$5:$A$7,0))),"Trễ",""),""))</f>
        <v/>
      </c>
    </row>
    <row r="372" ht="14.25" hidden="1" customHeight="1">
      <c r="F372" s="51"/>
      <c r="H372" s="51"/>
      <c r="I372" s="51"/>
      <c r="J372" s="50" t="str">
        <f t="array" ref="J372">IF(I372="","",IFERROR(TEXT(INDEX(Sprints!$B$5:$B$7,MATCH(I372,Sprints!$A$5:$A$7,0)),"dd/mm")&amp;" – "&amp;TEXT(INDEX(Sprints!$C$5:$C$7,MATCH(I372,Sprints!$A$5:$A$7,0)),"dd/mm"),""))</f>
        <v/>
      </c>
      <c r="K372" s="51"/>
      <c r="L372" s="51"/>
      <c r="M372" s="50" t="str">
        <f t="array" ref="M372">IF(G372="","",IFERROR(IF(AND(L372&lt;&gt;"Done",TODAY()&gt;INDEX(Sprints!$C$5:$C$7,MATCH(I372,Sprints!$A$5:$A$7,0))),"Trễ",""),""))</f>
        <v/>
      </c>
    </row>
    <row r="373" ht="14.25" hidden="1" customHeight="1">
      <c r="F373" s="51"/>
      <c r="H373" s="51"/>
      <c r="I373" s="51"/>
      <c r="J373" s="50" t="str">
        <f t="array" ref="J373">IF(I373="","",IFERROR(TEXT(INDEX(Sprints!$B$5:$B$7,MATCH(I373,Sprints!$A$5:$A$7,0)),"dd/mm")&amp;" – "&amp;TEXT(INDEX(Sprints!$C$5:$C$7,MATCH(I373,Sprints!$A$5:$A$7,0)),"dd/mm"),""))</f>
        <v/>
      </c>
      <c r="K373" s="51"/>
      <c r="L373" s="51"/>
      <c r="M373" s="50" t="str">
        <f t="array" ref="M373">IF(G373="","",IFERROR(IF(AND(L373&lt;&gt;"Done",TODAY()&gt;INDEX(Sprints!$C$5:$C$7,MATCH(I373,Sprints!$A$5:$A$7,0))),"Trễ",""),""))</f>
        <v/>
      </c>
    </row>
    <row r="374" ht="14.25" hidden="1" customHeight="1">
      <c r="F374" s="51"/>
      <c r="H374" s="51"/>
      <c r="I374" s="51"/>
      <c r="J374" s="50" t="str">
        <f t="array" ref="J374">IF(I374="","",IFERROR(TEXT(INDEX(Sprints!$B$5:$B$7,MATCH(I374,Sprints!$A$5:$A$7,0)),"dd/mm")&amp;" – "&amp;TEXT(INDEX(Sprints!$C$5:$C$7,MATCH(I374,Sprints!$A$5:$A$7,0)),"dd/mm"),""))</f>
        <v/>
      </c>
      <c r="K374" s="51"/>
      <c r="L374" s="51"/>
      <c r="M374" s="50" t="str">
        <f t="array" ref="M374">IF(G374="","",IFERROR(IF(AND(L374&lt;&gt;"Done",TODAY()&gt;INDEX(Sprints!$C$5:$C$7,MATCH(I374,Sprints!$A$5:$A$7,0))),"Trễ",""),""))</f>
        <v/>
      </c>
    </row>
    <row r="375" ht="14.25" hidden="1" customHeight="1">
      <c r="F375" s="51"/>
      <c r="H375" s="51"/>
      <c r="I375" s="51"/>
      <c r="J375" s="50" t="str">
        <f t="array" ref="J375">IF(I375="","",IFERROR(TEXT(INDEX(Sprints!$B$5:$B$7,MATCH(I375,Sprints!$A$5:$A$7,0)),"dd/mm")&amp;" – "&amp;TEXT(INDEX(Sprints!$C$5:$C$7,MATCH(I375,Sprints!$A$5:$A$7,0)),"dd/mm"),""))</f>
        <v/>
      </c>
      <c r="K375" s="51"/>
      <c r="L375" s="51"/>
      <c r="M375" s="50" t="str">
        <f t="array" ref="M375">IF(G375="","",IFERROR(IF(AND(L375&lt;&gt;"Done",TODAY()&gt;INDEX(Sprints!$C$5:$C$7,MATCH(I375,Sprints!$A$5:$A$7,0))),"Trễ",""),""))</f>
        <v/>
      </c>
    </row>
    <row r="376" ht="14.25" hidden="1" customHeight="1">
      <c r="F376" s="51"/>
      <c r="H376" s="51"/>
      <c r="I376" s="51"/>
      <c r="J376" s="50" t="str">
        <f t="array" ref="J376">IF(I376="","",IFERROR(TEXT(INDEX(Sprints!$B$5:$B$7,MATCH(I376,Sprints!$A$5:$A$7,0)),"dd/mm")&amp;" – "&amp;TEXT(INDEX(Sprints!$C$5:$C$7,MATCH(I376,Sprints!$A$5:$A$7,0)),"dd/mm"),""))</f>
        <v/>
      </c>
      <c r="K376" s="51"/>
      <c r="L376" s="51"/>
      <c r="M376" s="50" t="str">
        <f t="array" ref="M376">IF(G376="","",IFERROR(IF(AND(L376&lt;&gt;"Done",TODAY()&gt;INDEX(Sprints!$C$5:$C$7,MATCH(I376,Sprints!$A$5:$A$7,0))),"Trễ",""),""))</f>
        <v/>
      </c>
    </row>
    <row r="377" ht="14.25" hidden="1" customHeight="1">
      <c r="F377" s="51"/>
      <c r="H377" s="51"/>
      <c r="I377" s="51"/>
      <c r="J377" s="50" t="str">
        <f t="array" ref="J377">IF(I377="","",IFERROR(TEXT(INDEX(Sprints!$B$5:$B$7,MATCH(I377,Sprints!$A$5:$A$7,0)),"dd/mm")&amp;" – "&amp;TEXT(INDEX(Sprints!$C$5:$C$7,MATCH(I377,Sprints!$A$5:$A$7,0)),"dd/mm"),""))</f>
        <v/>
      </c>
      <c r="K377" s="51"/>
      <c r="L377" s="51"/>
      <c r="M377" s="50" t="str">
        <f t="array" ref="M377">IF(G377="","",IFERROR(IF(AND(L377&lt;&gt;"Done",TODAY()&gt;INDEX(Sprints!$C$5:$C$7,MATCH(I377,Sprints!$A$5:$A$7,0))),"Trễ",""),""))</f>
        <v/>
      </c>
    </row>
    <row r="378" ht="14.25" hidden="1" customHeight="1">
      <c r="F378" s="51"/>
      <c r="H378" s="51"/>
      <c r="I378" s="51"/>
      <c r="J378" s="50" t="str">
        <f t="array" ref="J378">IF(I378="","",IFERROR(TEXT(INDEX(Sprints!$B$5:$B$7,MATCH(I378,Sprints!$A$5:$A$7,0)),"dd/mm")&amp;" – "&amp;TEXT(INDEX(Sprints!$C$5:$C$7,MATCH(I378,Sprints!$A$5:$A$7,0)),"dd/mm"),""))</f>
        <v/>
      </c>
      <c r="K378" s="51"/>
      <c r="L378" s="51"/>
      <c r="M378" s="50" t="str">
        <f t="array" ref="M378">IF(G378="","",IFERROR(IF(AND(L378&lt;&gt;"Done",TODAY()&gt;INDEX(Sprints!$C$5:$C$7,MATCH(I378,Sprints!$A$5:$A$7,0))),"Trễ",""),""))</f>
        <v/>
      </c>
    </row>
    <row r="379" ht="14.25" hidden="1" customHeight="1">
      <c r="F379" s="51"/>
      <c r="H379" s="51"/>
      <c r="I379" s="51"/>
      <c r="J379" s="50" t="str">
        <f t="array" ref="J379">IF(I379="","",IFERROR(TEXT(INDEX(Sprints!$B$5:$B$7,MATCH(I379,Sprints!$A$5:$A$7,0)),"dd/mm")&amp;" – "&amp;TEXT(INDEX(Sprints!$C$5:$C$7,MATCH(I379,Sprints!$A$5:$A$7,0)),"dd/mm"),""))</f>
        <v/>
      </c>
      <c r="K379" s="51"/>
      <c r="L379" s="51"/>
      <c r="M379" s="50" t="str">
        <f t="array" ref="M379">IF(G379="","",IFERROR(IF(AND(L379&lt;&gt;"Done",TODAY()&gt;INDEX(Sprints!$C$5:$C$7,MATCH(I379,Sprints!$A$5:$A$7,0))),"Trễ",""),""))</f>
        <v/>
      </c>
    </row>
    <row r="380" ht="14.25" hidden="1" customHeight="1">
      <c r="F380" s="51"/>
      <c r="H380" s="51"/>
      <c r="I380" s="51"/>
      <c r="J380" s="50" t="str">
        <f t="array" ref="J380">IF(I380="","",IFERROR(TEXT(INDEX(Sprints!$B$5:$B$7,MATCH(I380,Sprints!$A$5:$A$7,0)),"dd/mm")&amp;" – "&amp;TEXT(INDEX(Sprints!$C$5:$C$7,MATCH(I380,Sprints!$A$5:$A$7,0)),"dd/mm"),""))</f>
        <v/>
      </c>
      <c r="K380" s="51"/>
      <c r="L380" s="51"/>
      <c r="M380" s="50" t="str">
        <f t="array" ref="M380">IF(G380="","",IFERROR(IF(AND(L380&lt;&gt;"Done",TODAY()&gt;INDEX(Sprints!$C$5:$C$7,MATCH(I380,Sprints!$A$5:$A$7,0))),"Trễ",""),""))</f>
        <v/>
      </c>
    </row>
    <row r="381" ht="14.25" hidden="1" customHeight="1">
      <c r="F381" s="51"/>
      <c r="H381" s="51"/>
      <c r="I381" s="51"/>
      <c r="J381" s="50" t="str">
        <f t="array" ref="J381">IF(I381="","",IFERROR(TEXT(INDEX(Sprints!$B$5:$B$7,MATCH(I381,Sprints!$A$5:$A$7,0)),"dd/mm")&amp;" – "&amp;TEXT(INDEX(Sprints!$C$5:$C$7,MATCH(I381,Sprints!$A$5:$A$7,0)),"dd/mm"),""))</f>
        <v/>
      </c>
      <c r="K381" s="51"/>
      <c r="L381" s="51"/>
      <c r="M381" s="50" t="str">
        <f t="array" ref="M381">IF(G381="","",IFERROR(IF(AND(L381&lt;&gt;"Done",TODAY()&gt;INDEX(Sprints!$C$5:$C$7,MATCH(I381,Sprints!$A$5:$A$7,0))),"Trễ",""),""))</f>
        <v/>
      </c>
    </row>
    <row r="382" ht="14.25" hidden="1" customHeight="1">
      <c r="F382" s="51"/>
      <c r="H382" s="51"/>
      <c r="I382" s="51"/>
      <c r="J382" s="50" t="str">
        <f t="array" ref="J382">IF(I382="","",IFERROR(TEXT(INDEX(Sprints!$B$5:$B$7,MATCH(I382,Sprints!$A$5:$A$7,0)),"dd/mm")&amp;" – "&amp;TEXT(INDEX(Sprints!$C$5:$C$7,MATCH(I382,Sprints!$A$5:$A$7,0)),"dd/mm"),""))</f>
        <v/>
      </c>
      <c r="K382" s="51"/>
      <c r="L382" s="51"/>
      <c r="M382" s="50" t="str">
        <f t="array" ref="M382">IF(G382="","",IFERROR(IF(AND(L382&lt;&gt;"Done",TODAY()&gt;INDEX(Sprints!$C$5:$C$7,MATCH(I382,Sprints!$A$5:$A$7,0))),"Trễ",""),""))</f>
        <v/>
      </c>
    </row>
    <row r="383" ht="14.25" hidden="1" customHeight="1">
      <c r="F383" s="51"/>
      <c r="H383" s="51"/>
      <c r="I383" s="51"/>
      <c r="J383" s="50" t="str">
        <f t="array" ref="J383">IF(I383="","",IFERROR(TEXT(INDEX(Sprints!$B$5:$B$7,MATCH(I383,Sprints!$A$5:$A$7,0)),"dd/mm")&amp;" – "&amp;TEXT(INDEX(Sprints!$C$5:$C$7,MATCH(I383,Sprints!$A$5:$A$7,0)),"dd/mm"),""))</f>
        <v/>
      </c>
      <c r="K383" s="51"/>
      <c r="L383" s="51"/>
      <c r="M383" s="50" t="str">
        <f t="array" ref="M383">IF(G383="","",IFERROR(IF(AND(L383&lt;&gt;"Done",TODAY()&gt;INDEX(Sprints!$C$5:$C$7,MATCH(I383,Sprints!$A$5:$A$7,0))),"Trễ",""),""))</f>
        <v/>
      </c>
    </row>
    <row r="384" ht="14.25" hidden="1" customHeight="1">
      <c r="F384" s="51"/>
      <c r="H384" s="51"/>
      <c r="I384" s="51"/>
      <c r="J384" s="50" t="str">
        <f t="array" ref="J384">IF(I384="","",IFERROR(TEXT(INDEX(Sprints!$B$5:$B$7,MATCH(I384,Sprints!$A$5:$A$7,0)),"dd/mm")&amp;" – "&amp;TEXT(INDEX(Sprints!$C$5:$C$7,MATCH(I384,Sprints!$A$5:$A$7,0)),"dd/mm"),""))</f>
        <v/>
      </c>
      <c r="K384" s="51"/>
      <c r="L384" s="51"/>
      <c r="M384" s="50" t="str">
        <f t="array" ref="M384">IF(G384="","",IFERROR(IF(AND(L384&lt;&gt;"Done",TODAY()&gt;INDEX(Sprints!$C$5:$C$7,MATCH(I384,Sprints!$A$5:$A$7,0))),"Trễ",""),""))</f>
        <v/>
      </c>
    </row>
    <row r="385" ht="14.25" hidden="1" customHeight="1">
      <c r="F385" s="51"/>
      <c r="H385" s="51"/>
      <c r="I385" s="51"/>
      <c r="J385" s="50" t="str">
        <f t="array" ref="J385">IF(I385="","",IFERROR(TEXT(INDEX(Sprints!$B$5:$B$7,MATCH(I385,Sprints!$A$5:$A$7,0)),"dd/mm")&amp;" – "&amp;TEXT(INDEX(Sprints!$C$5:$C$7,MATCH(I385,Sprints!$A$5:$A$7,0)),"dd/mm"),""))</f>
        <v/>
      </c>
      <c r="K385" s="51"/>
      <c r="L385" s="51"/>
      <c r="M385" s="50" t="str">
        <f t="array" ref="M385">IF(G385="","",IFERROR(IF(AND(L385&lt;&gt;"Done",TODAY()&gt;INDEX(Sprints!$C$5:$C$7,MATCH(I385,Sprints!$A$5:$A$7,0))),"Trễ",""),""))</f>
        <v/>
      </c>
    </row>
    <row r="386" ht="14.25" hidden="1" customHeight="1">
      <c r="F386" s="51"/>
      <c r="H386" s="51"/>
      <c r="I386" s="51"/>
      <c r="J386" s="50" t="str">
        <f t="array" ref="J386">IF(I386="","",IFERROR(TEXT(INDEX(Sprints!$B$5:$B$7,MATCH(I386,Sprints!$A$5:$A$7,0)),"dd/mm")&amp;" – "&amp;TEXT(INDEX(Sprints!$C$5:$C$7,MATCH(I386,Sprints!$A$5:$A$7,0)),"dd/mm"),""))</f>
        <v/>
      </c>
      <c r="K386" s="51"/>
      <c r="L386" s="51"/>
      <c r="M386" s="50" t="str">
        <f t="array" ref="M386">IF(G386="","",IFERROR(IF(AND(L386&lt;&gt;"Done",TODAY()&gt;INDEX(Sprints!$C$5:$C$7,MATCH(I386,Sprints!$A$5:$A$7,0))),"Trễ",""),""))</f>
        <v/>
      </c>
    </row>
    <row r="387" ht="14.25" hidden="1" customHeight="1">
      <c r="F387" s="51"/>
      <c r="H387" s="51"/>
      <c r="I387" s="51"/>
      <c r="J387" s="50" t="str">
        <f t="array" ref="J387">IF(I387="","",IFERROR(TEXT(INDEX(Sprints!$B$5:$B$7,MATCH(I387,Sprints!$A$5:$A$7,0)),"dd/mm")&amp;" – "&amp;TEXT(INDEX(Sprints!$C$5:$C$7,MATCH(I387,Sprints!$A$5:$A$7,0)),"dd/mm"),""))</f>
        <v/>
      </c>
      <c r="K387" s="51"/>
      <c r="L387" s="51"/>
      <c r="M387" s="50" t="str">
        <f t="array" ref="M387">IF(G387="","",IFERROR(IF(AND(L387&lt;&gt;"Done",TODAY()&gt;INDEX(Sprints!$C$5:$C$7,MATCH(I387,Sprints!$A$5:$A$7,0))),"Trễ",""),""))</f>
        <v/>
      </c>
    </row>
    <row r="388" ht="14.25" hidden="1" customHeight="1">
      <c r="F388" s="51"/>
      <c r="H388" s="51"/>
      <c r="I388" s="51"/>
      <c r="J388" s="50" t="str">
        <f t="array" ref="J388">IF(I388="","",IFERROR(TEXT(INDEX(Sprints!$B$5:$B$7,MATCH(I388,Sprints!$A$5:$A$7,0)),"dd/mm")&amp;" – "&amp;TEXT(INDEX(Sprints!$C$5:$C$7,MATCH(I388,Sprints!$A$5:$A$7,0)),"dd/mm"),""))</f>
        <v/>
      </c>
      <c r="K388" s="51"/>
      <c r="L388" s="51"/>
      <c r="M388" s="50" t="str">
        <f t="array" ref="M388">IF(G388="","",IFERROR(IF(AND(L388&lt;&gt;"Done",TODAY()&gt;INDEX(Sprints!$C$5:$C$7,MATCH(I388,Sprints!$A$5:$A$7,0))),"Trễ",""),""))</f>
        <v/>
      </c>
    </row>
    <row r="389" ht="14.25" hidden="1" customHeight="1">
      <c r="F389" s="51"/>
      <c r="H389" s="51"/>
      <c r="I389" s="51"/>
      <c r="J389" s="50" t="str">
        <f t="array" ref="J389">IF(I389="","",IFERROR(TEXT(INDEX(Sprints!$B$5:$B$7,MATCH(I389,Sprints!$A$5:$A$7,0)),"dd/mm")&amp;" – "&amp;TEXT(INDEX(Sprints!$C$5:$C$7,MATCH(I389,Sprints!$A$5:$A$7,0)),"dd/mm"),""))</f>
        <v/>
      </c>
      <c r="K389" s="51"/>
      <c r="L389" s="51"/>
      <c r="M389" s="50" t="str">
        <f t="array" ref="M389">IF(G389="","",IFERROR(IF(AND(L389&lt;&gt;"Done",TODAY()&gt;INDEX(Sprints!$C$5:$C$7,MATCH(I389,Sprints!$A$5:$A$7,0))),"Trễ",""),""))</f>
        <v/>
      </c>
    </row>
    <row r="390" ht="14.25" hidden="1" customHeight="1">
      <c r="F390" s="51"/>
      <c r="H390" s="51"/>
      <c r="I390" s="51"/>
      <c r="J390" s="50" t="str">
        <f t="array" ref="J390">IF(I390="","",IFERROR(TEXT(INDEX(Sprints!$B$5:$B$7,MATCH(I390,Sprints!$A$5:$A$7,0)),"dd/mm")&amp;" – "&amp;TEXT(INDEX(Sprints!$C$5:$C$7,MATCH(I390,Sprints!$A$5:$A$7,0)),"dd/mm"),""))</f>
        <v/>
      </c>
      <c r="K390" s="51"/>
      <c r="L390" s="51"/>
      <c r="M390" s="50" t="str">
        <f t="array" ref="M390">IF(G390="","",IFERROR(IF(AND(L390&lt;&gt;"Done",TODAY()&gt;INDEX(Sprints!$C$5:$C$7,MATCH(I390,Sprints!$A$5:$A$7,0))),"Trễ",""),""))</f>
        <v/>
      </c>
    </row>
    <row r="391" ht="14.25" hidden="1" customHeight="1">
      <c r="F391" s="51"/>
      <c r="H391" s="51"/>
      <c r="I391" s="51"/>
      <c r="J391" s="50" t="str">
        <f t="array" ref="J391">IF(I391="","",IFERROR(TEXT(INDEX(Sprints!$B$5:$B$7,MATCH(I391,Sprints!$A$5:$A$7,0)),"dd/mm")&amp;" – "&amp;TEXT(INDEX(Sprints!$C$5:$C$7,MATCH(I391,Sprints!$A$5:$A$7,0)),"dd/mm"),""))</f>
        <v/>
      </c>
      <c r="K391" s="51"/>
      <c r="L391" s="51"/>
      <c r="M391" s="50" t="str">
        <f t="array" ref="M391">IF(G391="","",IFERROR(IF(AND(L391&lt;&gt;"Done",TODAY()&gt;INDEX(Sprints!$C$5:$C$7,MATCH(I391,Sprints!$A$5:$A$7,0))),"Trễ",""),""))</f>
        <v/>
      </c>
    </row>
    <row r="392" ht="14.25" hidden="1" customHeight="1">
      <c r="F392" s="51"/>
      <c r="H392" s="51"/>
      <c r="I392" s="51"/>
      <c r="J392" s="50" t="str">
        <f t="array" ref="J392">IF(I392="","",IFERROR(TEXT(INDEX(Sprints!$B$5:$B$7,MATCH(I392,Sprints!$A$5:$A$7,0)),"dd/mm")&amp;" – "&amp;TEXT(INDEX(Sprints!$C$5:$C$7,MATCH(I392,Sprints!$A$5:$A$7,0)),"dd/mm"),""))</f>
        <v/>
      </c>
      <c r="K392" s="51"/>
      <c r="L392" s="51"/>
      <c r="M392" s="50" t="str">
        <f t="array" ref="M392">IF(G392="","",IFERROR(IF(AND(L392&lt;&gt;"Done",TODAY()&gt;INDEX(Sprints!$C$5:$C$7,MATCH(I392,Sprints!$A$5:$A$7,0))),"Trễ",""),""))</f>
        <v/>
      </c>
    </row>
    <row r="393" ht="14.25" hidden="1" customHeight="1">
      <c r="F393" s="51"/>
      <c r="H393" s="51"/>
      <c r="I393" s="51"/>
      <c r="J393" s="50" t="str">
        <f t="array" ref="J393">IF(I393="","",IFERROR(TEXT(INDEX(Sprints!$B$5:$B$7,MATCH(I393,Sprints!$A$5:$A$7,0)),"dd/mm")&amp;" – "&amp;TEXT(INDEX(Sprints!$C$5:$C$7,MATCH(I393,Sprints!$A$5:$A$7,0)),"dd/mm"),""))</f>
        <v/>
      </c>
      <c r="K393" s="51"/>
      <c r="L393" s="51"/>
      <c r="M393" s="50" t="str">
        <f t="array" ref="M393">IF(G393="","",IFERROR(IF(AND(L393&lt;&gt;"Done",TODAY()&gt;INDEX(Sprints!$C$5:$C$7,MATCH(I393,Sprints!$A$5:$A$7,0))),"Trễ",""),""))</f>
        <v/>
      </c>
    </row>
    <row r="394" ht="14.25" hidden="1" customHeight="1">
      <c r="F394" s="51"/>
      <c r="H394" s="51"/>
      <c r="I394" s="51"/>
      <c r="J394" s="50" t="str">
        <f t="array" ref="J394">IF(I394="","",IFERROR(TEXT(INDEX(Sprints!$B$5:$B$7,MATCH(I394,Sprints!$A$5:$A$7,0)),"dd/mm")&amp;" – "&amp;TEXT(INDEX(Sprints!$C$5:$C$7,MATCH(I394,Sprints!$A$5:$A$7,0)),"dd/mm"),""))</f>
        <v/>
      </c>
      <c r="K394" s="51"/>
      <c r="L394" s="51"/>
      <c r="M394" s="50" t="str">
        <f t="array" ref="M394">IF(G394="","",IFERROR(IF(AND(L394&lt;&gt;"Done",TODAY()&gt;INDEX(Sprints!$C$5:$C$7,MATCH(I394,Sprints!$A$5:$A$7,0))),"Trễ",""),""))</f>
        <v/>
      </c>
    </row>
    <row r="395" ht="14.25" hidden="1" customHeight="1">
      <c r="F395" s="51"/>
      <c r="H395" s="51"/>
      <c r="I395" s="51"/>
      <c r="J395" s="50" t="str">
        <f t="array" ref="J395">IF(I395="","",IFERROR(TEXT(INDEX(Sprints!$B$5:$B$7,MATCH(I395,Sprints!$A$5:$A$7,0)),"dd/mm")&amp;" – "&amp;TEXT(INDEX(Sprints!$C$5:$C$7,MATCH(I395,Sprints!$A$5:$A$7,0)),"dd/mm"),""))</f>
        <v/>
      </c>
      <c r="K395" s="51"/>
      <c r="L395" s="51"/>
      <c r="M395" s="50" t="str">
        <f t="array" ref="M395">IF(G395="","",IFERROR(IF(AND(L395&lt;&gt;"Done",TODAY()&gt;INDEX(Sprints!$C$5:$C$7,MATCH(I395,Sprints!$A$5:$A$7,0))),"Trễ",""),""))</f>
        <v/>
      </c>
    </row>
    <row r="396" ht="14.25" hidden="1" customHeight="1">
      <c r="F396" s="51"/>
      <c r="H396" s="51"/>
      <c r="I396" s="51"/>
      <c r="J396" s="50" t="str">
        <f t="array" ref="J396">IF(I396="","",IFERROR(TEXT(INDEX(Sprints!$B$5:$B$7,MATCH(I396,Sprints!$A$5:$A$7,0)),"dd/mm")&amp;" – "&amp;TEXT(INDEX(Sprints!$C$5:$C$7,MATCH(I396,Sprints!$A$5:$A$7,0)),"dd/mm"),""))</f>
        <v/>
      </c>
      <c r="K396" s="51"/>
      <c r="L396" s="51"/>
      <c r="M396" s="50" t="str">
        <f t="array" ref="M396">IF(G396="","",IFERROR(IF(AND(L396&lt;&gt;"Done",TODAY()&gt;INDEX(Sprints!$C$5:$C$7,MATCH(I396,Sprints!$A$5:$A$7,0))),"Trễ",""),""))</f>
        <v/>
      </c>
    </row>
    <row r="397" ht="14.25" hidden="1" customHeight="1">
      <c r="F397" s="51"/>
      <c r="H397" s="51"/>
      <c r="I397" s="51"/>
      <c r="J397" s="50" t="str">
        <f t="array" ref="J397">IF(I397="","",IFERROR(TEXT(INDEX(Sprints!$B$5:$B$7,MATCH(I397,Sprints!$A$5:$A$7,0)),"dd/mm")&amp;" – "&amp;TEXT(INDEX(Sprints!$C$5:$C$7,MATCH(I397,Sprints!$A$5:$A$7,0)),"dd/mm"),""))</f>
        <v/>
      </c>
      <c r="K397" s="51"/>
      <c r="L397" s="51"/>
      <c r="M397" s="50" t="str">
        <f t="array" ref="M397">IF(G397="","",IFERROR(IF(AND(L397&lt;&gt;"Done",TODAY()&gt;INDEX(Sprints!$C$5:$C$7,MATCH(I397,Sprints!$A$5:$A$7,0))),"Trễ",""),""))</f>
        <v/>
      </c>
    </row>
    <row r="398" ht="14.25" hidden="1" customHeight="1">
      <c r="F398" s="51"/>
      <c r="H398" s="51"/>
      <c r="I398" s="51"/>
      <c r="J398" s="50" t="str">
        <f t="array" ref="J398">IF(I398="","",IFERROR(TEXT(INDEX(Sprints!$B$5:$B$7,MATCH(I398,Sprints!$A$5:$A$7,0)),"dd/mm")&amp;" – "&amp;TEXT(INDEX(Sprints!$C$5:$C$7,MATCH(I398,Sprints!$A$5:$A$7,0)),"dd/mm"),""))</f>
        <v/>
      </c>
      <c r="K398" s="51"/>
      <c r="L398" s="51"/>
      <c r="M398" s="50" t="str">
        <f t="array" ref="M398">IF(G398="","",IFERROR(IF(AND(L398&lt;&gt;"Done",TODAY()&gt;INDEX(Sprints!$C$5:$C$7,MATCH(I398,Sprints!$A$5:$A$7,0))),"Trễ",""),""))</f>
        <v/>
      </c>
    </row>
    <row r="399" ht="14.25" hidden="1" customHeight="1">
      <c r="F399" s="51"/>
      <c r="H399" s="51"/>
      <c r="I399" s="51"/>
      <c r="J399" s="50" t="str">
        <f t="array" ref="J399">IF(I399="","",IFERROR(TEXT(INDEX(Sprints!$B$5:$B$7,MATCH(I399,Sprints!$A$5:$A$7,0)),"dd/mm")&amp;" – "&amp;TEXT(INDEX(Sprints!$C$5:$C$7,MATCH(I399,Sprints!$A$5:$A$7,0)),"dd/mm"),""))</f>
        <v/>
      </c>
      <c r="K399" s="51"/>
      <c r="L399" s="51"/>
      <c r="M399" s="50" t="str">
        <f t="array" ref="M399">IF(G399="","",IFERROR(IF(AND(L399&lt;&gt;"Done",TODAY()&gt;INDEX(Sprints!$C$5:$C$7,MATCH(I399,Sprints!$A$5:$A$7,0))),"Trễ",""),""))</f>
        <v/>
      </c>
    </row>
    <row r="400" ht="14.25" hidden="1" customHeight="1">
      <c r="F400" s="51"/>
      <c r="H400" s="51"/>
      <c r="I400" s="51"/>
      <c r="J400" s="50" t="str">
        <f t="array" ref="J400">IF(I400="","",IFERROR(TEXT(INDEX(Sprints!$B$5:$B$7,MATCH(I400,Sprints!$A$5:$A$7,0)),"dd/mm")&amp;" – "&amp;TEXT(INDEX(Sprints!$C$5:$C$7,MATCH(I400,Sprints!$A$5:$A$7,0)),"dd/mm"),""))</f>
        <v/>
      </c>
      <c r="K400" s="51"/>
      <c r="L400" s="51"/>
      <c r="M400" s="50" t="str">
        <f t="array" ref="M400">IF(G400="","",IFERROR(IF(AND(L400&lt;&gt;"Done",TODAY()&gt;INDEX(Sprints!$C$5:$C$7,MATCH(I400,Sprints!$A$5:$A$7,0))),"Trễ",""),""))</f>
        <v/>
      </c>
    </row>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4:$P$400">
    <filterColumn colId="8">
      <filters>
        <filter val="S3"/>
        <filter val="S1"/>
        <filter val="S2"/>
      </filters>
    </filterColumn>
    <filterColumn colId="5">
      <filters blank="1">
        <filter val="Mobile"/>
      </filters>
    </filterColumn>
  </autoFilter>
  <conditionalFormatting sqref="F5:F400">
    <cfRule type="cellIs" dxfId="1" priority="1" operator="equal">
      <formula>"Backend"</formula>
    </cfRule>
  </conditionalFormatting>
  <conditionalFormatting sqref="F5:F400">
    <cfRule type="cellIs" dxfId="2" priority="2" operator="equal">
      <formula>"Portal"</formula>
    </cfRule>
  </conditionalFormatting>
  <conditionalFormatting sqref="F5:F400">
    <cfRule type="cellIs" dxfId="3" priority="3" operator="equal">
      <formula>"Mobile"</formula>
    </cfRule>
  </conditionalFormatting>
  <conditionalFormatting sqref="H5:H400">
    <cfRule type="cellIs" dxfId="4" priority="4" operator="equal">
      <formula>"High"</formula>
    </cfRule>
  </conditionalFormatting>
  <conditionalFormatting sqref="H5:H400">
    <cfRule type="cellIs" dxfId="5" priority="5" operator="equal">
      <formula>"Medium"</formula>
    </cfRule>
  </conditionalFormatting>
  <conditionalFormatting sqref="H5:H400">
    <cfRule type="cellIs" dxfId="6" priority="6" operator="equal">
      <formula>"Low"</formula>
    </cfRule>
  </conditionalFormatting>
  <conditionalFormatting sqref="K5:K164">
    <cfRule type="expression" dxfId="7" priority="7">
      <formula>AND($G5&lt;&gt;"",$K5="")</formula>
    </cfRule>
  </conditionalFormatting>
  <conditionalFormatting sqref="L5:L400">
    <cfRule type="cellIs" dxfId="8" priority="8" operator="equal">
      <formula>"To Do"</formula>
    </cfRule>
  </conditionalFormatting>
  <conditionalFormatting sqref="L5:L400">
    <cfRule type="cellIs" dxfId="9" priority="9" operator="equal">
      <formula>"In Progress"</formula>
    </cfRule>
  </conditionalFormatting>
  <conditionalFormatting sqref="L5:L400">
    <cfRule type="cellIs" dxfId="10" priority="10" operator="equal">
      <formula>"In Review"</formula>
    </cfRule>
  </conditionalFormatting>
  <conditionalFormatting sqref="L5:L400">
    <cfRule type="cellIs" dxfId="11" priority="11" operator="equal">
      <formula>"Done"</formula>
    </cfRule>
  </conditionalFormatting>
  <conditionalFormatting sqref="L5:L400">
    <cfRule type="cellIs" dxfId="12" priority="12" operator="equal">
      <formula>"Blocked"</formula>
    </cfRule>
  </conditionalFormatting>
  <conditionalFormatting sqref="M5:M400">
    <cfRule type="cellIs" dxfId="12" priority="13" operator="equal">
      <formula>"Trễ"</formula>
    </cfRule>
  </conditionalFormatting>
  <dataValidations>
    <dataValidation type="list" allowBlank="1" showInputMessage="1" showErrorMessage="1" prompt="Giá trị không hợp lệ - Chọn từ danh sách." sqref="F5:F400">
      <formula1>Lists!$C$2:$C$4</formula1>
    </dataValidation>
    <dataValidation type="list" allowBlank="1" showInputMessage="1" showErrorMessage="1" prompt="Giá trị không hợp lệ - Chọn từ danh sách." sqref="I5:I400">
      <formula1>Lists!$D$2:$D$4</formula1>
    </dataValidation>
    <dataValidation type="list" allowBlank="1" showInputMessage="1" showErrorMessage="1" prompt="Giá trị không hợp lệ - Chọn từ danh sách." sqref="L5:L400">
      <formula1>Lists!$A$2:$A$6</formula1>
    </dataValidation>
    <dataValidation type="list" allowBlank="1" showInputMessage="1" showErrorMessage="1" prompt="Giá trị không hợp lệ - Chọn từ danh sách." sqref="H5:H400">
      <formula1>Lists!$B$2:$B$4</formula1>
    </dataValidation>
    <dataValidation type="list" allowBlank="1" showInputMessage="1" showErrorMessage="1" prompt="Giá trị không hợp lệ - Chọn từ danh sách." sqref="K5:K400">
      <formula1>Team!$A$5:$A$14</formula1>
    </dataValidation>
  </dataValidations>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6.0"/>
    <col customWidth="1" min="2" max="2" width="24.0"/>
    <col customWidth="1" min="3" max="3" width="11.71"/>
    <col customWidth="1" min="4" max="4" width="10.0"/>
    <col customWidth="1" min="5" max="5" width="8.0"/>
    <col customWidth="1" min="6" max="6" width="9.0"/>
    <col customWidth="1" min="7" max="26" width="8.71"/>
  </cols>
  <sheetData>
    <row r="1" ht="14.25" customHeight="1">
      <c r="A1" s="1" t="s">
        <v>0</v>
      </c>
    </row>
    <row r="2" ht="14.25" customHeight="1">
      <c r="A2" s="3" t="s">
        <v>3</v>
      </c>
    </row>
    <row r="3" ht="14.25" customHeight="1"/>
    <row r="4" ht="14.25" customHeight="1">
      <c r="A4" s="4" t="s">
        <v>7</v>
      </c>
      <c r="B4" s="4" t="s">
        <v>10</v>
      </c>
      <c r="C4" s="4" t="s">
        <v>13</v>
      </c>
      <c r="D4" s="4" t="s">
        <v>16</v>
      </c>
      <c r="E4" s="4" t="s">
        <v>19</v>
      </c>
      <c r="F4" s="4" t="s">
        <v>21</v>
      </c>
    </row>
    <row r="5" ht="81.75" customHeight="1">
      <c r="A5" s="6" t="s">
        <v>25</v>
      </c>
      <c r="B5" s="8" t="s">
        <v>30</v>
      </c>
      <c r="C5" s="10" t="s">
        <v>35</v>
      </c>
      <c r="D5" s="16">
        <f>COUNTIF(Task_Tracking!$K$5:$K$400,A5)</f>
        <v>55</v>
      </c>
      <c r="E5" s="16">
        <f>COUNTIFS(Task_Tracking!$K$5:$K$400,A5,Task_Tracking!$L$5:$L$400,"Done")</f>
        <v>0</v>
      </c>
      <c r="F5" s="19">
        <f t="shared" ref="F5:F9" si="1">IFERROR(E5/D5,0)</f>
        <v>0</v>
      </c>
    </row>
    <row r="6" ht="48.0" customHeight="1">
      <c r="A6" s="6" t="s">
        <v>44</v>
      </c>
      <c r="B6" s="8" t="s">
        <v>46</v>
      </c>
      <c r="C6" s="10" t="s">
        <v>40</v>
      </c>
      <c r="D6" s="16">
        <f>COUNTIF(Task_Tracking!$K$5:$K$400,A6)</f>
        <v>24</v>
      </c>
      <c r="E6" s="16">
        <f>COUNTIFS(Task_Tracking!$K$5:$K$400,A6,Task_Tracking!$L$5:$L$400,"Done")</f>
        <v>0</v>
      </c>
      <c r="F6" s="19">
        <f t="shared" si="1"/>
        <v>0</v>
      </c>
    </row>
    <row r="7" ht="48.0" customHeight="1">
      <c r="A7" s="6" t="s">
        <v>48</v>
      </c>
      <c r="B7" s="8" t="s">
        <v>50</v>
      </c>
      <c r="C7" s="10" t="s">
        <v>51</v>
      </c>
      <c r="D7" s="16">
        <f>COUNTIF(Task_Tracking!$K$5:$K$400,A7)</f>
        <v>27</v>
      </c>
      <c r="E7" s="16">
        <f>COUNTIFS(Task_Tracking!$K$5:$K$400,A7,Task_Tracking!$L$5:$L$400,"Done")</f>
        <v>0</v>
      </c>
      <c r="F7" s="19">
        <f t="shared" si="1"/>
        <v>0</v>
      </c>
    </row>
    <row r="8" ht="48.0" customHeight="1">
      <c r="A8" s="6" t="s">
        <v>56</v>
      </c>
      <c r="B8" s="8" t="s">
        <v>57</v>
      </c>
      <c r="C8" s="10" t="s">
        <v>58</v>
      </c>
      <c r="D8" s="16">
        <f>COUNTIF(Task_Tracking!$K$5:$K$400,A8)</f>
        <v>28</v>
      </c>
      <c r="E8" s="16">
        <f>COUNTIFS(Task_Tracking!$K$5:$K$400,A8,Task_Tracking!$L$5:$L$400,"Done")</f>
        <v>0</v>
      </c>
      <c r="F8" s="19">
        <f t="shared" si="1"/>
        <v>0</v>
      </c>
    </row>
    <row r="9" ht="48.0" customHeight="1">
      <c r="A9" s="6" t="s">
        <v>59</v>
      </c>
      <c r="B9" s="8" t="s">
        <v>61</v>
      </c>
      <c r="C9" s="10" t="s">
        <v>58</v>
      </c>
      <c r="D9" s="16">
        <f>COUNTIF(Task_Tracking!$K$5:$K$400,A9)</f>
        <v>29</v>
      </c>
      <c r="E9" s="16">
        <f>COUNTIFS(Task_Tracking!$K$5:$K$400,A9,Task_Tracking!$L$5:$L$400,"Done")</f>
        <v>0</v>
      </c>
      <c r="F9" s="19">
        <f t="shared" si="1"/>
        <v>0</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0"/>
    <col customWidth="1" min="2" max="2" width="26.0"/>
    <col customWidth="1" min="3" max="6" width="10.0"/>
    <col customWidth="1" min="7" max="8" width="9.0"/>
    <col customWidth="1" min="9" max="9" width="11.0"/>
    <col customWidth="1" min="10" max="10" width="10.0"/>
    <col customWidth="1" min="11" max="11" width="9.0"/>
    <col customWidth="1" min="12" max="26" width="8.71"/>
  </cols>
  <sheetData>
    <row r="1" ht="14.25" customHeight="1">
      <c r="A1" s="38" t="s">
        <v>159</v>
      </c>
    </row>
    <row r="2" ht="14.25" customHeight="1">
      <c r="A2" s="3" t="s">
        <v>160</v>
      </c>
    </row>
    <row r="3" ht="14.25" customHeight="1"/>
    <row r="4" ht="14.25" customHeight="1">
      <c r="A4" s="39" t="s">
        <v>161</v>
      </c>
    </row>
    <row r="5" ht="14.25" customHeight="1">
      <c r="A5" s="40" t="s">
        <v>162</v>
      </c>
      <c r="B5" s="40" t="s">
        <v>19</v>
      </c>
      <c r="C5" s="40" t="s">
        <v>21</v>
      </c>
      <c r="D5" s="40" t="s">
        <v>166</v>
      </c>
      <c r="E5" s="40" t="s">
        <v>24</v>
      </c>
      <c r="F5" s="40" t="s">
        <v>90</v>
      </c>
      <c r="G5" s="40" t="s">
        <v>167</v>
      </c>
    </row>
    <row r="6" ht="30.0" customHeight="1">
      <c r="A6" s="41">
        <f>COUNTA(Task_Tracking!$G$5:$G$400)</f>
        <v>163</v>
      </c>
      <c r="B6" s="41">
        <f>COUNTIF(Task_Tracking!$L$5:$L$400,"Done")</f>
        <v>0</v>
      </c>
      <c r="C6" s="42">
        <f>IFERROR(B6/A6,0)</f>
        <v>0</v>
      </c>
      <c r="D6" s="41">
        <f>COUNTIFS(Task_Tracking!$G$5:$G$400,"&lt;&gt;",Task_Tracking!$K$5:$K$400,"")</f>
        <v>0</v>
      </c>
      <c r="E6" s="41">
        <f>COUNTIF(Task_Tracking!$M$5:$M$400,"Trễ")</f>
        <v>0</v>
      </c>
      <c r="F6" s="41">
        <f>COUNTIF(Task_Tracking!$L$5:$L$400,"Blocked")</f>
        <v>0</v>
      </c>
      <c r="G6" s="43" t="str">
        <f t="array" ref="G6">IFERROR(INDEX(Sprints!$A$5:$A$7,MATCH("Đang chạy",Sprints!$H$5:$H$7,0)),IF(TODAY()&lt;Sprints!$B$5,"Chưa bắt đầu","Đã hết kế hoạch"))</f>
        <v>S1</v>
      </c>
    </row>
    <row r="7" ht="14.25" customHeight="1"/>
    <row r="8" ht="14.25" customHeight="1">
      <c r="A8" s="39" t="s">
        <v>175</v>
      </c>
    </row>
    <row r="9" ht="14.25" customHeight="1">
      <c r="A9" s="4" t="s">
        <v>18</v>
      </c>
      <c r="B9" s="4" t="s">
        <v>176</v>
      </c>
      <c r="C9" s="4" t="s">
        <v>40</v>
      </c>
      <c r="D9" s="4" t="s">
        <v>53</v>
      </c>
      <c r="E9" s="4" t="s">
        <v>68</v>
      </c>
      <c r="F9" s="4" t="s">
        <v>162</v>
      </c>
      <c r="G9" s="4" t="s">
        <v>19</v>
      </c>
      <c r="H9" s="4" t="s">
        <v>178</v>
      </c>
      <c r="I9" s="4" t="s">
        <v>179</v>
      </c>
      <c r="J9" s="4" t="s">
        <v>180</v>
      </c>
      <c r="K9" s="4" t="s">
        <v>21</v>
      </c>
    </row>
    <row r="10" ht="14.25" customHeight="1">
      <c r="A10" s="44" t="s">
        <v>38</v>
      </c>
      <c r="B10" s="45" t="str">
        <f>TEXT(Sprints!B5,"dd/mm")&amp;" – "&amp;TEXT(Sprints!C5,"dd/mm")</f>
        <v>19/10 – 01/11</v>
      </c>
      <c r="C10" s="45">
        <f>COUNTIFS(Task_Tracking!$I$5:$I$400,$A10,Task_Tracking!$F$5:$F$400,"Backend")</f>
        <v>31</v>
      </c>
      <c r="D10" s="45">
        <f>COUNTIFS(Task_Tracking!$I$5:$I$400,$A10,Task_Tracking!$F$5:$F$400,"Portal")</f>
        <v>21</v>
      </c>
      <c r="E10" s="45">
        <f>COUNTIFS(Task_Tracking!$I$5:$I$400,$A10,Task_Tracking!$F$5:$F$400,"Mobile")</f>
        <v>12</v>
      </c>
      <c r="F10" s="44">
        <f t="shared" ref="F10:F12" si="1">SUM(C10:E10)</f>
        <v>64</v>
      </c>
      <c r="G10" s="45">
        <f>COUNTIFS(Task_Tracking!$I$5:$I$400,$A10,Task_Tracking!$L$5:$L$400,"Done")</f>
        <v>0</v>
      </c>
      <c r="H10" s="45">
        <f t="shared" ref="H10:H12" si="2">F10-G10</f>
        <v>64</v>
      </c>
      <c r="I10" s="45">
        <f t="shared" ref="I10:I12" si="3">SUM($F$10:F10)</f>
        <v>64</v>
      </c>
      <c r="J10" s="45">
        <f t="shared" ref="J10:J12" si="4">SUM($G$10:G10)</f>
        <v>0</v>
      </c>
      <c r="K10" s="46">
        <f t="shared" ref="K10:K13" si="5">IFERROR(G10/F10,0)</f>
        <v>0</v>
      </c>
    </row>
    <row r="11" ht="14.25" customHeight="1">
      <c r="A11" s="44" t="s">
        <v>47</v>
      </c>
      <c r="B11" s="45" t="str">
        <f>TEXT(Sprints!B6,"dd/mm")&amp;" – "&amp;TEXT(Sprints!C6,"dd/mm")</f>
        <v>02/11 – 15/11</v>
      </c>
      <c r="C11" s="45">
        <f>COUNTIFS(Task_Tracking!$I$5:$I$400,$A11,Task_Tracking!$F$5:$F$400,"Backend")</f>
        <v>33</v>
      </c>
      <c r="D11" s="45">
        <f>COUNTIFS(Task_Tracking!$I$5:$I$400,$A11,Task_Tracking!$F$5:$F$400,"Portal")</f>
        <v>18</v>
      </c>
      <c r="E11" s="45">
        <f>COUNTIFS(Task_Tracking!$I$5:$I$400,$A11,Task_Tracking!$F$5:$F$400,"Mobile")</f>
        <v>14</v>
      </c>
      <c r="F11" s="44">
        <f t="shared" si="1"/>
        <v>65</v>
      </c>
      <c r="G11" s="45">
        <f>COUNTIFS(Task_Tracking!$I$5:$I$400,$A11,Task_Tracking!$L$5:$L$400,"Done")</f>
        <v>0</v>
      </c>
      <c r="H11" s="45">
        <f t="shared" si="2"/>
        <v>65</v>
      </c>
      <c r="I11" s="45">
        <f t="shared" si="3"/>
        <v>129</v>
      </c>
      <c r="J11" s="45">
        <f t="shared" si="4"/>
        <v>0</v>
      </c>
      <c r="K11" s="46">
        <f t="shared" si="5"/>
        <v>0</v>
      </c>
    </row>
    <row r="12" ht="14.25" customHeight="1">
      <c r="A12" s="44" t="s">
        <v>55</v>
      </c>
      <c r="B12" s="45" t="str">
        <f>TEXT(Sprints!B7,"dd/mm")&amp;" – "&amp;TEXT(Sprints!C7,"dd/mm")</f>
        <v>16/11 – 22/11</v>
      </c>
      <c r="C12" s="45">
        <f>COUNTIFS(Task_Tracking!$I$5:$I$400,$A12,Task_Tracking!$F$5:$F$400,"Backend")</f>
        <v>16</v>
      </c>
      <c r="D12" s="45">
        <f>COUNTIFS(Task_Tracking!$I$5:$I$400,$A12,Task_Tracking!$F$5:$F$400,"Portal")</f>
        <v>10</v>
      </c>
      <c r="E12" s="45">
        <f>COUNTIFS(Task_Tracking!$I$5:$I$400,$A12,Task_Tracking!$F$5:$F$400,"Mobile")</f>
        <v>8</v>
      </c>
      <c r="F12" s="44">
        <f t="shared" si="1"/>
        <v>34</v>
      </c>
      <c r="G12" s="45">
        <f>COUNTIFS(Task_Tracking!$I$5:$I$400,$A12,Task_Tracking!$L$5:$L$400,"Done")</f>
        <v>0</v>
      </c>
      <c r="H12" s="45">
        <f t="shared" si="2"/>
        <v>34</v>
      </c>
      <c r="I12" s="45">
        <f t="shared" si="3"/>
        <v>163</v>
      </c>
      <c r="J12" s="45">
        <f t="shared" si="4"/>
        <v>0</v>
      </c>
      <c r="K12" s="46">
        <f t="shared" si="5"/>
        <v>0</v>
      </c>
    </row>
    <row r="13" ht="14.25" customHeight="1">
      <c r="A13" s="44" t="s">
        <v>198</v>
      </c>
      <c r="B13" s="45"/>
      <c r="C13" s="44">
        <f t="shared" ref="C13:H13" si="6">SUM(C10:C12)</f>
        <v>80</v>
      </c>
      <c r="D13" s="44">
        <f t="shared" si="6"/>
        <v>49</v>
      </c>
      <c r="E13" s="44">
        <f t="shared" si="6"/>
        <v>34</v>
      </c>
      <c r="F13" s="44">
        <f t="shared" si="6"/>
        <v>163</v>
      </c>
      <c r="G13" s="44">
        <f t="shared" si="6"/>
        <v>0</v>
      </c>
      <c r="H13" s="44">
        <f t="shared" si="6"/>
        <v>163</v>
      </c>
      <c r="I13" s="45"/>
      <c r="J13" s="45"/>
      <c r="K13" s="47">
        <f t="shared" si="5"/>
        <v>0</v>
      </c>
    </row>
    <row r="14" ht="14.25" customHeight="1"/>
    <row r="15" ht="14.25" customHeight="1">
      <c r="A15" s="39" t="s">
        <v>201</v>
      </c>
    </row>
    <row r="16" ht="14.25" customHeight="1">
      <c r="A16" s="4" t="s">
        <v>22</v>
      </c>
      <c r="B16" s="4" t="s">
        <v>38</v>
      </c>
      <c r="C16" s="4" t="s">
        <v>47</v>
      </c>
      <c r="D16" s="4" t="s">
        <v>55</v>
      </c>
      <c r="E16" s="4" t="s">
        <v>198</v>
      </c>
      <c r="F16" s="4" t="s">
        <v>19</v>
      </c>
      <c r="G16" s="4" t="s">
        <v>21</v>
      </c>
    </row>
    <row r="17" ht="14.25" customHeight="1">
      <c r="A17" s="48" t="str">
        <f>Team!A5</f>
        <v>Nhân</v>
      </c>
      <c r="B17" s="45">
        <f>COUNTIFS(Task_Tracking!$I$5:$I$400,"S1",Task_Tracking!$K$5:$K$400,$A17)</f>
        <v>8</v>
      </c>
      <c r="C17" s="45">
        <f>COUNTIFS(Task_Tracking!$I$5:$I$400,"S2",Task_Tracking!$K$5:$K$400,$A17)</f>
        <v>37</v>
      </c>
      <c r="D17" s="45">
        <f>COUNTIFS(Task_Tracking!$I$5:$I$400,"S3",Task_Tracking!$K$5:$K$400,$A17)</f>
        <v>10</v>
      </c>
      <c r="E17" s="44">
        <f t="shared" ref="E17:E22" si="7">SUM(B17:D17)</f>
        <v>55</v>
      </c>
      <c r="F17" s="45">
        <f>COUNTIFS(Task_Tracking!$K$5:$K$400,$A17,Task_Tracking!$L$5:$L$400,"Done")</f>
        <v>0</v>
      </c>
      <c r="G17" s="46">
        <f t="shared" ref="G17:G22" si="8">IFERROR(F17/E17,0)</f>
        <v>0</v>
      </c>
    </row>
    <row r="18" ht="14.25" customHeight="1">
      <c r="A18" s="48" t="str">
        <f>Team!A6</f>
        <v>Khiết</v>
      </c>
      <c r="B18" s="45">
        <f>COUNTIFS(Task_Tracking!$I$5:$I$400,"S1",Task_Tracking!$K$5:$K$400,$A18)</f>
        <v>10</v>
      </c>
      <c r="C18" s="45">
        <f>COUNTIFS(Task_Tracking!$I$5:$I$400,"S2",Task_Tracking!$K$5:$K$400,$A18)</f>
        <v>7</v>
      </c>
      <c r="D18" s="45">
        <f>COUNTIFS(Task_Tracking!$I$5:$I$400,"S3",Task_Tracking!$K$5:$K$400,$A18)</f>
        <v>7</v>
      </c>
      <c r="E18" s="44">
        <f t="shared" si="7"/>
        <v>24</v>
      </c>
      <c r="F18" s="45">
        <f>COUNTIFS(Task_Tracking!$K$5:$K$400,$A18,Task_Tracking!$L$5:$L$400,"Done")</f>
        <v>0</v>
      </c>
      <c r="G18" s="46">
        <f t="shared" si="8"/>
        <v>0</v>
      </c>
    </row>
    <row r="19" ht="14.25" customHeight="1">
      <c r="A19" s="48" t="str">
        <f>Team!A7</f>
        <v>Hải</v>
      </c>
      <c r="B19" s="45">
        <f>COUNTIFS(Task_Tracking!$I$5:$I$400,"S1",Task_Tracking!$K$5:$K$400,$A19)</f>
        <v>17</v>
      </c>
      <c r="C19" s="45">
        <f>COUNTIFS(Task_Tracking!$I$5:$I$400,"S2",Task_Tracking!$K$5:$K$400,$A19)</f>
        <v>6</v>
      </c>
      <c r="D19" s="45">
        <f>COUNTIFS(Task_Tracking!$I$5:$I$400,"S3",Task_Tracking!$K$5:$K$400,$A19)</f>
        <v>4</v>
      </c>
      <c r="E19" s="44">
        <f t="shared" si="7"/>
        <v>27</v>
      </c>
      <c r="F19" s="45">
        <f>COUNTIFS(Task_Tracking!$K$5:$K$400,$A19,Task_Tracking!$L$5:$L$400,"Done")</f>
        <v>0</v>
      </c>
      <c r="G19" s="46">
        <f t="shared" si="8"/>
        <v>0</v>
      </c>
    </row>
    <row r="20" ht="14.25" customHeight="1">
      <c r="A20" s="48" t="str">
        <f>Team!A8</f>
        <v>Sơn</v>
      </c>
      <c r="B20" s="45">
        <f>COUNTIFS(Task_Tracking!$I$5:$I$400,"S1",Task_Tracking!$K$5:$K$400,$A20)</f>
        <v>13</v>
      </c>
      <c r="C20" s="45">
        <f>COUNTIFS(Task_Tracking!$I$5:$I$400,"S2",Task_Tracking!$K$5:$K$400,$A20)</f>
        <v>7</v>
      </c>
      <c r="D20" s="45">
        <f>COUNTIFS(Task_Tracking!$I$5:$I$400,"S3",Task_Tracking!$K$5:$K$400,$A20)</f>
        <v>8</v>
      </c>
      <c r="E20" s="44">
        <f t="shared" si="7"/>
        <v>28</v>
      </c>
      <c r="F20" s="45">
        <f>COUNTIFS(Task_Tracking!$K$5:$K$400,$A20,Task_Tracking!$L$5:$L$400,"Done")</f>
        <v>0</v>
      </c>
      <c r="G20" s="46">
        <f t="shared" si="8"/>
        <v>0</v>
      </c>
    </row>
    <row r="21" ht="14.25" customHeight="1">
      <c r="A21" s="48" t="str">
        <f>Team!A9</f>
        <v>Hoàng</v>
      </c>
      <c r="B21" s="45">
        <f>COUNTIFS(Task_Tracking!$I$5:$I$400,"S1",Task_Tracking!$K$5:$K$400,$A21)</f>
        <v>16</v>
      </c>
      <c r="C21" s="45">
        <f>COUNTIFS(Task_Tracking!$I$5:$I$400,"S2",Task_Tracking!$K$5:$K$400,$A21)</f>
        <v>8</v>
      </c>
      <c r="D21" s="45">
        <f>COUNTIFS(Task_Tracking!$I$5:$I$400,"S3",Task_Tracking!$K$5:$K$400,$A21)</f>
        <v>5</v>
      </c>
      <c r="E21" s="44">
        <f t="shared" si="7"/>
        <v>29</v>
      </c>
      <c r="F21" s="45">
        <f>COUNTIFS(Task_Tracking!$K$5:$K$400,$A21,Task_Tracking!$L$5:$L$400,"Done")</f>
        <v>0</v>
      </c>
      <c r="G21" s="46">
        <f t="shared" si="8"/>
        <v>0</v>
      </c>
    </row>
    <row r="22" ht="14.25" customHeight="1">
      <c r="A22" s="48" t="s">
        <v>222</v>
      </c>
      <c r="B22" s="45">
        <f>COUNTIFS(Task_Tracking!$I$5:$I$400,"S1",Task_Tracking!$G$5:$G$400,"&lt;&gt;",Task_Tracking!$K$5:$K$400,"")</f>
        <v>0</v>
      </c>
      <c r="C22" s="45">
        <f>COUNTIFS(Task_Tracking!$I$5:$I$400,"S2",Task_Tracking!$G$5:$G$400,"&lt;&gt;",Task_Tracking!$K$5:$K$400,"")</f>
        <v>0</v>
      </c>
      <c r="D22" s="45">
        <f>COUNTIFS(Task_Tracking!$I$5:$I$400,"S3",Task_Tracking!$G$5:$G$400,"&lt;&gt;",Task_Tracking!$K$5:$K$400,"")</f>
        <v>0</v>
      </c>
      <c r="E22" s="44">
        <f t="shared" si="7"/>
        <v>0</v>
      </c>
      <c r="F22" s="45">
        <f>COUNTIFS(Task_Tracking!$G$5:$G$400,"&lt;&gt;",Task_Tracking!$K$5:$K$400,"",Task_Tracking!$L$5:$L$400,"Done")</f>
        <v>0</v>
      </c>
      <c r="G22" s="46">
        <f t="shared" si="8"/>
        <v>0</v>
      </c>
    </row>
    <row r="23" ht="14.25" customHeight="1"/>
    <row r="24" ht="14.25" customHeight="1">
      <c r="A24" s="39" t="s">
        <v>228</v>
      </c>
    </row>
    <row r="25" ht="14.25" customHeight="1">
      <c r="A25" s="4" t="s">
        <v>8</v>
      </c>
      <c r="B25" s="4" t="s">
        <v>9</v>
      </c>
      <c r="C25" s="4" t="s">
        <v>40</v>
      </c>
      <c r="D25" s="4" t="s">
        <v>53</v>
      </c>
      <c r="E25" s="4" t="s">
        <v>68</v>
      </c>
      <c r="F25" s="4" t="s">
        <v>162</v>
      </c>
      <c r="G25" s="4" t="s">
        <v>19</v>
      </c>
      <c r="H25" s="4" t="s">
        <v>178</v>
      </c>
      <c r="I25" s="4" t="s">
        <v>90</v>
      </c>
      <c r="J25" s="4" t="s">
        <v>229</v>
      </c>
      <c r="K25" s="4" t="s">
        <v>21</v>
      </c>
    </row>
    <row r="26" ht="14.25" customHeight="1">
      <c r="A26" s="44" t="s">
        <v>33</v>
      </c>
      <c r="B26" s="49" t="s">
        <v>34</v>
      </c>
      <c r="C26" s="45">
        <f>COUNTIFS(Task_Tracking!$B$5:$B$400,$A26,Task_Tracking!$F$5:$F$400,"Backend")</f>
        <v>3</v>
      </c>
      <c r="D26" s="45">
        <f>COUNTIFS(Task_Tracking!$B$5:$B$400,$A26,Task_Tracking!$F$5:$F$400,"Portal")</f>
        <v>2</v>
      </c>
      <c r="E26" s="45">
        <f>COUNTIFS(Task_Tracking!$B$5:$B$400,$A26,Task_Tracking!$F$5:$F$400,"Mobile")</f>
        <v>2</v>
      </c>
      <c r="F26" s="44">
        <f t="shared" ref="F26:F34" si="9">SUM(C26:E26)</f>
        <v>7</v>
      </c>
      <c r="G26" s="45">
        <f>COUNTIFS(Task_Tracking!$B$5:$B$400,$A26,Task_Tracking!$L$5:$L$400,"Done")</f>
        <v>0</v>
      </c>
      <c r="H26" s="45">
        <f t="shared" ref="H26:H34" si="10">F26-G26</f>
        <v>7</v>
      </c>
      <c r="I26" s="45">
        <f>COUNTIFS(Task_Tracking!$B$5:$B$400,$A26,Task_Tracking!$L$5:$L$400,"Blocked")</f>
        <v>0</v>
      </c>
      <c r="J26" s="45">
        <f>COUNTIFS(Task_Tracking!$B$5:$B$400,$A26,Task_Tracking!$M$5:$M$400,"Trễ")</f>
        <v>0</v>
      </c>
      <c r="K26" s="46">
        <f t="shared" ref="K26:K34" si="11">IFERROR(G26/F26,0)</f>
        <v>0</v>
      </c>
    </row>
    <row r="27" ht="14.25" customHeight="1">
      <c r="A27" s="44" t="s">
        <v>78</v>
      </c>
      <c r="B27" s="49" t="s">
        <v>79</v>
      </c>
      <c r="C27" s="45">
        <f>COUNTIFS(Task_Tracking!$B$5:$B$400,$A27,Task_Tracking!$F$5:$F$400,"Backend")</f>
        <v>12</v>
      </c>
      <c r="D27" s="45">
        <f>COUNTIFS(Task_Tracking!$B$5:$B$400,$A27,Task_Tracking!$F$5:$F$400,"Portal")</f>
        <v>11</v>
      </c>
      <c r="E27" s="45">
        <f>COUNTIFS(Task_Tracking!$B$5:$B$400,$A27,Task_Tracking!$F$5:$F$400,"Mobile")</f>
        <v>3</v>
      </c>
      <c r="F27" s="44">
        <f t="shared" si="9"/>
        <v>26</v>
      </c>
      <c r="G27" s="45">
        <f>COUNTIFS(Task_Tracking!$B$5:$B$400,$A27,Task_Tracking!$L$5:$L$400,"Done")</f>
        <v>0</v>
      </c>
      <c r="H27" s="45">
        <f t="shared" si="10"/>
        <v>26</v>
      </c>
      <c r="I27" s="45">
        <f>COUNTIFS(Task_Tracking!$B$5:$B$400,$A27,Task_Tracking!$L$5:$L$400,"Blocked")</f>
        <v>0</v>
      </c>
      <c r="J27" s="45">
        <f>COUNTIFS(Task_Tracking!$B$5:$B$400,$A27,Task_Tracking!$M$5:$M$400,"Trễ")</f>
        <v>0</v>
      </c>
      <c r="K27" s="46">
        <f t="shared" si="11"/>
        <v>0</v>
      </c>
    </row>
    <row r="28" ht="14.25" customHeight="1">
      <c r="A28" s="44" t="s">
        <v>193</v>
      </c>
      <c r="B28" s="49" t="s">
        <v>194</v>
      </c>
      <c r="C28" s="45">
        <f>COUNTIFS(Task_Tracking!$B$5:$B$400,$A28,Task_Tracking!$F$5:$F$400,"Backend")</f>
        <v>22</v>
      </c>
      <c r="D28" s="45">
        <f>COUNTIFS(Task_Tracking!$B$5:$B$400,$A28,Task_Tracking!$F$5:$F$400,"Portal")</f>
        <v>10</v>
      </c>
      <c r="E28" s="45">
        <f>COUNTIFS(Task_Tracking!$B$5:$B$400,$A28,Task_Tracking!$F$5:$F$400,"Mobile")</f>
        <v>11</v>
      </c>
      <c r="F28" s="44">
        <f t="shared" si="9"/>
        <v>43</v>
      </c>
      <c r="G28" s="45">
        <f>COUNTIFS(Task_Tracking!$B$5:$B$400,$A28,Task_Tracking!$L$5:$L$400,"Done")</f>
        <v>0</v>
      </c>
      <c r="H28" s="45">
        <f t="shared" si="10"/>
        <v>43</v>
      </c>
      <c r="I28" s="45">
        <f>COUNTIFS(Task_Tracking!$B$5:$B$400,$A28,Task_Tracking!$L$5:$L$400,"Blocked")</f>
        <v>0</v>
      </c>
      <c r="J28" s="45">
        <f>COUNTIFS(Task_Tracking!$B$5:$B$400,$A28,Task_Tracking!$M$5:$M$400,"Trễ")</f>
        <v>0</v>
      </c>
      <c r="K28" s="46">
        <f t="shared" si="11"/>
        <v>0</v>
      </c>
    </row>
    <row r="29" ht="14.25" customHeight="1">
      <c r="A29" s="44" t="s">
        <v>244</v>
      </c>
      <c r="B29" s="49" t="s">
        <v>246</v>
      </c>
      <c r="C29" s="45">
        <f>COUNTIFS(Task_Tracking!$B$5:$B$400,$A29,Task_Tracking!$F$5:$F$400,"Backend")</f>
        <v>11</v>
      </c>
      <c r="D29" s="45">
        <f>COUNTIFS(Task_Tracking!$B$5:$B$400,$A29,Task_Tracking!$F$5:$F$400,"Portal")</f>
        <v>7</v>
      </c>
      <c r="E29" s="45">
        <f>COUNTIFS(Task_Tracking!$B$5:$B$400,$A29,Task_Tracking!$F$5:$F$400,"Mobile")</f>
        <v>5</v>
      </c>
      <c r="F29" s="44">
        <f t="shared" si="9"/>
        <v>23</v>
      </c>
      <c r="G29" s="45">
        <f>COUNTIFS(Task_Tracking!$B$5:$B$400,$A29,Task_Tracking!$L$5:$L$400,"Done")</f>
        <v>0</v>
      </c>
      <c r="H29" s="45">
        <f t="shared" si="10"/>
        <v>23</v>
      </c>
      <c r="I29" s="45">
        <f>COUNTIFS(Task_Tracking!$B$5:$B$400,$A29,Task_Tracking!$L$5:$L$400,"Blocked")</f>
        <v>0</v>
      </c>
      <c r="J29" s="45">
        <f>COUNTIFS(Task_Tracking!$B$5:$B$400,$A29,Task_Tracking!$M$5:$M$400,"Trễ")</f>
        <v>0</v>
      </c>
      <c r="K29" s="46">
        <f t="shared" si="11"/>
        <v>0</v>
      </c>
    </row>
    <row r="30" ht="14.25" customHeight="1">
      <c r="A30" s="44" t="s">
        <v>253</v>
      </c>
      <c r="B30" s="49" t="s">
        <v>254</v>
      </c>
      <c r="C30" s="45">
        <f>COUNTIFS(Task_Tracking!$B$5:$B$400,$A30,Task_Tracking!$F$5:$F$400,"Backend")</f>
        <v>10</v>
      </c>
      <c r="D30" s="45">
        <f>COUNTIFS(Task_Tracking!$B$5:$B$400,$A30,Task_Tracking!$F$5:$F$400,"Portal")</f>
        <v>5</v>
      </c>
      <c r="E30" s="45">
        <f>COUNTIFS(Task_Tracking!$B$5:$B$400,$A30,Task_Tracking!$F$5:$F$400,"Mobile")</f>
        <v>3</v>
      </c>
      <c r="F30" s="44">
        <f t="shared" si="9"/>
        <v>18</v>
      </c>
      <c r="G30" s="45">
        <f>COUNTIFS(Task_Tracking!$B$5:$B$400,$A30,Task_Tracking!$L$5:$L$400,"Done")</f>
        <v>0</v>
      </c>
      <c r="H30" s="45">
        <f t="shared" si="10"/>
        <v>18</v>
      </c>
      <c r="I30" s="45">
        <f>COUNTIFS(Task_Tracking!$B$5:$B$400,$A30,Task_Tracking!$L$5:$L$400,"Blocked")</f>
        <v>0</v>
      </c>
      <c r="J30" s="45">
        <f>COUNTIFS(Task_Tracking!$B$5:$B$400,$A30,Task_Tracking!$M$5:$M$400,"Trễ")</f>
        <v>0</v>
      </c>
      <c r="K30" s="46">
        <f t="shared" si="11"/>
        <v>0</v>
      </c>
    </row>
    <row r="31" ht="14.25" customHeight="1">
      <c r="A31" s="44" t="s">
        <v>258</v>
      </c>
      <c r="B31" s="49" t="s">
        <v>259</v>
      </c>
      <c r="C31" s="45">
        <f>COUNTIFS(Task_Tracking!$B$5:$B$400,$A31,Task_Tracking!$F$5:$F$400,"Backend")</f>
        <v>6</v>
      </c>
      <c r="D31" s="45">
        <f>COUNTIFS(Task_Tracking!$B$5:$B$400,$A31,Task_Tracking!$F$5:$F$400,"Portal")</f>
        <v>3</v>
      </c>
      <c r="E31" s="45">
        <f>COUNTIFS(Task_Tracking!$B$5:$B$400,$A31,Task_Tracking!$F$5:$F$400,"Mobile")</f>
        <v>3</v>
      </c>
      <c r="F31" s="44">
        <f t="shared" si="9"/>
        <v>12</v>
      </c>
      <c r="G31" s="45">
        <f>COUNTIFS(Task_Tracking!$B$5:$B$400,$A31,Task_Tracking!$L$5:$L$400,"Done")</f>
        <v>0</v>
      </c>
      <c r="H31" s="45">
        <f t="shared" si="10"/>
        <v>12</v>
      </c>
      <c r="I31" s="45">
        <f>COUNTIFS(Task_Tracking!$B$5:$B$400,$A31,Task_Tracking!$L$5:$L$400,"Blocked")</f>
        <v>0</v>
      </c>
      <c r="J31" s="45">
        <f>COUNTIFS(Task_Tracking!$B$5:$B$400,$A31,Task_Tracking!$M$5:$M$400,"Trễ")</f>
        <v>0</v>
      </c>
      <c r="K31" s="46">
        <f t="shared" si="11"/>
        <v>0</v>
      </c>
    </row>
    <row r="32" ht="14.25" customHeight="1">
      <c r="A32" s="44" t="s">
        <v>265</v>
      </c>
      <c r="B32" s="49" t="s">
        <v>266</v>
      </c>
      <c r="C32" s="45">
        <f>COUNTIFS(Task_Tracking!$B$5:$B$400,$A32,Task_Tracking!$F$5:$F$400,"Backend")</f>
        <v>6</v>
      </c>
      <c r="D32" s="45">
        <f>COUNTIFS(Task_Tracking!$B$5:$B$400,$A32,Task_Tracking!$F$5:$F$400,"Portal")</f>
        <v>4</v>
      </c>
      <c r="E32" s="45">
        <f>COUNTIFS(Task_Tracking!$B$5:$B$400,$A32,Task_Tracking!$F$5:$F$400,"Mobile")</f>
        <v>2</v>
      </c>
      <c r="F32" s="44">
        <f t="shared" si="9"/>
        <v>12</v>
      </c>
      <c r="G32" s="45">
        <f>COUNTIFS(Task_Tracking!$B$5:$B$400,$A32,Task_Tracking!$L$5:$L$400,"Done")</f>
        <v>0</v>
      </c>
      <c r="H32" s="45">
        <f t="shared" si="10"/>
        <v>12</v>
      </c>
      <c r="I32" s="45">
        <f>COUNTIFS(Task_Tracking!$B$5:$B$400,$A32,Task_Tracking!$L$5:$L$400,"Blocked")</f>
        <v>0</v>
      </c>
      <c r="J32" s="45">
        <f>COUNTIFS(Task_Tracking!$B$5:$B$400,$A32,Task_Tracking!$M$5:$M$400,"Trễ")</f>
        <v>0</v>
      </c>
      <c r="K32" s="46">
        <f t="shared" si="11"/>
        <v>0</v>
      </c>
    </row>
    <row r="33" ht="14.25" customHeight="1">
      <c r="A33" s="44" t="s">
        <v>270</v>
      </c>
      <c r="B33" s="49" t="s">
        <v>271</v>
      </c>
      <c r="C33" s="45">
        <f>COUNTIFS(Task_Tracking!$B$5:$B$400,$A33,Task_Tracking!$F$5:$F$400,"Backend")</f>
        <v>6</v>
      </c>
      <c r="D33" s="45">
        <f>COUNTIFS(Task_Tracking!$B$5:$B$400,$A33,Task_Tracking!$F$5:$F$400,"Portal")</f>
        <v>5</v>
      </c>
      <c r="E33" s="45">
        <f>COUNTIFS(Task_Tracking!$B$5:$B$400,$A33,Task_Tracking!$F$5:$F$400,"Mobile")</f>
        <v>3</v>
      </c>
      <c r="F33" s="44">
        <f t="shared" si="9"/>
        <v>14</v>
      </c>
      <c r="G33" s="45">
        <f>COUNTIFS(Task_Tracking!$B$5:$B$400,$A33,Task_Tracking!$L$5:$L$400,"Done")</f>
        <v>0</v>
      </c>
      <c r="H33" s="45">
        <f t="shared" si="10"/>
        <v>14</v>
      </c>
      <c r="I33" s="45">
        <f>COUNTIFS(Task_Tracking!$B$5:$B$400,$A33,Task_Tracking!$L$5:$L$400,"Blocked")</f>
        <v>0</v>
      </c>
      <c r="J33" s="45">
        <f>COUNTIFS(Task_Tracking!$B$5:$B$400,$A33,Task_Tracking!$M$5:$M$400,"Trễ")</f>
        <v>0</v>
      </c>
      <c r="K33" s="46">
        <f t="shared" si="11"/>
        <v>0</v>
      </c>
    </row>
    <row r="34" ht="14.25" customHeight="1">
      <c r="A34" s="44" t="s">
        <v>274</v>
      </c>
      <c r="B34" s="49" t="s">
        <v>275</v>
      </c>
      <c r="C34" s="45">
        <f>COUNTIFS(Task_Tracking!$B$5:$B$400,$A34,Task_Tracking!$F$5:$F$400,"Backend")</f>
        <v>4</v>
      </c>
      <c r="D34" s="45">
        <f>COUNTIFS(Task_Tracking!$B$5:$B$400,$A34,Task_Tracking!$F$5:$F$400,"Portal")</f>
        <v>2</v>
      </c>
      <c r="E34" s="45">
        <f>COUNTIFS(Task_Tracking!$B$5:$B$400,$A34,Task_Tracking!$F$5:$F$400,"Mobile")</f>
        <v>2</v>
      </c>
      <c r="F34" s="44">
        <f t="shared" si="9"/>
        <v>8</v>
      </c>
      <c r="G34" s="45">
        <f>COUNTIFS(Task_Tracking!$B$5:$B$400,$A34,Task_Tracking!$L$5:$L$400,"Done")</f>
        <v>0</v>
      </c>
      <c r="H34" s="45">
        <f t="shared" si="10"/>
        <v>8</v>
      </c>
      <c r="I34" s="45">
        <f>COUNTIFS(Task_Tracking!$B$5:$B$400,$A34,Task_Tracking!$L$5:$L$400,"Blocked")</f>
        <v>0</v>
      </c>
      <c r="J34" s="45">
        <f>COUNTIFS(Task_Tracking!$B$5:$B$400,$A34,Task_Tracking!$M$5:$M$400,"Trễ")</f>
        <v>0</v>
      </c>
      <c r="K34" s="46">
        <f t="shared" si="11"/>
        <v>0</v>
      </c>
    </row>
    <row r="35" ht="14.25" customHeight="1"/>
    <row r="36" ht="14.25" customHeight="1">
      <c r="A36" s="39" t="s">
        <v>281</v>
      </c>
    </row>
    <row r="37" ht="14.25" customHeight="1">
      <c r="A37" s="4" t="s">
        <v>14</v>
      </c>
      <c r="B37" s="4" t="s">
        <v>45</v>
      </c>
      <c r="C37" s="4" t="s">
        <v>86</v>
      </c>
      <c r="D37" s="4" t="s">
        <v>88</v>
      </c>
      <c r="E37" s="4" t="s">
        <v>19</v>
      </c>
      <c r="F37" s="4" t="s">
        <v>90</v>
      </c>
      <c r="G37" s="4" t="s">
        <v>198</v>
      </c>
      <c r="H37" s="4" t="s">
        <v>21</v>
      </c>
    </row>
    <row r="38" ht="14.25" customHeight="1">
      <c r="A38" s="44" t="s">
        <v>40</v>
      </c>
      <c r="B38" s="45">
        <f>COUNTIFS(Task_Tracking!$F$5:$F$400,$A38,Task_Tracking!$L$5:$L$400,"To Do")</f>
        <v>80</v>
      </c>
      <c r="C38" s="45">
        <f>COUNTIFS(Task_Tracking!$F$5:$F$400,$A38,Task_Tracking!$L$5:$L$400,"In Progress")</f>
        <v>0</v>
      </c>
      <c r="D38" s="45">
        <f>COUNTIFS(Task_Tracking!$F$5:$F$400,$A38,Task_Tracking!$L$5:$L$400,"In Review")</f>
        <v>0</v>
      </c>
      <c r="E38" s="45">
        <f>COUNTIFS(Task_Tracking!$F$5:$F$400,$A38,Task_Tracking!$L$5:$L$400,"Done")</f>
        <v>0</v>
      </c>
      <c r="F38" s="45">
        <f>COUNTIFS(Task_Tracking!$F$5:$F$400,$A38,Task_Tracking!$L$5:$L$400,"Blocked")</f>
        <v>0</v>
      </c>
      <c r="G38" s="44">
        <f t="shared" ref="G38:G40" si="12">SUM(B38:F38)</f>
        <v>80</v>
      </c>
      <c r="H38" s="46">
        <f t="shared" ref="H38:H40" si="13">IFERROR(E38/G38,0)</f>
        <v>0</v>
      </c>
    </row>
    <row r="39" ht="14.25" customHeight="1">
      <c r="A39" s="44" t="s">
        <v>53</v>
      </c>
      <c r="B39" s="45">
        <f>COUNTIFS(Task_Tracking!$F$5:$F$400,$A39,Task_Tracking!$L$5:$L$400,"To Do")</f>
        <v>49</v>
      </c>
      <c r="C39" s="45">
        <f>COUNTIFS(Task_Tracking!$F$5:$F$400,$A39,Task_Tracking!$L$5:$L$400,"In Progress")</f>
        <v>0</v>
      </c>
      <c r="D39" s="45">
        <f>COUNTIFS(Task_Tracking!$F$5:$F$400,$A39,Task_Tracking!$L$5:$L$400,"In Review")</f>
        <v>0</v>
      </c>
      <c r="E39" s="45">
        <f>COUNTIFS(Task_Tracking!$F$5:$F$400,$A39,Task_Tracking!$L$5:$L$400,"Done")</f>
        <v>0</v>
      </c>
      <c r="F39" s="45">
        <f>COUNTIFS(Task_Tracking!$F$5:$F$400,$A39,Task_Tracking!$L$5:$L$400,"Blocked")</f>
        <v>0</v>
      </c>
      <c r="G39" s="44">
        <f t="shared" si="12"/>
        <v>49</v>
      </c>
      <c r="H39" s="46">
        <f t="shared" si="13"/>
        <v>0</v>
      </c>
    </row>
    <row r="40" ht="14.25" customHeight="1">
      <c r="A40" s="44" t="s">
        <v>68</v>
      </c>
      <c r="B40" s="45">
        <f>COUNTIFS(Task_Tracking!$F$5:$F$400,$A40,Task_Tracking!$L$5:$L$400,"To Do")</f>
        <v>34</v>
      </c>
      <c r="C40" s="45">
        <f>COUNTIFS(Task_Tracking!$F$5:$F$400,$A40,Task_Tracking!$L$5:$L$400,"In Progress")</f>
        <v>0</v>
      </c>
      <c r="D40" s="45">
        <f>COUNTIFS(Task_Tracking!$F$5:$F$400,$A40,Task_Tracking!$L$5:$L$400,"In Review")</f>
        <v>0</v>
      </c>
      <c r="E40" s="45">
        <f>COUNTIFS(Task_Tracking!$F$5:$F$400,$A40,Task_Tracking!$L$5:$L$400,"Done")</f>
        <v>0</v>
      </c>
      <c r="F40" s="45">
        <f>COUNTIFS(Task_Tracking!$F$5:$F$400,$A40,Task_Tracking!$L$5:$L$400,"Blocked")</f>
        <v>0</v>
      </c>
      <c r="G40" s="44">
        <f t="shared" si="12"/>
        <v>34</v>
      </c>
      <c r="H40" s="46">
        <f t="shared" si="13"/>
        <v>0</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0"/>
    <col customWidth="1" min="2" max="3" width="12.0"/>
    <col customWidth="1" min="4" max="4" width="70.0"/>
    <col customWidth="1" min="5" max="5" width="9.0"/>
    <col customWidth="1" min="6" max="6" width="8.0"/>
    <col customWidth="1" min="7" max="7" width="9.0"/>
    <col customWidth="1" min="8" max="8" width="12.0"/>
    <col customWidth="1" min="9" max="26" width="8.71"/>
  </cols>
  <sheetData>
    <row r="1" ht="14.25" customHeight="1">
      <c r="A1" s="1" t="s">
        <v>1</v>
      </c>
    </row>
    <row r="2" ht="14.25" customHeight="1">
      <c r="A2" s="3" t="s">
        <v>4</v>
      </c>
      <c r="F2" s="5">
        <f>TODAY()</f>
        <v>46317</v>
      </c>
    </row>
    <row r="3" ht="14.25" customHeight="1"/>
    <row r="4" ht="14.25" customHeight="1">
      <c r="A4" s="4" t="s">
        <v>18</v>
      </c>
      <c r="B4" s="4" t="s">
        <v>26</v>
      </c>
      <c r="C4" s="4" t="s">
        <v>31</v>
      </c>
      <c r="D4" s="4" t="s">
        <v>32</v>
      </c>
      <c r="E4" s="4" t="s">
        <v>16</v>
      </c>
      <c r="F4" s="4" t="s">
        <v>19</v>
      </c>
      <c r="G4" s="4" t="s">
        <v>21</v>
      </c>
      <c r="H4" s="4" t="s">
        <v>36</v>
      </c>
    </row>
    <row r="5" ht="43.5" customHeight="1">
      <c r="A5" s="11" t="s">
        <v>38</v>
      </c>
      <c r="B5" s="13">
        <v>46314.0</v>
      </c>
      <c r="C5" s="14">
        <f t="shared" ref="C5:C6" si="1">B5+13</f>
        <v>46327</v>
      </c>
      <c r="D5" s="15" t="s">
        <v>43</v>
      </c>
      <c r="E5" s="17">
        <f>COUNTIF(Task_Tracking!$I$5:$I$400,A5)</f>
        <v>64</v>
      </c>
      <c r="F5" s="17">
        <f>COUNTIFS(Task_Tracking!$I$5:$I$400,A5,Task_Tracking!$L$5:$L$400,"Done")</f>
        <v>0</v>
      </c>
      <c r="G5" s="18">
        <f t="shared" ref="G5:G7" si="2">IFERROR(F5/E5,0)</f>
        <v>0</v>
      </c>
      <c r="H5" s="17" t="str">
        <f t="shared" ref="H5:H7" si="3">IF(TODAY()&gt;C5,"Đã qua",IF(TODAY()&gt;=B5,"Đang chạy","Sắp tới"))</f>
        <v>Đang chạy</v>
      </c>
    </row>
    <row r="6" ht="43.5" customHeight="1">
      <c r="A6" s="11" t="s">
        <v>47</v>
      </c>
      <c r="B6" s="14">
        <f t="shared" ref="B6:B7" si="4">B5+14</f>
        <v>46328</v>
      </c>
      <c r="C6" s="14">
        <f t="shared" si="1"/>
        <v>46341</v>
      </c>
      <c r="D6" s="15" t="s">
        <v>52</v>
      </c>
      <c r="E6" s="17">
        <f>COUNTIF(Task_Tracking!$I$5:$I$400,A6)</f>
        <v>65</v>
      </c>
      <c r="F6" s="17">
        <f>COUNTIFS(Task_Tracking!$I$5:$I$400,A6,Task_Tracking!$L$5:$L$400,"Done")</f>
        <v>0</v>
      </c>
      <c r="G6" s="18">
        <f t="shared" si="2"/>
        <v>0</v>
      </c>
      <c r="H6" s="17" t="str">
        <f t="shared" si="3"/>
        <v>Sắp tới</v>
      </c>
    </row>
    <row r="7" ht="43.5" customHeight="1">
      <c r="A7" s="11" t="s">
        <v>55</v>
      </c>
      <c r="B7" s="14">
        <f t="shared" si="4"/>
        <v>46342</v>
      </c>
      <c r="C7" s="14">
        <f>B7+6</f>
        <v>46348</v>
      </c>
      <c r="D7" s="15" t="s">
        <v>60</v>
      </c>
      <c r="E7" s="17">
        <f>COUNTIF(Task_Tracking!$I$5:$I$400,A7)</f>
        <v>34</v>
      </c>
      <c r="F7" s="17">
        <f>COUNTIFS(Task_Tracking!$I$5:$I$400,A7,Task_Tracking!$L$5:$L$400,"Done")</f>
        <v>0</v>
      </c>
      <c r="G7" s="18">
        <f t="shared" si="2"/>
        <v>0</v>
      </c>
      <c r="H7" s="17" t="str">
        <f t="shared" si="3"/>
        <v>Sắp tới</v>
      </c>
    </row>
    <row r="8" ht="14.25" customHeight="1"/>
    <row r="9" ht="14.25" customHeight="1">
      <c r="A9" s="3" t="s">
        <v>65</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A5:H7">
    <cfRule type="expression" dxfId="0" priority="1">
      <formula>$H5="Đang chạy"</formula>
    </cfRule>
  </conditionalFormatting>
  <printOptions/>
  <pageMargins bottom="1.0" footer="0.0" header="0.0" left="0.75" right="0.75"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25" t="s">
        <v>23</v>
      </c>
      <c r="B1" s="25" t="s">
        <v>17</v>
      </c>
      <c r="C1" s="25" t="s">
        <v>14</v>
      </c>
      <c r="D1" s="25" t="s">
        <v>18</v>
      </c>
    </row>
    <row r="2" ht="14.25" customHeight="1">
      <c r="A2" s="26" t="s">
        <v>45</v>
      </c>
      <c r="B2" s="26" t="s">
        <v>42</v>
      </c>
      <c r="C2" s="26" t="s">
        <v>40</v>
      </c>
      <c r="D2" s="26" t="s">
        <v>38</v>
      </c>
    </row>
    <row r="3" ht="14.25" customHeight="1">
      <c r="A3" s="26" t="s">
        <v>86</v>
      </c>
      <c r="B3" s="26" t="s">
        <v>87</v>
      </c>
      <c r="C3" s="26" t="s">
        <v>53</v>
      </c>
      <c r="D3" s="26" t="s">
        <v>47</v>
      </c>
    </row>
    <row r="4" ht="14.25" customHeight="1">
      <c r="A4" s="26" t="s">
        <v>88</v>
      </c>
      <c r="B4" s="26" t="s">
        <v>89</v>
      </c>
      <c r="C4" s="26" t="s">
        <v>68</v>
      </c>
      <c r="D4" s="26" t="s">
        <v>55</v>
      </c>
    </row>
    <row r="5" ht="14.25" customHeight="1">
      <c r="A5" s="26" t="s">
        <v>19</v>
      </c>
    </row>
    <row r="6" ht="14.25" customHeight="1">
      <c r="A6" s="26" t="s">
        <v>90</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2.0"/>
    <col customWidth="1" min="2" max="2" width="110.0"/>
    <col customWidth="1" min="3" max="26" width="8.71"/>
  </cols>
  <sheetData>
    <row r="1" ht="14.25" customHeight="1">
      <c r="A1" s="1" t="s">
        <v>92</v>
      </c>
    </row>
    <row r="2" ht="30.0" customHeight="1">
      <c r="A2" s="27" t="s">
        <v>95</v>
      </c>
    </row>
    <row r="3" ht="51.75" customHeight="1">
      <c r="A3" s="27" t="s">
        <v>96</v>
      </c>
    </row>
    <row r="4" ht="30.0" customHeight="1">
      <c r="A4" s="27" t="s">
        <v>97</v>
      </c>
    </row>
    <row r="5" ht="61.5" customHeight="1">
      <c r="A5" s="27" t="s">
        <v>98</v>
      </c>
    </row>
    <row r="6" ht="30.0" customHeight="1">
      <c r="A6" s="27" t="s">
        <v>99</v>
      </c>
    </row>
    <row r="7" ht="30.0" customHeight="1">
      <c r="A7" s="27" t="s">
        <v>100</v>
      </c>
    </row>
    <row r="8" ht="7.5" customHeight="1">
      <c r="A8" s="27"/>
    </row>
    <row r="9" ht="14.25" customHeight="1">
      <c r="A9" s="28" t="s">
        <v>23</v>
      </c>
      <c r="B9" s="28" t="s">
        <v>101</v>
      </c>
    </row>
    <row r="10" ht="14.25" customHeight="1">
      <c r="A10" s="29" t="s">
        <v>45</v>
      </c>
      <c r="B10" s="15" t="s">
        <v>102</v>
      </c>
    </row>
    <row r="11" ht="14.25" customHeight="1">
      <c r="A11" s="30" t="s">
        <v>86</v>
      </c>
      <c r="B11" s="15" t="s">
        <v>103</v>
      </c>
    </row>
    <row r="12" ht="14.25" customHeight="1">
      <c r="A12" s="31" t="s">
        <v>88</v>
      </c>
      <c r="B12" s="15" t="s">
        <v>105</v>
      </c>
    </row>
    <row r="13" ht="14.25" customHeight="1">
      <c r="A13" s="32" t="s">
        <v>19</v>
      </c>
      <c r="B13" s="15" t="s">
        <v>107</v>
      </c>
    </row>
    <row r="14" ht="14.25" customHeight="1">
      <c r="A14" s="33" t="s">
        <v>90</v>
      </c>
      <c r="B14" s="15" t="s">
        <v>108</v>
      </c>
    </row>
    <row r="15" ht="7.5" customHeight="1">
      <c r="A15" s="27"/>
    </row>
    <row r="16" ht="14.25" customHeight="1">
      <c r="A16" s="28" t="s">
        <v>17</v>
      </c>
      <c r="B16" s="28" t="s">
        <v>101</v>
      </c>
    </row>
    <row r="17" ht="48.0" customHeight="1">
      <c r="A17" s="34" t="s">
        <v>42</v>
      </c>
      <c r="B17" s="15" t="s">
        <v>109</v>
      </c>
    </row>
    <row r="18" ht="14.25" customHeight="1">
      <c r="A18" s="35" t="s">
        <v>87</v>
      </c>
      <c r="B18" s="15" t="s">
        <v>110</v>
      </c>
    </row>
    <row r="19" ht="14.25" customHeight="1">
      <c r="A19" s="36" t="s">
        <v>89</v>
      </c>
      <c r="B19" s="15" t="s">
        <v>111</v>
      </c>
    </row>
    <row r="20" ht="7.5" customHeight="1">
      <c r="A20" s="27"/>
    </row>
    <row r="21" ht="30.0" customHeight="1">
      <c r="A21" s="37" t="s">
        <v>112</v>
      </c>
      <c r="B21" s="15" t="s">
        <v>113</v>
      </c>
    </row>
    <row r="22" ht="30.0" customHeight="1">
      <c r="A22" s="37" t="s">
        <v>114</v>
      </c>
      <c r="B22" s="15" t="s">
        <v>115</v>
      </c>
    </row>
    <row r="23" ht="81.75" customHeight="1">
      <c r="A23" s="37" t="s">
        <v>116</v>
      </c>
      <c r="B23" s="15" t="s">
        <v>117</v>
      </c>
    </row>
    <row r="24" ht="81.75" customHeight="1">
      <c r="A24" s="37" t="s">
        <v>118</v>
      </c>
      <c r="B24" s="15" t="s">
        <v>119</v>
      </c>
    </row>
    <row r="25" ht="90.0" customHeight="1">
      <c r="A25" s="37" t="s">
        <v>120</v>
      </c>
      <c r="B25" s="15" t="s">
        <v>121</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15:B15"/>
    <mergeCell ref="A20:B20"/>
    <mergeCell ref="A2:B2"/>
    <mergeCell ref="A3:B3"/>
    <mergeCell ref="A4:B4"/>
    <mergeCell ref="A5:B5"/>
    <mergeCell ref="A6:B6"/>
    <mergeCell ref="A7:B7"/>
    <mergeCell ref="A8:B8"/>
  </mergeCells>
  <printOptions/>
  <pageMargins bottom="1.0" footer="0.0" header="0.0" left="0.75" right="0.75" top="1.0"/>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2026-10-18T13:10:50Z</dcterms:created>
  <dc:creator>openpyxl</dc:creator>
</cp:coreProperties>
</file>