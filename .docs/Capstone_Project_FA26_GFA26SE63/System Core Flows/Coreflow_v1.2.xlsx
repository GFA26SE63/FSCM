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00" tabRatio="500" activeTab="2"/>
  </bookViews>
  <sheets>
    <sheet name="Actors" sheetId="1" r:id="rId1"/>
    <sheet name="StockIn" sheetId="2" r:id="rId2"/>
    <sheet name="PlacceAnOrder" sheetId="3" r:id="rId3"/>
    <sheet name="SystemPickBatch" sheetId="4" r:id="rId4"/>
    <sheet name="OfflineOrder" sheetId="5" r:id="rId5"/>
    <sheet name="SubFlows" sheetId="6" r:id="rId6"/>
    <sheet name="OrderStatus" sheetId="7" r:id="rId7"/>
    <sheet name="SampleOrderDetail" sheetId="8" r:id="rId8"/>
    <sheet name="ScreenList"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<sst xmlns="http://schemas.openxmlformats.org/spreadsheetml/2006/main" count="764" uniqueCount="560">
  <si>
    <t>No</t>
  </si>
  <si>
    <t>Name</t>
  </si>
  <si>
    <t>Activities</t>
  </si>
  <si>
    <t>Note</t>
  </si>
  <si>
    <t>Admin</t>
  </si>
  <si>
    <t>- Xem Dashboard: tổng số lượng đơn hàng / doanh thu theo status, retailer, sales, thời gian
- Quản lý người dùng: tạo, khóa tài khoản trên Portal (Admin, Operator, Sales Manager, Warehouse Keeper) và tài khoản App (Sales, Retailer); gán role
- Quản lý master data: sản phẩm/SKU (giá, danh mục, hạn dùng), kho (địa chỉ, tọa độ để tính khoảng cách)
- Nhập kho (stock in): tạo phiếu nhập theo batch (cùng quyền với Warehouse Keeper), xem lịch sử nhập hàng, quản lý batch
- Tạo và quản lý chương trình khuyến mãi (loại 1: theo từng SKU, loại 2: theo nhóm sản phẩm); xem báo cáo các đơn đã áp dụng khuyến mãi
- Quản lý retailer: tạo / import vào hệ thống, gán khu vực, kích hoạt / khóa; duyệt hoặc từ chối retailer do Sales khai báo
- Duyệt / từ chối đơn hàng (cùng quyền với Operator)
- Xem bảng xếp hạng doanh số Sales, duyệt thưởng cho top Sales
- Có quyền trên tất cả màn hình còn lại của Portal</t>
  </si>
  <si>
    <t>Kênh: Portal (web). Role cao nhất.</t>
  </si>
  <si>
    <t>Operator</t>
  </si>
  <si>
    <t>- Duyệt / từ chối đơn hàng đang Chờ duyệt (bắt buộc ghi lý do khi từ chối), gồm cả đơn online và đơn offline đã đồng bộ
- Cập nhật status của đơn hàng khi giao (Delivery): Đã xuất kho → Đang giao
- Tạo / import retailer, duyệt retailer do Sales khai báo
- Xác nhận đã nhận tiền với đơn thanh toán trước bằng QR / chuyển khoản
- Xử lý chênh lệch khi retailer báo nhận thiếu / sai batch</t>
  </si>
  <si>
    <t>Kênh: Portal. Không quản lý user, master data, thưởng.
Hai mục xác nhận thanh toán và xử lý chênh lệch là đề xuất bổ sung → cần chốt.</t>
  </si>
  <si>
    <t>Sales Manager</t>
  </si>
  <si>
    <t>- Tạo khu vực và các nhóm Sales (sales group) phụ trách từng khu vực
- Gán Sales vào nhóm; luân phiên điều chuyển Sales giữa các nhóm / khu vực
- Xem đơn hàng, khách hàng và doanh số của các nhóm mình quản lý</t>
  </si>
  <si>
    <t>Kênh: Portal. Được nhắc tới ở sheet PlacceAnOrder.
Cần chốt: tách thành role riêng hay gộp vào Admin.</t>
  </si>
  <si>
    <t>Sales</t>
  </si>
  <si>
    <t>- Xem khu vực và danh sách retailer được phân công (chỉ retailer active trong khu vực của nhóm mình)
- Khai báo retailer mới → chờ Admin / Operator duyệt
- Đặt hàng cho retailer: chọn retailer → chọn sản phẩm → giỏ hàng → xem danh sách khuyến mãi được áp dụng → xác nhận đơn → chọn hình thức thanh toán
- Đặt hàng khi offline: đơn lưu ở local database trên app, khuyến mãi được tính tạm trên dữ liệu local; khi đồng bộ hệ thống tính lại (xem sheet OfflineOrder)
- Xác nhận đã nhận tiền mặt nếu retailer trả trước bằng tiền mặt
- Xem lịch sử đơn (Active / Completed) và chi tiết đơn; thấy được đơn và khách hàng của Sales cùng nhóm
- Nhận thông báo: đơn được duyệt, bị từ chối, đơn offline bị từ chối do đồng bộ đến sau, khuyến mãi thay đổi khi đồng bộ
- Xem số đơn đã bán, doanh số (lọc theo khách hàng, khu vực, thời gian) và bảng xếp hạng Sales; doanh số tính theo giá trước khuyến mãi</t>
  </si>
  <si>
    <t>Kênh: Sales App (mobile).
Mỗi đơn luôn ghi nhận Sales nào tạo để tính doanh số riêng, kể cả khi cùng nhóm.</t>
  </si>
  <si>
    <t>Retailer</t>
  </si>
  <si>
    <t>- Đăng nhập app bằng tài khoản do Admin / Operator cấp (không tự đăng ký, không được đặt hàng)
- Xem danh sách đơn hàng của mình, trạng thái và các khuyến mãi đã nhận trong chi tiết đơn
- Nhận hàng: quét mã QR (Batch ID + Quantity) để xác nhận đã nhận → đơn chuyển Đã giao
- Thanh toán khi nhận hàng nếu đơn chọn COD
- Xem tổng số đơn và tổng tiền đã thanh toán theo khoảng thời gian
- Nhận thông báo: đơn đang giao, đơn bị từ chối (kể cả đơn offline bị từ chối)</t>
  </si>
  <si>
    <t>Kênh: Retailer App (mobile).
Cần chốt: dùng chung 1 app với Sales (phân theo role) hay 2 app riêng.</t>
  </si>
  <si>
    <t>Warehouse Keeper</t>
  </si>
  <si>
    <t>- Nhập kho (stock in): tạo phiếu nhập theo batch tại kho được gán (cùng quyền với Admin); xem lịch sử nhập hàng của kho mình
- Xem tồn kho theo batch tại kho được phân công
- Nhận picking list sau khi đơn được duyệt, đi pick đúng kho - batch - số lượng
- Quét QR của batch khi xuất; hệ thống sinh QR mới cho phần xuất, phần còn lại giữ trong kho (ví dụ BTA 100 → 70 xuất + 30 giữ lại)
- Xác nhận đã xuất hàng → đơn chuyển Đã xuất kho</t>
  </si>
  <si>
    <t>Kênh: Portal (dùng trên máy tính / tablet có camera để quét QR).
Chỉ thao tác trên kho được gán.</t>
  </si>
  <si>
    <t>System (tự động)</t>
  </si>
  <si>
    <t>- Chạy thuật toán khi nhận đơn: ra các kho và batch cần xuất cho từng SKU
- Tính khuyến mãi hợp lệ khi đặt hàng; tính lại khuyến mãi khi đồng bộ đơn offline (kết quả của hệ thống là chính thức)
- Đủ hàng → đơn Chờ duyệt, tạm giữ số lượng đã phân bổ; không đủ → tự động từ chối, báo Sales và Retailer
- Xử lý đơn đồng bộ từ app theo thứ tự tới server: đến trước xử lý trước
- Khi đơn được duyệt: sinh picking list, các batch được chọn chuyển sang Reserved
- Trừ tồn thực tế khi Warehouse Keeper xác nhận xuất
- Gửi thông báo mỗi khi đơn đổi trạng thái; ghi lịch sử thao tác (ai, lúc nào)
- Theo dõi hạn dùng batch: Bình thường → Cận hạn → Hết hạn; batch hết hạn không được phân bổ</t>
  </si>
  <si>
    <t>Không phải người dùng đăng nhập.
Mục theo dõi hạn dùng giữ lại từ scope cũ vì thuật toán FEFO cần → cần chốt.</t>
  </si>
  <si>
    <t>z</t>
  </si>
  <si>
    <t>Cách thông thường: Mapping Batch - SKU Code</t>
  </si>
  <si>
    <t>Batch ID</t>
  </si>
  <si>
    <t>Carton ID</t>
  </si>
  <si>
    <t>….</t>
  </si>
  <si>
    <t>SKU Code</t>
  </si>
  <si>
    <t>Example Mapping</t>
  </si>
  <si>
    <t>Batch  ID</t>
  </si>
  <si>
    <t>12 - 26 carton ID</t>
  </si>
  <si>
    <t>12-16 SKU Code</t>
  </si>
  <si>
    <t>Thay đổi cách mapping cho thực tế hơn ==&gt; support cho quét nhập hàng và nếu quét xuất hàng thì generate mã QR mới</t>
  </si>
  <si>
    <t>Key mapping</t>
  </si>
  <si>
    <t>Quantity</t>
  </si>
  <si>
    <t>BTA</t>
  </si>
  <si>
    <t>A</t>
  </si>
  <si>
    <t>Giữ lại trong kho</t>
  </si>
  <si>
    <t>Luồng đặt hàng</t>
  </si>
  <si>
    <t>Description</t>
  </si>
  <si>
    <t>Sales manager sẽ assign và tạo các group sales support và chiụ trách nhiệm cho từng vùng ==&gt; có thể luân phiên điều chuyển công tác cho Sales giữa các group và khu vực</t>
  </si>
  <si>
    <t>Việc các sales chung một group sẽ cho phép các sales thấy được đơn hàng và khách hàng của các sales khác chùng group</t>
  </si>
  <si>
    <t>Khác group thì không thấy được, và các sales trong vùng đó đều có quyền truy cập vào app và đặt hàng cũng như quản lý đơn và khách hàng như nhau, nhưng vẫn sẽ ghi nhận là sales nào đặt hàng cho một đơn hàng của retailer để tính doanh số riêng ==&gt; Việc lập group sales này chỉ mang tính chất là flexible khi support khách hàng một cách tốt nhất. Ví dụ sales này bận thì copnf sales kia có thể support</t>
  </si>
  <si>
    <t>Sales khi truy cập vào app sẽ thấy được khu vực và khách hàng mình được phân công</t>
  </si>
  <si>
    <t>Admin thực hiện luồng stock in</t>
  </si>
  <si>
    <t>Có thông tin data sản phẩm, có màn hình quản lý lịch sử nhập hàng, quản lý các batch</t>
  </si>
  <si>
    <t>Admin tạo chương trình khuyến mãi trong hệ thống</t>
  </si>
  <si>
    <t>Chương trình khuyến mãi sẽ có 2 loại:
- Áp dụng cho từng SKU (Mua bao nhiêu để được giảm trên từng SKU)
- Áp dụng cho danh sách (Cứ apply một danh sách sản phẩm vào, số lượng cần mua ở trong đóngo group sản phẩm đó thì được giảm giá</t>
  </si>
  <si>
    <t>Cần màn hình set up (Chọn loại chương trình trong 2 loại, danh sách khách hàng được hưởng ưu đãi, danh sách sản phẩm ==&gt; nếu loại 1 thì phải điền số lượng bắt buộc cũng như % giảm giá cho từng dòng sản phẩm, nếu loại 2 thì chỉ cândf add danh sách vào, số lượng cần thiết và giảm giá chung, thời gian hiệu lực của chương trình.
- Màn hinhf xem báo cáo các đơn hàng đã áp dụng</t>
  </si>
  <si>
    <t>Trước hết data của các retailer trong khu vực phải được đưa vào app và cấp tài khoản để retailer có thể truy cập app quản lý của họ hỗ trợ cho việc quét nhập hàng, quản lý đơn hàng và doanh số ==&gt; ko cho phép đặt hàng</t>
  </si>
  <si>
    <t>Chổ này sẽ do Admin / operator tạo trên hệ thống hoặc sales khai báo thông qua tính năng trên app của họ (Khi sales khai báo thì admin cần duyệt/từ chối)</t>
  </si>
  <si>
    <t>Scope ko cho retailer tự đăng ký</t>
  </si>
  <si>
    <t>Sales access the sales app</t>
  </si>
  <si>
    <t>Select the retailer want to place an order</t>
  </si>
  <si>
    <t>Chỉ bao gồm các retailer trong khu vực họ support (Status của profile của retailer == active) ==&gt; và các retailer này là đã được khai báo trước đó mới có data trong hệ thống.</t>
  </si>
  <si>
    <t>Là retailer đã có data:
- Sales khai báo
- Admin tạo/Import vào hệ thông</t>
  </si>
  <si>
    <t>System chuyển hướng tới trang product</t>
  </si>
  <si>
    <t>Search, select quantity product, filter price, category,…</t>
  </si>
  <si>
    <t>All propducts available for all retailers in the system, giá cũng the same</t>
  </si>
  <si>
    <t>Select product and quantity</t>
  </si>
  <si>
    <t>Add to cart</t>
  </si>
  <si>
    <t>Access to the cart</t>
  </si>
  <si>
    <t>Filter, adjust quantity, remove product</t>
  </si>
  <si>
    <t>Tick the products want to order</t>
  </si>
  <si>
    <t>Click place to order button</t>
  </si>
  <si>
    <t>Hệ thống tính toán các chương trình khuyến mãi hợp lệ ==&gt; Show lên màn hình danh sách khuyến mãi áp dụng cho sales xem được</t>
  </si>
  <si>
    <t>Retailer lúc truy cập vào chi tiết đơn hàng cũng xem lại được các khuyến mãi họ nhận được</t>
  </si>
  <si>
    <t>System chuyển hướng tới trang thông tin order (Confirm order)</t>
  </si>
  <si>
    <t>Show all product, show address infor, show the discount or applied promotions list, show total price, total discount, final price (Total - discount), chọn loại hình thanh toán</t>
  </si>
  <si>
    <t>Thanh toán:
- Thanh toán trước (hiển thị QR hoặc xác nhận đã nhận tiền mặt)
- Thanh toán khi nhận hàng</t>
  </si>
  <si>
    <t>Click confirm to order</t>
  </si>
  <si>
    <t>Show thông báo đặc hàng thành công</t>
  </si>
  <si>
    <t>View order history</t>
  </si>
  <si>
    <t>Filter Active order, completed</t>
  </si>
  <si>
    <t>View order details</t>
  </si>
  <si>
    <t>Luồng chạy hệ thống và xuất kho</t>
  </si>
  <si>
    <t>System chạy thuật toán</t>
  </si>
  <si>
    <t>Ra được các kho và batch cần xuất cho từng SKU</t>
  </si>
  <si>
    <t>Cập nhật status của đơn hàng thành pending approval, nếu đơn hàng không đủ thì auto reject lun</t>
  </si>
  <si>
    <t>Admin/operator</t>
  </si>
  <si>
    <t>Duyệt / Từ chối (thì ghi lý do)</t>
  </si>
  <si>
    <t>Status ==&gt; approved, sinh ra picking list ==&gt; các batch được chọn chuyển sang status là reserved</t>
  </si>
  <si>
    <t>Xong warehouse keeper sẽ đi pick hàng dựa trên picking list</t>
  </si>
  <si>
    <t>Xuất hàng và giao hàng tới retailer</t>
  </si>
  <si>
    <t>Warehouse keeper xác nhận đã xuất hàng</t>
  </si>
  <si>
    <t>Đơn hàng chuẩn bị xong và đang trên đường giao ==&gt; Opertor sẽ cập nhật status của đơn hàng thành đang giao</t>
  </si>
  <si>
    <t>Retailer thực hiện thanh toán khi nhận hàng (nếu phương thức thanh toán của đơn hàng là thanh toán khi nhận hàng)</t>
  </si>
  <si>
    <t>Retailer họ nhận được hàng ==&gt; quét mã QR xác nhận nhận hàng (Mapping Batch ID + Quantity)  ==&gt; xác nhận nhận hàng</t>
  </si>
  <si>
    <t>Hệ thống cập nhật status của đơn hàng thành delivered</t>
  </si>
  <si>
    <t>Admin ==&gt; view được total đơn hàng ==&gt; Dashboard</t>
  </si>
  <si>
    <t>Retailer cũng xem được số lượng đơn hàng cũng như tổng tiền họ đã thanh toán</t>
  </si>
  <si>
    <t>Filter theo time range (period)</t>
  </si>
  <si>
    <t>Sales sẽ xem được số lượng đơn hàng họ đã bán và tổng doanh thu</t>
  </si>
  <si>
    <t>Cho phép filter theo khách hàng, khu vực và thời gian</t>
  </si>
  <si>
    <t>Sales sẽ được sắp xếp một bảng xếp hạng là người có doanh thu cao nhất và có cơ chế khen thưởng cho top sales</t>
  </si>
  <si>
    <t>Cho phép admin xem xếp hạng doanh số của sales ==&gt; có cở chế admin duyệt thưởng</t>
  </si>
  <si>
    <t>Các sales cũng sẽ xem được bản xếp hạng này</t>
  </si>
  <si>
    <t>Luồng đặt hàng khi offline (Sales App)</t>
  </si>
  <si>
    <t>Đồng bộ dữ liệu về máy khi có mạng</t>
  </si>
  <si>
    <t>Khi đăng nhập / mở app lúc có mạng, app tải về local database (SQLite): retailer trong khu vực, sản phẩm, giá, chương trình khuyến mãi đang và sắp hiệu lực (loại, danh sách khách hàng, danh sách sản phẩm, số lượng tối thiểu, % giảm, thời gian hiệu lực), tồn khả dụng tham khảo. Lưu thời điểm đồng bộ gần nhất.</t>
  </si>
  <si>
    <t>Phải đăng nhập online ít nhất 1 lần trước khi dùng offline. Chỉ tải những chương trình khuyến mãi mà retailer trong khu vực của Sales được hưởng.</t>
  </si>
  <si>
    <t>Sales mất mạng → app chuyển sang chế độ offline</t>
  </si>
  <si>
    <t>Hiện banner Offline và thời điểm dữ liệu được cập nhật gần nhất.</t>
  </si>
  <si>
    <t>Tồn kho và khuyến mãi trên app lúc offline chỉ mang tính tạm tính.
Cần chốt: dữ liệu cũ hơn bao lâu thì app cảnh báo (ví dụ 24h).</t>
  </si>
  <si>
    <t>Chọn retailer → chọn sản phẩm → giỏ hàng</t>
  </si>
  <si>
    <t>Giống luồng đặt hàng online (sheet PlacceAnOrder) nhưng đọc dữ liệu từ local database.</t>
  </si>
  <si>
    <t>Place order → app tính khuyến mãi trên local database</t>
  </si>
  <si>
    <t>App chạy cùng quy tắc tính khuyến mãi với hệ thống (SubFlows mục J): lọc chương trình còn hiệu lực theo giờ trên máy, retailer có trong danh sách khách hàng, kiểm tra điều kiện số lượng loại 1 (từng SKU) và loại 2 (tổng nhóm sản phẩm), mỗi dòng chọn khuyến mãi giảm nhiều nhất. Hiện danh sách khuyến mãi áp dụng, ghi rõ "tạm tính".</t>
  </si>
  <si>
    <t>Quy tắc tính khuyến mãi phải là một bộ dùng chung cho app và server (cùng công thức, cùng cách làm tròn) để kết quả khớp nhau khi dữ liệu không đổi.</t>
  </si>
  <si>
    <t>Xác nhận đơn</t>
  </si>
  <si>
    <t>Hiện sản phẩm, địa chỉ, danh sách khuyến mãi, tổng tiền, tổng giảm, thành tiền cuối (tạm tính), chọn hình thức thanh toán.</t>
  </si>
  <si>
    <t>Đề xuất: khi offline chỉ cho chọn Thanh toán khi nhận hàng hoặc tiền mặt, vì QR / chuyển khoản cần xác nhận online.</t>
  </si>
  <si>
    <t>Lưu đơn vào local database</t>
  </si>
  <si>
    <t>Đơn có trạng thái Chờ đồng bộ. App sinh mã đơn tạm (UUID) làm idempotency key, lưu thời điểm tạo trên máy và bản chụp khuyến mãi tạm tính (mã chương trình, dòng áp dụng, số tiền giảm, tổng giảm).</t>
  </si>
  <si>
    <t>Sales được sửa / xóa đơn khi còn Chờ đồng bộ; mỗi lần sửa app tính lại khuyến mãi trên local.</t>
  </si>
  <si>
    <t>Có mạng trở lại → app tự đồng bộ</t>
  </si>
  <si>
    <t>Background sync gửi lần lượt các đơn trong hàng đợi lên server (kèm khuyến mãi tạm tính); Sales cũng có thể bấm "Đồng bộ ngay".</t>
  </si>
  <si>
    <t>Gửi lại cùng mã đơn tạm không tạo đơn trùng.</t>
  </si>
  <si>
    <t>Server xếp hàng theo thứ tự đến</t>
  </si>
  <si>
    <t>Đơn nào tới server trước thì xử lý trước (theo thời điểm server nhận, không theo giờ trên điện thoại). Đơn offline và đơn online dùng chung một hàng đợi.</t>
  </si>
  <si>
    <t>Không dùng giờ trên máy để tránh việc chỉnh giờ điện thoại để chen đơn.</t>
  </si>
  <si>
    <t>Kiểm tra dữ liệu đơn</t>
  </si>
  <si>
    <t>Retailer còn active, sản phẩm còn bán, lấy giá bán hiện tại trên server.</t>
  </si>
  <si>
    <t>Retailer / sản phẩm không hợp lệ → từ chối, ghi lý do.</t>
  </si>
  <si>
    <t>Hệ thống tính lại khuyến mãi</t>
  </si>
  <si>
    <t>Server tính lại toàn bộ khuyến mãi của đơn theo dữ liệu chương trình trên server tại thời điểm xử lý (không theo giờ trên máy). Kết quả của server là khuyến mãi chính thức và được lưu vào đơn.</t>
  </si>
  <si>
    <t>Cần chốt: chương trình hết hạn / bị tắt / bị sửa trong khoảng giữa lúc tạo đơn và lúc đồng bộ thì áp theo server (đề xuất) hay giữ khuyến mãi lúc tạo đơn.</t>
  </si>
  <si>
    <t>So sánh khuyến mãi tạm tính và chính thức</t>
  </si>
  <si>
    <t>Nếu khác nhau → đánh dấu đơn "Khuyến mãi thay đổi khi đồng bộ", lưu cả hai con số (tạm tính trên app và chính thức), gửi thông báo cho Sales kèm số tiền chênh lệch.</t>
  </si>
  <si>
    <t>Không tự từ chối đơn vì khuyến mãi thay đổi. Admin / Operator thấy chênh lệch khi duyệt; nếu retailer không đồng ý giá mới, Sales báo để Admin / Operator từ chối đơn.</t>
  </si>
  <si>
    <t>Chạy thuật toán phân bổ</t>
  </si>
  <si>
    <t>Tìm kho và batch cho từng SKU trên tồn khả dụng hiện tại (đã trừ phần các đơn tới trước đang tạm giữ / Reserved).</t>
  </si>
  <si>
    <t>Đủ hàng → Chờ duyệt</t>
  </si>
  <si>
    <t>Tạm giữ số lượng đã phân bổ. Đơn vào hàng chờ duyệt của Admin / Operator như đơn online, gắn nhãn "Đơn offline". Báo Sales: đơn đã đồng bộ, đang chờ duyệt.</t>
  </si>
  <si>
    <t>Bắt buộc tạm giữ để đơn tới sau không lấy trùng số lượng. Khi duyệt → chuyển thành Reserved; khi từ chối → trả lại tồn.</t>
  </si>
  <si>
    <t>Không đủ hàng vì đơn khác tới trước → Từ chối</t>
  </si>
  <si>
    <t>Đơn tới sau tự động chuyển Bị từ chối, lý do "Không đủ hàng – đơn khác đã được xử lý trước". Gửi thông báo cho Sales (app) và Retailer (app).</t>
  </si>
  <si>
    <t>Không giao một phần. Sales có thể tạo đơn mới với số lượng khác.</t>
  </si>
  <si>
    <t>App cập nhật kết quả về local</t>
  </si>
  <si>
    <t>Đơn trên app chuyển Chờ duyệt hoặc Bị từ chối kèm lý do, cập nhật khuyến mãi chính thức và thành tiền cuối; xóa khỏi hàng đợi đồng bộ.</t>
  </si>
  <si>
    <t>Admin / Operator duyệt lần nữa</t>
  </si>
  <si>
    <t>Xem chi tiết đơn (kho, batch, số lượng, khoảng cách), khuyến mãi tạm tính và chính thức, giờ tạo trên máy và giờ đồng bộ → Duyệt hoặc Từ chối (ghi lý do).</t>
  </si>
  <si>
    <t>Duyệt → tiếp tục luồng SystemPickBatch (picking list, xuất kho, giao hàng).
Từ chối → trả lại tồn tạm giữ, báo Sales và Retailer.</t>
  </si>
  <si>
    <t>Đồng bộ lỗi (mất mạng giữa chừng, server lỗi)</t>
  </si>
  <si>
    <t>Đơn giữ nguyên Chờ đồng bộ, app tự thử lại và hiện lỗi cho Sales biết.</t>
  </si>
  <si>
    <t>Cần chốt: đơn nằm quá lâu trong hàng đợi (ví dụ &gt; 24h) có bị hủy không.</t>
  </si>
  <si>
    <t>Ví dụ 1 – Tồn kho: toàn hệ thống chỉ còn 100 thùng SKU001 hợp lệ</t>
  </si>
  <si>
    <t>Sự kiện</t>
  </si>
  <si>
    <t>Kết quả</t>
  </si>
  <si>
    <t>Sales Y tạo đơn offline 50 thùng lúc 08:30</t>
  </si>
  <si>
    <t>Đơn lưu trên máy Y, Chờ đồng bộ</t>
  </si>
  <si>
    <t>Sales X tạo đơn offline 80 thùng lúc 09:00</t>
  </si>
  <si>
    <t>Đơn lưu trên máy X, Chờ đồng bộ</t>
  </si>
  <si>
    <t>Máy X có mạng, đơn X tới server lúc 10:00</t>
  </si>
  <si>
    <t>Đủ hàng → tạm giữ 80, đơn X Chờ duyệt; còn 20 khả dụng</t>
  </si>
  <si>
    <t>X tới server trước nên được xử lý trước, dù tạo sau Y.</t>
  </si>
  <si>
    <t>Máy Y có mạng, đơn Y tới server lúc 10:05</t>
  </si>
  <si>
    <t>Chỉ còn 20 &lt; 50 → đơn Y Bị từ chối; báo Sales Y và retailer của Y</t>
  </si>
  <si>
    <t>Admin duyệt đơn X</t>
  </si>
  <si>
    <t>80 thùng chuyển Reserved, sinh picking list</t>
  </si>
  <si>
    <t>Ví dụ 2 – Khuyến mãi: CTKM loại 1 "SKU001 mua từ 50 thùng giảm 5%", hiệu lực đến 23:59 ngày 27/09; giá 100.000đ/thùng</t>
  </si>
  <si>
    <t>Sales tạo đơn offline 60 thùng SKU001 lúc 22:00 ngày 27/09</t>
  </si>
  <si>
    <t>App tính trên local: đủ điều kiện ≥ 50 thùng → giảm 5% = 300.000đ; thành tiền tạm tính 5.700.000đ</t>
  </si>
  <si>
    <t>Máy có mạng, đơn tới server lúc 08:00 ngày 28/09</t>
  </si>
  <si>
    <t>Server tính lại: chương trình đã hết hạn → giảm 0đ; thành tiền chính thức 6.000.000đ</t>
  </si>
  <si>
    <t>Áp theo đề xuất "tính theo server"; nếu nhóm chốt giữ khuyến mãi lúc tạo đơn thì kết quả vẫn là 5.700.000đ.</t>
  </si>
  <si>
    <t>So sánh</t>
  </si>
  <si>
    <t>Chênh 300.000đ → đơn gắn nhãn "Khuyến mãi thay đổi khi đồng bộ", báo Sales</t>
  </si>
  <si>
    <t>Admin / Operator duyệt</t>
  </si>
  <si>
    <t>Thấy cả 2 con số; duyệt theo giá chính thức hoặc từ chối nếu retailer không đồng ý</t>
  </si>
  <si>
    <t>A. Khai báo retailer &amp; cấp tài khoản</t>
  </si>
  <si>
    <t>Sales khai báo retailer mới trên app</t>
  </si>
  <si>
    <t>Tên, địa chỉ, SĐT, người liên hệ, khu vực → trạng thái Chờ duyệt</t>
  </si>
  <si>
    <t>Scope không cho retailer tự đăng ký.</t>
  </si>
  <si>
    <t>Admin / Operator xem danh sách retailer chờ duyệt</t>
  </si>
  <si>
    <t>Duyệt hoặc Từ chối (ghi lý do)</t>
  </si>
  <si>
    <t>Duyệt → retailer Active</t>
  </si>
  <si>
    <t>Hệ thống cấp tài khoản Retailer App; Sales thấy retailer trong danh sách để đặt hàng</t>
  </si>
  <si>
    <t>Cần chốt: gửi thông tin đăng nhập qua SMS hay email.</t>
  </si>
  <si>
    <t>Từ chối</t>
  </si>
  <si>
    <t>Báo Sales kèm lý do</t>
  </si>
  <si>
    <t>Admin / Operator tạo trực tiếp hoặc import Excel</t>
  </si>
  <si>
    <t>Retailer Active ngay, cấp tài khoản</t>
  </si>
  <si>
    <t>B. Nhóm Sales &amp; phân khu vực</t>
  </si>
  <si>
    <t>Sales Manager tạo khu vực và nhóm Sales cho từng khu vực</t>
  </si>
  <si>
    <t>Gán Sales vào nhóm; gán retailer vào khu vực</t>
  </si>
  <si>
    <t>Sales cùng nhóm thấy đơn và khách hàng của nhau</t>
  </si>
  <si>
    <t>Khác nhóm thì không thấy; doanh số vẫn tính cho Sales tạo đơn</t>
  </si>
  <si>
    <t>Điều chuyển Sales sang nhóm khác</t>
  </si>
  <si>
    <t>Từ lúc chuyển, Sales thấy khách của nhóm mới; đơn cũ vẫn tính doanh số cho Sales đó</t>
  </si>
  <si>
    <t>Đề xuất → cần chốt.</t>
  </si>
  <si>
    <t>C. Từ chối / hủy đơn</t>
  </si>
  <si>
    <t>Hệ thống tự từ chối khi không đủ hàng</t>
  </si>
  <si>
    <t>Báo Sales và Retailer, ghi lý do</t>
  </si>
  <si>
    <t>Admin / Operator từ chối đơn Chờ duyệt</t>
  </si>
  <si>
    <t>Bắt buộc ghi lý do → trả lại tồn tạm giữ → báo Sales và Retailer</t>
  </si>
  <si>
    <t>Sales hủy đơn khi còn Chờ duyệt</t>
  </si>
  <si>
    <t>Trả lại tồn tạm giữ</t>
  </si>
  <si>
    <t>Hủy đơn đã duyệt</t>
  </si>
  <si>
    <t>Chỉ Admin / Operator; batch Reserved được trả lại, picking list bị hủy, báo Warehouse Keeper</t>
  </si>
  <si>
    <t>Đơn đã xuất kho</t>
  </si>
  <si>
    <t>Không cho hủy</t>
  </si>
  <si>
    <t>D. Nhập kho (stock in) &amp; QR key mapping</t>
  </si>
  <si>
    <t>Admin hoặc Warehouse Keeper tạo phiếu nhập</t>
  </si>
  <si>
    <t>Chọn kho, chọn SKU từ dữ liệu sản phẩm, nhập Batch ID, hạn dùng, số lượng</t>
  </si>
  <si>
    <t>Warehouse Keeper chỉ tạo phiếu nhập cho kho được gán; Admin tạo được cho mọi kho.</t>
  </si>
  <si>
    <t>Hệ thống sinh key mapping (QR) = Batch ID + Quantity</t>
  </si>
  <si>
    <t>In và dán QR lên hàng</t>
  </si>
  <si>
    <t>Theo mô hình ở sheet StockIn.</t>
  </si>
  <si>
    <t>Lưu phiếu nhập</t>
  </si>
  <si>
    <t>Tồn batch tăng, batch ở trạng thái Bình thường; phiếu vào lịch sử nhập hàng</t>
  </si>
  <si>
    <t>Admin / Warehouse Keeper xem lịch sử nhập hàng</t>
  </si>
  <si>
    <t>Danh sách phiếu nhập, lọc theo kho, SKU, ngày, người nhập; mở chi tiết phiếu (các batch, số lượng, hạn dùng, QR đã sinh)</t>
  </si>
  <si>
    <t>Admin / Warehouse Keeper quản lý batch</t>
  </si>
  <si>
    <t>Danh sách batch theo kho, SKU, hạn dùng; tồn thực tế / đang giữ / khả dụng; trạng thái hạn; lịch sử nhập - xuất của từng batch; in lại QR</t>
  </si>
  <si>
    <t>E. Xuất kho &amp; tách QR</t>
  </si>
  <si>
    <t>Warehouse Keeper mở picking list</t>
  </si>
  <si>
    <t>Lấy hàng theo kho - batch - số lượng</t>
  </si>
  <si>
    <t>Quét QR key mapping của batch</t>
  </si>
  <si>
    <t>Ví dụ BTA 100</t>
  </si>
  <si>
    <t>Nhập / xác nhận số lượng xuất</t>
  </si>
  <si>
    <t>Ví dụ 70 → hệ thống sinh QR mới A (BTA - 70) dán lên phần xuất; phần còn lại nhận QR mới (BTA - 30) giữ trong kho</t>
  </si>
  <si>
    <t>Xác nhận đã xuất</t>
  </si>
  <si>
    <t>Trừ tồn thực tế, đơn chuyển Đã xuất kho</t>
  </si>
  <si>
    <t>Số lượng / batch quét khác picking list</t>
  </si>
  <si>
    <t>Chặn xác nhận, báo lệch</t>
  </si>
  <si>
    <t>F. Giao &amp; nhận hàng</t>
  </si>
  <si>
    <t>Operator cập nhật Đang giao</t>
  </si>
  <si>
    <t>Báo Retailer</t>
  </si>
  <si>
    <t>Retailer thanh toán khi nhận (nếu COD)</t>
  </si>
  <si>
    <t>Retailer quét QR trên kiện hàng</t>
  </si>
  <si>
    <t>Hệ thống so Batch ID + Quantity với phiếu xuất</t>
  </si>
  <si>
    <t>Khớp → xác nhận nhận hàng</t>
  </si>
  <si>
    <t>Đơn chuyển Đã giao</t>
  </si>
  <si>
    <t>Không khớp → Retailer báo chênh lệch</t>
  </si>
  <si>
    <t>Số lượng thực nhận, ảnh, ghi chú → Operator xử lý</t>
  </si>
  <si>
    <t>G. Thanh toán</t>
  </si>
  <si>
    <t>Trả trước bằng QR / chuyển khoản</t>
  </si>
  <si>
    <t>App hiện QR; Operator xác nhận đã nhận tiền → Đã thanh toán</t>
  </si>
  <si>
    <t>Cần chốt: xác nhận thủ công hay tích hợp cổng thanh toán.</t>
  </si>
  <si>
    <t>Trả trước bằng tiền mặt</t>
  </si>
  <si>
    <t>Sales xác nhận đã nhận tiền mặt trên app</t>
  </si>
  <si>
    <t>Thanh toán khi nhận hàng (COD)</t>
  </si>
  <si>
    <t>Retailer trả khi nhận</t>
  </si>
  <si>
    <t>Cần chốt: ai xác nhận đã thu tiền COD.</t>
  </si>
  <si>
    <t>Retailer xem tổng tiền đã thanh toán theo kỳ</t>
  </si>
  <si>
    <t>Trạng thái thanh toán tách riêng khỏi trạng thái đơn. Số tiền phải trả là thành tiền sau khuyến mãi chính thức.</t>
  </si>
  <si>
    <t>H. Doanh số, xếp hạng &amp; thưởng</t>
  </si>
  <si>
    <t>Sales xem số đơn, doanh thu</t>
  </si>
  <si>
    <t>Lọc theo khách hàng, khu vực, thời gian. Doanh số = tổng tiền hàng trước khuyến mãi</t>
  </si>
  <si>
    <t>Hệ thống xếp hạng Sales theo doanh thu mỗi kỳ</t>
  </si>
  <si>
    <t>Xếp hạng theo doanh số trước khuyến mãi</t>
  </si>
  <si>
    <t>Cần chốt: doanh số tính theo đơn Đã giao hay Đã duyệt.</t>
  </si>
  <si>
    <t>Sales và Admin xem bảng xếp hạng</t>
  </si>
  <si>
    <t>Admin duyệt thưởng cho top Sales</t>
  </si>
  <si>
    <t>Báo Sales được thưởng</t>
  </si>
  <si>
    <t>I. Theo dõi hạn dùng batch</t>
  </si>
  <si>
    <t>Job chạy hằng ngày</t>
  </si>
  <si>
    <t>Bình thường → Cận hạn → Hết hạn theo ngưỡng của SKU</t>
  </si>
  <si>
    <t>Giữ từ scope cũ → cần chốt.</t>
  </si>
  <si>
    <t>Batch hết hạn bị khóa</t>
  </si>
  <si>
    <t>Không được phân bổ / xuất</t>
  </si>
  <si>
    <t>Báo Admin và Warehouse Keeper</t>
  </si>
  <si>
    <t>Danh sách batch cận hạn / hết hạn</t>
  </si>
  <si>
    <t>J. Chương trình khuyến mãi</t>
  </si>
  <si>
    <t>Admin tạo chương trình khuyến mãi</t>
  </si>
  <si>
    <t>Nhập tên, chọn loại (1 hoặc 2), thời gian hiệu lực (từ – đến), danh sách khách hàng (retailer) được hưởng ưu đãi, danh sách sản phẩm</t>
  </si>
  <si>
    <t>Loại 1 – theo từng SKU</t>
  </si>
  <si>
    <t>Mỗi dòng sản phẩm bắt buộc nhập số lượng tối thiểu và % giảm. Ví dụ: SKU001 mua từ 50 thùng → giảm 5% trên dòng SKU001</t>
  </si>
  <si>
    <t>Loại 2 – theo nhóm sản phẩm</t>
  </si>
  <si>
    <t>Thêm danh sách sản phẩm vào nhóm, nhập tổng số lượng tối thiểu của cả nhóm và % giảm chung. Ví dụ: nhóm {SKU002, SKU003} tổng từ 100 thùng → giảm 3% trên các dòng thuộc nhóm</t>
  </si>
  <si>
    <t>Tổng số lượng = cộng số lượng các sản phẩm thuộc nhóm có trong đơn.</t>
  </si>
  <si>
    <t>Kích hoạt / tạm dừng chương trình</t>
  </si>
  <si>
    <t>Chỉ chương trình đang hoạt động và còn trong thời gian hiệu lực mới được áp dụng</t>
  </si>
  <si>
    <t>Đề xuất: chương trình đã có đơn áp dụng thì không sửa điều kiện, chỉ tạm dừng hoặc tạo chương trình mới, để báo cáo không bị sai.</t>
  </si>
  <si>
    <t>Đặt hàng online: hệ thống tính khuyến mãi</t>
  </si>
  <si>
    <t>Sau khi Sales bấm Place order, server tính các chương trình hợp lệ cho retailer và các sản phẩm đã tick → hiện danh sách khuyến mãi áp dụng → trang Confirm order hiện tổng giảm và thành tiền cuối; khuyến mãi được lưu vào đơn</t>
  </si>
  <si>
    <t>Quy tắc chọn khuyến mãi</t>
  </si>
  <si>
    <t>Mỗi dòng sản phẩm chỉ nhận 1 khuyến mãi; nếu có nhiều chương trình hợp lệ thì chọn chương trình giảm nhiều tiền nhất; % giảm tính trên giá bán tại thời điểm tính</t>
  </si>
  <si>
    <t>Đề xuất → cần chốt: có cho cộng dồn loại 1 và loại 2 trên cùng một dòng không.</t>
  </si>
  <si>
    <t>Đặt hàng offline</t>
  </si>
  <si>
    <t>App tính tạm trên local database; khi đồng bộ server tính lại, kết quả server là chính thức (xem sheet OfflineOrder)</t>
  </si>
  <si>
    <t>Retailer xem khuyến mãi đã nhận</t>
  </si>
  <si>
    <t>Trong chi tiết đơn: tên chương trình, dòng áp dụng, số tiền giảm</t>
  </si>
  <si>
    <t>Admin xem báo cáo đơn áp dụng khuyến mãi</t>
  </si>
  <si>
    <t>Theo chương trình: số đơn, retailer, Sales, tổng số lượng, tổng tiền giảm; lọc theo thời gian</t>
  </si>
  <si>
    <t>Đơn Bị từ chối / Đã hủy không tính vào báo cáo (đề xuất).</t>
  </si>
  <si>
    <t>Trạng thái đơn hàng (dùng chung cho các màn hình)</t>
  </si>
  <si>
    <t>Status</t>
  </si>
  <si>
    <t>Ý nghĩa</t>
  </si>
  <si>
    <t>Ai / cái gì chuyển sang</t>
  </si>
  <si>
    <t>Trạng thái tiếp theo</t>
  </si>
  <si>
    <t>Ảnh hưởng tồn kho</t>
  </si>
  <si>
    <t>Chờ đồng bộ</t>
  </si>
  <si>
    <t>Đơn offline còn nằm trên máy Sales</t>
  </si>
  <si>
    <t>Sales tạo đơn khi offline</t>
  </si>
  <si>
    <t>Chờ duyệt / Bị từ chối</t>
  </si>
  <si>
    <t>Không (chỉ có trên app)</t>
  </si>
  <si>
    <t>Chờ duyệt</t>
  </si>
  <si>
    <t>Thuật toán đã phân bổ đủ kho và batch</t>
  </si>
  <si>
    <t>System</t>
  </si>
  <si>
    <t>Đã duyệt / Bị từ chối / Đã hủy</t>
  </si>
  <si>
    <t>Tạm giữ số lượng đã phân bổ</t>
  </si>
  <si>
    <t>Bị từ chối</t>
  </si>
  <si>
    <t>Không đủ hàng, Admin/Operator từ chối, hoặc đơn offline tới sau</t>
  </si>
  <si>
    <t>System hoặc Admin / Operator (có lý do)</t>
  </si>
  <si>
    <t>— (kết thúc)</t>
  </si>
  <si>
    <t>Trả lại phần tạm giữ (nếu có)</t>
  </si>
  <si>
    <t>Đã duyệt</t>
  </si>
  <si>
    <t>Đã sinh picking list</t>
  </si>
  <si>
    <t>Admin / Operator</t>
  </si>
  <si>
    <t>Đã xuất kho / Đã hủy</t>
  </si>
  <si>
    <t>Batch chuyển Reserved</t>
  </si>
  <si>
    <t>Đã xuất kho</t>
  </si>
  <si>
    <t>Warehouse Keeper xác nhận đã xuất</t>
  </si>
  <si>
    <t>Đang giao</t>
  </si>
  <si>
    <t>Trừ tồn thực tế</t>
  </si>
  <si>
    <t>Hàng đang trên đường tới retailer</t>
  </si>
  <si>
    <t>Đã giao</t>
  </si>
  <si>
    <t>—</t>
  </si>
  <si>
    <t>Retailer quét QR xác nhận đã nhận</t>
  </si>
  <si>
    <t>Đã hủy</t>
  </si>
  <si>
    <t>Sales hủy trước khi duyệt / Admin hủy trước khi xuất</t>
  </si>
  <si>
    <t>Sales hoặc Admin / Operator</t>
  </si>
  <si>
    <t>Trả lại tạm giữ / Reserved (đề xuất → cần chốt)</t>
  </si>
  <si>
    <t>Samplae cho trang order details</t>
  </si>
  <si>
    <t>SKU ID</t>
  </si>
  <si>
    <t>SKU Name</t>
  </si>
  <si>
    <t>Ordered quantity</t>
  </si>
  <si>
    <t>Inventory</t>
  </si>
  <si>
    <t>Distance</t>
  </si>
  <si>
    <t>SKU001</t>
  </si>
  <si>
    <t>Sữa chua vinamilk 30ml</t>
  </si>
  <si>
    <t>WH A</t>
  </si>
  <si>
    <t>15Km</t>
  </si>
  <si>
    <t>WH B</t>
  </si>
  <si>
    <t>25Km</t>
  </si>
  <si>
    <t>Danh sách màn hình — P1 để đi hết luồng chính trước, P2 cho các luồng phụ</t>
  </si>
  <si>
    <t>Screen Name</t>
  </si>
  <si>
    <t>At (Portal or App)</t>
  </si>
  <si>
    <t>Role</t>
  </si>
  <si>
    <t>Elements must have (At least first)</t>
  </si>
  <si>
    <t>Thao tác có thể thực hiện</t>
  </si>
  <si>
    <t>Ưu tiên</t>
  </si>
  <si>
    <t>Luồng liên quan</t>
  </si>
  <si>
    <t>Đăng nhập Portal</t>
  </si>
  <si>
    <t>Đăng nhập web portal</t>
  </si>
  <si>
    <t>Portal</t>
  </si>
  <si>
    <t>Admin, Operator, Sales Manager, Warehouse Keeper</t>
  </si>
  <si>
    <t>Username / email, mật khẩu, nút Đăng nhập, Quên mật khẩu</t>
  </si>
  <si>
    <t>Đăng nhập → vào trang chủ theo role</t>
  </si>
  <si>
    <t>P1</t>
  </si>
  <si>
    <t>Chung</t>
  </si>
  <si>
    <t>Đăng nhập App</t>
  </si>
  <si>
    <t>Đăng nhập app mobile</t>
  </si>
  <si>
    <t>App</t>
  </si>
  <si>
    <t>Sales, Retailer</t>
  </si>
  <si>
    <t>Username, mật khẩu, trạng thái mạng</t>
  </si>
  <si>
    <t>Đăng nhập; Sales: tải dữ liệu về local database (retailer, sản phẩm, giá, khuyến mãi)</t>
  </si>
  <si>
    <t>Chung, OfflineOrder</t>
  </si>
  <si>
    <t>Quản lý người dùng</t>
  </si>
  <si>
    <t>Danh sách + tạo / sửa tài khoản Portal và App</t>
  </si>
  <si>
    <t>Bảng user (tên, username, role, kho / khu vực, trạng thái), tìm kiếm, lọc role; form tạo / sửa</t>
  </si>
  <si>
    <t>Tạo, sửa, khóa / mở, gán role, gán kho cho Warehouse Keeper, reset mật khẩu</t>
  </si>
  <si>
    <t>Master data</t>
  </si>
  <si>
    <t>Quản lý sản phẩm (SKU)</t>
  </si>
  <si>
    <t>Danh sách + tạo / sửa sản phẩm</t>
  </si>
  <si>
    <t>Bảng SKU (mã, tên, danh mục, giá, hạn dùng (ngày), ảnh, trạng thái); form tạo / sửa</t>
  </si>
  <si>
    <t>Thêm, sửa, ngừng bán, tìm kiếm, lọc danh mục</t>
  </si>
  <si>
    <t>Master data, PlacceAnOrder bước 3</t>
  </si>
  <si>
    <t>Quản lý kho</t>
  </si>
  <si>
    <t>Danh sách + tạo / sửa kho</t>
  </si>
  <si>
    <t>Bảng kho (mã, tên, địa chỉ, tọa độ, trạng thái)</t>
  </si>
  <si>
    <t>Thêm, sửa, khóa</t>
  </si>
  <si>
    <t>Master data (tọa độ để tính khoảng cách)</t>
  </si>
  <si>
    <t>Quản lý retailer</t>
  </si>
  <si>
    <t>Danh sách retailer + tab Chờ duyệt</t>
  </si>
  <si>
    <t>Admin, Operator</t>
  </si>
  <si>
    <t>Bảng retailer (mã, tên, địa chỉ, SĐT, khu vực, trạng thái, tài khoản app); tab retailer do Sales khai báo</t>
  </si>
  <si>
    <t>Thêm, import Excel, sửa, gán khu vực, kích hoạt / khóa, cấp tài khoản, duyệt / từ chối khai báo</t>
  </si>
  <si>
    <t>PlacceAnOrder bước 5, SubFlows A</t>
  </si>
  <si>
    <t>Quản lý khu vực &amp; nhóm Sales</t>
  </si>
  <si>
    <t>Tạo khu vực, nhóm và gán Sales</t>
  </si>
  <si>
    <t>Sales Manager (hoặc Admin)</t>
  </si>
  <si>
    <t>Danh sách khu vực, nhóm, thành viên của nhóm</t>
  </si>
  <si>
    <t>Tạo khu vực / nhóm, thêm / bớt Sales, chuyển nhóm</t>
  </si>
  <si>
    <t>PlacceAnOrder bước 1, SubFlows B</t>
  </si>
  <si>
    <t>Tạo phiếu nhập kho</t>
  </si>
  <si>
    <t>Stock in theo batch</t>
  </si>
  <si>
    <t>Admin, Warehouse Keeper</t>
  </si>
  <si>
    <t>Kho, SKU (chọn từ dữ liệu sản phẩm), Batch ID, hạn dùng, số lượng; thêm nhiều dòng; nút sinh &amp; in QR</t>
  </si>
  <si>
    <t>Lưu phiếu, sinh QR key mapping, in QR</t>
  </si>
  <si>
    <t>PlacceAnOrder bước 3, StockIn, SubFlows D</t>
  </si>
  <si>
    <t>Lịch sử nhập hàng</t>
  </si>
  <si>
    <t>Danh sách phiếu nhập</t>
  </si>
  <si>
    <t>Bảng phiếu nhập (mã phiếu, kho, ngày nhập, người nhập, số batch, tổng số lượng); lọc theo kho, SKU, ngày. Warehouse Keeper chỉ thấy kho được gán</t>
  </si>
  <si>
    <t>Tìm, lọc, mở chi tiết phiếu</t>
  </si>
  <si>
    <t>PlacceAnOrder bước 3, SubFlows D</t>
  </si>
  <si>
    <t>Chi tiết phiếu nhập</t>
  </si>
  <si>
    <t>Xem một phiếu nhập</t>
  </si>
  <si>
    <t>Thông tin phiếu; các dòng SKU - Batch ID - hạn dùng - số lượng - QR đã sinh</t>
  </si>
  <si>
    <t>In lại QR</t>
  </si>
  <si>
    <t>SubFlows D</t>
  </si>
  <si>
    <t>Quản lý batch</t>
  </si>
  <si>
    <t>Tồn kho theo batch</t>
  </si>
  <si>
    <t>Admin, Warehouse Keeper, Operator</t>
  </si>
  <si>
    <t>Bảng batch: kho, SKU, Batch ID, hạn dùng, tồn thực tế, đang giữ, khả dụng, trạng thái hạn; chi tiết batch có lịch sử nhập - xuất</t>
  </si>
  <si>
    <t>Lọc kho / SKU / trạng thái; xem lịch sử; in lại QR</t>
  </si>
  <si>
    <t>PlacceAnOrder bước 3, SubFlows D, I</t>
  </si>
  <si>
    <t>Danh sách chương trình khuyến mãi</t>
  </si>
  <si>
    <t>Quản lý CTKM</t>
  </si>
  <si>
    <t>Bảng CTKM (tên, loại 1 / 2, thời gian hiệu lực, số khách hàng, số sản phẩm, trạng thái); lọc loại / trạng thái / thời gian</t>
  </si>
  <si>
    <t>Tạo mới, mở sửa, kích hoạt / tạm dừng</t>
  </si>
  <si>
    <t>PlacceAnOrder bước 4, SubFlows J</t>
  </si>
  <si>
    <t>Tạo / sửa chương trình khuyến mãi</t>
  </si>
  <si>
    <t>Set up CTKM</t>
  </si>
  <si>
    <t>Tên, chọn loại; thời gian hiệu lực; chọn danh sách khách hàng được hưởng; danh sách sản phẩm. Loại 1: mỗi dòng sản phẩm có số lượng tối thiểu + % giảm (bắt buộc). Loại 2: danh sách sản phẩm + tổng số lượng tối thiểu của nhóm + % giảm chung</t>
  </si>
  <si>
    <t>Lưu, kích hoạt, tạm dừng; thêm / xóa khách hàng và sản phẩm</t>
  </si>
  <si>
    <t>Trang chủ Sales</t>
  </si>
  <si>
    <t>Màn hình đầu sau khi đăng nhập</t>
  </si>
  <si>
    <t>Khu vực &amp; nhóm, số đơn hôm nay, nút Đặt hàng, trạng thái online / offline, thời điểm đồng bộ dữ liệu gần nhất, số đơn chờ đồng bộ</t>
  </si>
  <si>
    <t>Vào đặt hàng, xem đơn, đồng bộ</t>
  </si>
  <si>
    <t>PlacceAnOrder</t>
  </si>
  <si>
    <t>Chọn retailer</t>
  </si>
  <si>
    <t>Chọn retailer muốn đặt hàng</t>
  </si>
  <si>
    <t>Danh sách retailer active trong khu vực (tên, địa chỉ), ô tìm kiếm</t>
  </si>
  <si>
    <t>Chọn retailer → sang trang sản phẩm</t>
  </si>
  <si>
    <t>PlacceAnOrder bước 7</t>
  </si>
  <si>
    <t>Danh sách sản phẩm</t>
  </si>
  <si>
    <t>Trang product</t>
  </si>
  <si>
    <t>Search, filter danh mục / giá, thẻ sản phẩm (tên, giá, nhãn có khuyến mãi), ô số lượng, nút Thêm vào giỏ, icon giỏ hàng</t>
  </si>
  <si>
    <t>Tìm, lọc, chọn số lượng, thêm vào giỏ</t>
  </si>
  <si>
    <t>PlacceAnOrder bước 8–10</t>
  </si>
  <si>
    <t>Giỏ hàng</t>
  </si>
  <si>
    <t>Cart</t>
  </si>
  <si>
    <t>Retailer đang đặt, danh sách sản phẩm có checkbox, số lượng, thành tiền, tổng tạm tính, nút Place order</t>
  </si>
  <si>
    <t>Sửa số lượng, xóa, tick sản phẩm, Place order</t>
  </si>
  <si>
    <t>PlacceAnOrder bước 11–13</t>
  </si>
  <si>
    <t>Khuyến mãi được áp dụng</t>
  </si>
  <si>
    <t>Danh sách khuyến mãi hệ thống tính cho đơn (popup / bottom sheet)</t>
  </si>
  <si>
    <t>Từng khuyến mãi: tên chương trình, loại, dòng sản phẩm áp dụng, điều kiện, số tiền giảm; tổng giảm; nhãn "Tạm tính" khi offline</t>
  </si>
  <si>
    <t>Xem, tiếp tục sang Confirm order</t>
  </si>
  <si>
    <t>PlacceAnOrder bước 14, OfflineOrder, SubFlows J</t>
  </si>
  <si>
    <t>Xác nhận đơn hàng</t>
  </si>
  <si>
    <t>Confirm order</t>
  </si>
  <si>
    <t>Sản phẩm đã tick, địa chỉ giao, danh sách khuyến mãi áp dụng, tổng tiền, tổng giảm, thành tiền cuối, hình thức thanh toán (trả trước QR / tiền mặt, COD), nút Xác nhận</t>
  </si>
  <si>
    <t>Chọn thanh toán, hiện QR, xác nhận → báo đặt thành công (online) hoặc đã lưu chờ đồng bộ (offline)</t>
  </si>
  <si>
    <t>PlacceAnOrder bước 15–16, OfflineOrder</t>
  </si>
  <si>
    <t>Lịch sử đơn hàng (Sales)</t>
  </si>
  <si>
    <t>Order history</t>
  </si>
  <si>
    <t>Tab Active / Completed; thẻ đơn (mã, retailer, thành tiền, trạng thái, ngày, Sales tạo, nhãn Offline, nhãn "KM thay đổi khi đồng bộ"); lọc retailer / thời gian</t>
  </si>
  <si>
    <t>Xem chi tiết</t>
  </si>
  <si>
    <t>PlacceAnOrder bước 17</t>
  </si>
  <si>
    <t>Chi tiết đơn hàng (Sales)</t>
  </si>
  <si>
    <t>Order details</t>
  </si>
  <si>
    <t>Retailer, sản phẩm, số lượng, khuyến mãi (tạm tính và chính thức nếu là đơn offline), tổng giảm, thành tiền, thanh toán, timeline trạng thái, lý do từ chối</t>
  </si>
  <si>
    <t>Hủy khi còn Chờ duyệt (đề xuất)</t>
  </si>
  <si>
    <t>PlacceAnOrder bước 18, SubFlows C</t>
  </si>
  <si>
    <t>Quản lý đơn hàng</t>
  </si>
  <si>
    <t>Danh sách đơn + tab Chờ duyệt</t>
  </si>
  <si>
    <t>Bảng đơn (mã, retailer, Sales, thành tiền, trạng thái, thời gian, nhãn Offline, nhãn KM thay đổi); lọc status / retailer / sales / ngày</t>
  </si>
  <si>
    <t>Mở chi tiết để duyệt</t>
  </si>
  <si>
    <t>SystemPickBatch</t>
  </si>
  <si>
    <t>Chi tiết &amp; duyệt đơn</t>
  </si>
  <si>
    <t>Xem kết quả thuật toán, khuyến mãi và duyệt</t>
  </si>
  <si>
    <t>Thông tin đơn; bảng phân bổ như sheet SampleOrderDetail (SKU, SL đặt, SL lấy, kho, batch, hạn dùng, khoảng cách); khuyến mãi áp dụng (đơn offline: tạm tính và chính thức + chênh lệch); thanh toán; lịch sử trạng thái; giờ tạo trên máy + giờ đồng bộ</t>
  </si>
  <si>
    <t>Duyệt, Từ chối (ghi lý do), cập nhật Đang giao, xác nhận đã nhận tiền</t>
  </si>
  <si>
    <t>SystemPickBatch, OfflineOrder</t>
  </si>
  <si>
    <t>Danh sách picking list</t>
  </si>
  <si>
    <t>Picking list của kho mình</t>
  </si>
  <si>
    <t>Mã picking list, mã đơn, số dòng, trạng thái</t>
  </si>
  <si>
    <t>Mở để đi pick</t>
  </si>
  <si>
    <t>Pick hàng &amp; xác nhận xuất</t>
  </si>
  <si>
    <t>Thực hiện picking list</t>
  </si>
  <si>
    <t>Các dòng kho - batch - SKU - số lượng cần lấy, ô quét QR, số lượng đã quét, cảnh báo lệch, nút in QR mới, nút Xác nhận xuất</t>
  </si>
  <si>
    <t>Quét QR, nhập số lượng, sinh / in QR phần xuất, xác nhận đã xuất</t>
  </si>
  <si>
    <t>SystemPickBatch, SubFlows E</t>
  </si>
  <si>
    <t>Danh sách đơn (Retailer)</t>
  </si>
  <si>
    <t>Đơn hàng của retailer</t>
  </si>
  <si>
    <t>Danh sách đơn, trạng thái, thành tiền, trạng thái thanh toán</t>
  </si>
  <si>
    <t>Chi tiết đơn (Retailer)</t>
  </si>
  <si>
    <t>Chi tiết một đơn</t>
  </si>
  <si>
    <t>Sản phẩm, batch, số lượng, các khuyến mãi đã nhận (tên chương trình, dòng áp dụng, số tiền giảm), thành tiền, trạng thái, nút Quét QR nhận hàng</t>
  </si>
  <si>
    <t>Mở màn hình quét</t>
  </si>
  <si>
    <t>SystemPickBatch, PlacceAnOrder bước 14, SubFlows J</t>
  </si>
  <si>
    <t>Quét QR nhận hàng</t>
  </si>
  <si>
    <t>Xác nhận đã nhận hàng</t>
  </si>
  <si>
    <t>Camera, danh sách batch cần quét, đã quét / chưa quét, số lượng</t>
  </si>
  <si>
    <t>Quét, xác nhận đã nhận</t>
  </si>
  <si>
    <t>SystemPickBatch, SubFlows F</t>
  </si>
  <si>
    <t>Thông báo (App)</t>
  </si>
  <si>
    <t>Notification</t>
  </si>
  <si>
    <t>Danh sách thông báo (duyệt, từ chối kèm lý do, đang giao, khuyến mãi thay đổi khi đồng bộ...), đã đọc / chưa đọc</t>
  </si>
  <si>
    <t>Mở đơn liên quan</t>
  </si>
  <si>
    <t>Dashboard Admin</t>
  </si>
  <si>
    <t>Tổng quan đơn và doanh thu</t>
  </si>
  <si>
    <t>Tổng số đơn, doanh thu theo status; biểu đồ theo retailer, sales, thời gian; bộ lọc thời gian</t>
  </si>
  <si>
    <t>Lọc, xem chi tiết</t>
  </si>
  <si>
    <t>Hàng đợi đồng bộ</t>
  </si>
  <si>
    <t>Đơn offline đang chờ đồng bộ</t>
  </si>
  <si>
    <t>Danh sách đơn Chờ đồng bộ, khuyến mãi tạm tính, trạng thái gửi, lỗi, thời điểm đồng bộ gần nhất, nút Đồng bộ ngay</t>
  </si>
  <si>
    <t>Đồng bộ, sửa / xóa đơn đang chờ (tính lại khuyến mãi local)</t>
  </si>
  <si>
    <t>P2</t>
  </si>
  <si>
    <t>OfflineOrder</t>
  </si>
  <si>
    <t>Báo cáo đơn áp dụng khuyến mãi</t>
  </si>
  <si>
    <t>Report theo chương trình</t>
  </si>
  <si>
    <t>Theo CTKM: số đơn, retailer, Sales, tổng số lượng, tổng tiền giảm; danh sách đơn; lọc thời gian / chương trình</t>
  </si>
  <si>
    <t>Lọc, mở đơn, xuất Excel (tùy chọn)</t>
  </si>
  <si>
    <t>Khuyến mãi đang chạy (Sales)</t>
  </si>
  <si>
    <t>Xem trước CTKM cho retailer đang chọn</t>
  </si>
  <si>
    <t>Danh sách CTKM còn hiệu lực mà retailer được hưởng, điều kiện, % giảm; đọc từ local khi offline</t>
  </si>
  <si>
    <t>Xem</t>
  </si>
  <si>
    <t>SubFlows J</t>
  </si>
  <si>
    <t>Khai báo retailer mới</t>
  </si>
  <si>
    <t>Sales khai báo retailer</t>
  </si>
  <si>
    <t>Form tên, địa chỉ, SĐT, người liên hệ, khu vực; danh sách đã khai báo + trạng thái duyệt</t>
  </si>
  <si>
    <t>Gửi khai báo</t>
  </si>
  <si>
    <t>SubFlows A</t>
  </si>
  <si>
    <t>Doanh số của tôi</t>
  </si>
  <si>
    <t>Số đơn và doanh số của Sales</t>
  </si>
  <si>
    <t>Số đơn, doanh số (tính theo giá trước khuyến mãi); lọc khách hàng / khu vực / thời gian</t>
  </si>
  <si>
    <t>Lọc</t>
  </si>
  <si>
    <t>SystemPickBatch, SubFlows H</t>
  </si>
  <si>
    <t>Bảng xếp hạng Sales</t>
  </si>
  <si>
    <t>Ranking doanh số</t>
  </si>
  <si>
    <t>App + Portal</t>
  </si>
  <si>
    <t>Sales, Admin</t>
  </si>
  <si>
    <t>Top Sales theo kỳ, doanh số trước khuyến mãi, hạng của tôi</t>
  </si>
  <si>
    <t>Xem, lọc kỳ</t>
  </si>
  <si>
    <t>SubFlows H</t>
  </si>
  <si>
    <t>Duyệt thưởng Sales</t>
  </si>
  <si>
    <t>Duyệt thưởng cho top Sales</t>
  </si>
  <si>
    <t>Danh sách top Sales, mức thưởng, trạng thái</t>
  </si>
  <si>
    <t>Duyệt / từ chối thưởng</t>
  </si>
  <si>
    <t>Lịch sử thanh toán (Retailer)</t>
  </si>
  <si>
    <t>Tổng tiền đã trả theo kỳ</t>
  </si>
  <si>
    <t>Tổng số đơn, tổng tiền đã thanh toán, danh sách đơn; lọc thời gian</t>
  </si>
  <si>
    <t>SubFlows G</t>
  </si>
  <si>
    <t>Báo chênh lệch nhận hàng</t>
  </si>
  <si>
    <t>Retailer báo nhận thiếu / sai</t>
  </si>
  <si>
    <t>Số lượng thực nhận, ảnh, ghi chú</t>
  </si>
  <si>
    <t>Gửi báo cáo</t>
  </si>
  <si>
    <t>SubFlows F (đề xuất)</t>
  </si>
  <si>
    <t>Xử lý chênh lệch</t>
  </si>
  <si>
    <t>Operator xử lý báo cáo</t>
  </si>
  <si>
    <t>Danh sách báo cáo, chi tiết, ảnh</t>
  </si>
  <si>
    <t>Xác nhận, đóng</t>
  </si>
  <si>
    <t>Thông báo (Portal)</t>
  </si>
  <si>
    <t>Notification trên web</t>
  </si>
  <si>
    <t>Admin, Operator, Warehouse Keeper</t>
  </si>
  <si>
    <t>Danh sách thông báo</t>
  </si>
  <si>
    <t>Mở mục liên quan</t>
  </si>
  <si>
    <t>Hồ sơ cá nhân / đổi mật khẩu</t>
  </si>
  <si>
    <t>Thông tin tài khoản</t>
  </si>
  <si>
    <t>Tất cả</t>
  </si>
  <si>
    <t>Thông tin cá nhân, đổi mật khẩu</t>
  </si>
  <si>
    <t>Sửa, đổi mật khẩu</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</si>
</sst>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8">
    <font>
      <sz val="11"/>
      <color theme="1"/>
      <name val="Aptos Narrow"/>
      <charset val="1"/>
    </font>
    <font>
      <b/>
      <sz val="11"/>
      <color theme="1"/>
      <name val="Arial"/>
      <charset val="1"/>
    </font>
    <font>
      <b/>
      <sz val="11"/>
      <color theme="0"/>
      <name val="Arial"/>
      <charset val="1"/>
    </font>
    <font>
      <sz val="11"/>
      <color theme="1"/>
      <name val="Arial"/>
      <charset val="1"/>
    </font>
    <font>
      <b/>
      <sz val="11"/>
      <color theme="1"/>
      <name val="Arial"/>
      <charset val="134"/>
    </font>
    <font>
      <b/>
      <sz val="11"/>
      <color theme="0"/>
      <name val="Arial"/>
      <charset val="134"/>
    </font>
    <font>
      <sz val="11"/>
      <color theme="1"/>
      <name val="Arial"/>
      <charset val="134"/>
    </font>
    <font>
      <b/>
      <sz val="11"/>
      <name val="Arial"/>
      <charset val="1"/>
    </font>
    <font>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s>
  <fills count="35">
    <fill>
      <patternFill patternType="none"/>
    </fill>
    <fill>
      <patternFill patternType="gray125"/>
    </fill>
    <fill>
      <patternFill patternType="solid">
        <fgColor rgb="FF92D050"/>
        <bgColor rgb="FFC0C0C0"/>
      </patternFill>
    </fill>
    <fill>
      <patternFill patternType="solid">
        <fgColor theme="9"/>
        <bgColor rgb="FF8080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8" fillId="0" borderId="0" applyFont="0" applyFill="0" applyBorder="0" applyAlignment="0" applyProtection="0">
      <alignment vertical="center"/>
    </xf>
    <xf numFmtId="44" fontId="8" fillId="0" borderId="0" applyFont="0" applyFill="0" applyBorder="0" applyAlignment="0" applyProtection="0">
      <alignment vertical="center"/>
    </xf>
    <xf numFmtId="9" fontId="8" fillId="0" borderId="0" applyFont="0" applyFill="0" applyBorder="0" applyAlignment="0" applyProtection="0">
      <alignment vertical="center"/>
    </xf>
    <xf numFmtId="177" fontId="8" fillId="0" borderId="0" applyFont="0" applyFill="0" applyBorder="0" applyAlignment="0" applyProtection="0">
      <alignment vertical="center"/>
    </xf>
    <xf numFmtId="42" fontId="8"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8" fillId="4" borderId="4"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5" applyNumberFormat="0" applyFill="0" applyAlignment="0" applyProtection="0">
      <alignment vertical="center"/>
    </xf>
    <xf numFmtId="0" fontId="15" fillId="0" borderId="5" applyNumberFormat="0" applyFill="0" applyAlignment="0" applyProtection="0">
      <alignment vertical="center"/>
    </xf>
    <xf numFmtId="0" fontId="16" fillId="0" borderId="6" applyNumberFormat="0" applyFill="0" applyAlignment="0" applyProtection="0">
      <alignment vertical="center"/>
    </xf>
    <xf numFmtId="0" fontId="16" fillId="0" borderId="0" applyNumberFormat="0" applyFill="0" applyBorder="0" applyAlignment="0" applyProtection="0">
      <alignment vertical="center"/>
    </xf>
    <xf numFmtId="0" fontId="17" fillId="5" borderId="7" applyNumberFormat="0" applyAlignment="0" applyProtection="0">
      <alignment vertical="center"/>
    </xf>
    <xf numFmtId="0" fontId="18" fillId="6" borderId="8" applyNumberFormat="0" applyAlignment="0" applyProtection="0">
      <alignment vertical="center"/>
    </xf>
    <xf numFmtId="0" fontId="19" fillId="6" borderId="7" applyNumberFormat="0" applyAlignment="0" applyProtection="0">
      <alignment vertical="center"/>
    </xf>
    <xf numFmtId="0" fontId="20" fillId="7" borderId="9" applyNumberFormat="0" applyAlignment="0" applyProtection="0">
      <alignment vertical="center"/>
    </xf>
    <xf numFmtId="0" fontId="21" fillId="0" borderId="10" applyNumberFormat="0" applyFill="0" applyAlignment="0" applyProtection="0">
      <alignment vertical="center"/>
    </xf>
    <xf numFmtId="0" fontId="22" fillId="0" borderId="11" applyNumberFormat="0" applyFill="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7" fillId="12" borderId="0" applyNumberFormat="0" applyBorder="0" applyAlignment="0" applyProtection="0">
      <alignment vertical="center"/>
    </xf>
    <xf numFmtId="0" fontId="27" fillId="13" borderId="0" applyNumberFormat="0" applyBorder="0" applyAlignment="0" applyProtection="0">
      <alignment vertical="center"/>
    </xf>
    <xf numFmtId="0" fontId="26" fillId="14" borderId="0" applyNumberFormat="0" applyBorder="0" applyAlignment="0" applyProtection="0">
      <alignment vertical="center"/>
    </xf>
    <xf numFmtId="0" fontId="26" fillId="15" borderId="0" applyNumberFormat="0" applyBorder="0" applyAlignment="0" applyProtection="0">
      <alignment vertical="center"/>
    </xf>
    <xf numFmtId="0" fontId="27" fillId="16" borderId="0" applyNumberFormat="0" applyBorder="0" applyAlignment="0" applyProtection="0">
      <alignment vertical="center"/>
    </xf>
    <xf numFmtId="0" fontId="27" fillId="17" borderId="0" applyNumberFormat="0" applyBorder="0" applyAlignment="0" applyProtection="0">
      <alignment vertical="center"/>
    </xf>
    <xf numFmtId="0" fontId="26" fillId="18" borderId="0" applyNumberFormat="0" applyBorder="0" applyAlignment="0" applyProtection="0">
      <alignment vertical="center"/>
    </xf>
    <xf numFmtId="0" fontId="26" fillId="19"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7" fillId="28" borderId="0" applyNumberFormat="0" applyBorder="0" applyAlignment="0" applyProtection="0">
      <alignment vertical="center"/>
    </xf>
    <xf numFmtId="0" fontId="27"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7" fillId="32" borderId="0" applyNumberFormat="0" applyBorder="0" applyAlignment="0" applyProtection="0">
      <alignment vertical="center"/>
    </xf>
    <xf numFmtId="0" fontId="27" fillId="33" borderId="0" applyNumberFormat="0" applyBorder="0" applyAlignment="0" applyProtection="0">
      <alignment vertical="center"/>
    </xf>
    <xf numFmtId="0" fontId="26" fillId="34" borderId="0" applyNumberFormat="0" applyBorder="0" applyAlignment="0" applyProtection="0">
      <alignment vertical="center"/>
    </xf>
  </cellStyleXfs>
  <cellXfs count="24">
    <xf numFmtId="0" fontId="0" fillId="0" borderId="0" xfId="0"/>
    <xf numFmtId="0" fontId="1" fillId="2" borderId="1" xfId="0" applyFont="1" applyFill="1" applyBorder="1" applyAlignment="1">
      <alignment horizontal="center" vertical="top" wrapText="1"/>
    </xf>
    <xf numFmtId="0" fontId="2" fillId="3" borderId="1" xfId="0" applyFont="1" applyFill="1" applyBorder="1" applyAlignment="1">
      <alignment horizontal="left" vertical="center" wrapText="1"/>
    </xf>
    <xf numFmtId="0" fontId="2" fillId="3" borderId="1" xfId="0" applyFont="1" applyFill="1" applyBorder="1" applyAlignment="1">
      <alignment horizontal="left" vertical="top" wrapText="1"/>
    </xf>
    <xf numFmtId="0" fontId="3" fillId="0" borderId="1" xfId="0" applyFont="1" applyBorder="1" applyAlignment="1">
      <alignment horizontal="center" vertical="top"/>
    </xf>
    <xf numFmtId="0" fontId="3" fillId="0" borderId="1" xfId="0" applyFont="1" applyBorder="1" applyAlignment="1">
      <alignment vertical="top" wrapText="1"/>
    </xf>
    <xf numFmtId="0" fontId="1" fillId="2" borderId="1" xfId="0" applyFont="1" applyFill="1" applyBorder="1" applyAlignment="1">
      <alignment horizontal="center" vertical="center" wrapText="1"/>
    </xf>
    <xf numFmtId="0" fontId="3" fillId="0" borderId="1" xfId="0" applyFont="1" applyBorder="1" applyAlignment="1">
      <alignment vertical="center" wrapText="1"/>
    </xf>
    <xf numFmtId="0" fontId="0" fillId="0" borderId="1" xfId="0" applyBorder="1"/>
    <xf numFmtId="0" fontId="0" fillId="0" borderId="0" xfId="0" applyAlignment="1">
      <alignment wrapText="1"/>
    </xf>
    <xf numFmtId="0" fontId="4" fillId="2" borderId="1" xfId="0" applyFont="1" applyFill="1" applyBorder="1" applyAlignment="1">
      <alignment horizontal="center" vertical="center" wrapText="1"/>
    </xf>
    <xf numFmtId="0" fontId="5" fillId="3" borderId="1" xfId="0" applyFont="1" applyFill="1" applyBorder="1" applyAlignment="1">
      <alignment horizontal="left" vertical="center" wrapText="1"/>
    </xf>
    <xf numFmtId="0" fontId="6" fillId="0" borderId="1" xfId="0" applyFont="1" applyBorder="1" applyAlignment="1">
      <alignment vertical="center" wrapText="1"/>
    </xf>
    <xf numFmtId="0" fontId="6" fillId="0" borderId="1" xfId="0" applyFont="1" applyBorder="1" applyAlignment="1">
      <alignment wrapText="1"/>
    </xf>
    <xf numFmtId="0" fontId="3" fillId="0" borderId="0" xfId="0" applyFont="1" applyAlignment="1">
      <alignment vertical="center" wrapText="1"/>
    </xf>
    <xf numFmtId="0" fontId="2" fillId="3" borderId="1" xfId="0" applyFont="1" applyFill="1" applyBorder="1" applyAlignment="1">
      <alignment horizontal="center" vertical="center" wrapText="1"/>
    </xf>
    <xf numFmtId="0" fontId="3" fillId="0" borderId="2" xfId="0" applyFont="1" applyBorder="1" applyAlignment="1">
      <alignment vertical="center" wrapText="1"/>
    </xf>
    <xf numFmtId="0" fontId="3" fillId="0" borderId="3" xfId="0" applyFont="1" applyBorder="1" applyAlignment="1">
      <alignment vertical="center" wrapText="1"/>
    </xf>
    <xf numFmtId="0" fontId="3" fillId="0" borderId="1" xfId="0" applyFont="1" applyBorder="1" applyAlignment="1">
      <alignment horizontal="center" vertical="center" wrapText="1"/>
    </xf>
    <xf numFmtId="0" fontId="0" fillId="2" borderId="1" xfId="0" applyFill="1" applyBorder="1" applyAlignment="1">
      <alignment horizontal="left"/>
    </xf>
    <xf numFmtId="0" fontId="3" fillId="0" borderId="0" xfId="0" applyFont="1" applyAlignment="1">
      <alignment horizontal="left" vertical="center"/>
    </xf>
    <xf numFmtId="0" fontId="2" fillId="3" borderId="1" xfId="0" applyFont="1" applyFill="1" applyBorder="1" applyAlignment="1">
      <alignment horizontal="left" vertical="center"/>
    </xf>
    <xf numFmtId="0" fontId="7" fillId="0" borderId="1" xfId="0" applyFont="1" applyBorder="1" applyAlignment="1">
      <alignment vertical="top" wrapText="1"/>
    </xf>
    <xf numFmtId="0" fontId="3" fillId="0" borderId="1" xfId="0" applyFont="1" applyBorder="1" applyAlignment="1">
      <alignment horizontal="lef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2D050"/>
      <rgbColor rgb="00FFCC00"/>
      <rgbColor rgb="00FF9900"/>
      <rgbColor rgb="00FF6600"/>
      <rgbColor rgb="00666699"/>
      <rgbColor rgb="00969696"/>
      <rgbColor rgb="00003366"/>
      <rgbColor rgb="004EA72E"/>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majorFont>
      <a:minorFont>
        <a:latin typeface="Aptos Narrow"/>
        <a:ea typeface=""/>
        <a:cs typeface=""/>
      </a:minorFont>
    </a:fontScheme>
    <a:fmtScheme na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1"/>
  <sheetViews>
    <sheetView zoomScale="87" zoomScaleNormal="87" topLeftCell="A7" workbookViewId="0">
      <selection activeCell="A21" sqref="A21"/>
    </sheetView>
  </sheetViews>
  <sheetFormatPr defaultColWidth="8.88333333333333" defaultRowHeight="13.8" outlineLevelCol="3"/>
  <cols>
    <col min="1" max="1" width="3.33333333333333" style="20" customWidth="1"/>
    <col min="2" max="2" width="30.4416666666667" style="20" customWidth="1"/>
    <col min="3" max="3" width="90" style="20" customWidth="1"/>
    <col min="4" max="4" width="42" style="20" customWidth="1"/>
    <col min="5" max="16384" width="8.88333333333333" style="20"/>
  </cols>
  <sheetData>
    <row r="1" ht="13.5" customHeight="1" spans="1:4">
      <c r="A1" s="21" t="s">
        <v>0</v>
      </c>
      <c r="B1" s="21" t="s">
        <v>1</v>
      </c>
      <c r="C1" s="21" t="s">
        <v>2</v>
      </c>
      <c r="D1" s="21" t="s">
        <v>3</v>
      </c>
    </row>
    <row r="2" ht="210" customHeight="1" spans="1:4">
      <c r="A2" s="4">
        <f t="shared" ref="A2:A8" si="0">ROW()-1</f>
        <v>1</v>
      </c>
      <c r="B2" s="22" t="s">
        <v>4</v>
      </c>
      <c r="C2" s="5" t="s">
        <v>5</v>
      </c>
      <c r="D2" s="5" t="s">
        <v>6</v>
      </c>
    </row>
    <row r="3" ht="90" customHeight="1" spans="1:4">
      <c r="A3" s="4">
        <f t="shared" si="0"/>
        <v>2</v>
      </c>
      <c r="B3" s="22" t="s">
        <v>7</v>
      </c>
      <c r="C3" s="5" t="s">
        <v>8</v>
      </c>
      <c r="D3" s="5" t="s">
        <v>9</v>
      </c>
    </row>
    <row r="4" ht="60" customHeight="1" spans="1:4">
      <c r="A4" s="4">
        <f t="shared" si="0"/>
        <v>3</v>
      </c>
      <c r="B4" s="22" t="s">
        <v>10</v>
      </c>
      <c r="C4" s="5" t="s">
        <v>11</v>
      </c>
      <c r="D4" s="5" t="s">
        <v>12</v>
      </c>
    </row>
    <row r="5" ht="225" customHeight="1" spans="1:4">
      <c r="A5" s="4">
        <f t="shared" si="0"/>
        <v>4</v>
      </c>
      <c r="B5" s="22" t="s">
        <v>13</v>
      </c>
      <c r="C5" s="5" t="s">
        <v>14</v>
      </c>
      <c r="D5" s="5" t="s">
        <v>15</v>
      </c>
    </row>
    <row r="6" ht="90" customHeight="1" spans="1:4">
      <c r="A6" s="4">
        <f t="shared" si="0"/>
        <v>5</v>
      </c>
      <c r="B6" s="22" t="s">
        <v>16</v>
      </c>
      <c r="C6" s="5" t="s">
        <v>17</v>
      </c>
      <c r="D6" s="5" t="s">
        <v>18</v>
      </c>
    </row>
    <row r="7" ht="105" customHeight="1" spans="1:4">
      <c r="A7" s="4">
        <f t="shared" si="0"/>
        <v>6</v>
      </c>
      <c r="B7" s="22" t="s">
        <v>19</v>
      </c>
      <c r="C7" s="5" t="s">
        <v>20</v>
      </c>
      <c r="D7" s="5" t="s">
        <v>21</v>
      </c>
    </row>
    <row r="8" ht="150" customHeight="1" spans="1:4">
      <c r="A8" s="4">
        <f t="shared" si="0"/>
        <v>7</v>
      </c>
      <c r="B8" s="22" t="s">
        <v>22</v>
      </c>
      <c r="C8" s="5" t="s">
        <v>23</v>
      </c>
      <c r="D8" s="5" t="s">
        <v>24</v>
      </c>
    </row>
    <row r="9" ht="13.5" customHeight="1" spans="1:4">
      <c r="A9" s="23"/>
      <c r="B9" s="23"/>
      <c r="C9" s="23"/>
      <c r="D9" s="23"/>
    </row>
    <row r="10" ht="13.5" customHeight="1" spans="1:4">
      <c r="A10" s="23"/>
      <c r="B10" s="23"/>
      <c r="C10" s="23"/>
      <c r="D10" s="23"/>
    </row>
    <row r="11" ht="13.5" customHeight="1" spans="1:4">
      <c r="A11" s="23"/>
      <c r="B11" s="23"/>
      <c r="C11" s="23"/>
      <c r="D11" s="23"/>
    </row>
    <row r="12" ht="13.5" customHeight="1" spans="1:4">
      <c r="A12" s="23"/>
      <c r="B12" s="23"/>
      <c r="C12" s="23"/>
      <c r="D12" s="23"/>
    </row>
    <row r="13" ht="13.5" customHeight="1" spans="1:4">
      <c r="A13" s="23"/>
      <c r="B13" s="23"/>
      <c r="C13" s="23"/>
      <c r="D13" s="23"/>
    </row>
    <row r="14" ht="13.5" customHeight="1" spans="1:4">
      <c r="A14" s="23"/>
      <c r="B14" s="23"/>
      <c r="C14" s="23"/>
      <c r="D14" s="23"/>
    </row>
    <row r="21" spans="1:1">
      <c r="A21" s="20" t="s">
        <v>25</v>
      </c>
    </row>
  </sheetData>
  <pageMargins left="0.7" right="0.7" top="0.75" bottom="0.75" header="0.511811023622047" footer="0.511811023622047"/>
  <pageSetup paperSize="1" orientation="portrait" horizontalDpi="3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7"/>
  <sheetViews>
    <sheetView workbookViewId="0">
      <selection activeCell="D18" sqref="D18"/>
    </sheetView>
  </sheetViews>
  <sheetFormatPr defaultColWidth="8.55833333333333" defaultRowHeight="13.8" outlineLevelCol="3"/>
  <cols>
    <col min="1" max="1" width="10.5583333333333" customWidth="1"/>
    <col min="2" max="2" width="28.2166666666667" customWidth="1"/>
    <col min="3" max="3" width="20.8833333333333" customWidth="1"/>
    <col min="4" max="4" width="33.4416666666667" customWidth="1"/>
    <col min="5" max="5" width="13.8833333333333" customWidth="1"/>
    <col min="8" max="8" width="14.5583333333333" customWidth="1"/>
  </cols>
  <sheetData>
    <row r="1" ht="14.25" customHeight="1" spans="1:4">
      <c r="A1" s="6" t="s">
        <v>26</v>
      </c>
      <c r="B1" s="6"/>
      <c r="C1" s="6"/>
    </row>
    <row r="2" ht="14.25" customHeight="1" spans="1:4">
      <c r="A2" s="15" t="s">
        <v>27</v>
      </c>
      <c r="B2" s="15"/>
      <c r="C2" s="15"/>
    </row>
    <row r="3" ht="14.25" customHeight="1" spans="1:4">
      <c r="A3" s="7" t="s">
        <v>28</v>
      </c>
      <c r="B3" s="16" t="s">
        <v>28</v>
      </c>
      <c r="C3" s="8" t="s">
        <v>29</v>
      </c>
    </row>
    <row r="4" ht="14.25" customHeight="1" spans="1:4">
      <c r="A4" s="7" t="s">
        <v>30</v>
      </c>
      <c r="B4" s="7" t="s">
        <v>30</v>
      </c>
      <c r="C4" s="7" t="s">
        <v>30</v>
      </c>
      <c r="D4" s="17"/>
    </row>
    <row r="5" ht="14.25" customHeight="1" spans="1:4">
      <c r="A5" s="18" t="s">
        <v>31</v>
      </c>
      <c r="B5" s="18"/>
      <c r="C5" s="18"/>
    </row>
    <row r="6" ht="14.25" customHeight="1" spans="1:4">
      <c r="A6" s="18"/>
      <c r="B6" s="18"/>
      <c r="C6" s="18"/>
    </row>
    <row r="7" ht="14.25" customHeight="1" spans="1:4">
      <c r="A7" s="7" t="s">
        <v>32</v>
      </c>
      <c r="B7" s="16" t="s">
        <v>33</v>
      </c>
      <c r="C7" s="7"/>
    </row>
    <row r="8" ht="14.25" customHeight="1" spans="1:4">
      <c r="A8" s="7" t="s">
        <v>28</v>
      </c>
      <c r="B8" s="16" t="s">
        <v>34</v>
      </c>
      <c r="C8" s="8"/>
    </row>
    <row r="13" ht="14.25" customHeight="1" spans="1:4">
      <c r="A13" s="19" t="s">
        <v>35</v>
      </c>
      <c r="B13" s="19"/>
      <c r="C13" s="19"/>
      <c r="D13" s="19"/>
    </row>
    <row r="14" ht="14.25" customHeight="1" spans="1:4">
      <c r="A14" s="8" t="s">
        <v>36</v>
      </c>
      <c r="B14" s="7" t="s">
        <v>27</v>
      </c>
      <c r="C14" s="7" t="s">
        <v>37</v>
      </c>
      <c r="D14" s="8"/>
    </row>
    <row r="15" ht="14.25" customHeight="1" spans="1:4">
      <c r="A15" s="8"/>
      <c r="B15" s="8" t="s">
        <v>38</v>
      </c>
      <c r="C15" s="8">
        <v>100</v>
      </c>
      <c r="D15" s="8"/>
    </row>
    <row r="16" ht="14.25" customHeight="1" spans="1:4">
      <c r="A16" s="8"/>
      <c r="B16" s="8" t="s">
        <v>38</v>
      </c>
      <c r="C16" s="8">
        <v>70</v>
      </c>
      <c r="D16" s="8" t="s">
        <v>39</v>
      </c>
    </row>
    <row r="17" ht="14.25" customHeight="1" spans="1:4">
      <c r="A17" s="8"/>
      <c r="B17" s="8" t="s">
        <v>38</v>
      </c>
      <c r="C17" s="8">
        <v>30</v>
      </c>
      <c r="D17" s="8" t="s">
        <v>40</v>
      </c>
    </row>
  </sheetData>
  <mergeCells count="4">
    <mergeCell ref="A1:C1"/>
    <mergeCell ref="A2:C2"/>
    <mergeCell ref="A13:D13"/>
    <mergeCell ref="A5:C6"/>
  </mergeCells>
  <pageMargins left="0.7" right="0.7" top="0.75" bottom="0.75" header="0.511811023622047" footer="0.511811023622047"/>
  <pageSetup paperSize="9" orientation="portrait" horizontalDpi="300" verticalDpi="3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0"/>
  <sheetViews>
    <sheetView tabSelected="1" workbookViewId="0">
      <selection activeCell="B3" sqref="B3"/>
    </sheetView>
  </sheetViews>
  <sheetFormatPr defaultColWidth="8.88333333333333" defaultRowHeight="13.8" outlineLevelCol="3"/>
  <cols>
    <col min="1" max="1" width="5.21666666666667" style="14" customWidth="1"/>
    <col min="2" max="2" width="40.3333333333333" style="14" customWidth="1"/>
    <col min="3" max="3" width="29.5583333333333" style="14" customWidth="1"/>
    <col min="4" max="4" width="30" style="14" customWidth="1"/>
    <col min="5" max="16384" width="8.88333333333333" style="14"/>
  </cols>
  <sheetData>
    <row r="1" ht="23.25" customHeight="1" spans="1:4">
      <c r="A1" s="6" t="s">
        <v>41</v>
      </c>
      <c r="B1" s="6"/>
      <c r="C1" s="6"/>
      <c r="D1" s="6"/>
    </row>
    <row r="2" ht="13.5" customHeight="1" spans="1:4">
      <c r="A2" s="2" t="s">
        <v>0</v>
      </c>
      <c r="B2" s="2" t="s">
        <v>1</v>
      </c>
      <c r="C2" s="2" t="s">
        <v>42</v>
      </c>
      <c r="D2" s="2" t="s">
        <v>3</v>
      </c>
    </row>
    <row r="3" ht="192.75" customHeight="1" spans="1:4">
      <c r="A3" s="7">
        <f t="shared" ref="A3:A20" si="0">ROW()-2</f>
        <v>1</v>
      </c>
      <c r="B3" s="7" t="s">
        <v>43</v>
      </c>
      <c r="C3" s="7" t="s">
        <v>44</v>
      </c>
      <c r="D3" s="7" t="s">
        <v>45</v>
      </c>
    </row>
    <row r="4" ht="41.25" customHeight="1" spans="1:4">
      <c r="A4" s="7">
        <f t="shared" si="0"/>
        <v>2</v>
      </c>
      <c r="B4" s="7" t="s">
        <v>46</v>
      </c>
      <c r="C4" s="7"/>
      <c r="D4" s="7"/>
    </row>
    <row r="5" ht="41.25" customHeight="1" spans="1:4">
      <c r="A5" s="7">
        <f t="shared" si="0"/>
        <v>3</v>
      </c>
      <c r="B5" s="7" t="s">
        <v>47</v>
      </c>
      <c r="C5" s="7" t="s">
        <v>48</v>
      </c>
      <c r="D5" s="7"/>
    </row>
    <row r="6" ht="161.25" customHeight="1" spans="1:4">
      <c r="A6" s="7">
        <f t="shared" si="0"/>
        <v>4</v>
      </c>
      <c r="B6" s="7" t="s">
        <v>49</v>
      </c>
      <c r="C6" s="7" t="s">
        <v>50</v>
      </c>
      <c r="D6" s="7" t="s">
        <v>51</v>
      </c>
    </row>
    <row r="7" ht="82.5" customHeight="1" spans="1:4">
      <c r="A7" s="7">
        <f t="shared" si="0"/>
        <v>5</v>
      </c>
      <c r="B7" s="7" t="s">
        <v>52</v>
      </c>
      <c r="C7" s="7" t="s">
        <v>53</v>
      </c>
      <c r="D7" s="7" t="s">
        <v>54</v>
      </c>
    </row>
    <row r="8" ht="13.5" customHeight="1" spans="1:4">
      <c r="A8" s="7">
        <f t="shared" si="0"/>
        <v>6</v>
      </c>
      <c r="B8" s="7" t="s">
        <v>55</v>
      </c>
      <c r="C8" s="7"/>
      <c r="D8" s="7"/>
    </row>
    <row r="9" ht="82.5" customHeight="1" spans="1:4">
      <c r="A9" s="7">
        <f t="shared" si="0"/>
        <v>7</v>
      </c>
      <c r="B9" s="7" t="s">
        <v>56</v>
      </c>
      <c r="C9" s="7" t="s">
        <v>57</v>
      </c>
      <c r="D9" s="7" t="s">
        <v>58</v>
      </c>
    </row>
    <row r="10" ht="41.25" customHeight="1" spans="1:4">
      <c r="A10" s="7">
        <f t="shared" si="0"/>
        <v>8</v>
      </c>
      <c r="B10" s="7" t="s">
        <v>59</v>
      </c>
      <c r="C10" s="7" t="s">
        <v>60</v>
      </c>
      <c r="D10" s="7" t="s">
        <v>61</v>
      </c>
    </row>
    <row r="11" ht="13.5" customHeight="1" spans="1:4">
      <c r="A11" s="7">
        <f t="shared" si="0"/>
        <v>9</v>
      </c>
      <c r="B11" s="7" t="s">
        <v>62</v>
      </c>
      <c r="C11" s="7"/>
      <c r="D11" s="7"/>
    </row>
    <row r="12" ht="13.5" customHeight="1" spans="1:4">
      <c r="A12" s="7">
        <f t="shared" si="0"/>
        <v>10</v>
      </c>
      <c r="B12" s="7" t="s">
        <v>63</v>
      </c>
      <c r="C12" s="7"/>
      <c r="D12" s="7"/>
    </row>
    <row r="13" ht="27" customHeight="1" spans="1:4">
      <c r="A13" s="7">
        <f t="shared" si="0"/>
        <v>11</v>
      </c>
      <c r="B13" s="7" t="s">
        <v>64</v>
      </c>
      <c r="C13" s="7" t="s">
        <v>65</v>
      </c>
      <c r="D13" s="7"/>
    </row>
    <row r="14" ht="13.5" customHeight="1" spans="1:4">
      <c r="A14" s="7">
        <f t="shared" si="0"/>
        <v>12</v>
      </c>
      <c r="B14" s="7" t="s">
        <v>66</v>
      </c>
      <c r="C14" s="7"/>
      <c r="D14" s="7"/>
    </row>
    <row r="15" ht="13.5" customHeight="1" spans="1:4">
      <c r="A15" s="7">
        <f t="shared" si="0"/>
        <v>13</v>
      </c>
      <c r="B15" s="7" t="s">
        <v>67</v>
      </c>
      <c r="C15" s="7"/>
      <c r="D15" s="7"/>
    </row>
    <row r="16" ht="54.75" customHeight="1" spans="1:4">
      <c r="A16" s="7">
        <f t="shared" si="0"/>
        <v>14</v>
      </c>
      <c r="B16" s="7" t="s">
        <v>68</v>
      </c>
      <c r="C16" s="7" t="s">
        <v>69</v>
      </c>
      <c r="D16" s="7"/>
    </row>
    <row r="17" ht="82.5" customHeight="1" spans="1:4">
      <c r="A17" s="7">
        <f t="shared" si="0"/>
        <v>15</v>
      </c>
      <c r="B17" s="7" t="s">
        <v>70</v>
      </c>
      <c r="C17" s="7" t="s">
        <v>71</v>
      </c>
      <c r="D17" s="7" t="s">
        <v>72</v>
      </c>
    </row>
    <row r="18" ht="27" customHeight="1" spans="1:4">
      <c r="A18" s="7">
        <f t="shared" si="0"/>
        <v>16</v>
      </c>
      <c r="B18" s="7" t="s">
        <v>73</v>
      </c>
      <c r="C18" s="7" t="s">
        <v>74</v>
      </c>
      <c r="D18" s="7"/>
    </row>
    <row r="19" ht="13.5" customHeight="1" spans="1:4">
      <c r="A19" s="7">
        <f t="shared" si="0"/>
        <v>17</v>
      </c>
      <c r="B19" s="7" t="s">
        <v>75</v>
      </c>
      <c r="C19" s="7" t="s">
        <v>76</v>
      </c>
      <c r="D19" s="7"/>
    </row>
    <row r="20" ht="13.5" customHeight="1" spans="1:4">
      <c r="A20" s="7">
        <f t="shared" si="0"/>
        <v>18</v>
      </c>
      <c r="B20" s="7" t="s">
        <v>77</v>
      </c>
      <c r="C20" s="7"/>
      <c r="D20" s="7"/>
    </row>
  </sheetData>
  <mergeCells count="1">
    <mergeCell ref="A1:D1"/>
  </mergeCells>
  <pageMargins left="0.7" right="0.7" top="0.75" bottom="0.75" header="0.511811023622047" footer="0.511811023622047"/>
  <pageSetup paperSize="9" orientation="portrait" horizontalDpi="300" verticalDpi="3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2"/>
  <sheetViews>
    <sheetView topLeftCell="A7" workbookViewId="0">
      <selection activeCell="B12" sqref="B12"/>
    </sheetView>
  </sheetViews>
  <sheetFormatPr defaultColWidth="8.88333333333333" defaultRowHeight="13.8" outlineLevelCol="3"/>
  <cols>
    <col min="1" max="1" width="3.66666666666667" style="9" customWidth="1"/>
    <col min="2" max="2" width="40.2166666666667" style="9" customWidth="1"/>
    <col min="3" max="4" width="27.4416666666667" style="9" customWidth="1"/>
    <col min="5" max="16384" width="8.88333333333333" style="9"/>
  </cols>
  <sheetData>
    <row r="1" ht="14.25" customHeight="1" spans="1:4">
      <c r="A1" s="10" t="s">
        <v>78</v>
      </c>
      <c r="B1" s="10"/>
      <c r="C1" s="10"/>
      <c r="D1" s="10"/>
    </row>
    <row r="2" ht="14.25" customHeight="1" spans="1:4">
      <c r="A2" s="11" t="s">
        <v>0</v>
      </c>
      <c r="B2" s="11" t="s">
        <v>1</v>
      </c>
      <c r="C2" s="11" t="s">
        <v>42</v>
      </c>
      <c r="D2" s="11" t="s">
        <v>3</v>
      </c>
    </row>
    <row r="3" ht="54.75" customHeight="1" spans="1:4">
      <c r="A3" s="12">
        <f t="shared" ref="A3:A10" si="0">ROW()-2</f>
        <v>1</v>
      </c>
      <c r="B3" s="12" t="s">
        <v>79</v>
      </c>
      <c r="C3" s="12" t="s">
        <v>80</v>
      </c>
      <c r="D3" s="12" t="s">
        <v>81</v>
      </c>
    </row>
    <row r="4" ht="54.75" customHeight="1" spans="1:4">
      <c r="A4" s="12">
        <f t="shared" si="0"/>
        <v>2</v>
      </c>
      <c r="B4" s="12" t="s">
        <v>82</v>
      </c>
      <c r="C4" s="12" t="s">
        <v>83</v>
      </c>
      <c r="D4" s="12" t="s">
        <v>84</v>
      </c>
    </row>
    <row r="5" ht="27" customHeight="1" spans="1:4">
      <c r="A5" s="12">
        <f t="shared" si="0"/>
        <v>3</v>
      </c>
      <c r="B5" s="12" t="s">
        <v>85</v>
      </c>
      <c r="C5" s="12" t="s">
        <v>86</v>
      </c>
      <c r="D5" s="12" t="s">
        <v>87</v>
      </c>
    </row>
    <row r="6" ht="41.25" customHeight="1" spans="1:4">
      <c r="A6" s="12">
        <f t="shared" si="0"/>
        <v>4</v>
      </c>
      <c r="B6" s="12" t="s">
        <v>88</v>
      </c>
      <c r="C6" s="12"/>
      <c r="D6" s="12"/>
    </row>
    <row r="7" ht="41.25" customHeight="1" spans="1:4">
      <c r="A7" s="12">
        <f t="shared" si="0"/>
        <v>5</v>
      </c>
      <c r="B7" s="12" t="s">
        <v>89</v>
      </c>
      <c r="C7" s="12"/>
      <c r="D7" s="12"/>
    </row>
    <row r="8" ht="41.25" customHeight="1" spans="1:4">
      <c r="A8" s="12">
        <f t="shared" si="0"/>
        <v>6</v>
      </c>
      <c r="B8" s="12" t="s">
        <v>90</v>
      </c>
      <c r="C8" s="12" t="s">
        <v>91</v>
      </c>
      <c r="D8" s="12"/>
    </row>
    <row r="9" ht="27" customHeight="1" spans="1:4">
      <c r="A9" s="12">
        <f t="shared" si="0"/>
        <v>7</v>
      </c>
      <c r="B9" s="12" t="s">
        <v>92</v>
      </c>
      <c r="C9" s="12"/>
      <c r="D9" s="12"/>
    </row>
    <row r="10" ht="27" customHeight="1" spans="1:4">
      <c r="A10" s="12">
        <f t="shared" si="0"/>
        <v>8</v>
      </c>
      <c r="B10" s="12" t="s">
        <v>93</v>
      </c>
      <c r="C10" s="12" t="s">
        <v>94</v>
      </c>
      <c r="D10" s="12"/>
    </row>
    <row r="11" ht="28.5" customHeight="1" spans="1:4">
      <c r="A11" s="13">
        <v>9</v>
      </c>
      <c r="B11" s="13" t="s">
        <v>95</v>
      </c>
      <c r="C11" s="13" t="s">
        <v>96</v>
      </c>
      <c r="D11" s="13"/>
    </row>
    <row r="12" ht="42.75" customHeight="1" spans="1:4">
      <c r="A12" s="13">
        <v>10</v>
      </c>
      <c r="B12" s="13" t="s">
        <v>97</v>
      </c>
      <c r="C12" s="13" t="s">
        <v>98</v>
      </c>
      <c r="D12" s="13" t="s">
        <v>99</v>
      </c>
    </row>
  </sheetData>
  <mergeCells count="1">
    <mergeCell ref="A1:D1"/>
  </mergeCells>
  <pageMargins left="0.7" right="0.7" top="0.75" bottom="0.75" header="0.511811023622047" footer="0.511811023622047"/>
  <pageSetup paperSize="9" orientation="portrait" horizontalDpi="300" verticalDpi="300"/>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4"/>
  <sheetViews>
    <sheetView workbookViewId="0">
      <pane ySplit="2" topLeftCell="A3" activePane="bottomLeft" state="frozen"/>
      <selection/>
      <selection pane="bottomLeft" activeCell="A1" sqref="A1:D1"/>
    </sheetView>
  </sheetViews>
  <sheetFormatPr defaultColWidth="8.55833333333333" defaultRowHeight="13.8" outlineLevelCol="3"/>
  <cols>
    <col min="1" max="1" width="5" customWidth="1"/>
    <col min="2" max="2" width="38" customWidth="1"/>
    <col min="3" max="3" width="62" customWidth="1"/>
    <col min="4" max="4" width="50" customWidth="1"/>
  </cols>
  <sheetData>
    <row r="1" ht="15" customHeight="1" spans="1:4">
      <c r="A1" s="1" t="s">
        <v>100</v>
      </c>
      <c r="B1" s="1"/>
      <c r="C1" s="1"/>
      <c r="D1" s="1"/>
    </row>
    <row r="2" ht="15" customHeight="1" spans="1:4">
      <c r="A2" s="3" t="s">
        <v>0</v>
      </c>
      <c r="B2" s="3" t="s">
        <v>1</v>
      </c>
      <c r="C2" s="3" t="s">
        <v>42</v>
      </c>
      <c r="D2" s="3" t="s">
        <v>3</v>
      </c>
    </row>
    <row r="3" ht="75" customHeight="1" spans="1:4">
      <c r="A3" s="4">
        <f t="shared" ref="A3:A19" si="0">ROW()-2</f>
        <v>1</v>
      </c>
      <c r="B3" s="5" t="s">
        <v>101</v>
      </c>
      <c r="C3" s="5" t="s">
        <v>102</v>
      </c>
      <c r="D3" s="5" t="s">
        <v>103</v>
      </c>
    </row>
    <row r="4" ht="60" customHeight="1" spans="1:4">
      <c r="A4" s="4">
        <f t="shared" si="0"/>
        <v>2</v>
      </c>
      <c r="B4" s="5" t="s">
        <v>104</v>
      </c>
      <c r="C4" s="5" t="s">
        <v>105</v>
      </c>
      <c r="D4" s="5" t="s">
        <v>106</v>
      </c>
    </row>
    <row r="5" ht="30" customHeight="1" spans="1:4">
      <c r="A5" s="4">
        <f t="shared" si="0"/>
        <v>3</v>
      </c>
      <c r="B5" s="5" t="s">
        <v>107</v>
      </c>
      <c r="C5" s="5" t="s">
        <v>108</v>
      </c>
      <c r="D5" s="5"/>
    </row>
    <row r="6" ht="90" customHeight="1" spans="1:4">
      <c r="A6" s="4">
        <f t="shared" si="0"/>
        <v>4</v>
      </c>
      <c r="B6" s="5" t="s">
        <v>109</v>
      </c>
      <c r="C6" s="5" t="s">
        <v>110</v>
      </c>
      <c r="D6" s="5" t="s">
        <v>111</v>
      </c>
    </row>
    <row r="7" ht="45" customHeight="1" spans="1:4">
      <c r="A7" s="4">
        <f t="shared" si="0"/>
        <v>5</v>
      </c>
      <c r="B7" s="5" t="s">
        <v>112</v>
      </c>
      <c r="C7" s="5" t="s">
        <v>113</v>
      </c>
      <c r="D7" s="5" t="s">
        <v>114</v>
      </c>
    </row>
    <row r="8" ht="45" customHeight="1" spans="1:4">
      <c r="A8" s="4">
        <f t="shared" si="0"/>
        <v>6</v>
      </c>
      <c r="B8" s="5" t="s">
        <v>115</v>
      </c>
      <c r="C8" s="5" t="s">
        <v>116</v>
      </c>
      <c r="D8" s="5" t="s">
        <v>117</v>
      </c>
    </row>
    <row r="9" ht="30" customHeight="1" spans="1:4">
      <c r="A9" s="4">
        <f t="shared" si="0"/>
        <v>7</v>
      </c>
      <c r="B9" s="5" t="s">
        <v>118</v>
      </c>
      <c r="C9" s="5" t="s">
        <v>119</v>
      </c>
      <c r="D9" s="5" t="s">
        <v>120</v>
      </c>
    </row>
    <row r="10" ht="45" customHeight="1" spans="1:4">
      <c r="A10" s="4">
        <f t="shared" si="0"/>
        <v>8</v>
      </c>
      <c r="B10" s="5" t="s">
        <v>121</v>
      </c>
      <c r="C10" s="5" t="s">
        <v>122</v>
      </c>
      <c r="D10" s="5" t="s">
        <v>123</v>
      </c>
    </row>
    <row r="11" ht="30" customHeight="1" spans="1:4">
      <c r="A11" s="4">
        <f t="shared" si="0"/>
        <v>9</v>
      </c>
      <c r="B11" s="5" t="s">
        <v>124</v>
      </c>
      <c r="C11" s="5" t="s">
        <v>125</v>
      </c>
      <c r="D11" s="5" t="s">
        <v>126</v>
      </c>
    </row>
    <row r="12" ht="45" customHeight="1" spans="1:4">
      <c r="A12" s="4">
        <f t="shared" si="0"/>
        <v>10</v>
      </c>
      <c r="B12" s="5" t="s">
        <v>127</v>
      </c>
      <c r="C12" s="5" t="s">
        <v>128</v>
      </c>
      <c r="D12" s="5" t="s">
        <v>129</v>
      </c>
    </row>
    <row r="13" ht="60" customHeight="1" spans="1:4">
      <c r="A13" s="4">
        <f t="shared" si="0"/>
        <v>11</v>
      </c>
      <c r="B13" s="5" t="s">
        <v>130</v>
      </c>
      <c r="C13" s="5" t="s">
        <v>131</v>
      </c>
      <c r="D13" s="5" t="s">
        <v>132</v>
      </c>
    </row>
    <row r="14" ht="30" customHeight="1" spans="1:4">
      <c r="A14" s="4">
        <f t="shared" si="0"/>
        <v>12</v>
      </c>
      <c r="B14" s="5" t="s">
        <v>133</v>
      </c>
      <c r="C14" s="5" t="s">
        <v>134</v>
      </c>
      <c r="D14" s="5"/>
    </row>
    <row r="15" ht="45" customHeight="1" spans="1:4">
      <c r="A15" s="4">
        <f t="shared" si="0"/>
        <v>13</v>
      </c>
      <c r="B15" s="5" t="s">
        <v>135</v>
      </c>
      <c r="C15" s="5" t="s">
        <v>136</v>
      </c>
      <c r="D15" s="5" t="s">
        <v>137</v>
      </c>
    </row>
    <row r="16" ht="45" customHeight="1" spans="1:4">
      <c r="A16" s="4">
        <f t="shared" si="0"/>
        <v>14</v>
      </c>
      <c r="B16" s="5" t="s">
        <v>138</v>
      </c>
      <c r="C16" s="5" t="s">
        <v>139</v>
      </c>
      <c r="D16" s="5" t="s">
        <v>140</v>
      </c>
    </row>
    <row r="17" ht="45" customHeight="1" spans="1:4">
      <c r="A17" s="4">
        <f t="shared" si="0"/>
        <v>15</v>
      </c>
      <c r="B17" s="5" t="s">
        <v>141</v>
      </c>
      <c r="C17" s="5" t="s">
        <v>142</v>
      </c>
      <c r="D17" s="5"/>
    </row>
    <row r="18" ht="60" customHeight="1" spans="1:4">
      <c r="A18" s="4">
        <f t="shared" si="0"/>
        <v>16</v>
      </c>
      <c r="B18" s="5" t="s">
        <v>143</v>
      </c>
      <c r="C18" s="5" t="s">
        <v>144</v>
      </c>
      <c r="D18" s="5" t="s">
        <v>145</v>
      </c>
    </row>
    <row r="19" ht="30" customHeight="1" spans="1:4">
      <c r="A19" s="4">
        <f t="shared" si="0"/>
        <v>17</v>
      </c>
      <c r="B19" s="5" t="s">
        <v>146</v>
      </c>
      <c r="C19" s="5" t="s">
        <v>147</v>
      </c>
      <c r="D19" s="5" t="s">
        <v>148</v>
      </c>
    </row>
    <row r="21" ht="15" customHeight="1" spans="1:4">
      <c r="A21" s="1" t="s">
        <v>149</v>
      </c>
      <c r="B21" s="1"/>
      <c r="C21" s="1"/>
      <c r="D21" s="1"/>
    </row>
    <row r="22" ht="15" customHeight="1" spans="1:4">
      <c r="A22" s="3" t="s">
        <v>0</v>
      </c>
      <c r="B22" s="3" t="s">
        <v>150</v>
      </c>
      <c r="C22" s="3" t="s">
        <v>151</v>
      </c>
      <c r="D22" s="3" t="s">
        <v>3</v>
      </c>
    </row>
    <row r="23" ht="30" customHeight="1" spans="1:4">
      <c r="A23" s="4">
        <f>ROW()-22</f>
        <v>1</v>
      </c>
      <c r="B23" s="5" t="s">
        <v>152</v>
      </c>
      <c r="C23" s="5" t="s">
        <v>153</v>
      </c>
      <c r="D23" s="5"/>
    </row>
    <row r="24" ht="30" customHeight="1" spans="1:4">
      <c r="A24" s="4">
        <f>ROW()-22</f>
        <v>2</v>
      </c>
      <c r="B24" s="5" t="s">
        <v>154</v>
      </c>
      <c r="C24" s="5" t="s">
        <v>155</v>
      </c>
      <c r="D24" s="5"/>
    </row>
    <row r="25" ht="30" customHeight="1" spans="1:4">
      <c r="A25" s="4">
        <f>ROW()-22</f>
        <v>3</v>
      </c>
      <c r="B25" s="5" t="s">
        <v>156</v>
      </c>
      <c r="C25" s="5" t="s">
        <v>157</v>
      </c>
      <c r="D25" s="5" t="s">
        <v>158</v>
      </c>
    </row>
    <row r="26" ht="30" customHeight="1" spans="1:4">
      <c r="A26" s="4">
        <f>ROW()-22</f>
        <v>4</v>
      </c>
      <c r="B26" s="5" t="s">
        <v>159</v>
      </c>
      <c r="C26" s="5" t="s">
        <v>160</v>
      </c>
      <c r="D26" s="5"/>
    </row>
    <row r="27" ht="15" customHeight="1" spans="1:4">
      <c r="A27" s="4">
        <f>ROW()-22</f>
        <v>5</v>
      </c>
      <c r="B27" s="5" t="s">
        <v>161</v>
      </c>
      <c r="C27" s="5" t="s">
        <v>162</v>
      </c>
      <c r="D27" s="5"/>
    </row>
    <row r="29" ht="15" customHeight="1" spans="1:4">
      <c r="A29" s="1" t="s">
        <v>163</v>
      </c>
      <c r="B29" s="1"/>
      <c r="C29" s="1"/>
      <c r="D29" s="1"/>
    </row>
    <row r="30" ht="15" customHeight="1" spans="1:4">
      <c r="A30" s="3" t="s">
        <v>0</v>
      </c>
      <c r="B30" s="3" t="s">
        <v>150</v>
      </c>
      <c r="C30" s="3" t="s">
        <v>151</v>
      </c>
      <c r="D30" s="3" t="s">
        <v>3</v>
      </c>
    </row>
    <row r="31" ht="30" customHeight="1" spans="1:4">
      <c r="A31" s="4">
        <f>ROW()-30</f>
        <v>1</v>
      </c>
      <c r="B31" s="5" t="s">
        <v>164</v>
      </c>
      <c r="C31" s="5" t="s">
        <v>165</v>
      </c>
      <c r="D31" s="5"/>
    </row>
    <row r="32" ht="45" customHeight="1" spans="1:4">
      <c r="A32" s="4">
        <f>ROW()-30</f>
        <v>2</v>
      </c>
      <c r="B32" s="5" t="s">
        <v>166</v>
      </c>
      <c r="C32" s="5" t="s">
        <v>167</v>
      </c>
      <c r="D32" s="5" t="s">
        <v>168</v>
      </c>
    </row>
    <row r="33" ht="30" customHeight="1" spans="1:4">
      <c r="A33" s="4">
        <f>ROW()-30</f>
        <v>3</v>
      </c>
      <c r="B33" s="5" t="s">
        <v>169</v>
      </c>
      <c r="C33" s="5" t="s">
        <v>170</v>
      </c>
      <c r="D33" s="5"/>
    </row>
    <row r="34" ht="30" customHeight="1" spans="1:4">
      <c r="A34" s="4">
        <f>ROW()-30</f>
        <v>4</v>
      </c>
      <c r="B34" s="5" t="s">
        <v>171</v>
      </c>
      <c r="C34" s="5" t="s">
        <v>172</v>
      </c>
      <c r="D34" s="5"/>
    </row>
  </sheetData>
  <mergeCells count="3">
    <mergeCell ref="A1:D1"/>
    <mergeCell ref="A21:D21"/>
    <mergeCell ref="A29:D29"/>
  </mergeCells>
  <pageMargins left="0.75" right="0.75" top="1" bottom="1" header="0.511811023622047" footer="0.511811023622047"/>
  <pageSetup paperSize="9" orientation="portrait" horizontalDpi="300" verticalDpi="300"/>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78"/>
  <sheetViews>
    <sheetView workbookViewId="0">
      <selection activeCell="A1" sqref="A1:D1"/>
    </sheetView>
  </sheetViews>
  <sheetFormatPr defaultColWidth="8.55833333333333" defaultRowHeight="13.8" outlineLevelCol="3"/>
  <cols>
    <col min="1" max="1" width="5" customWidth="1"/>
    <col min="2" max="2" width="40" customWidth="1"/>
    <col min="3" max="3" width="60" customWidth="1"/>
    <col min="4" max="4" width="46" customWidth="1"/>
  </cols>
  <sheetData>
    <row r="1" ht="15" customHeight="1" spans="1:4">
      <c r="A1" s="1" t="s">
        <v>173</v>
      </c>
      <c r="B1" s="1"/>
      <c r="C1" s="1"/>
      <c r="D1" s="1"/>
    </row>
    <row r="2" ht="15" customHeight="1" spans="1:4">
      <c r="A2" s="3" t="s">
        <v>0</v>
      </c>
      <c r="B2" s="3" t="s">
        <v>1</v>
      </c>
      <c r="C2" s="3" t="s">
        <v>42</v>
      </c>
      <c r="D2" s="3" t="s">
        <v>3</v>
      </c>
    </row>
    <row r="3" ht="30" customHeight="1" spans="1:4">
      <c r="A3" s="4">
        <f>ROW()-2</f>
        <v>1</v>
      </c>
      <c r="B3" s="5" t="s">
        <v>174</v>
      </c>
      <c r="C3" s="5" t="s">
        <v>175</v>
      </c>
      <c r="D3" s="5" t="s">
        <v>176</v>
      </c>
    </row>
    <row r="4" ht="30" customHeight="1" spans="1:4">
      <c r="A4" s="4">
        <f>ROW()-2</f>
        <v>2</v>
      </c>
      <c r="B4" s="5" t="s">
        <v>177</v>
      </c>
      <c r="C4" s="5" t="s">
        <v>178</v>
      </c>
      <c r="D4" s="5"/>
    </row>
    <row r="5" ht="30" customHeight="1" spans="1:4">
      <c r="A5" s="4">
        <f>ROW()-2</f>
        <v>3</v>
      </c>
      <c r="B5" s="5" t="s">
        <v>179</v>
      </c>
      <c r="C5" s="5" t="s">
        <v>180</v>
      </c>
      <c r="D5" s="5" t="s">
        <v>181</v>
      </c>
    </row>
    <row r="6" ht="15" customHeight="1" spans="1:4">
      <c r="A6" s="4">
        <f>ROW()-2</f>
        <v>4</v>
      </c>
      <c r="B6" s="5" t="s">
        <v>182</v>
      </c>
      <c r="C6" s="5" t="s">
        <v>183</v>
      </c>
      <c r="D6" s="5"/>
    </row>
    <row r="7" ht="30" customHeight="1" spans="1:4">
      <c r="A7" s="4">
        <f>ROW()-2</f>
        <v>5</v>
      </c>
      <c r="B7" s="5" t="s">
        <v>184</v>
      </c>
      <c r="C7" s="5" t="s">
        <v>185</v>
      </c>
      <c r="D7" s="5"/>
    </row>
    <row r="9" ht="15" customHeight="1" spans="1:4">
      <c r="A9" s="1" t="s">
        <v>186</v>
      </c>
      <c r="B9" s="1"/>
      <c r="C9" s="1"/>
      <c r="D9" s="1"/>
    </row>
    <row r="10" ht="15" customHeight="1" spans="1:4">
      <c r="A10" s="3" t="s">
        <v>0</v>
      </c>
      <c r="B10" s="3" t="s">
        <v>1</v>
      </c>
      <c r="C10" s="3" t="s">
        <v>42</v>
      </c>
      <c r="D10" s="3" t="s">
        <v>3</v>
      </c>
    </row>
    <row r="11" ht="30" customHeight="1" spans="1:4">
      <c r="A11" s="4">
        <f>ROW()-10</f>
        <v>1</v>
      </c>
      <c r="B11" s="5" t="s">
        <v>187</v>
      </c>
      <c r="C11" s="5"/>
      <c r="D11" s="5"/>
    </row>
    <row r="12" ht="30" customHeight="1" spans="1:4">
      <c r="A12" s="4">
        <f>ROW()-10</f>
        <v>2</v>
      </c>
      <c r="B12" s="5" t="s">
        <v>188</v>
      </c>
      <c r="C12" s="5"/>
      <c r="D12" s="5"/>
    </row>
    <row r="13" ht="30" customHeight="1" spans="1:4">
      <c r="A13" s="4">
        <f>ROW()-10</f>
        <v>3</v>
      </c>
      <c r="B13" s="5" t="s">
        <v>189</v>
      </c>
      <c r="C13" s="5" t="s">
        <v>190</v>
      </c>
      <c r="D13" s="5"/>
    </row>
    <row r="14" ht="30" customHeight="1" spans="1:4">
      <c r="A14" s="4">
        <f>ROW()-10</f>
        <v>4</v>
      </c>
      <c r="B14" s="5" t="s">
        <v>191</v>
      </c>
      <c r="C14" s="5" t="s">
        <v>192</v>
      </c>
      <c r="D14" s="5" t="s">
        <v>193</v>
      </c>
    </row>
    <row r="16" ht="15" customHeight="1" spans="1:4">
      <c r="A16" s="1" t="s">
        <v>194</v>
      </c>
      <c r="B16" s="1"/>
      <c r="C16" s="1"/>
      <c r="D16" s="1"/>
    </row>
    <row r="17" ht="15" customHeight="1" spans="1:4">
      <c r="A17" s="3" t="s">
        <v>0</v>
      </c>
      <c r="B17" s="3" t="s">
        <v>1</v>
      </c>
      <c r="C17" s="3" t="s">
        <v>42</v>
      </c>
      <c r="D17" s="3" t="s">
        <v>3</v>
      </c>
    </row>
    <row r="18" ht="15" customHeight="1" spans="1:4">
      <c r="A18" s="4">
        <f>ROW()-17</f>
        <v>1</v>
      </c>
      <c r="B18" s="5" t="s">
        <v>195</v>
      </c>
      <c r="C18" s="5" t="s">
        <v>196</v>
      </c>
      <c r="D18" s="5"/>
    </row>
    <row r="19" ht="30" customHeight="1" spans="1:4">
      <c r="A19" s="4">
        <f>ROW()-17</f>
        <v>2</v>
      </c>
      <c r="B19" s="5" t="s">
        <v>197</v>
      </c>
      <c r="C19" s="5" t="s">
        <v>198</v>
      </c>
      <c r="D19" s="5"/>
    </row>
    <row r="20" ht="15" customHeight="1" spans="1:4">
      <c r="A20" s="4">
        <f>ROW()-17</f>
        <v>3</v>
      </c>
      <c r="B20" s="5" t="s">
        <v>199</v>
      </c>
      <c r="C20" s="5" t="s">
        <v>200</v>
      </c>
      <c r="D20" s="5" t="s">
        <v>193</v>
      </c>
    </row>
    <row r="21" ht="30" customHeight="1" spans="1:4">
      <c r="A21" s="4">
        <f>ROW()-17</f>
        <v>4</v>
      </c>
      <c r="B21" s="5" t="s">
        <v>201</v>
      </c>
      <c r="C21" s="5" t="s">
        <v>202</v>
      </c>
      <c r="D21" s="5" t="s">
        <v>193</v>
      </c>
    </row>
    <row r="22" ht="15" customHeight="1" spans="1:4">
      <c r="A22" s="4">
        <f>ROW()-17</f>
        <v>5</v>
      </c>
      <c r="B22" s="5" t="s">
        <v>203</v>
      </c>
      <c r="C22" s="5" t="s">
        <v>204</v>
      </c>
      <c r="D22" s="5"/>
    </row>
    <row r="24" ht="15" customHeight="1" spans="1:4">
      <c r="A24" s="1" t="s">
        <v>205</v>
      </c>
      <c r="B24" s="1"/>
      <c r="C24" s="1"/>
      <c r="D24" s="1"/>
    </row>
    <row r="25" ht="15" customHeight="1" spans="1:4">
      <c r="A25" s="3" t="s">
        <v>0</v>
      </c>
      <c r="B25" s="3" t="s">
        <v>1</v>
      </c>
      <c r="C25" s="3" t="s">
        <v>42</v>
      </c>
      <c r="D25" s="3" t="s">
        <v>3</v>
      </c>
    </row>
    <row r="26" ht="45" customHeight="1" spans="1:4">
      <c r="A26" s="4">
        <f>ROW()-25</f>
        <v>1</v>
      </c>
      <c r="B26" s="5" t="s">
        <v>206</v>
      </c>
      <c r="C26" s="5" t="s">
        <v>207</v>
      </c>
      <c r="D26" s="5" t="s">
        <v>208</v>
      </c>
    </row>
    <row r="27" ht="30" customHeight="1" spans="1:4">
      <c r="A27" s="4">
        <f>ROW()-25</f>
        <v>2</v>
      </c>
      <c r="B27" s="5" t="s">
        <v>209</v>
      </c>
      <c r="C27" s="5" t="s">
        <v>210</v>
      </c>
      <c r="D27" s="5" t="s">
        <v>211</v>
      </c>
    </row>
    <row r="28" ht="30" customHeight="1" spans="1:4">
      <c r="A28" s="4">
        <f>ROW()-25</f>
        <v>3</v>
      </c>
      <c r="B28" s="5" t="s">
        <v>212</v>
      </c>
      <c r="C28" s="5" t="s">
        <v>213</v>
      </c>
      <c r="D28" s="5"/>
    </row>
    <row r="29" ht="30" customHeight="1" spans="1:4">
      <c r="A29" s="4">
        <f>ROW()-25</f>
        <v>4</v>
      </c>
      <c r="B29" s="5" t="s">
        <v>214</v>
      </c>
      <c r="C29" s="5" t="s">
        <v>215</v>
      </c>
      <c r="D29" s="5"/>
    </row>
    <row r="30" ht="45" customHeight="1" spans="1:4">
      <c r="A30" s="4">
        <f>ROW()-25</f>
        <v>5</v>
      </c>
      <c r="B30" s="5" t="s">
        <v>216</v>
      </c>
      <c r="C30" s="5" t="s">
        <v>217</v>
      </c>
      <c r="D30" s="5"/>
    </row>
    <row r="32" ht="15" customHeight="1" spans="1:4">
      <c r="A32" s="1" t="s">
        <v>218</v>
      </c>
      <c r="B32" s="1"/>
      <c r="C32" s="1"/>
      <c r="D32" s="1"/>
    </row>
    <row r="33" ht="15" customHeight="1" spans="1:4">
      <c r="A33" s="3" t="s">
        <v>0</v>
      </c>
      <c r="B33" s="3" t="s">
        <v>1</v>
      </c>
      <c r="C33" s="3" t="s">
        <v>42</v>
      </c>
      <c r="D33" s="3" t="s">
        <v>3</v>
      </c>
    </row>
    <row r="34" ht="15" customHeight="1" spans="1:4">
      <c r="A34" s="4">
        <f>ROW()-33</f>
        <v>1</v>
      </c>
      <c r="B34" s="5" t="s">
        <v>219</v>
      </c>
      <c r="C34" s="5" t="s">
        <v>220</v>
      </c>
      <c r="D34" s="5"/>
    </row>
    <row r="35" ht="15" customHeight="1" spans="1:4">
      <c r="A35" s="4">
        <f>ROW()-33</f>
        <v>2</v>
      </c>
      <c r="B35" s="5" t="s">
        <v>221</v>
      </c>
      <c r="C35" s="5" t="s">
        <v>222</v>
      </c>
      <c r="D35" s="5"/>
    </row>
    <row r="36" ht="30" customHeight="1" spans="1:4">
      <c r="A36" s="4">
        <f>ROW()-33</f>
        <v>3</v>
      </c>
      <c r="B36" s="5" t="s">
        <v>223</v>
      </c>
      <c r="C36" s="5" t="s">
        <v>224</v>
      </c>
      <c r="D36" s="5"/>
    </row>
    <row r="37" ht="15" customHeight="1" spans="1:4">
      <c r="A37" s="4">
        <f>ROW()-33</f>
        <v>4</v>
      </c>
      <c r="B37" s="5" t="s">
        <v>225</v>
      </c>
      <c r="C37" s="5" t="s">
        <v>226</v>
      </c>
      <c r="D37" s="5"/>
    </row>
    <row r="38" ht="15" customHeight="1" spans="1:4">
      <c r="A38" s="4">
        <f>ROW()-33</f>
        <v>5</v>
      </c>
      <c r="B38" s="5" t="s">
        <v>227</v>
      </c>
      <c r="C38" s="5" t="s">
        <v>228</v>
      </c>
      <c r="D38" s="5"/>
    </row>
    <row r="40" ht="15" customHeight="1" spans="1:4">
      <c r="A40" s="1" t="s">
        <v>229</v>
      </c>
      <c r="B40" s="1"/>
      <c r="C40" s="1"/>
      <c r="D40" s="1"/>
    </row>
    <row r="41" ht="15" customHeight="1" spans="1:4">
      <c r="A41" s="3" t="s">
        <v>0</v>
      </c>
      <c r="B41" s="3" t="s">
        <v>1</v>
      </c>
      <c r="C41" s="3" t="s">
        <v>42</v>
      </c>
      <c r="D41" s="3" t="s">
        <v>3</v>
      </c>
    </row>
    <row r="42" ht="15" customHeight="1" spans="1:4">
      <c r="A42" s="4">
        <f>ROW()-41</f>
        <v>1</v>
      </c>
      <c r="B42" s="5" t="s">
        <v>230</v>
      </c>
      <c r="C42" s="5" t="s">
        <v>231</v>
      </c>
      <c r="D42" s="5"/>
    </row>
    <row r="43" ht="15" customHeight="1" spans="1:4">
      <c r="A43" s="4">
        <f>ROW()-41</f>
        <v>2</v>
      </c>
      <c r="B43" s="5" t="s">
        <v>232</v>
      </c>
      <c r="C43" s="5"/>
      <c r="D43" s="5"/>
    </row>
    <row r="44" ht="15" customHeight="1" spans="1:4">
      <c r="A44" s="4">
        <f>ROW()-41</f>
        <v>3</v>
      </c>
      <c r="B44" s="5" t="s">
        <v>233</v>
      </c>
      <c r="C44" s="5" t="s">
        <v>234</v>
      </c>
      <c r="D44" s="5"/>
    </row>
    <row r="45" ht="15" customHeight="1" spans="1:4">
      <c r="A45" s="4">
        <f>ROW()-41</f>
        <v>4</v>
      </c>
      <c r="B45" s="5" t="s">
        <v>235</v>
      </c>
      <c r="C45" s="5" t="s">
        <v>236</v>
      </c>
      <c r="D45" s="5"/>
    </row>
    <row r="46" ht="15" customHeight="1" spans="1:4">
      <c r="A46" s="4">
        <f>ROW()-41</f>
        <v>5</v>
      </c>
      <c r="B46" s="5" t="s">
        <v>237</v>
      </c>
      <c r="C46" s="5" t="s">
        <v>238</v>
      </c>
      <c r="D46" s="5" t="s">
        <v>193</v>
      </c>
    </row>
    <row r="48" ht="15" customHeight="1" spans="1:4">
      <c r="A48" s="1" t="s">
        <v>239</v>
      </c>
      <c r="B48" s="1"/>
      <c r="C48" s="1"/>
      <c r="D48" s="1"/>
    </row>
    <row r="49" ht="15" customHeight="1" spans="1:4">
      <c r="A49" s="3" t="s">
        <v>0</v>
      </c>
      <c r="B49" s="3" t="s">
        <v>1</v>
      </c>
      <c r="C49" s="3" t="s">
        <v>42</v>
      </c>
      <c r="D49" s="3" t="s">
        <v>3</v>
      </c>
    </row>
    <row r="50" ht="30" customHeight="1" spans="1:4">
      <c r="A50" s="4">
        <f>ROW()-49</f>
        <v>1</v>
      </c>
      <c r="B50" s="5" t="s">
        <v>240</v>
      </c>
      <c r="C50" s="5" t="s">
        <v>241</v>
      </c>
      <c r="D50" s="5" t="s">
        <v>242</v>
      </c>
    </row>
    <row r="51" ht="15" customHeight="1" spans="1:4">
      <c r="A51" s="4">
        <f>ROW()-49</f>
        <v>2</v>
      </c>
      <c r="B51" s="5" t="s">
        <v>243</v>
      </c>
      <c r="C51" s="5" t="s">
        <v>244</v>
      </c>
      <c r="D51" s="5"/>
    </row>
    <row r="52" ht="15" customHeight="1" spans="1:4">
      <c r="A52" s="4">
        <f>ROW()-49</f>
        <v>3</v>
      </c>
      <c r="B52" s="5" t="s">
        <v>245</v>
      </c>
      <c r="C52" s="5" t="s">
        <v>246</v>
      </c>
      <c r="D52" s="5" t="s">
        <v>247</v>
      </c>
    </row>
    <row r="53" ht="45" customHeight="1" spans="1:4">
      <c r="A53" s="4">
        <f>ROW()-49</f>
        <v>4</v>
      </c>
      <c r="B53" s="5" t="s">
        <v>248</v>
      </c>
      <c r="C53" s="5"/>
      <c r="D53" s="5" t="s">
        <v>249</v>
      </c>
    </row>
    <row r="55" ht="15" customHeight="1" spans="1:4">
      <c r="A55" s="1" t="s">
        <v>250</v>
      </c>
      <c r="B55" s="1"/>
      <c r="C55" s="1"/>
      <c r="D55" s="1"/>
    </row>
    <row r="56" ht="15" customHeight="1" spans="1:4">
      <c r="A56" s="3" t="s">
        <v>0</v>
      </c>
      <c r="B56" s="3" t="s">
        <v>1</v>
      </c>
      <c r="C56" s="3" t="s">
        <v>42</v>
      </c>
      <c r="D56" s="3" t="s">
        <v>3</v>
      </c>
    </row>
    <row r="57" ht="15" customHeight="1" spans="1:4">
      <c r="A57" s="4">
        <f>ROW()-56</f>
        <v>1</v>
      </c>
      <c r="B57" s="5" t="s">
        <v>251</v>
      </c>
      <c r="C57" s="5" t="s">
        <v>252</v>
      </c>
      <c r="D57" s="5"/>
    </row>
    <row r="58" ht="30" customHeight="1" spans="1:4">
      <c r="A58" s="4">
        <f>ROW()-56</f>
        <v>2</v>
      </c>
      <c r="B58" s="5" t="s">
        <v>253</v>
      </c>
      <c r="C58" s="5" t="s">
        <v>254</v>
      </c>
      <c r="D58" s="5" t="s">
        <v>255</v>
      </c>
    </row>
    <row r="59" ht="15" customHeight="1" spans="1:4">
      <c r="A59" s="4">
        <f>ROW()-56</f>
        <v>3</v>
      </c>
      <c r="B59" s="5" t="s">
        <v>256</v>
      </c>
      <c r="C59" s="5"/>
      <c r="D59" s="5"/>
    </row>
    <row r="60" ht="15" customHeight="1" spans="1:4">
      <c r="A60" s="4">
        <f>ROW()-56</f>
        <v>4</v>
      </c>
      <c r="B60" s="5" t="s">
        <v>257</v>
      </c>
      <c r="C60" s="5" t="s">
        <v>258</v>
      </c>
      <c r="D60" s="5"/>
    </row>
    <row r="62" ht="15" customHeight="1" spans="1:4">
      <c r="A62" s="1" t="s">
        <v>259</v>
      </c>
      <c r="B62" s="1"/>
      <c r="C62" s="1"/>
      <c r="D62" s="1"/>
    </row>
    <row r="63" ht="15" customHeight="1" spans="1:4">
      <c r="A63" s="3" t="s">
        <v>0</v>
      </c>
      <c r="B63" s="3" t="s">
        <v>1</v>
      </c>
      <c r="C63" s="3" t="s">
        <v>42</v>
      </c>
      <c r="D63" s="3" t="s">
        <v>3</v>
      </c>
    </row>
    <row r="64" ht="15" customHeight="1" spans="1:4">
      <c r="A64" s="4">
        <f>ROW()-63</f>
        <v>1</v>
      </c>
      <c r="B64" s="5" t="s">
        <v>260</v>
      </c>
      <c r="C64" s="5" t="s">
        <v>261</v>
      </c>
      <c r="D64" s="5" t="s">
        <v>262</v>
      </c>
    </row>
    <row r="65" ht="15" customHeight="1" spans="1:4">
      <c r="A65" s="4">
        <f>ROW()-63</f>
        <v>2</v>
      </c>
      <c r="B65" s="5" t="s">
        <v>263</v>
      </c>
      <c r="C65" s="5" t="s">
        <v>264</v>
      </c>
      <c r="D65" s="5"/>
    </row>
    <row r="66" ht="15" customHeight="1" spans="1:4">
      <c r="A66" s="4">
        <f>ROW()-63</f>
        <v>3</v>
      </c>
      <c r="B66" s="5" t="s">
        <v>265</v>
      </c>
      <c r="C66" s="5" t="s">
        <v>266</v>
      </c>
      <c r="D66" s="5"/>
    </row>
    <row r="68" ht="15" customHeight="1" spans="1:4">
      <c r="A68" s="1" t="s">
        <v>267</v>
      </c>
      <c r="B68" s="1"/>
      <c r="C68" s="1"/>
      <c r="D68" s="1"/>
    </row>
    <row r="69" ht="15" customHeight="1" spans="1:4">
      <c r="A69" s="3" t="s">
        <v>0</v>
      </c>
      <c r="B69" s="3" t="s">
        <v>1</v>
      </c>
      <c r="C69" s="3" t="s">
        <v>42</v>
      </c>
      <c r="D69" s="3" t="s">
        <v>3</v>
      </c>
    </row>
    <row r="70" ht="45" customHeight="1" spans="1:4">
      <c r="A70" s="4">
        <f t="shared" ref="A70:A78" si="0">ROW()-69</f>
        <v>1</v>
      </c>
      <c r="B70" s="5" t="s">
        <v>268</v>
      </c>
      <c r="C70" s="5" t="s">
        <v>269</v>
      </c>
      <c r="D70" s="5"/>
    </row>
    <row r="71" ht="30" customHeight="1" spans="1:4">
      <c r="A71" s="4">
        <f t="shared" si="0"/>
        <v>2</v>
      </c>
      <c r="B71" s="5" t="s">
        <v>270</v>
      </c>
      <c r="C71" s="5" t="s">
        <v>271</v>
      </c>
      <c r="D71" s="5"/>
    </row>
    <row r="72" ht="45" customHeight="1" spans="1:4">
      <c r="A72" s="4">
        <f t="shared" si="0"/>
        <v>3</v>
      </c>
      <c r="B72" s="5" t="s">
        <v>272</v>
      </c>
      <c r="C72" s="5" t="s">
        <v>273</v>
      </c>
      <c r="D72" s="5" t="s">
        <v>274</v>
      </c>
    </row>
    <row r="73" ht="45" customHeight="1" spans="1:4">
      <c r="A73" s="4">
        <f t="shared" si="0"/>
        <v>4</v>
      </c>
      <c r="B73" s="5" t="s">
        <v>275</v>
      </c>
      <c r="C73" s="5" t="s">
        <v>276</v>
      </c>
      <c r="D73" s="5" t="s">
        <v>277</v>
      </c>
    </row>
    <row r="74" ht="60" customHeight="1" spans="1:4">
      <c r="A74" s="4">
        <f t="shared" si="0"/>
        <v>5</v>
      </c>
      <c r="B74" s="5" t="s">
        <v>278</v>
      </c>
      <c r="C74" s="5" t="s">
        <v>279</v>
      </c>
      <c r="D74" s="5"/>
    </row>
    <row r="75" ht="45" customHeight="1" spans="1:4">
      <c r="A75" s="4">
        <f t="shared" si="0"/>
        <v>6</v>
      </c>
      <c r="B75" s="5" t="s">
        <v>280</v>
      </c>
      <c r="C75" s="5" t="s">
        <v>281</v>
      </c>
      <c r="D75" s="5" t="s">
        <v>282</v>
      </c>
    </row>
    <row r="76" ht="30" customHeight="1" spans="1:4">
      <c r="A76" s="4">
        <f t="shared" si="0"/>
        <v>7</v>
      </c>
      <c r="B76" s="5" t="s">
        <v>283</v>
      </c>
      <c r="C76" s="5" t="s">
        <v>284</v>
      </c>
      <c r="D76" s="5"/>
    </row>
    <row r="77" ht="30" customHeight="1" spans="1:4">
      <c r="A77" s="4">
        <f t="shared" si="0"/>
        <v>8</v>
      </c>
      <c r="B77" s="5" t="s">
        <v>285</v>
      </c>
      <c r="C77" s="5" t="s">
        <v>286</v>
      </c>
      <c r="D77" s="5"/>
    </row>
    <row r="78" ht="30" customHeight="1" spans="1:4">
      <c r="A78" s="4">
        <f t="shared" si="0"/>
        <v>9</v>
      </c>
      <c r="B78" s="5" t="s">
        <v>287</v>
      </c>
      <c r="C78" s="5" t="s">
        <v>288</v>
      </c>
      <c r="D78" s="5" t="s">
        <v>289</v>
      </c>
    </row>
  </sheetData>
  <mergeCells count="10">
    <mergeCell ref="A1:D1"/>
    <mergeCell ref="A9:D9"/>
    <mergeCell ref="A16:D16"/>
    <mergeCell ref="A24:D24"/>
    <mergeCell ref="A32:D32"/>
    <mergeCell ref="A40:D40"/>
    <mergeCell ref="A48:D48"/>
    <mergeCell ref="A55:D55"/>
    <mergeCell ref="A62:D62"/>
    <mergeCell ref="A68:D68"/>
  </mergeCells>
  <pageMargins left="0.75" right="0.75" top="1" bottom="1" header="0.511811023622047" footer="0.511811023622047"/>
  <pageSetup paperSize="9" orientation="portrait" horizontalDpi="300" verticalDpi="300"/>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0"/>
  <sheetViews>
    <sheetView workbookViewId="0">
      <selection activeCell="B10" sqref="B10"/>
    </sheetView>
  </sheetViews>
  <sheetFormatPr defaultColWidth="8.55833333333333" defaultRowHeight="13.8" outlineLevelCol="5"/>
  <cols>
    <col min="1" max="1" width="5" customWidth="1"/>
    <col min="2" max="2" width="22" customWidth="1"/>
    <col min="3" max="3" width="45" customWidth="1"/>
    <col min="4" max="4" width="36" customWidth="1"/>
    <col min="5" max="5" width="30" customWidth="1"/>
    <col min="6" max="6" width="40" customWidth="1"/>
  </cols>
  <sheetData>
    <row r="1" ht="15" customHeight="1" spans="1:6">
      <c r="A1" s="1" t="s">
        <v>290</v>
      </c>
      <c r="B1" s="1"/>
      <c r="C1" s="1"/>
      <c r="D1" s="1"/>
      <c r="E1" s="1"/>
      <c r="F1" s="1"/>
    </row>
    <row r="2" ht="14.25" customHeight="1" spans="1:6">
      <c r="A2" s="3" t="s">
        <v>0</v>
      </c>
      <c r="B2" s="3" t="s">
        <v>291</v>
      </c>
      <c r="C2" s="3" t="s">
        <v>292</v>
      </c>
      <c r="D2" s="3" t="s">
        <v>293</v>
      </c>
      <c r="E2" s="3" t="s">
        <v>294</v>
      </c>
      <c r="F2" s="3" t="s">
        <v>295</v>
      </c>
    </row>
    <row r="3" ht="15" customHeight="1" spans="1:6">
      <c r="A3" s="4">
        <f t="shared" ref="A3:A10" si="0">ROW()-2</f>
        <v>1</v>
      </c>
      <c r="B3" s="5" t="s">
        <v>296</v>
      </c>
      <c r="C3" s="5" t="s">
        <v>297</v>
      </c>
      <c r="D3" s="5" t="s">
        <v>298</v>
      </c>
      <c r="E3" s="5" t="s">
        <v>299</v>
      </c>
      <c r="F3" s="5" t="s">
        <v>300</v>
      </c>
    </row>
    <row r="4" ht="15" customHeight="1" spans="1:6">
      <c r="A4" s="4">
        <f t="shared" si="0"/>
        <v>2</v>
      </c>
      <c r="B4" s="5" t="s">
        <v>301</v>
      </c>
      <c r="C4" s="5" t="s">
        <v>302</v>
      </c>
      <c r="D4" s="5" t="s">
        <v>303</v>
      </c>
      <c r="E4" s="5" t="s">
        <v>304</v>
      </c>
      <c r="F4" s="5" t="s">
        <v>305</v>
      </c>
    </row>
    <row r="5" ht="30" customHeight="1" spans="1:6">
      <c r="A5" s="4">
        <f t="shared" si="0"/>
        <v>3</v>
      </c>
      <c r="B5" s="5" t="s">
        <v>306</v>
      </c>
      <c r="C5" s="5" t="s">
        <v>307</v>
      </c>
      <c r="D5" s="5" t="s">
        <v>308</v>
      </c>
      <c r="E5" s="5" t="s">
        <v>309</v>
      </c>
      <c r="F5" s="5" t="s">
        <v>310</v>
      </c>
    </row>
    <row r="6" ht="15" customHeight="1" spans="1:6">
      <c r="A6" s="4">
        <f t="shared" si="0"/>
        <v>4</v>
      </c>
      <c r="B6" s="5" t="s">
        <v>311</v>
      </c>
      <c r="C6" s="5" t="s">
        <v>312</v>
      </c>
      <c r="D6" s="5" t="s">
        <v>313</v>
      </c>
      <c r="E6" s="5" t="s">
        <v>314</v>
      </c>
      <c r="F6" s="5" t="s">
        <v>315</v>
      </c>
    </row>
    <row r="7" ht="15" customHeight="1" spans="1:6">
      <c r="A7" s="4">
        <f t="shared" si="0"/>
        <v>5</v>
      </c>
      <c r="B7" s="5" t="s">
        <v>316</v>
      </c>
      <c r="C7" s="5" t="s">
        <v>317</v>
      </c>
      <c r="D7" s="5" t="s">
        <v>19</v>
      </c>
      <c r="E7" s="5" t="s">
        <v>318</v>
      </c>
      <c r="F7" s="5" t="s">
        <v>319</v>
      </c>
    </row>
    <row r="8" ht="15" customHeight="1" spans="1:6">
      <c r="A8" s="4">
        <f t="shared" si="0"/>
        <v>6</v>
      </c>
      <c r="B8" s="5" t="s">
        <v>318</v>
      </c>
      <c r="C8" s="5" t="s">
        <v>320</v>
      </c>
      <c r="D8" s="5" t="s">
        <v>7</v>
      </c>
      <c r="E8" s="5" t="s">
        <v>321</v>
      </c>
      <c r="F8" s="5" t="s">
        <v>322</v>
      </c>
    </row>
    <row r="9" ht="15" customHeight="1" spans="1:6">
      <c r="A9" s="4">
        <f t="shared" si="0"/>
        <v>7</v>
      </c>
      <c r="B9" s="5" t="s">
        <v>321</v>
      </c>
      <c r="C9" s="5" t="s">
        <v>323</v>
      </c>
      <c r="D9" s="5" t="s">
        <v>16</v>
      </c>
      <c r="E9" s="5" t="s">
        <v>309</v>
      </c>
      <c r="F9" s="5" t="s">
        <v>322</v>
      </c>
    </row>
    <row r="10" ht="30" customHeight="1" spans="1:6">
      <c r="A10" s="4">
        <f t="shared" si="0"/>
        <v>8</v>
      </c>
      <c r="B10" s="5" t="s">
        <v>324</v>
      </c>
      <c r="C10" s="5" t="s">
        <v>325</v>
      </c>
      <c r="D10" s="5" t="s">
        <v>326</v>
      </c>
      <c r="E10" s="5" t="s">
        <v>309</v>
      </c>
      <c r="F10" s="5" t="s">
        <v>327</v>
      </c>
    </row>
  </sheetData>
  <mergeCells count="1">
    <mergeCell ref="A1:F1"/>
  </mergeCells>
  <pageMargins left="0.75" right="0.75" top="1" bottom="1" header="0.511811023622047" footer="0.511811023622047"/>
  <pageSetup paperSize="9" orientation="portrait" horizontalDpi="300" verticalDpi="300"/>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4"/>
  <sheetViews>
    <sheetView workbookViewId="0">
      <selection activeCell="D21" sqref="D21"/>
    </sheetView>
  </sheetViews>
  <sheetFormatPr defaultColWidth="8.55833333333333" defaultRowHeight="13.8" outlineLevelCol="6"/>
  <cols>
    <col min="1" max="1" width="3.66666666666667" customWidth="1"/>
    <col min="2" max="2" width="28.3333333333333" customWidth="1"/>
    <col min="3" max="3" width="12.6666666666667" customWidth="1"/>
    <col min="4" max="4" width="18.1083333333333" customWidth="1"/>
    <col min="5" max="5" width="15.4416666666667" customWidth="1"/>
    <col min="6" max="6" width="28.3333333333333" customWidth="1"/>
    <col min="7" max="7" width="17.5583333333333" customWidth="1"/>
  </cols>
  <sheetData>
    <row r="1" ht="14.25" customHeight="1" spans="1:7">
      <c r="A1" s="6" t="s">
        <v>328</v>
      </c>
      <c r="B1" s="6"/>
      <c r="C1" s="6"/>
      <c r="D1" s="6"/>
      <c r="E1" s="6"/>
      <c r="F1" s="6"/>
      <c r="G1" s="6"/>
    </row>
    <row r="2" ht="14.25" customHeight="1" spans="1:7">
      <c r="A2" s="2" t="s">
        <v>0</v>
      </c>
      <c r="B2" s="2" t="s">
        <v>329</v>
      </c>
      <c r="C2" s="2" t="s">
        <v>330</v>
      </c>
      <c r="D2" s="2" t="s">
        <v>331</v>
      </c>
      <c r="E2" s="2" t="s">
        <v>37</v>
      </c>
      <c r="F2" s="2" t="s">
        <v>332</v>
      </c>
      <c r="G2" s="2" t="s">
        <v>333</v>
      </c>
    </row>
    <row r="3" ht="41.25" customHeight="1" spans="1:7">
      <c r="A3" s="7">
        <f t="shared" ref="A3:A14" si="0">ROW()-2</f>
        <v>1</v>
      </c>
      <c r="B3" s="7" t="s">
        <v>334</v>
      </c>
      <c r="C3" s="7" t="s">
        <v>335</v>
      </c>
      <c r="D3" s="7">
        <v>100</v>
      </c>
      <c r="E3" s="7">
        <v>70</v>
      </c>
      <c r="F3" s="7" t="s">
        <v>336</v>
      </c>
      <c r="G3" s="7" t="s">
        <v>337</v>
      </c>
    </row>
    <row r="4" ht="14.25" customHeight="1" spans="1:7">
      <c r="A4" s="7">
        <f t="shared" si="0"/>
        <v>2</v>
      </c>
      <c r="B4" s="7"/>
      <c r="C4" s="7"/>
      <c r="D4" s="7"/>
      <c r="E4" s="7">
        <v>30</v>
      </c>
      <c r="F4" s="7" t="s">
        <v>338</v>
      </c>
      <c r="G4" s="7" t="s">
        <v>339</v>
      </c>
    </row>
    <row r="5" ht="14.25" customHeight="1" spans="1:7">
      <c r="A5" s="7">
        <f t="shared" si="0"/>
        <v>3</v>
      </c>
      <c r="B5" s="7"/>
      <c r="C5" s="7"/>
      <c r="D5" s="7"/>
      <c r="E5" s="7"/>
      <c r="F5" s="7"/>
      <c r="G5" s="8"/>
    </row>
    <row r="6" ht="14.25" customHeight="1" spans="1:7">
      <c r="A6" s="7">
        <f t="shared" si="0"/>
        <v>4</v>
      </c>
      <c r="B6" s="7"/>
      <c r="C6" s="7"/>
      <c r="D6" s="7"/>
      <c r="E6" s="7"/>
      <c r="F6" s="7"/>
      <c r="G6" s="8"/>
    </row>
    <row r="7" ht="14.25" customHeight="1" spans="1:7">
      <c r="A7" s="7">
        <f t="shared" si="0"/>
        <v>5</v>
      </c>
      <c r="B7" s="7"/>
      <c r="C7" s="7"/>
      <c r="D7" s="7"/>
      <c r="E7" s="7"/>
      <c r="F7" s="7"/>
      <c r="G7" s="8"/>
    </row>
    <row r="8" ht="14.25" customHeight="1" spans="1:7">
      <c r="A8" s="7">
        <f t="shared" si="0"/>
        <v>6</v>
      </c>
      <c r="B8" s="7"/>
      <c r="C8" s="7"/>
      <c r="D8" s="7"/>
      <c r="E8" s="7"/>
      <c r="F8" s="7"/>
      <c r="G8" s="8"/>
    </row>
    <row r="9" ht="14.25" customHeight="1" spans="1:7">
      <c r="A9" s="7">
        <f t="shared" si="0"/>
        <v>7</v>
      </c>
      <c r="B9" s="7"/>
      <c r="C9" s="7"/>
      <c r="D9" s="7"/>
      <c r="E9" s="7"/>
      <c r="F9" s="7"/>
      <c r="G9" s="8"/>
    </row>
    <row r="10" ht="14.25" customHeight="1" spans="1:7">
      <c r="A10" s="7">
        <f t="shared" si="0"/>
        <v>8</v>
      </c>
      <c r="B10" s="7"/>
      <c r="C10" s="7"/>
      <c r="D10" s="7"/>
      <c r="E10" s="7"/>
      <c r="F10" s="7"/>
      <c r="G10" s="8"/>
    </row>
    <row r="11" ht="14.25" customHeight="1" spans="1:7">
      <c r="A11" s="7">
        <f t="shared" si="0"/>
        <v>9</v>
      </c>
      <c r="B11" s="7"/>
      <c r="C11" s="7"/>
      <c r="D11" s="7"/>
      <c r="E11" s="7"/>
      <c r="F11" s="7"/>
      <c r="G11" s="8"/>
    </row>
    <row r="12" ht="14.25" customHeight="1" spans="1:7">
      <c r="A12" s="7">
        <f t="shared" si="0"/>
        <v>10</v>
      </c>
      <c r="B12" s="7"/>
      <c r="C12" s="7"/>
      <c r="D12" s="7"/>
      <c r="E12" s="7"/>
      <c r="F12" s="7"/>
      <c r="G12" s="8"/>
    </row>
    <row r="13" ht="14.25" customHeight="1" spans="1:7">
      <c r="A13" s="7">
        <f t="shared" si="0"/>
        <v>11</v>
      </c>
      <c r="B13" s="7"/>
      <c r="C13" s="7"/>
      <c r="D13" s="7"/>
      <c r="E13" s="7"/>
      <c r="F13" s="7"/>
      <c r="G13" s="8"/>
    </row>
    <row r="14" ht="14.25" customHeight="1" spans="1:7">
      <c r="A14" s="7">
        <f t="shared" si="0"/>
        <v>12</v>
      </c>
      <c r="B14" s="7"/>
      <c r="C14" s="7"/>
      <c r="D14" s="7"/>
      <c r="E14" s="7"/>
      <c r="F14" s="7"/>
      <c r="G14" s="8"/>
    </row>
  </sheetData>
  <mergeCells count="1">
    <mergeCell ref="A1:G1"/>
  </mergeCells>
  <pageMargins left="0.7" right="0.7" top="0.75" bottom="0.75" header="0.511811023622047" footer="0.511811023622047"/>
  <pageSetup paperSize="9" orientation="portrait" horizontalDpi="300" verticalDpi="300"/>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44"/>
  <sheetViews>
    <sheetView zoomScale="85" zoomScaleNormal="85" workbookViewId="0">
      <pane ySplit="2" topLeftCell="A8" activePane="bottomLeft" state="frozen"/>
      <selection/>
      <selection pane="bottomLeft" activeCell="F11" sqref="F11"/>
    </sheetView>
  </sheetViews>
  <sheetFormatPr defaultColWidth="8.55833333333333" defaultRowHeight="13.8"/>
  <cols>
    <col min="1" max="1" width="5" customWidth="1"/>
    <col min="2" max="5" width="28" customWidth="1"/>
    <col min="6" max="6" width="48" customWidth="1"/>
    <col min="7" max="7" width="40" customWidth="1"/>
    <col min="8" max="8" width="10" customWidth="1"/>
    <col min="9" max="9" width="22" customWidth="1"/>
  </cols>
  <sheetData>
    <row r="1" ht="14.25" customHeight="1" spans="1:9">
      <c r="A1" s="1" t="s">
        <v>340</v>
      </c>
      <c r="B1" s="1"/>
      <c r="C1" s="1"/>
      <c r="D1" s="1"/>
      <c r="E1" s="1"/>
      <c r="F1" s="1"/>
      <c r="G1" s="1"/>
      <c r="H1" s="1"/>
      <c r="I1" s="1"/>
    </row>
    <row r="2" ht="27" customHeight="1" spans="1:9">
      <c r="A2" s="2" t="s">
        <v>0</v>
      </c>
      <c r="B2" s="2" t="s">
        <v>341</v>
      </c>
      <c r="C2" s="2" t="s">
        <v>42</v>
      </c>
      <c r="D2" s="2" t="s">
        <v>342</v>
      </c>
      <c r="E2" s="2" t="s">
        <v>343</v>
      </c>
      <c r="F2" s="2" t="s">
        <v>344</v>
      </c>
      <c r="G2" s="2" t="s">
        <v>345</v>
      </c>
      <c r="H2" s="3" t="s">
        <v>346</v>
      </c>
      <c r="I2" s="3" t="s">
        <v>347</v>
      </c>
    </row>
    <row r="3" ht="60" customHeight="1" spans="1:9">
      <c r="A3" s="4">
        <f t="shared" ref="A3:A44" si="0">ROW()-2</f>
        <v>1</v>
      </c>
      <c r="B3" s="5" t="s">
        <v>348</v>
      </c>
      <c r="C3" s="5" t="s">
        <v>349</v>
      </c>
      <c r="D3" s="5" t="s">
        <v>350</v>
      </c>
      <c r="E3" s="5" t="s">
        <v>351</v>
      </c>
      <c r="F3" s="5" t="s">
        <v>352</v>
      </c>
      <c r="G3" s="5" t="s">
        <v>353</v>
      </c>
      <c r="H3" s="4" t="s">
        <v>354</v>
      </c>
      <c r="I3" s="5" t="s">
        <v>355</v>
      </c>
    </row>
    <row r="4" ht="45" customHeight="1" spans="1:9">
      <c r="A4" s="4">
        <f t="shared" si="0"/>
        <v>2</v>
      </c>
      <c r="B4" s="5" t="s">
        <v>356</v>
      </c>
      <c r="C4" s="5" t="s">
        <v>357</v>
      </c>
      <c r="D4" s="5" t="s">
        <v>358</v>
      </c>
      <c r="E4" s="5" t="s">
        <v>359</v>
      </c>
      <c r="F4" s="5" t="s">
        <v>360</v>
      </c>
      <c r="G4" s="5" t="s">
        <v>361</v>
      </c>
      <c r="H4" s="4" t="s">
        <v>354</v>
      </c>
      <c r="I4" s="5" t="s">
        <v>362</v>
      </c>
    </row>
    <row r="5" ht="60" customHeight="1" spans="1:9">
      <c r="A5" s="4">
        <f t="shared" si="0"/>
        <v>3</v>
      </c>
      <c r="B5" s="5" t="s">
        <v>363</v>
      </c>
      <c r="C5" s="5" t="s">
        <v>364</v>
      </c>
      <c r="D5" s="5" t="s">
        <v>350</v>
      </c>
      <c r="E5" s="5" t="s">
        <v>4</v>
      </c>
      <c r="F5" s="5" t="s">
        <v>365</v>
      </c>
      <c r="G5" s="5" t="s">
        <v>366</v>
      </c>
      <c r="H5" s="4" t="s">
        <v>354</v>
      </c>
      <c r="I5" s="5" t="s">
        <v>367</v>
      </c>
    </row>
    <row r="6" ht="45" customHeight="1" spans="1:9">
      <c r="A6" s="4">
        <f t="shared" si="0"/>
        <v>4</v>
      </c>
      <c r="B6" s="5" t="s">
        <v>368</v>
      </c>
      <c r="C6" s="5" t="s">
        <v>369</v>
      </c>
      <c r="D6" s="5" t="s">
        <v>350</v>
      </c>
      <c r="E6" s="5" t="s">
        <v>4</v>
      </c>
      <c r="F6" s="5" t="s">
        <v>370</v>
      </c>
      <c r="G6" s="5" t="s">
        <v>371</v>
      </c>
      <c r="H6" s="4" t="s">
        <v>354</v>
      </c>
      <c r="I6" s="5" t="s">
        <v>372</v>
      </c>
    </row>
    <row r="7" ht="30" customHeight="1" spans="1:9">
      <c r="A7" s="4">
        <f t="shared" si="0"/>
        <v>5</v>
      </c>
      <c r="B7" s="5" t="s">
        <v>373</v>
      </c>
      <c r="C7" s="5" t="s">
        <v>374</v>
      </c>
      <c r="D7" s="5" t="s">
        <v>350</v>
      </c>
      <c r="E7" s="5" t="s">
        <v>4</v>
      </c>
      <c r="F7" s="5" t="s">
        <v>375</v>
      </c>
      <c r="G7" s="5" t="s">
        <v>376</v>
      </c>
      <c r="H7" s="4" t="s">
        <v>354</v>
      </c>
      <c r="I7" s="5" t="s">
        <v>377</v>
      </c>
    </row>
    <row r="8" ht="45" customHeight="1" spans="1:9">
      <c r="A8" s="4">
        <f t="shared" si="0"/>
        <v>6</v>
      </c>
      <c r="B8" s="5" t="s">
        <v>378</v>
      </c>
      <c r="C8" s="5" t="s">
        <v>379</v>
      </c>
      <c r="D8" s="5" t="s">
        <v>350</v>
      </c>
      <c r="E8" s="5" t="s">
        <v>380</v>
      </c>
      <c r="F8" s="5" t="s">
        <v>381</v>
      </c>
      <c r="G8" s="5" t="s">
        <v>382</v>
      </c>
      <c r="H8" s="4" t="s">
        <v>354</v>
      </c>
      <c r="I8" s="5" t="s">
        <v>383</v>
      </c>
    </row>
    <row r="9" ht="45" customHeight="1" spans="1:9">
      <c r="A9" s="4">
        <f t="shared" si="0"/>
        <v>7</v>
      </c>
      <c r="B9" s="5" t="s">
        <v>384</v>
      </c>
      <c r="C9" s="5" t="s">
        <v>385</v>
      </c>
      <c r="D9" s="5" t="s">
        <v>350</v>
      </c>
      <c r="E9" s="5" t="s">
        <v>386</v>
      </c>
      <c r="F9" s="5" t="s">
        <v>387</v>
      </c>
      <c r="G9" s="5" t="s">
        <v>388</v>
      </c>
      <c r="H9" s="4" t="s">
        <v>354</v>
      </c>
      <c r="I9" s="5" t="s">
        <v>389</v>
      </c>
    </row>
    <row r="10" ht="30" customHeight="1" spans="1:9">
      <c r="A10" s="4">
        <f t="shared" si="0"/>
        <v>8</v>
      </c>
      <c r="B10" s="5" t="s">
        <v>390</v>
      </c>
      <c r="C10" s="5" t="s">
        <v>391</v>
      </c>
      <c r="D10" s="5" t="s">
        <v>350</v>
      </c>
      <c r="E10" s="5" t="s">
        <v>392</v>
      </c>
      <c r="F10" s="5" t="s">
        <v>393</v>
      </c>
      <c r="G10" s="5" t="s">
        <v>394</v>
      </c>
      <c r="H10" s="4" t="s">
        <v>354</v>
      </c>
      <c r="I10" s="5" t="s">
        <v>395</v>
      </c>
    </row>
    <row r="11" ht="45" customHeight="1" spans="1:9">
      <c r="A11" s="4">
        <f t="shared" si="0"/>
        <v>9</v>
      </c>
      <c r="B11" s="5" t="s">
        <v>396</v>
      </c>
      <c r="C11" s="5" t="s">
        <v>397</v>
      </c>
      <c r="D11" s="5" t="s">
        <v>350</v>
      </c>
      <c r="E11" s="5" t="s">
        <v>392</v>
      </c>
      <c r="F11" s="5" t="s">
        <v>398</v>
      </c>
      <c r="G11" s="5" t="s">
        <v>399</v>
      </c>
      <c r="H11" s="4" t="s">
        <v>354</v>
      </c>
      <c r="I11" s="5" t="s">
        <v>400</v>
      </c>
    </row>
    <row r="12" ht="30" customHeight="1" spans="1:9">
      <c r="A12" s="4">
        <f t="shared" si="0"/>
        <v>10</v>
      </c>
      <c r="B12" s="5" t="s">
        <v>401</v>
      </c>
      <c r="C12" s="5" t="s">
        <v>402</v>
      </c>
      <c r="D12" s="5" t="s">
        <v>350</v>
      </c>
      <c r="E12" s="5" t="s">
        <v>392</v>
      </c>
      <c r="F12" s="5" t="s">
        <v>403</v>
      </c>
      <c r="G12" s="5" t="s">
        <v>404</v>
      </c>
      <c r="H12" s="4" t="s">
        <v>354</v>
      </c>
      <c r="I12" s="5" t="s">
        <v>405</v>
      </c>
    </row>
    <row r="13" ht="45" customHeight="1" spans="1:9">
      <c r="A13" s="4">
        <f t="shared" si="0"/>
        <v>11</v>
      </c>
      <c r="B13" s="5" t="s">
        <v>406</v>
      </c>
      <c r="C13" s="5" t="s">
        <v>407</v>
      </c>
      <c r="D13" s="5" t="s">
        <v>350</v>
      </c>
      <c r="E13" s="5" t="s">
        <v>408</v>
      </c>
      <c r="F13" s="5" t="s">
        <v>409</v>
      </c>
      <c r="G13" s="5" t="s">
        <v>410</v>
      </c>
      <c r="H13" s="4" t="s">
        <v>354</v>
      </c>
      <c r="I13" s="5" t="s">
        <v>411</v>
      </c>
    </row>
    <row r="14" ht="45" customHeight="1" spans="1:9">
      <c r="A14" s="4">
        <f t="shared" si="0"/>
        <v>12</v>
      </c>
      <c r="B14" s="5" t="s">
        <v>412</v>
      </c>
      <c r="C14" s="5" t="s">
        <v>413</v>
      </c>
      <c r="D14" s="5" t="s">
        <v>350</v>
      </c>
      <c r="E14" s="5" t="s">
        <v>4</v>
      </c>
      <c r="F14" s="5" t="s">
        <v>414</v>
      </c>
      <c r="G14" s="5" t="s">
        <v>415</v>
      </c>
      <c r="H14" s="4" t="s">
        <v>354</v>
      </c>
      <c r="I14" s="5" t="s">
        <v>416</v>
      </c>
    </row>
    <row r="15" ht="75" customHeight="1" spans="1:9">
      <c r="A15" s="4">
        <f t="shared" si="0"/>
        <v>13</v>
      </c>
      <c r="B15" s="5" t="s">
        <v>417</v>
      </c>
      <c r="C15" s="5" t="s">
        <v>418</v>
      </c>
      <c r="D15" s="5" t="s">
        <v>350</v>
      </c>
      <c r="E15" s="5" t="s">
        <v>4</v>
      </c>
      <c r="F15" s="5" t="s">
        <v>419</v>
      </c>
      <c r="G15" s="5" t="s">
        <v>420</v>
      </c>
      <c r="H15" s="4" t="s">
        <v>354</v>
      </c>
      <c r="I15" s="5" t="s">
        <v>416</v>
      </c>
    </row>
    <row r="16" ht="45" customHeight="1" spans="1:9">
      <c r="A16" s="4">
        <f t="shared" si="0"/>
        <v>14</v>
      </c>
      <c r="B16" s="5" t="s">
        <v>421</v>
      </c>
      <c r="C16" s="5" t="s">
        <v>422</v>
      </c>
      <c r="D16" s="5" t="s">
        <v>358</v>
      </c>
      <c r="E16" s="5" t="s">
        <v>13</v>
      </c>
      <c r="F16" s="5" t="s">
        <v>423</v>
      </c>
      <c r="G16" s="5" t="s">
        <v>424</v>
      </c>
      <c r="H16" s="4" t="s">
        <v>354</v>
      </c>
      <c r="I16" s="5" t="s">
        <v>425</v>
      </c>
    </row>
    <row r="17" ht="45" customHeight="1" spans="1:9">
      <c r="A17" s="4">
        <f t="shared" si="0"/>
        <v>15</v>
      </c>
      <c r="B17" s="5" t="s">
        <v>426</v>
      </c>
      <c r="C17" s="5" t="s">
        <v>427</v>
      </c>
      <c r="D17" s="5" t="s">
        <v>358</v>
      </c>
      <c r="E17" s="5" t="s">
        <v>13</v>
      </c>
      <c r="F17" s="5" t="s">
        <v>428</v>
      </c>
      <c r="G17" s="5" t="s">
        <v>429</v>
      </c>
      <c r="H17" s="4" t="s">
        <v>354</v>
      </c>
      <c r="I17" s="5" t="s">
        <v>430</v>
      </c>
    </row>
    <row r="18" ht="45" customHeight="1" spans="1:9">
      <c r="A18" s="4">
        <f t="shared" si="0"/>
        <v>16</v>
      </c>
      <c r="B18" s="5" t="s">
        <v>431</v>
      </c>
      <c r="C18" s="5" t="s">
        <v>432</v>
      </c>
      <c r="D18" s="5" t="s">
        <v>358</v>
      </c>
      <c r="E18" s="5" t="s">
        <v>13</v>
      </c>
      <c r="F18" s="5" t="s">
        <v>433</v>
      </c>
      <c r="G18" s="5" t="s">
        <v>434</v>
      </c>
      <c r="H18" s="4" t="s">
        <v>354</v>
      </c>
      <c r="I18" s="5" t="s">
        <v>435</v>
      </c>
    </row>
    <row r="19" ht="45" customHeight="1" spans="1:9">
      <c r="A19" s="4">
        <f t="shared" si="0"/>
        <v>17</v>
      </c>
      <c r="B19" s="5" t="s">
        <v>436</v>
      </c>
      <c r="C19" s="5" t="s">
        <v>437</v>
      </c>
      <c r="D19" s="5" t="s">
        <v>358</v>
      </c>
      <c r="E19" s="5" t="s">
        <v>13</v>
      </c>
      <c r="F19" s="5" t="s">
        <v>438</v>
      </c>
      <c r="G19" s="5" t="s">
        <v>439</v>
      </c>
      <c r="H19" s="4" t="s">
        <v>354</v>
      </c>
      <c r="I19" s="5" t="s">
        <v>440</v>
      </c>
    </row>
    <row r="20" ht="75" customHeight="1" spans="1:9">
      <c r="A20" s="4">
        <f t="shared" si="0"/>
        <v>18</v>
      </c>
      <c r="B20" s="5" t="s">
        <v>441</v>
      </c>
      <c r="C20" s="5" t="s">
        <v>442</v>
      </c>
      <c r="D20" s="5" t="s">
        <v>358</v>
      </c>
      <c r="E20" s="5" t="s">
        <v>13</v>
      </c>
      <c r="F20" s="5" t="s">
        <v>443</v>
      </c>
      <c r="G20" s="5" t="s">
        <v>444</v>
      </c>
      <c r="H20" s="4" t="s">
        <v>354</v>
      </c>
      <c r="I20" s="5" t="s">
        <v>445</v>
      </c>
    </row>
    <row r="21" ht="60" customHeight="1" spans="1:9">
      <c r="A21" s="4">
        <f t="shared" si="0"/>
        <v>19</v>
      </c>
      <c r="B21" s="5" t="s">
        <v>446</v>
      </c>
      <c r="C21" s="5" t="s">
        <v>447</v>
      </c>
      <c r="D21" s="5" t="s">
        <v>358</v>
      </c>
      <c r="E21" s="5" t="s">
        <v>13</v>
      </c>
      <c r="F21" s="5" t="s">
        <v>448</v>
      </c>
      <c r="G21" s="5" t="s">
        <v>449</v>
      </c>
      <c r="H21" s="4" t="s">
        <v>354</v>
      </c>
      <c r="I21" s="5" t="s">
        <v>450</v>
      </c>
    </row>
    <row r="22" ht="60" customHeight="1" spans="1:9">
      <c r="A22" s="4">
        <f t="shared" si="0"/>
        <v>20</v>
      </c>
      <c r="B22" s="5" t="s">
        <v>451</v>
      </c>
      <c r="C22" s="5" t="s">
        <v>452</v>
      </c>
      <c r="D22" s="5" t="s">
        <v>358</v>
      </c>
      <c r="E22" s="5" t="s">
        <v>13</v>
      </c>
      <c r="F22" s="5" t="s">
        <v>453</v>
      </c>
      <c r="G22" s="5" t="s">
        <v>454</v>
      </c>
      <c r="H22" s="4" t="s">
        <v>354</v>
      </c>
      <c r="I22" s="5" t="s">
        <v>455</v>
      </c>
    </row>
    <row r="23" ht="60" customHeight="1" spans="1:9">
      <c r="A23" s="4">
        <f t="shared" si="0"/>
        <v>21</v>
      </c>
      <c r="B23" s="5" t="s">
        <v>456</v>
      </c>
      <c r="C23" s="5" t="s">
        <v>457</v>
      </c>
      <c r="D23" s="5" t="s">
        <v>358</v>
      </c>
      <c r="E23" s="5" t="s">
        <v>13</v>
      </c>
      <c r="F23" s="5" t="s">
        <v>458</v>
      </c>
      <c r="G23" s="5" t="s">
        <v>459</v>
      </c>
      <c r="H23" s="4" t="s">
        <v>354</v>
      </c>
      <c r="I23" s="5" t="s">
        <v>460</v>
      </c>
    </row>
    <row r="24" ht="45" customHeight="1" spans="1:9">
      <c r="A24" s="4">
        <f t="shared" si="0"/>
        <v>22</v>
      </c>
      <c r="B24" s="5" t="s">
        <v>461</v>
      </c>
      <c r="C24" s="5" t="s">
        <v>462</v>
      </c>
      <c r="D24" s="5" t="s">
        <v>350</v>
      </c>
      <c r="E24" s="5" t="s">
        <v>380</v>
      </c>
      <c r="F24" s="5" t="s">
        <v>463</v>
      </c>
      <c r="G24" s="5" t="s">
        <v>464</v>
      </c>
      <c r="H24" s="4" t="s">
        <v>354</v>
      </c>
      <c r="I24" s="5" t="s">
        <v>465</v>
      </c>
    </row>
    <row r="25" ht="75" customHeight="1" spans="1:9">
      <c r="A25" s="4">
        <f t="shared" si="0"/>
        <v>23</v>
      </c>
      <c r="B25" s="5" t="s">
        <v>466</v>
      </c>
      <c r="C25" s="5" t="s">
        <v>467</v>
      </c>
      <c r="D25" s="5" t="s">
        <v>350</v>
      </c>
      <c r="E25" s="5" t="s">
        <v>380</v>
      </c>
      <c r="F25" s="5" t="s">
        <v>468</v>
      </c>
      <c r="G25" s="5" t="s">
        <v>469</v>
      </c>
      <c r="H25" s="4" t="s">
        <v>354</v>
      </c>
      <c r="I25" s="5" t="s">
        <v>470</v>
      </c>
    </row>
    <row r="26" ht="30" customHeight="1" spans="1:9">
      <c r="A26" s="4">
        <f t="shared" si="0"/>
        <v>24</v>
      </c>
      <c r="B26" s="5" t="s">
        <v>471</v>
      </c>
      <c r="C26" s="5" t="s">
        <v>472</v>
      </c>
      <c r="D26" s="5" t="s">
        <v>350</v>
      </c>
      <c r="E26" s="5" t="s">
        <v>19</v>
      </c>
      <c r="F26" s="5" t="s">
        <v>473</v>
      </c>
      <c r="G26" s="5" t="s">
        <v>474</v>
      </c>
      <c r="H26" s="4" t="s">
        <v>354</v>
      </c>
      <c r="I26" s="5" t="s">
        <v>465</v>
      </c>
    </row>
    <row r="27" ht="45" customHeight="1" spans="1:9">
      <c r="A27" s="4">
        <f t="shared" si="0"/>
        <v>25</v>
      </c>
      <c r="B27" s="5" t="s">
        <v>475</v>
      </c>
      <c r="C27" s="5" t="s">
        <v>476</v>
      </c>
      <c r="D27" s="5" t="s">
        <v>350</v>
      </c>
      <c r="E27" s="5" t="s">
        <v>19</v>
      </c>
      <c r="F27" s="5" t="s">
        <v>477</v>
      </c>
      <c r="G27" s="5" t="s">
        <v>478</v>
      </c>
      <c r="H27" s="4" t="s">
        <v>354</v>
      </c>
      <c r="I27" s="5" t="s">
        <v>479</v>
      </c>
    </row>
    <row r="28" ht="30" customHeight="1" spans="1:9">
      <c r="A28" s="4">
        <f t="shared" si="0"/>
        <v>26</v>
      </c>
      <c r="B28" s="5" t="s">
        <v>480</v>
      </c>
      <c r="C28" s="5" t="s">
        <v>481</v>
      </c>
      <c r="D28" s="5" t="s">
        <v>358</v>
      </c>
      <c r="E28" s="5" t="s">
        <v>16</v>
      </c>
      <c r="F28" s="5" t="s">
        <v>482</v>
      </c>
      <c r="G28" s="5" t="s">
        <v>454</v>
      </c>
      <c r="H28" s="4" t="s">
        <v>354</v>
      </c>
      <c r="I28" s="5" t="s">
        <v>465</v>
      </c>
    </row>
    <row r="29" ht="45" customHeight="1" spans="1:9">
      <c r="A29" s="4">
        <f t="shared" si="0"/>
        <v>27</v>
      </c>
      <c r="B29" s="5" t="s">
        <v>483</v>
      </c>
      <c r="C29" s="5" t="s">
        <v>484</v>
      </c>
      <c r="D29" s="5" t="s">
        <v>358</v>
      </c>
      <c r="E29" s="5" t="s">
        <v>16</v>
      </c>
      <c r="F29" s="5" t="s">
        <v>485</v>
      </c>
      <c r="G29" s="5" t="s">
        <v>486</v>
      </c>
      <c r="H29" s="4" t="s">
        <v>354</v>
      </c>
      <c r="I29" s="5" t="s">
        <v>487</v>
      </c>
    </row>
    <row r="30" ht="30" customHeight="1" spans="1:9">
      <c r="A30" s="4">
        <f t="shared" si="0"/>
        <v>28</v>
      </c>
      <c r="B30" s="5" t="s">
        <v>488</v>
      </c>
      <c r="C30" s="5" t="s">
        <v>489</v>
      </c>
      <c r="D30" s="5" t="s">
        <v>358</v>
      </c>
      <c r="E30" s="5" t="s">
        <v>16</v>
      </c>
      <c r="F30" s="5" t="s">
        <v>490</v>
      </c>
      <c r="G30" s="5" t="s">
        <v>491</v>
      </c>
      <c r="H30" s="4" t="s">
        <v>354</v>
      </c>
      <c r="I30" s="5" t="s">
        <v>492</v>
      </c>
    </row>
    <row r="31" ht="45" customHeight="1" spans="1:9">
      <c r="A31" s="4">
        <f t="shared" si="0"/>
        <v>29</v>
      </c>
      <c r="B31" s="5" t="s">
        <v>493</v>
      </c>
      <c r="C31" s="5" t="s">
        <v>494</v>
      </c>
      <c r="D31" s="5" t="s">
        <v>358</v>
      </c>
      <c r="E31" s="5" t="s">
        <v>359</v>
      </c>
      <c r="F31" s="5" t="s">
        <v>495</v>
      </c>
      <c r="G31" s="5" t="s">
        <v>496</v>
      </c>
      <c r="H31" s="4" t="s">
        <v>354</v>
      </c>
      <c r="I31" s="5" t="s">
        <v>470</v>
      </c>
    </row>
    <row r="32" ht="30" customHeight="1" spans="1:9">
      <c r="A32" s="4">
        <f t="shared" si="0"/>
        <v>30</v>
      </c>
      <c r="B32" s="5" t="s">
        <v>497</v>
      </c>
      <c r="C32" s="5" t="s">
        <v>498</v>
      </c>
      <c r="D32" s="5" t="s">
        <v>350</v>
      </c>
      <c r="E32" s="5" t="s">
        <v>4</v>
      </c>
      <c r="F32" s="5" t="s">
        <v>499</v>
      </c>
      <c r="G32" s="5" t="s">
        <v>500</v>
      </c>
      <c r="H32" s="4" t="s">
        <v>354</v>
      </c>
      <c r="I32" s="5" t="s">
        <v>465</v>
      </c>
    </row>
    <row r="33" ht="45" customHeight="1" spans="1:9">
      <c r="A33" s="4">
        <f t="shared" si="0"/>
        <v>31</v>
      </c>
      <c r="B33" s="5" t="s">
        <v>501</v>
      </c>
      <c r="C33" s="5" t="s">
        <v>502</v>
      </c>
      <c r="D33" s="5" t="s">
        <v>358</v>
      </c>
      <c r="E33" s="5" t="s">
        <v>13</v>
      </c>
      <c r="F33" s="5" t="s">
        <v>503</v>
      </c>
      <c r="G33" s="5" t="s">
        <v>504</v>
      </c>
      <c r="H33" s="4" t="s">
        <v>505</v>
      </c>
      <c r="I33" s="5" t="s">
        <v>506</v>
      </c>
    </row>
    <row r="34" ht="45" customHeight="1" spans="1:9">
      <c r="A34" s="4">
        <f t="shared" si="0"/>
        <v>32</v>
      </c>
      <c r="B34" s="5" t="s">
        <v>507</v>
      </c>
      <c r="C34" s="5" t="s">
        <v>508</v>
      </c>
      <c r="D34" s="5" t="s">
        <v>350</v>
      </c>
      <c r="E34" s="5" t="s">
        <v>4</v>
      </c>
      <c r="F34" s="5" t="s">
        <v>509</v>
      </c>
      <c r="G34" s="5" t="s">
        <v>510</v>
      </c>
      <c r="H34" s="4" t="s">
        <v>505</v>
      </c>
      <c r="I34" s="5" t="s">
        <v>416</v>
      </c>
    </row>
    <row r="35" ht="45" customHeight="1" spans="1:9">
      <c r="A35" s="4">
        <f t="shared" si="0"/>
        <v>33</v>
      </c>
      <c r="B35" s="5" t="s">
        <v>511</v>
      </c>
      <c r="C35" s="5" t="s">
        <v>512</v>
      </c>
      <c r="D35" s="5" t="s">
        <v>358</v>
      </c>
      <c r="E35" s="5" t="s">
        <v>13</v>
      </c>
      <c r="F35" s="5" t="s">
        <v>513</v>
      </c>
      <c r="G35" s="5" t="s">
        <v>514</v>
      </c>
      <c r="H35" s="4" t="s">
        <v>505</v>
      </c>
      <c r="I35" s="5" t="s">
        <v>515</v>
      </c>
    </row>
    <row r="36" ht="30" customHeight="1" spans="1:9">
      <c r="A36" s="4">
        <f t="shared" si="0"/>
        <v>34</v>
      </c>
      <c r="B36" s="5" t="s">
        <v>516</v>
      </c>
      <c r="C36" s="5" t="s">
        <v>517</v>
      </c>
      <c r="D36" s="5" t="s">
        <v>358</v>
      </c>
      <c r="E36" s="5" t="s">
        <v>13</v>
      </c>
      <c r="F36" s="5" t="s">
        <v>518</v>
      </c>
      <c r="G36" s="5" t="s">
        <v>519</v>
      </c>
      <c r="H36" s="4" t="s">
        <v>505</v>
      </c>
      <c r="I36" s="5" t="s">
        <v>520</v>
      </c>
    </row>
    <row r="37" ht="45" customHeight="1" spans="1:9">
      <c r="A37" s="4">
        <f t="shared" si="0"/>
        <v>35</v>
      </c>
      <c r="B37" s="5" t="s">
        <v>521</v>
      </c>
      <c r="C37" s="5" t="s">
        <v>522</v>
      </c>
      <c r="D37" s="5" t="s">
        <v>358</v>
      </c>
      <c r="E37" s="5" t="s">
        <v>13</v>
      </c>
      <c r="F37" s="5" t="s">
        <v>523</v>
      </c>
      <c r="G37" s="5" t="s">
        <v>524</v>
      </c>
      <c r="H37" s="4" t="s">
        <v>505</v>
      </c>
      <c r="I37" s="5" t="s">
        <v>525</v>
      </c>
    </row>
    <row r="38" ht="30" customHeight="1" spans="1:9">
      <c r="A38" s="4">
        <f t="shared" si="0"/>
        <v>36</v>
      </c>
      <c r="B38" s="5" t="s">
        <v>526</v>
      </c>
      <c r="C38" s="5" t="s">
        <v>527</v>
      </c>
      <c r="D38" s="5" t="s">
        <v>528</v>
      </c>
      <c r="E38" s="5" t="s">
        <v>529</v>
      </c>
      <c r="F38" s="5" t="s">
        <v>530</v>
      </c>
      <c r="G38" s="5" t="s">
        <v>531</v>
      </c>
      <c r="H38" s="4" t="s">
        <v>505</v>
      </c>
      <c r="I38" s="5" t="s">
        <v>532</v>
      </c>
    </row>
    <row r="39" ht="30" customHeight="1" spans="1:9">
      <c r="A39" s="4">
        <f t="shared" si="0"/>
        <v>37</v>
      </c>
      <c r="B39" s="5" t="s">
        <v>533</v>
      </c>
      <c r="C39" s="5" t="s">
        <v>534</v>
      </c>
      <c r="D39" s="5" t="s">
        <v>350</v>
      </c>
      <c r="E39" s="5" t="s">
        <v>4</v>
      </c>
      <c r="F39" s="5" t="s">
        <v>535</v>
      </c>
      <c r="G39" s="5" t="s">
        <v>536</v>
      </c>
      <c r="H39" s="4" t="s">
        <v>505</v>
      </c>
      <c r="I39" s="5" t="s">
        <v>532</v>
      </c>
    </row>
    <row r="40" ht="30" customHeight="1" spans="1:9">
      <c r="A40" s="4">
        <f t="shared" si="0"/>
        <v>38</v>
      </c>
      <c r="B40" s="5" t="s">
        <v>537</v>
      </c>
      <c r="C40" s="5" t="s">
        <v>538</v>
      </c>
      <c r="D40" s="5" t="s">
        <v>358</v>
      </c>
      <c r="E40" s="5" t="s">
        <v>16</v>
      </c>
      <c r="F40" s="5" t="s">
        <v>539</v>
      </c>
      <c r="G40" s="5" t="s">
        <v>524</v>
      </c>
      <c r="H40" s="4" t="s">
        <v>505</v>
      </c>
      <c r="I40" s="5" t="s">
        <v>540</v>
      </c>
    </row>
    <row r="41" ht="45" customHeight="1" spans="1:9">
      <c r="A41" s="4">
        <f t="shared" si="0"/>
        <v>39</v>
      </c>
      <c r="B41" s="5" t="s">
        <v>541</v>
      </c>
      <c r="C41" s="5" t="s">
        <v>542</v>
      </c>
      <c r="D41" s="5" t="s">
        <v>358</v>
      </c>
      <c r="E41" s="5" t="s">
        <v>16</v>
      </c>
      <c r="F41" s="5" t="s">
        <v>543</v>
      </c>
      <c r="G41" s="5" t="s">
        <v>544</v>
      </c>
      <c r="H41" s="4" t="s">
        <v>505</v>
      </c>
      <c r="I41" s="5" t="s">
        <v>545</v>
      </c>
    </row>
    <row r="42" ht="30" customHeight="1" spans="1:9">
      <c r="A42" s="4">
        <f t="shared" si="0"/>
        <v>40</v>
      </c>
      <c r="B42" s="5" t="s">
        <v>546</v>
      </c>
      <c r="C42" s="5" t="s">
        <v>547</v>
      </c>
      <c r="D42" s="5" t="s">
        <v>350</v>
      </c>
      <c r="E42" s="5" t="s">
        <v>7</v>
      </c>
      <c r="F42" s="5" t="s">
        <v>548</v>
      </c>
      <c r="G42" s="5" t="s">
        <v>549</v>
      </c>
      <c r="H42" s="4" t="s">
        <v>505</v>
      </c>
      <c r="I42" s="5" t="s">
        <v>545</v>
      </c>
    </row>
    <row r="43" ht="45" customHeight="1" spans="1:9">
      <c r="A43" s="4">
        <f t="shared" si="0"/>
        <v>41</v>
      </c>
      <c r="B43" s="5" t="s">
        <v>550</v>
      </c>
      <c r="C43" s="5" t="s">
        <v>551</v>
      </c>
      <c r="D43" s="5" t="s">
        <v>350</v>
      </c>
      <c r="E43" s="5" t="s">
        <v>552</v>
      </c>
      <c r="F43" s="5" t="s">
        <v>553</v>
      </c>
      <c r="G43" s="5" t="s">
        <v>554</v>
      </c>
      <c r="H43" s="4" t="s">
        <v>505</v>
      </c>
      <c r="I43" s="5" t="s">
        <v>355</v>
      </c>
    </row>
    <row r="44" ht="30" customHeight="1" spans="1:9">
      <c r="A44" s="4">
        <f t="shared" si="0"/>
        <v>42</v>
      </c>
      <c r="B44" s="5" t="s">
        <v>555</v>
      </c>
      <c r="C44" s="5" t="s">
        <v>556</v>
      </c>
      <c r="D44" s="5" t="s">
        <v>528</v>
      </c>
      <c r="E44" s="5" t="s">
        <v>557</v>
      </c>
      <c r="F44" s="5" t="s">
        <v>558</v>
      </c>
      <c r="G44" s="5" t="s">
        <v>559</v>
      </c>
      <c r="H44" s="4" t="s">
        <v>505</v>
      </c>
      <c r="I44" s="5" t="s">
        <v>355</v>
      </c>
    </row>
  </sheetData>
  <mergeCells count="1">
    <mergeCell ref="A1:I1"/>
  </mergeCells>
  <pageMargins left="0.7" right="0.7" top="0.75" bottom="0.75" header="0.511811023622047" footer="0.511811023622047"/>
  <pageSetup paperSize="9" orientation="portrait" horizontalDpi="300" verticalDpi="300"/>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9</vt:i4>
      </vt:variant>
    </vt:vector>
  </HeadingPairs>
  <TitlesOfParts>
    <vt:vector size="9" baseType="lpstr">
      <vt:lpstr>Actors</vt:lpstr>
      <vt:lpstr>StockIn</vt:lpstr>
      <vt:lpstr>PlacceAnOrder</vt:lpstr>
      <vt:lpstr>SystemPickBatch</vt:lpstr>
      <vt:lpstr>OfflineOrder</vt:lpstr>
      <vt:lpstr>SubFlows</vt:lpstr>
      <vt:lpstr>OrderStatus</vt:lpstr>
      <vt:lpstr>SampleOrderDetail</vt:lpstr>
      <vt:lpstr>ScreenList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Thien Nhan</dc:creator>
  <cp:lastModifiedBy>Huy Hoàng</cp:lastModifiedBy>
  <cp:revision>0</cp:revision>
  <dcterms:created xsi:type="dcterms:W3CDTF">2026-09-25T15:42:00Z</dcterms:created>
  <dcterms:modified xsi:type="dcterms:W3CDTF">2026-09-27T07:50:31Z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88CE22522DEE40E2B98063AC9A6D8A19_12</vt:lpwstr>
  </property>
  <property fmtid="{D5CDD505-2E9C-101B-9397-08002B2CF9AE}" pid="3" name="KSOProductBuildVer">
    <vt:lpwstr>1033-12.1.0.24752</vt:lpwstr>
  </property>
  <property fmtid="{D5CDD505-2E9C-101B-9397-08002B2CF9AE}" pid="4" name="CalculationRule">
    <vt:i4>0</vt:i4>
  </property>
</Properties>
</file>