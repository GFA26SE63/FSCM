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Test Statistics" sheetId="2" r:id="rId5"/>
    <sheet state="visible" name="Test Cases" sheetId="3" r:id="rId6"/>
    <sheet state="visible" name="Authentication" sheetId="4" r:id="rId7"/>
    <sheet state="visible" name="User Management" sheetId="5" r:id="rId8"/>
    <sheet state="visible" name="Retailer Registration" sheetId="6" r:id="rId9"/>
    <sheet state="visible" name="Retailer Profiles" sheetId="7" r:id="rId10"/>
    <sheet state="visible" name="Product &amp; Categories" sheetId="8" r:id="rId11"/>
    <sheet state="visible" name="Promotion Management" sheetId="9" r:id="rId12"/>
    <sheet state="visible" name="Shelf-Life Pricing" sheetId="10" r:id="rId13"/>
    <sheet state="visible" name="Order Management" sheetId="11" r:id="rId14"/>
    <sheet state="visible" name="Offline Synchronization" sheetId="12" r:id="rId15"/>
    <sheet state="visible" name="Allocation Engine" sheetId="13" r:id="rId16"/>
    <sheet state="visible" name="Allocation Approval" sheetId="14" r:id="rId17"/>
    <sheet state="visible" name="Goods Receipts" sheetId="15" r:id="rId18"/>
    <sheet state="visible" name="Warehouse Inventory" sheetId="16" r:id="rId19"/>
    <sheet state="visible" name="Picking &amp; QR" sheetId="17" r:id="rId20"/>
    <sheet state="visible" name="Delivery &amp; Receipt" sheetId="18" r:id="rId21"/>
    <sheet state="visible" name="Complaints &amp; Refunds" sheetId="19" r:id="rId22"/>
    <sheet state="visible" name="Payments &amp; Receivables" sheetId="20" r:id="rId23"/>
    <sheet state="visible" name="Loyalty Management" sheetId="21" r:id="rId24"/>
    <sheet state="visible" name="Territory &amp; Sales Groups" sheetId="22" r:id="rId25"/>
    <sheet state="visible" name="Sales Reporting" sheetId="23" r:id="rId26"/>
    <sheet state="visible" name="Configuration &amp; Notifications" sheetId="24" r:id="rId27"/>
    <sheet state="visible" name="Main Workflows" sheetId="25" r:id="rId28"/>
    <sheet state="visible" name="State Transitions" sheetId="26" r:id="rId29"/>
    <sheet state="visible" name="Non-Functional Tests" sheetId="27" r:id="rId30"/>
  </sheets>
  <definedNames/>
  <calcPr/>
  <extLst>
    <ext uri="GoogleSheetsCustomDataVersion2">
      <go:sheetsCustomData xmlns:go="http://customooxmlschemas.google.com/" r:id="rId31" roundtripDataChecksum="AaUcXmVsvLWyS83pnAM2jIJC8nQR4LEyF8+OUf+jHLo="/>
    </ext>
  </extLst>
</workbook>
</file>

<file path=xl/sharedStrings.xml><?xml version="1.0" encoding="utf-8"?>
<sst xmlns="http://schemas.openxmlformats.org/spreadsheetml/2006/main" count="3483" uniqueCount="2043">
  <si>
    <t>TEST STATISTICS</t>
  </si>
  <si>
    <t>TEST CASE LIST — FSCM v1.3</t>
  </si>
  <si>
    <t>TEST REPORT DOCUMENT</t>
  </si>
  <si>
    <t>Feature</t>
  </si>
  <si>
    <t>Project Name</t>
  </si>
  <si>
    <t>Authentication</t>
  </si>
  <si>
    <t>FSCM – Short Shelf-Life FMCG Supply Chain Management and Distribution Coordination</t>
  </si>
  <si>
    <t>Project Code</t>
  </si>
  <si>
    <t>Passed</t>
  </si>
  <si>
    <t>Creator</t>
  </si>
  <si>
    <t>FA26SE083</t>
  </si>
  <si>
    <t>Test requirement</t>
  </si>
  <si>
    <t>Verify account login and refresh-token lifecycle for FSCM roles: valid credentials issue scoped sessions; repeated invalid attempts trigger lockout; revoked or reused tokens cannot create extra sessions; deactivated users and cross-territory requests are denied.</t>
  </si>
  <si>
    <t>Test Environment Setup Description</t>
  </si>
  <si>
    <t>Tran Ngoc Khiet, Doan Duc Hai</t>
  </si>
  <si>
    <t>Doan Duc Hai</t>
  </si>
  <si>
    <t>ASP.NET Core .NET 10, React, Flutter, approved API contracts, PostgreSQL staging. Main Flows F1–F5 reference fixtures (P1/C1/P2/SHORT); no fake execution results. Cutoff 00:00 ICT; percentage-only tiers; 1 point per 10,000 VND.</t>
  </si>
  <si>
    <t>Failed</t>
  </si>
  <si>
    <t>Issue Date</t>
  </si>
  <si>
    <t>28/10/2026</t>
  </si>
  <si>
    <t>No</t>
  </si>
  <si>
    <t>Reviewer/Approver</t>
  </si>
  <si>
    <t>Document Code</t>
  </si>
  <si>
    <t>Number of TCs</t>
  </si>
  <si>
    <t>FA26SE083_Test_Report_v1.3</t>
  </si>
  <si>
    <t>Function Name</t>
  </si>
  <si>
    <t>Sheet Name</t>
  </si>
  <si>
    <t>Description</t>
  </si>
  <si>
    <t>Version</t>
  </si>
  <si>
    <t>Pre-Condition</t>
  </si>
  <si>
    <t>1.3</t>
  </si>
  <si>
    <t>Record of change</t>
  </si>
  <si>
    <t>Login with system account</t>
  </si>
  <si>
    <t>3 test case(s): Boundary, Negative, Positive. Example expected outcome: Issue access/refresh tokens and return authorized scope</t>
  </si>
  <si>
    <t>Test environment seeded; authorized All roles; transaction isolated and resettable.</t>
  </si>
  <si>
    <t>Refresh and revoke session</t>
  </si>
  <si>
    <t>Effective Date</t>
  </si>
  <si>
    <t>3 test case(s): Boundary, Negative, Positive. Example expected outcome: Rotate token and revoke predecessor</t>
  </si>
  <si>
    <t>Role and data-scope authorization</t>
  </si>
  <si>
    <t>Notes</t>
  </si>
  <si>
    <t>3 test case(s): Boundary, Negative, Positive. Example expected outcome: Return authorized records only</t>
  </si>
  <si>
    <t>Change Item</t>
  </si>
  <si>
    <t>271 planned test cases; Round 1 Not Run. Main Flows F1–F5 aligned: 00:00 ICT, percentage-only discount, full receipt, 1 point/10,000 VND, Admin/Operator SKU permissions and staff gift completion. Record actual/evidence for Pass.</t>
  </si>
  <si>
    <t>*A,D,M</t>
  </si>
  <si>
    <t>Administrator user management</t>
  </si>
  <si>
    <t>Change description</t>
  </si>
  <si>
    <t>User Management</t>
  </si>
  <si>
    <t>Reference</t>
  </si>
  <si>
    <t>3 test case(s): Boundary, Negative, Positive. Example expected outcome: Create a non-admin account with traceability</t>
  </si>
  <si>
    <t>Test environment seeded; authorized Administrator; transaction isolated and resettable.</t>
  </si>
  <si>
    <t>27/10/2026</t>
  </si>
  <si>
    <t>Declare retailer and assessment</t>
  </si>
  <si>
    <t>Retailer Registration</t>
  </si>
  <si>
    <t>3 test case(s): Boundary, Negative, Positive. Example expected outcome: Create pending retailer declaration</t>
  </si>
  <si>
    <t>1.0</t>
  </si>
  <si>
    <t>Test environment seeded; authorized Sales; Operator; transaction isolated and resettable.</t>
  </si>
  <si>
    <t>Initial FSCM test design</t>
  </si>
  <si>
    <t>A</t>
  </si>
  <si>
    <t>Review retailer activation</t>
  </si>
  <si>
    <t>Initial FSCM test case inventory and test execution plan.</t>
  </si>
  <si>
    <t>3 test case(s): Boundary, Negative, Positive. Example expected outcome: Assign active status and business code</t>
  </si>
  <si>
    <t>FSCM_Report5_Test_Report.xlsx</t>
  </si>
  <si>
    <t>Pending</t>
  </si>
  <si>
    <t>Manage retailer profile and MLOR</t>
  </si>
  <si>
    <t>1.1</t>
  </si>
  <si>
    <t>Retailer Profiles</t>
  </si>
  <si>
    <t>Module code</t>
  </si>
  <si>
    <t>Example-format rebuild</t>
  </si>
  <si>
    <t>3 test case(s): Boundary, Negative, Positive. Example expected outcome: Save new version and retain history</t>
  </si>
  <si>
    <t>M</t>
  </si>
  <si>
    <t>Manage category hierarchy</t>
  </si>
  <si>
    <t>Testing Round</t>
  </si>
  <si>
    <t>Reformatted all 24 module sheets using example’s Round 1–3 structure. Added master list, scenario steps, preconditions, expected results and live summary formulas. No fabricated results.</t>
  </si>
  <si>
    <t>Product &amp; Categories</t>
  </si>
  <si>
    <t>SRS v1.5; SDD v1.1; GitHub main</t>
  </si>
  <si>
    <t>3 test case(s): Boundary, Negative, Positive. Example expected outcome: Persist valid non-cyclic hierarchy</t>
  </si>
  <si>
    <t>1.2</t>
  </si>
  <si>
    <t>N/A</t>
  </si>
  <si>
    <t>Updated FSCM v1.2 test design aligned with approved R5 requirements</t>
  </si>
  <si>
    <t>Number of  test cases</t>
  </si>
  <si>
    <t>Create and publish product</t>
  </si>
  <si>
    <t>Update prepaid/deferred, discount, 00:00 cutoff, manual offline Send, delivery, loyalty and NFR tests; preserve 271 cases and evidence status.</t>
  </si>
  <si>
    <t>Administrator AND Operator create Draft, price, publish SKU; Published data immutable; Sales cannot write.</t>
  </si>
  <si>
    <t>Test Documentation v1.2; Unit Test v1.2; SRS v1.8; SDD v1.8</t>
  </si>
  <si>
    <t>Product search and catalog visibility</t>
  </si>
  <si>
    <t>3 test case(s): Boundary, Negative, Positive. Example expected outcome: Return only permitted published products</t>
  </si>
  <si>
    <t>Test environment seeded; authorized Sales; Retailer; Administrator; transaction isolated and resettable.</t>
  </si>
  <si>
    <t>Manage ordinary promotion</t>
  </si>
  <si>
    <t>Promotion Management</t>
  </si>
  <si>
    <t>3 test case(s): Boundary, Negative, Positive. Example expected outcome: Persist promotion/version with eligibility</t>
  </si>
  <si>
    <t>Five Main Flows F1–F5 and seven approved business decisions</t>
  </si>
  <si>
    <t>Round 1</t>
  </si>
  <si>
    <t>Align cutoff 00:00 ICT; percentage-only shelf-life discount; 1 point per 10,000 VND; full actual receipt before Completed; positive net price; Admin/Operator product authority; staff-completed gifts. Detail group promotion, tie-break, late verification, P1/C1/P2/SHORT and F1–F5 traceability. Preserve all cases as Not Run.</t>
  </si>
  <si>
    <t>Calculate shelf-life discount tier</t>
  </si>
  <si>
    <t>Shelf-Life Pricing</t>
  </si>
  <si>
    <t>Five Main Flows F1–F5; SRS/SDD v1.8; Unit Test v1.3; Test Documentation v1.3</t>
  </si>
  <si>
    <t>Percentage-only tiers (&lt;100%); reject fixed/zero net price; MLOR before discount; preserve batch snapshot.</t>
  </si>
  <si>
    <t>Test environment seeded; authorized Administrator; System; transaction isolated and resettable.</t>
  </si>
  <si>
    <t>Enforce retailer MLOR during discounted batch pricing</t>
  </si>
  <si>
    <t>Future-scope near-expiry offer override removed. Current scope: SKU &gt; Category &gt; product default; filter batch eligibility/MLOR before applying discount (R5-03).</t>
  </si>
  <si>
    <t>Test environment seeded; authorized Sales; transaction isolated and resettable.</t>
  </si>
  <si>
    <t>Create online order for assigned retailer</t>
  </si>
  <si>
    <t>Order Management</t>
  </si>
  <si>
    <t>3 test case(s): Boundary, Negative, Positive. Example expected outcome: Create Pending review; no hold/reservation</t>
  </si>
  <si>
    <t>Create order with step quantity validation</t>
  </si>
  <si>
    <t>3 test case(s): Boundary, Negative, Positive. Example expected outcome: Persist compliant order lines</t>
  </si>
  <si>
    <t>Review and reject Sales Order</t>
  </si>
  <si>
    <t>3 test case(s): Boundary, Negative, Positive. Example expected outcome: Move to Awaiting allocation without stock effect</t>
  </si>
  <si>
    <t>Test environment seeded; authorized Operator; Administrator; transaction isolated and resettable.</t>
  </si>
  <si>
    <t>Cancel order with evidence</t>
  </si>
  <si>
    <t>3 test case(s): Boundary, Negative, Positive. Example expected outcome: Cancel and release reservations where applicable</t>
  </si>
  <si>
    <t>Test environment seeded; authorized Sales; Administrator; transaction isolated and resettable.</t>
  </si>
  <si>
    <t>View scoped order history</t>
  </si>
  <si>
    <t>3 test case(s): Boundary, Negative, Positive. Example expected outcome: Return authorized timeline and amounts</t>
  </si>
  <si>
    <t>Test environment seeded; authorized All permitted roles; transaction isolated and resettable.</t>
  </si>
  <si>
    <t>Save offline order to local queue</t>
  </si>
  <si>
    <t>Offline Synchronization</t>
  </si>
  <si>
    <t>3 test case(s): Boundary, Negative, Positive. Example expected outcome: Keep pending local draft visibly unsynced</t>
  </si>
  <si>
    <t>Manually submit offline Sales Order drafts</t>
  </si>
  <si>
    <t>Reconnect never sends. Only explicit Sales Send starts upload; changed server terms require confirmation, replays idempotently (R5-06).</t>
  </si>
  <si>
    <t>Technical retry of Sales-initiated Send</t>
  </si>
  <si>
    <t>Automatic retry only after explicit Send; unchanged key/payload and conditions; new key for changed payload (R5-06).</t>
  </si>
  <si>
    <t>Create daily allocation run at 00:00 ICT</t>
  </si>
  <si>
    <t>Allocation Engine</t>
  </si>
  <si>
    <t>Server acceptance and review strictly before 00:00 ICT; cutoff equality/late defers; month/year rollover and device-clock independence (R5-04).</t>
  </si>
  <si>
    <t>Test environment seeded; authorized System Scheduler; transaction isolated and resettable.</t>
  </si>
  <si>
    <t>Apply FEFO–MLOR hard eligibility</t>
  </si>
  <si>
    <t>3 test case(s): Boundary, Negative, Positive. Example expected outcome: Keep eligible batch for scoring</t>
  </si>
  <si>
    <t>Test environment seeded; authorized System; transaction isolated and resettable.</t>
  </si>
  <si>
    <t>Score weighted batches and allocate</t>
  </si>
  <si>
    <t>Round 2</t>
  </si>
  <si>
    <t>3 test case(s): Boundary, Negative, Positive. Example expected outcome: Select highest score and recompute after take</t>
  </si>
  <si>
    <t>Reject partial fulfillment and return pool</t>
  </si>
  <si>
    <t>3 test case(s): Boundary, Negative, Positive. Example expected outcome: Keep complete order tentatively allocated</t>
  </si>
  <si>
    <t>Review proposal and recalculate</t>
  </si>
  <si>
    <t>Allocation Approval</t>
  </si>
  <si>
    <t>3 test case(s): Boundary, Negative, Positive. Example expected outcome: Record approval or reasoned recalculation</t>
  </si>
  <si>
    <t>Commit reservation transactionally</t>
  </si>
  <si>
    <t>3 test case(s): Boundary, Negative, Positive. Example expected outcome: Create reservations and picking only after approval</t>
  </si>
  <si>
    <t>Create goods receipt and approve stock-in</t>
  </si>
  <si>
    <t>Goods Receipts</t>
  </si>
  <si>
    <t>3 test case(s): Boundary, Negative, Positive. Example expected outcome: Increase inventory only on approval</t>
  </si>
  <si>
    <t>Test environment seeded; authorized Warehouse Keeper; Administrator; transaction isolated and resettable.</t>
  </si>
  <si>
    <t>View warehouse batch and stock</t>
  </si>
  <si>
    <t>Warehouse Inventory</t>
  </si>
  <si>
    <t>3 test case(s): Boundary, Negative, Positive. Example expected outcome: Return OnHand/Reserved/Available accurately</t>
  </si>
  <si>
    <t>Detect expiry and inventory lock</t>
  </si>
  <si>
    <t>3 test case(s): Boundary, Negative, Positive. Example expected outcome: Mark expired and prevent issue</t>
  </si>
  <si>
    <t>Write-off unusable quantity</t>
  </si>
  <si>
    <t>3 test case(s): Boundary, Negative, Positive. Example expected outcome: Reduce only approved affected stock with audit</t>
  </si>
  <si>
    <t>Generate and split batch QR label</t>
  </si>
  <si>
    <t>3 test case(s): Boundary, Negative, Positive. Example expected outcome: Maintain traceable QR lineage</t>
  </si>
  <si>
    <t>Test environment seeded; authorized Warehouse Keeper; transaction isolated and resettable.</t>
  </si>
  <si>
    <t>Round 3</t>
  </si>
  <si>
    <t>Release warehouse picking list only after PO conversion</t>
  </si>
  <si>
    <t>Picking &amp; QR</t>
  </si>
  <si>
    <t>Approved allocation and quote alone do not authorize picking; verify accepted quote and prepaid transfer or approved deferred term, then PO (R5-05).</t>
  </si>
  <si>
    <t>Test environment seeded; authorized System; Warehouse Keeper; transaction isolated and resettable.</t>
  </si>
  <si>
    <t>Scan picking item and confirm readiness</t>
  </si>
  <si>
    <t>3 test case(s): Boundary, Negative, Positive. Example expected outcome: Record scan and mark ready without stock issue</t>
  </si>
  <si>
    <t>Confirm dispatch idempotently</t>
  </si>
  <si>
    <t>3 test case(s): Boundary, Negative, Positive. Example expected outcome: Move reserved and OnHand only once</t>
  </si>
  <si>
    <t>Test environment seeded; authorized Operator; Warehouse Keeper; transaction isolated and resettable.</t>
  </si>
  <si>
    <t>Assign vehicle and driver</t>
  </si>
  <si>
    <t>Delivery &amp; Receipt</t>
  </si>
  <si>
    <t>3 test case(s): Boundary, Negative, Positive. Example expected outcome: Store assignment snapshot for one shipment</t>
  </si>
  <si>
    <t>Test environment seeded; authorized Operator; transaction isolated and resettable.</t>
  </si>
  <si>
    <t>Confirm retailer receipt by QR</t>
  </si>
  <si>
    <t>3 test case(s): Boundary, Negative, Positive. Example expected outcome: Record received quantities and shipment state</t>
  </si>
  <si>
    <t>Test environment seeded; authorized Retailer; transaction isolated and resettable.</t>
  </si>
  <si>
    <t>Report damaged/missing goods</t>
  </si>
  <si>
    <t>Complaints &amp; Refunds</t>
  </si>
  <si>
    <t>3 test case(s): Boundary, Negative, Positive. Example expected outcome: Create independent complaint linked to batch/shipment</t>
  </si>
  <si>
    <t>Test environment seeded; authorized Retailer; Operator; transaction isolated and resettable.</t>
  </si>
  <si>
    <t>Record prepaid bank transfer or approved deferred payment</t>
  </si>
  <si>
    <t>Payments &amp; Receivables</t>
  </si>
  <si>
    <t>COD and cash-prepaid rejected; verified bank transfer for prepaid after approved price, valid retailer terms for deferred, full cash collection for delivered deferred only (R5-01/05).</t>
  </si>
  <si>
    <t>Test environment seeded; authorized Retailer; Sales; Operator; transaction isolated and resettable.</t>
  </si>
  <si>
    <t>Calculate deferred due date and overdue</t>
  </si>
  <si>
    <t>3 test case(s): Boundary, Negative, Positive. Example expected outcome: Compute due based on full receipt</t>
  </si>
  <si>
    <t>Test environment seeded; authorized Operator; System; transaction isolated and resettable.</t>
  </si>
  <si>
    <t>Handle manual refund and evidence</t>
  </si>
  <si>
    <t>3 test case(s): Boundary, Negative, Positive. Example expected outcome: Keep pending until independent Admin verification</t>
  </si>
  <si>
    <t>Financial adjustment for complaint</t>
  </si>
  <si>
    <t>3 test case(s): Boundary, Negative, Positive. Example expected outcome: Modify net receivable through linked adjustment</t>
  </si>
  <si>
    <t>Earn points after settlement</t>
  </si>
  <si>
    <t>Loyalty Management</t>
  </si>
  <si>
    <t>floor(eligible net VND / 10,000); full receipt+settlement+no open complaint; once-only, allow correction.</t>
  </si>
  <si>
    <t>Redeem reward and settle points</t>
  </si>
  <si>
    <t>3 test case(s): Boundary, Negative, Positive. Example expected outcome: Hold and settle points with audit</t>
  </si>
  <si>
    <t>Test environment seeded; authorized Retailer; Administrator; transaction isolated and resettable.</t>
  </si>
  <si>
    <t>Manage loyalty program and gift catalog</t>
  </si>
  <si>
    <t>3 test case(s): Boundary, Negative, Positive. Example expected outcome: Store program and reward configuration</t>
  </si>
  <si>
    <t>Test Case ID</t>
  </si>
  <si>
    <t>Manage sales groups and coverage</t>
  </si>
  <si>
    <t>Territory &amp; Sales Groups</t>
  </si>
  <si>
    <t>3 test case(s): Boundary, Negative, Positive. Example expected outcome: Persist valid scope and membership</t>
  </si>
  <si>
    <t>Test environment seeded; authorized Sales Manager; transaction isolated and resettable.</t>
  </si>
  <si>
    <t>Test Case Description</t>
  </si>
  <si>
    <t>Test Case Procedure</t>
  </si>
  <si>
    <t>View authorized sales dashboard</t>
  </si>
  <si>
    <t>Expected Results</t>
  </si>
  <si>
    <t>Sales Reporting</t>
  </si>
  <si>
    <t>3 test case(s): Boundary, Negative, Positive. Example expected outcome: Return scoped counts and net revenue</t>
  </si>
  <si>
    <t>Test environment seeded; authorized Administrator; Sales Manager; Sales; transaction isolated and resettable.</t>
  </si>
  <si>
    <t>Pre-conditions</t>
  </si>
  <si>
    <t>Calculate net revenue after adjustments</t>
  </si>
  <si>
    <t>Test date</t>
  </si>
  <si>
    <t>Tester</t>
  </si>
  <si>
    <t>3 test case(s): Boundary, Negative, Positive. Example expected outcome: Report final net after discounts/adjustments</t>
  </si>
  <si>
    <t>Test environment seeded; authorized Administrator; Sales Manager; transaction isolated and resettable.</t>
  </si>
  <si>
    <t>Version transit distance and ETA rules</t>
  </si>
  <si>
    <t>Configuration &amp; Notifications</t>
  </si>
  <si>
    <t>3 test case(s): Boundary, Negative, Positive. Example expected outcome: Version active rules and compute configured ETA</t>
  </si>
  <si>
    <t>Note</t>
  </si>
  <si>
    <t>Warehouse location and map distance</t>
  </si>
  <si>
    <t>3 test case(s): Boundary, Negative, Positive. Example expected outcome: Save location and route version</t>
  </si>
  <si>
    <t>Authentication — FSCM scenarios</t>
  </si>
  <si>
    <t>Send operational notification</t>
  </si>
  <si>
    <t>3 test case(s): Boundary, Negative, Positive. Example expected outcome: Persist event and notify once</t>
  </si>
  <si>
    <t>Retailer declaration → Admin approval → Sales eligible ordering</t>
  </si>
  <si>
    <t>Main Workflows</t>
  </si>
  <si>
    <t>1 test case(s): End-to-End. Example expected outcome: Workflow completes with traceable states: Pending→Active; all cross-component invariants preserved</t>
  </si>
  <si>
    <t>FT-001-P</t>
  </si>
  <si>
    <t>Login with system account
Positive — Active user and valid password</t>
  </si>
  <si>
    <t>Sales offline order → queued → synced → commercial review</t>
  </si>
  <si>
    <t>1. Seed isolated FSCM fixture with required SKU, retailer, warehouse, roles and state; record starting stock/payment/ledger snapshots.
2. Sign in as All roles; perform scenario: Active user and valid password.
3. Submit both the valid operation and the specified invalid/boundary input.
4. Compare response, persisted state, actor audit, once-only effects and unchanged records against the expected result.</t>
  </si>
  <si>
    <t>1 test case(s): End-to-End. Example expected outcome: Workflow completes with traceable states: Local Pending→Synced→Awaiting allocation; all cross-component invariants preserved</t>
  </si>
  <si>
    <t>Issue access/refresh tokens and return authorized scope</t>
  </si>
  <si>
    <t>Accepted order → daily allocation → Admin run approval → reservation</t>
  </si>
  <si>
    <t>1 test case(s): End-to-End. Example expected outcome: Workflow completes with traceable states: Awaiting allocation→Allocated; all cross-component invariants preserved</t>
  </si>
  <si>
    <t>Not Run</t>
  </si>
  <si>
    <t>Test environment seeded; authorized Sales; Administrator; System; transaction isolated and resettable.</t>
  </si>
  <si>
    <t>Goods receipt → inventory → approved warehouse picking → dispatch</t>
  </si>
  <si>
    <t>1 test case(s): End-to-End. Example expected outcome: Workflow completes with traceable states: Receipt Pending→Approved; Picking Ready→Dispatched; all cross-component invariants preserved</t>
  </si>
  <si>
    <t>Test environment seeded; authorized Warehouse Keeper; Operator; transaction isolated and resettable.</t>
  </si>
  <si>
    <t>Multi-warehouse dispatched shipments → Retailer QR confirmations</t>
  </si>
  <si>
    <t>Type: Positive; Role: All roles; Level: System / Integration
SRS v1.8 / BR: 3.2.1; BR-01–03
Test data: Active user and valid password
Source: https://github.com/GFA26SE63/FSCM-Backend/blob/0f56f7099f07aa60d76673e6b6a57a2b606fb833/src/FSCM.API/Controllers/AuthController.cs
Automation: Manual / candidate
Version: 1.3; Actual result: —; Evidence: —</t>
  </si>
  <si>
    <t>1 test case(s): End-to-End. Example expected outcome: Workflow completes with traceable states: Dispatched→Delivering→Delivered; all cross-component invariants preserved</t>
  </si>
  <si>
    <t>Test environment seeded; authorized Operator; Retailer; transaction isolated and resettable.</t>
  </si>
  <si>
    <t>FT-001-N</t>
  </si>
  <si>
    <t>Login with system account
Negative — Incorrect password, five attempts</t>
  </si>
  <si>
    <t>Delivered complaint → review → adjustment or manual refund</t>
  </si>
  <si>
    <t>1. Seed isolated FSCM fixture with required SKU, retailer, warehouse, roles and state; record starting stock/payment/ledger snapshots.
2. Sign in as All roles; perform scenario: Incorrect password, five attempts.
3. Submit both the valid operation and the specified invalid/boundary input.
4. Compare response, persisted state, actor audit, once-only effects and unchanged records against the expected result.</t>
  </si>
  <si>
    <t>1 test case(s): End-to-End. Example expected outcome: Workflow completes with traceable states: Complaint Pending→Approved/Rejected; Refund Pending→Verified; all cross-component invariants preserved</t>
  </si>
  <si>
    <t>Test environment seeded; authorized Retailer; Operator; Administrator; transaction isolated and resettable.</t>
  </si>
  <si>
    <t>Reject credentials without session and enforce lockout</t>
  </si>
  <si>
    <t>Final approved price → payment → adjusted full settlement → loyalty</t>
  </si>
  <si>
    <t>1 test case(s): End-to-End. Example expected outcome: Workflow completes with traceable states: Payment Pending→Paid; Points Pending→Earned; all cross-component invariants preserved</t>
  </si>
  <si>
    <t>Test environment seeded; authorized Operator; Retailer; System; transaction isolated and resettable.</t>
  </si>
  <si>
    <t>Admin catalog/promotion publication → Sales product and price visibility</t>
  </si>
  <si>
    <t>1 test case(s): End-to-End. Example expected outcome: Workflow completes with traceable states: Draft→Published; Campaign Active; all cross-component invariants preserved</t>
  </si>
  <si>
    <t>Test environment seeded; authorized Administrator; Sales; transaction isolated and resettable.</t>
  </si>
  <si>
    <t>Product Draft → Published</t>
  </si>
  <si>
    <t>State Transitions</t>
  </si>
  <si>
    <t>Type: Negative; Role: All roles; Level: System / Integration
SRS v1.8 / BR: 3.2.1; BR-01–03
Test data: Incorrect password, five attempts
Source: https://github.com/GFA26SE63/FSCM-Backend/blob/0f56f7099f07aa60d76673e6b6a57a2b606fb833/src/FSCM.API/Controllers/AuthController.cs
Automation: Manual / candidate
Version: 1.3; Actual result: —; Evidence: —</t>
  </si>
  <si>
    <t>1 test case(s): State transition. Example expected outcome: Only allowed transition reaches Published; history records actor/time; invalid transition is rejected</t>
  </si>
  <si>
    <t>Test environment seeded; authorized Authorized actor / System; transaction isolated and resettable.</t>
  </si>
  <si>
    <t>FT-001-B</t>
  </si>
  <si>
    <t>Product Published → Inactive</t>
  </si>
  <si>
    <t>Login with system account
Boundary — Account locked until expiry</t>
  </si>
  <si>
    <t>1 test case(s): State transition. Example expected outcome: Only allowed transition reaches Inactive; history records actor/time; invalid transition is rejected</t>
  </si>
  <si>
    <t>1. Seed isolated FSCM fixture with required SKU, retailer, warehouse, roles and state; record starting stock/payment/ledger snapshots.
2. Sign in as All roles; perform scenario: Account locked until expiry.
3. Submit both the valid operation and the specified invalid/boundary input.
4. Compare response, persisted state, actor audit, once-only effects and unchanged records against the expected result.</t>
  </si>
  <si>
    <t>Do not allow login while locked; allow only after expiry</t>
  </si>
  <si>
    <t>Retailer Pending → Active</t>
  </si>
  <si>
    <t>1 test case(s): State transition. Example expected outcome: Only allowed transition reaches Active; history records actor/time; invalid transition is rejected</t>
  </si>
  <si>
    <t>Retailer Pending → Rejected</t>
  </si>
  <si>
    <t>1 test case(s): State transition. Example expected outcome: Only allowed transition reaches Rejected; history records actor/time; invalid transition is rejected</t>
  </si>
  <si>
    <t>Order Pending review → Awaiting allocation</t>
  </si>
  <si>
    <t>1 test case(s): State transition. Example expected outcome: Only allowed transition reaches Awaiting allocation; history records actor/time; invalid transition is rejected</t>
  </si>
  <si>
    <t>Type: Boundary; Role: All roles; Level: System / Integration
SRS v1.8 / BR: 3.2.1; BR-01–03
Test data: Account locked until expiry
Source: https://github.com/GFA26SE63/FSCM-Backend/blob/0f56f7099f07aa60d76673e6b6a57a2b606fb833/src/FSCM.API/Controllers/AuthController.cs
Automation: Manual / candidate
Version: 1.3; Actual result: —; Evidence: —</t>
  </si>
  <si>
    <t>Order Pending review → Rejected</t>
  </si>
  <si>
    <t>FT-002-P</t>
  </si>
  <si>
    <t>Refresh and revoke session
Positive — Valid active refresh token</t>
  </si>
  <si>
    <t>1. Seed isolated FSCM fixture with required SKU, retailer, warehouse, roles and state; record starting stock/payment/ledger snapshots.
2. Sign in as All roles; perform scenario: Valid active refresh token.
3. Submit both the valid operation and the specified invalid/boundary input.
4. Compare response, persisted state, actor audit, once-only effects and unchanged records against the expected result.</t>
  </si>
  <si>
    <t>Order Awaiting allocation → Allocating</t>
  </si>
  <si>
    <t>Rotate token and revoke predecessor</t>
  </si>
  <si>
    <t>1 test case(s): State transition. Example expected outcome: Only allowed transition reaches Allocating; history records actor/time; invalid transition is rejected</t>
  </si>
  <si>
    <t>Order Awaiting allocation → Cancelled</t>
  </si>
  <si>
    <t>1 test case(s): State transition. Example expected outcome: Only allowed transition reaches Cancelled; history records actor/time; invalid transition is rejected</t>
  </si>
  <si>
    <t>Allocation Run Snapshotted → Awaiting approval</t>
  </si>
  <si>
    <t>1 test case(s): State transition. Example expected outcome: Only allowed transition reaches Awaiting approval; history records actor/time; invalid transition is rejected</t>
  </si>
  <si>
    <t>Type: Positive; Role: All roles; Level: System / Integration
SRS v1.8 / BR: 3.2.1; NFR Security
Test data: Valid active refresh token
Source: https://github.com/GFA26SE63/FSCM-Backend/blob/0f56f7099f07aa60d76673e6b6a57a2b606fb833/src/FSCM.Application/Features/Identity/IdentityService.cs
Automation: Manual / candidate
Version: 1.3; Actual result: —; Evidence: —</t>
  </si>
  <si>
    <t>Allocation Run Awaiting approval → Approved</t>
  </si>
  <si>
    <t>FT-002-N</t>
  </si>
  <si>
    <t>1 test case(s): State transition. Example expected outcome: Only allowed transition reaches Approved; history records actor/time; invalid transition is rejected</t>
  </si>
  <si>
    <t>Refresh and revoke session
Negative — Revoked refresh token</t>
  </si>
  <si>
    <t>Allocation Run Awaiting approval → Recalculation</t>
  </si>
  <si>
    <t>1. Seed isolated FSCM fixture with required SKU, retailer, warehouse, roles and state; record starting stock/payment/ledger snapshots.
2. Sign in as All roles; perform scenario: Revoked refresh token.
3. Submit both the valid operation and the specified invalid/boundary input.
4. Compare response, persisted state, actor audit, once-only effects and unchanged records against the expected result.</t>
  </si>
  <si>
    <t>Deny invalid/revoked token</t>
  </si>
  <si>
    <t>1 test case(s): State transition. Example expected outcome: Only allowed transition reaches Recalculation; history records actor/time; invalid transition is rejected</t>
  </si>
  <si>
    <t>Order Allocating → Insufficient stock</t>
  </si>
  <si>
    <t>1 test case(s): State transition. Example expected outcome: Only allowed transition reaches Insufficient stock; history records actor/time; invalid transition is rejected</t>
  </si>
  <si>
    <t>Reservation Absent → Committed</t>
  </si>
  <si>
    <t>1 test case(s): State transition. Example expected outcome: Only allowed transition reaches Committed; history records actor/time; invalid transition is rejected</t>
  </si>
  <si>
    <t>Picking Released → Ready</t>
  </si>
  <si>
    <t>1 test case(s): State transition. Example expected outcome: Only allowed transition reaches Ready; history records actor/time; invalid transition is rejected</t>
  </si>
  <si>
    <t>Shipment Ready → Dispatched</t>
  </si>
  <si>
    <t>Type: Negative; Role: All roles; Level: System / Integration
SRS v1.8 / BR: 3.2.1; NFR Security
Test data: Revoked refresh token
Source: https://github.com/GFA26SE63/FSCM-Backend/blob/0f56f7099f07aa60d76673e6b6a57a2b606fb833/src/FSCM.Application/Features/Identity/IdentityService.cs
Automation: Manual / candidate
Version: 1.3; Actual result: —; Evidence: —</t>
  </si>
  <si>
    <t>1 test case(s): State transition. Example expected outcome: Only allowed transition reaches Dispatched; history records actor/time; invalid transition is rejected</t>
  </si>
  <si>
    <t>FT-002-B</t>
  </si>
  <si>
    <t>Shipment Dispatched → Received</t>
  </si>
  <si>
    <t>1 test case(s): State transition. Example expected outcome: Only allowed transition reaches Received; history records actor/time; invalid transition is rejected</t>
  </si>
  <si>
    <t>Refresh and revoke session
Boundary — Reuse recently rotated refresh token</t>
  </si>
  <si>
    <t>Order Delivering → Delivered</t>
  </si>
  <si>
    <t>1. Seed isolated FSCM fixture with required SKU, retailer, warehouse, roles and state; record starting stock/payment/ledger snapshots.
2. Sign in as All roles; perform scenario: Reuse recently rotated refresh token.
3. Submit both the valid operation and the specified invalid/boundary input.
4. Compare response, persisted state, actor audit, once-only effects and unchanged records against the expected result.</t>
  </si>
  <si>
    <t>1 test case(s): State transition. Example expected outcome: Only allowed transition reaches Delivered; history records actor/time; invalid transition is rejected</t>
  </si>
  <si>
    <t>Never issue second active session from a revoked predecessor</t>
  </si>
  <si>
    <t>Complaint Pending → Resolved</t>
  </si>
  <si>
    <t>1 test case(s): State transition. Example expected outcome: Only allowed transition reaches Resolved; history records actor/time; invalid transition is rejected</t>
  </si>
  <si>
    <t>Refund Pending → Verified</t>
  </si>
  <si>
    <t>1 test case(s): State transition. Example expected outcome: Only allowed transition reaches Verified; history records actor/time; invalid transition is rejected</t>
  </si>
  <si>
    <t>Loyalty redemption Pending → Rejected / points restored</t>
  </si>
  <si>
    <t>1 test case(s): State transition. Example expected outcome: Only allowed transition reaches Rejected / points restored; history records actor/time; invalid transition is rejected</t>
  </si>
  <si>
    <t>Type: Boundary; Role: All roles; Level: System / Integration
SRS v1.8 / BR: 3.2.1; NFR Security
Test data: Reuse recently rotated refresh token
Source: https://github.com/GFA26SE63/FSCM-Backend/blob/0f56f7099f07aa60d76673e6b6a57a2b606fb833/src/FSCM.Application/Features/Identity/IdentityService.cs
Automation: Manual / candidate
Version: 1.3; Actual result: —; Evidence: —</t>
  </si>
  <si>
    <t>FT-003-P</t>
  </si>
  <si>
    <t>Access-control data isolation</t>
  </si>
  <si>
    <t>Non-Functional Tests</t>
  </si>
  <si>
    <t>Role and data-scope authorization
Positive — Sales reads assigned retailer orders</t>
  </si>
  <si>
    <t>1 test case(s): NFR / Security. Example expected outcome: Return 403/404, no unscoped data</t>
  </si>
  <si>
    <t>Test environment seeded; authorized Relevant actor; transaction isolated and resettable.</t>
  </si>
  <si>
    <t>1. Seed isolated FSCM fixture with required SKU, retailer, warehouse, roles and state; record starting stock/payment/ledger snapshots.
2. Sign in as All roles; perform scenario: Sales reads assigned retailer orders.
3. Submit both the valid operation and the specified invalid/boundary input.
4. Compare response, persisted state, actor audit, once-only effects and unchanged records against the expected result.</t>
  </si>
  <si>
    <t>Protected endpoints without token</t>
  </si>
  <si>
    <t>Return authorized records only</t>
  </si>
  <si>
    <t>1 test case(s): NFR / Security. Example expected outcome: Return unauthorized response</t>
  </si>
  <si>
    <t>Admin-role assignment prohibition</t>
  </si>
  <si>
    <t>1 test case(s): NFR / Security. Example expected outcome: Block forbidden privilege escalation</t>
  </si>
  <si>
    <t>Idempotent offline replay</t>
  </si>
  <si>
    <t>1 test case(s): NFR / Reliability. Example expected outcome: Exactly one server order</t>
  </si>
  <si>
    <t>No oversell under parallel reservations</t>
  </si>
  <si>
    <t>Type: Positive; Role: All roles; Level: System / Integration
SRS v1.8 / BR: BR-01–04
Test data: Sales reads assigned retailer orders
Source: https://github.com/GFA26SE63/FSCM-Backend/blob/0f56f7099f07aa60d76673e6b6a57a2b606fb833/src/FSCM.API/Security/ActiveAccountClaimsTransformation.cs
Automation: Manual / candidate
Version: 1.3; Actual result: —; Evidence: —</t>
  </si>
  <si>
    <t>1 test case(s): NFR / Reliability. Example expected outcome: Transactional check prevents negative Available</t>
  </si>
  <si>
    <t>FT-003-N</t>
  </si>
  <si>
    <t>Failure rollback on commit conflict</t>
  </si>
  <si>
    <t>Role and data-scope authorization
Negative — Sales reads another territory's order</t>
  </si>
  <si>
    <t>1 test case(s): NFR / Reliability. Example expected outcome: No partial reservation/picking on conflict</t>
  </si>
  <si>
    <t>1. Seed isolated FSCM fixture with required SKU, retailer, warehouse, roles and state; record starting stock/payment/ledger snapshots.
2. Sign in as All roles; perform scenario: Sales reads another territory's order.
3. Submit both the valid operation and the specified invalid/boundary input.
4. Compare response, persisted state, actor audit, once-only effects and unchanged records against the expected result.</t>
  </si>
  <si>
    <t>Dispatch duplicate protection</t>
  </si>
  <si>
    <t>Return forbidden/not-found without leaking data</t>
  </si>
  <si>
    <t>1 test case(s): NFR / Reliability. Example expected outcome: One inventory issue, one audit movement</t>
  </si>
  <si>
    <t>Cloud service outage resilience</t>
  </si>
  <si>
    <t>1 test case(s): NFR / Reliability. Example expected outcome: Controlled failure/retry; no false success</t>
  </si>
  <si>
    <t>Baseline API latency measurement</t>
  </si>
  <si>
    <t>1 test case(s): NFR / Performance. Example expected outcome: Measurement recorded; acceptance threshold TBD</t>
  </si>
  <si>
    <t>Allocation FEFO vs weighted benchmark</t>
  </si>
  <si>
    <t>Type: Negative; Role: All roles; Level: System / Integration
SRS v1.8 / BR: BR-01–04
Test data: Sales reads another territory's order
Source: https://github.com/GFA26SE63/FSCM-Backend/blob/0f56f7099f07aa60d76673e6b6a57a2b606fb833/src/FSCM.API/Security/ActiveAccountClaimsTransformation.cs
Automation: Manual / candidate
Version: 1.3; Actual result: —; Evidence: —</t>
  </si>
  <si>
    <t>1 test case(s): NFR / Performance. Example expected outcome: Record time, coverage and feasible quantities; target TBD</t>
  </si>
  <si>
    <t>FT-003-B</t>
  </si>
  <si>
    <t>Offline queue throughput</t>
  </si>
  <si>
    <t>Role and data-scope authorization
Boundary — Deactivated account uses existing JWT</t>
  </si>
  <si>
    <t>1 test case(s): NFR / Performance. Example expected outcome: Record sync duration/errors; threshold TBD</t>
  </si>
  <si>
    <t>1. Seed isolated FSCM fixture with required SKU, retailer, warehouse, roles and state; record starting stock/payment/ledger snapshots.
2. Sign in as All roles; perform scenario: Deactivated account uses existing JWT.
3. Submit both the valid operation and the specified invalid/boundary input.
4. Compare response, persisted state, actor audit, once-only effects and unchanged records against the expected result.</t>
  </si>
  <si>
    <t>Web and mobile usability smoke test</t>
  </si>
  <si>
    <t>Re-evaluate active status and scope per request</t>
  </si>
  <si>
    <t>1 test case(s): NFR / Usability. Example expected outcome: Navigation, error feedback, screens verified</t>
  </si>
  <si>
    <t>R5-TC-AUTH-01 — Valid account and scoped role</t>
  </si>
  <si>
    <t>Priority P1 | SRS v1.8 §3.2.1; BR-01/03; AC-3.2.1-01; M01/WF01/TS01
Expected: Token carries active scope; own read succeeds; cross-scope query forbidden.</t>
  </si>
  <si>
    <t>Active user in assigned area; seeded role.
Data: Sales account, valid password, other-group retailer.</t>
  </si>
  <si>
    <t>R5-TC-AUTH-02 — Invalid credentials and session reuse</t>
  </si>
  <si>
    <t>Priority P1 | SRS v1.8 §3.2.1; AC-3.2.1-02; M01/WF01/TS02
Expected: Invalid login denied; reuse rejected/revoked per policy; no data leak.</t>
  </si>
  <si>
    <t>Account and refresh tokens exist.
Data: Wrong password; revoked/rotated refresh token.</t>
  </si>
  <si>
    <t>R5-TC-RET-01 — Retailer declared and approved</t>
  </si>
  <si>
    <t>Priority P1 | SRS v1.8 §3.3.1–3.3.2; AC-3.3.2-01; M02/WF01/TS01
Expected: Pending→Active only under Admin approval; assigned 8-digit code and scoped account.</t>
  </si>
  <si>
    <t>Assigned Sales; pending Retailer.
Data: Store identity, MLOR and evidence, approval actor.</t>
  </si>
  <si>
    <t>Type: Boundary; Role: All roles; Level: System / Integration
SRS v1.8 / BR: BR-01–04
Test data: Deactivated account uses existing JWT
Source: https://github.com/GFA26SE63/FSCM-Backend/blob/0f56f7099f07aa60d76673e6b6a57a2b606fb833/src/FSCM.API/Security/ActiveAccountClaimsTransformation.cs
Automation: Manual / candidate
Version: 1.3; Actual result: —; Evidence: —</t>
  </si>
  <si>
    <t>R5-TC-RET-02 — Retailer term scope and validation</t>
  </si>
  <si>
    <t>R5-TC-AUTH-01</t>
  </si>
  <si>
    <t>Valid account and scoped role</t>
  </si>
  <si>
    <t>Priority P1 | SRS v1.8 §3.3.3, §3.10.1; BR-51/73; M02/WF02/TS01
Expected: Only approved, currently valid term allows Deferred; otherwise rejected.</t>
  </si>
  <si>
    <t>1. Login; 2. Query own orders; 3. Query another group.</t>
  </si>
  <si>
    <t>Retailers with/without approved versioned credit terms.
Data: Term valid/expired/unapproved.</t>
  </si>
  <si>
    <t>Token carries active scope; own read succeeds; cross-scope query forbidden.</t>
  </si>
  <si>
    <t>Active user in assigned area; seeded role.
Test data: Sales account, valid password, other-group retailer.</t>
  </si>
  <si>
    <t>R5-TC-CAT-01 — Product lifecycle and category hierarchy</t>
  </si>
  <si>
    <t>Priority P2 | SRS v1.8 §3.4.1–3.4.2; AC-3.4.2-01; M03/WF01/TS01
Expected: Publish succeeds; published record immutable; category cycle rejected.</t>
  </si>
  <si>
    <t>Draft/published SKU and parent category.
Data: Valid SKU, cycle-forming parent, inactive SKU.</t>
  </si>
  <si>
    <t>R5-TC-PROM-01 — Ordinary promotion non-stacking</t>
  </si>
  <si>
    <t>Priority P2 | SRS v1.8 §3.5.1; AC-3.5.1-01; M04/WF01/TS01
Expected: Highest eligible ordinary discount once; paused/expired promotion excluded.</t>
  </si>
  <si>
    <t>Two promotions overlap on one SKU.
Data: Discount 10%, 15% and eligible quantity.</t>
  </si>
  <si>
    <t>Requirement/Traceability: SRS v1.8 §3.2.1; BR-01/03; AC-3.2.1-01; M01/WF01/TS01
Priority: P1; Level: Integration / System / Acceptance
Version: 1.3; Actual result: —; Evidence: —</t>
  </si>
  <si>
    <t>R5-TC-DISC-01 — Percentage shelf-life tier</t>
  </si>
  <si>
    <t>R5-TC-AUTH-02</t>
  </si>
  <si>
    <t>Invalid credentials and session reuse</t>
  </si>
  <si>
    <t>Priority P1 | SRS v1.8 §3.5.4; BR-79/80; AC-3.5.4-01; M04/WF02/TS01
Expected: Discount = 12% of applicable unit basis; net price and total use approved rounding; snapshot preserved.</t>
  </si>
  <si>
    <t>Eligible batch selected and tier version active.
Data: Base unit 100,000 VND; percent 12%; 7 units.</t>
  </si>
  <si>
    <t>1. Attempt invalid login; 2. Reuse rotated token; 3. Retry protected read.</t>
  </si>
  <si>
    <t>Invalid login denied; reuse rejected/revoked per policy; no data leak.</t>
  </si>
  <si>
    <t>R5-TC-DISC-02 — Reject fixed shelf-life discount tier</t>
  </si>
  <si>
    <t>Account and refresh tokens exist.
Test data: Wrong password; revoked/rotated refresh token.</t>
  </si>
  <si>
    <t>Priority P1 | Five Main Flows F1–F5; Report 5 v1.3
Expected: Fixed amount tier rejected. Only percentage-only discount &lt;100% is valid; no zero/negative rounded final unit price.</t>
  </si>
  <si>
    <t>Eligible published SKU_A and batch. Input: attempt fixed 3,500 VND/unit; rule must be rejected.</t>
  </si>
  <si>
    <t>R5-TC-DISC-03 — Price rounding at tier bounds</t>
  </si>
  <si>
    <t>Priority P1 | SRS v1.8 §3.5.4, §4 NFR-D01; BR-79; M04/WF02/TS03
Expected: Tier endpoint convention applied consistently; whole-VND half-up per batch line; line sum equals total.</t>
  </si>
  <si>
    <t>Versioned effective rule and batch.
Data: Remaining ratios at lower/upper boundary; fractional VND.</t>
  </si>
  <si>
    <t>R5-TC-DISC-04 — Split-batch and multiwarehouse price snapshot</t>
  </si>
  <si>
    <t>Requirement/Traceability: SRS v1.8 §3.2.1; AC-3.2.1-02; M01/WF01/TS02
Priority: P1; Level: Integration / System / Acceptance
Version: 1.3; Actual result: —; Evidence: —</t>
  </si>
  <si>
    <t>Priority P1 | Registration §3.2; SRS v1.8 §3.7.2/§3.5.4; NFR-D02; M04/WF02/TS04
Expected: Each fragment retains own base, discount type/value/amount, net unit price, rule/version; later settings do not change it.</t>
  </si>
  <si>
    <t>One order allocated from 2 batches in 2 warehouses.
Data: Different tier types; quantity 6+4.</t>
  </si>
  <si>
    <t>R5-TC-DISC-05 — MLOR restriction survives near-expiry discount</t>
  </si>
  <si>
    <t>Priority P1 | Registration §3.2; R5-03; SRS v1.8 §3.7.4; M04/WF03/TS01
Expected: Candidate excluded before pricing; discount never overrides 0.8 MLOR.</t>
  </si>
  <si>
    <t>Retailer SKU MLOR=0.8; candidate near expiry=0.5.
Data: Discount 50%; candidate still below MLOR.</t>
  </si>
  <si>
    <t>R5-TC-DISC-06 — Effective MLOR precedence</t>
  </si>
  <si>
    <t>Priority P1 | Registration §3.2; SRS v1.8 §3.7.4; AC-3.7.4-01; M04/WF03/TS02
Expected: SKU &gt; Category &gt; product default; correct rule source/version snapshotted.</t>
  </si>
  <si>
    <t>Retailer category 0.3, SKU 0.8, product default 0.2.
Data: SKU with override, category-only SKU, default-only SKU.</t>
  </si>
  <si>
    <t>R5-TC-ORD-01 — Capture indicative Sales Order</t>
  </si>
  <si>
    <t>Priority P1 | SRS v1.8 §3.6.1; AC-3.6.1-01; M05/WF01/TS01
Expected: Pending review with indicative price; no batch allocation, PO, reservation or stock movement.</t>
  </si>
  <si>
    <t>Active assigned retailer and published products.
Data: Sales account; two SKU lines.</t>
  </si>
  <si>
    <t>R5-TC-ORD-02 — Reject wrong retailer or step</t>
  </si>
  <si>
    <t>Priority P1 | SRS v1.8 §3.6.1; BR-23; M05/WF01/TS02
Expected: Both rejected; no order or inventory effects.</t>
  </si>
  <si>
    <t>Sales assigned to another sales group.
Data: Wrong retailer; quantity 7 when step=5.</t>
  </si>
  <si>
    <t>R5-TC-ORD-03 — Operator reviews before cutoff</t>
  </si>
  <si>
    <t>Priority P1 | SRS v1.8 §3.6.3; AC-3.6.3-01 (00:00 ICT); R5-04; M05/WF02/TS01
Expected: Order eligible for current run if server accepted before cutoff; review creates no reservation.</t>
  </si>
  <si>
    <t>Pending review order captured before cutoff.
Data: Review at 23:59:59 ICT.</t>
  </si>
  <si>
    <t>R5-TC-ORD-04 — Reject unauthorized review and save reason</t>
  </si>
  <si>
    <t>Priority P1 | SRS v1.8 §3.6.3; M05/WF02/TS02
Expected: Sales denied; authorized rejection audited, reason preserved and order excluded.</t>
  </si>
  <si>
    <t>Pending review order and Sales user.
Data: Sales review attempt, Operator rejection with reason.</t>
  </si>
  <si>
    <t>R5-TC-ORD-05 — Cancel Sales Order with evidence</t>
  </si>
  <si>
    <t>Priority P1 | SRS v1.8 §3.6.4; AC-3.6.4-01; M05/WF03/TS01
Expected: Permitted cancellation releases held stock once and creates refund obligation if paid; invalid state rejected.</t>
  </si>
  <si>
    <t>Cancelable order or approved quotation.
Data: Attachment, cancellation reason and idempotency key.</t>
  </si>
  <si>
    <t>R5-TC-OFF-01 — Reconnect does not send local drafts</t>
  </si>
  <si>
    <t>Priority P1 | SRS v1.8 §3.6.2; AC-3.6.2-01; R5-06; M06/WF01/TS01
Expected: Zero drafts uploaded until explicit Sales Send; local drafts remain Pending.</t>
  </si>
  <si>
    <t>3 drafts cached offline.
Data: Connectivity toggled from offline to online.</t>
  </si>
  <si>
    <t>R5-TC-OFF-02 — Sales manually sends unchanged draft</t>
  </si>
  <si>
    <t>Priority P1 | SRS v1.8 §3.6.2; BR-23; R5-06; M06/WF01/TS02
Expected: Exactly one accepted server order, same order code on replay; no duplicates or priority changes.</t>
  </si>
  <si>
    <t>Draft cached and reconnect completed.
Data: Valid draft and stable UUID.</t>
  </si>
  <si>
    <t>R5-TC-OFF-03 — Base price changes before manual Send</t>
  </si>
  <si>
    <t>Priority P1 | SRS v1.8 §3.6.2; AC-3.6.2-02; NFR-O04; M06/WF02/TS01
Expected: No silent submit; Sales explicitly accepts current price before server order created.</t>
  </si>
  <si>
    <t>Cached price outdated.
Data: Old 100,000 vs server 110,000.</t>
  </si>
  <si>
    <t>R5-TC-OFF-04 — MLOR changes before submission</t>
  </si>
  <si>
    <t>Priority P1 | SRS v1.8 §3.6.2; NFR-O04; R5-06; M06/WF02/TS02
Expected: Until confirmation order not accepted; current effective MLOR applied after confirmation.</t>
  </si>
  <si>
    <t>SKU MLOR version updated while draft offline.
Data: Cached MLOR=0.3; current=0.8.</t>
  </si>
  <si>
    <t>R5-TC-OFF-05 — Retailer scope revoked while offline</t>
  </si>
  <si>
    <t>Priority P1 | SRS v1.8 §3.6.2; NFR-O04; M06/WF02/TS03
Expected: Server rejects unauthorized/inactive retailer; no order created even with old local cache.</t>
  </si>
  <si>
    <t>Assigned retailer becomes inactive/out of scope.
Data: Draft for removed retailer.</t>
  </si>
  <si>
    <t>R5-TC-OFF-06 — Technical retry preserves accepted payload</t>
  </si>
  <si>
    <t>Priority P1 | R5-06; BR-23; NFR-O03; M06/WF03/TS01
Expected: Same acceptance/terms and server order returned; no duplicates or changed conditions.</t>
  </si>
  <si>
    <t>Explicit Send attempted but network fails after server commit.
Data: Same key and bytes; retry/backoff.</t>
  </si>
  <si>
    <t>R5-TC-OFF-07 — Edited draft requires new request key</t>
  </si>
  <si>
    <t>Priority P1 | R5-06; SDD v1.8 Table 3.0 ID-2; R5-06; M06/WF03/TS02
Expected: Old key/payload mismatch rejected; edited action must use new UUID-B and fresh server validation.</t>
  </si>
  <si>
    <t>Earlier draft key used; user edits quantity.
Data: UUID-A for old hash; UUID-B for edited payload.</t>
  </si>
  <si>
    <t>R5-TC-CUT-01 — 00:00 cutoff acceptance/review 01</t>
  </si>
  <si>
    <t>Priority P1 | Registration §3.2; R5-04 (00:00 ICT); M07/WF01/TS01
Expected: Only strictly-before-cutoff on BOTH timestamps included; expected Included.</t>
  </si>
  <si>
    <t>Daily run at 00:00 Asia/Ho_Chi_Minh.
Data: Server accepted=23:59:58 ICT; Operator reviewed=23:59:59 ICT.</t>
  </si>
  <si>
    <t>R5-TC-CUT-02 — 00:00 cutoff acceptance/review 02</t>
  </si>
  <si>
    <t>Priority P1 | Registration §3.2; R5-04 (00:00 ICT); M07/WF01/TS02
Expected: Only strictly-before-cutoff on BOTH timestamps included; expected Deferred.</t>
  </si>
  <si>
    <t>Daily run at 00:00 Asia/Ho_Chi_Minh.
Data: Server accepted=00:00:00 ICT; Operator reviewed=23:59:59 ICT.</t>
  </si>
  <si>
    <t>R5-TC-CUT-03 — 00:00 cutoff acceptance/review 03</t>
  </si>
  <si>
    <t>Priority P1 | Registration §3.2; R5-04 (00:00 ICT); M07/WF01/TS03
Expected: Only strictly-before-cutoff on BOTH timestamps included; expected Deferred.</t>
  </si>
  <si>
    <t>Daily run at 00:00 Asia/Ho_Chi_Minh.
Data: Server accepted=23:59:59 ICT; Operator reviewed=00:00:00 ICT.</t>
  </si>
  <si>
    <t>R5-TC-CUT-04 — 00:00 cutoff acceptance/review 04</t>
  </si>
  <si>
    <t>Priority P1 | Registration §3.2; R5-04 (00:00 ICT); M07/WF01/TS04
Expected: Only strictly-before-cutoff on BOTH timestamps included; expected Deferred.</t>
  </si>
  <si>
    <t>Daily run at 00:00 Asia/Ho_Chi_Minh.
Data: Server accepted=00:00:01 ICT; Operator reviewed=00:00:01 ICT.</t>
  </si>
  <si>
    <t>R5-TC-CUT-05 — 00:00 cutoff acceptance/review 05</t>
  </si>
  <si>
    <t>Priority P1 | Registration §3.2; R5-04 (00:00 ICT); M07/WF01/TS05
Expected: Only strictly-before-cutoff on BOTH timestamps included; expected Included.</t>
  </si>
  <si>
    <t>Daily run at 00:00 Asia/Ho_Chi_Minh.
Data: Server accepted=23:59:59 ICT; Operator reviewed=23:59:59 ICT.</t>
  </si>
  <si>
    <t>R5-TC-CUT-06 — Month and year rollover ICT</t>
  </si>
  <si>
    <t>Priority P1 | Registration §3.2; R5-04; M07/WF01/TS06
Expected: Orders partition to proper calendar run; exactly one run per ICT date, not UTC date.</t>
  </si>
  <si>
    <t>Timezone configured to Asia/Ho_Chi_Minh.
Data: Dec 31 23:59:59 / Jan 1 00:00:00 ICT; UTC conversion.</t>
  </si>
  <si>
    <t>R5-TC-CUT-07 — Device clock cannot influence priority</t>
  </si>
  <si>
    <t>Priority P1 | Registration §3.2; R5-04; M07/WF01/TS07
Expected: Priority follows server acceptance time, then order code; device timestamp ignored.</t>
  </si>
  <si>
    <t>Two Sales devices with incorrect local clocks.
Data: Server times t1 &lt; t2, client times reversed.</t>
  </si>
  <si>
    <t>R5-TC-CUT-08 — One late timestamp causes deferral</t>
  </si>
  <si>
    <t>Priority P1 | Registration §3.2; R5-04; M07/WF01/TS08
Expected: Both orders with any timestamp at/after cutoff deferred regardless of the other timestamp.</t>
  </si>
  <si>
    <t>2 preapproved and 2 late-approved orders.
Data: Accepted pre-cutoff, approved late; accepted late, approved pre-cutoff (constructed).</t>
  </si>
  <si>
    <t>R5-TC-ALLOC-01 — Hard filters and MLOR at ETA</t>
  </si>
  <si>
    <t>Priority P1 | Registration §3.2; SRS v1.8 §3.7.1; AC-3.7.1-01; M07/WF02/TS01
Expected: No ineligible batch used; reasons recorded; discount never affects eligibility.</t>
  </si>
  <si>
    <t>Batch pool with expiry, lock, radius and ETA variations.
Data: SKU / batch / distance 20 km boundary / MLOR.</t>
  </si>
  <si>
    <t>R5-TC-ALLOC-02 — No later-order batch swapping</t>
  </si>
  <si>
    <t>Priority P1 | Registration §3.2; R5-04; M07/WF02/TS02
Expected: Earlier complete allocation retained; later short; no reassignment to favor later order.</t>
  </si>
  <si>
    <t>Earlier and later orders compete for same stock.
Data: Earlier 10, later 10; pool 10.</t>
  </si>
  <si>
    <t>R5-TC-ALLOC-03 — All-or-nothing and pool rollback</t>
  </si>
  <si>
    <t>Priority P1 | Registration §3.2; SRS v1.8 §3.7.1; M07/WF02/TS03
Expected: First order short with zero allocations; A returned to pool; next order can use A.</t>
  </si>
  <si>
    <t>Order needs two SKUs, second unavailable; next order needs first SKU.
Data: A=10, B=0.</t>
  </si>
  <si>
    <t>R5-TC-ALLOC-04 — Short resubmit gets new priority</t>
  </si>
  <si>
    <t>Priority P1 | Registration §4 exclusions; R5-04; M07/WF02/TS04
Expected: New order gets fresh server acceptance timestamp; former priority not carried over.</t>
  </si>
  <si>
    <t>One short order finalized; Sales chooses Create New Order.
Data: Original accepted t1; new order accepted t2.</t>
  </si>
  <si>
    <t>R5-TC-ALLOC-05 — Weights and deterministic tie-break</t>
  </si>
  <si>
    <t>Priority P1 | SRS v1.8 §3.7.1; BR-17–19; M07/WF02/TS05
Expected: Same deterministic rank/allocation and trace; weights do not override hard filters.</t>
  </si>
  <si>
    <t>Fixed eligible candidate pool and weights.
Data: Same score from two batches.</t>
  </si>
  <si>
    <t>R5-TC-ALLOC-06 — Approval creates reservation only once</t>
  </si>
  <si>
    <t>Priority P1 | SRS v1.8 §3.7.2; AC-3.7.2-01; M07/WF03/TS01
Expected: Reserved increases atomically once, OnHand unchanged; conflicts rollback without partial holds.</t>
  </si>
  <si>
    <t>Price proposal awaiting approval.
Data: Concurrent approvals, stale version, changed stock.</t>
  </si>
  <si>
    <t>R5-TC-ALLOC-07 — Quote release follows approved price</t>
  </si>
  <si>
    <t>Priority P1 | SRS v1.8 §3.6.6/§3.7.2; BR-51/72; M07/WF03/TS02
Expected: Versioned quote issued; reservation exists; NO PO/picking until accepted and valid payment method.</t>
  </si>
  <si>
    <t>Approved plan and batch price snapshot.
Data: Quote deadline 1 day; eligible retailer.</t>
  </si>
  <si>
    <t>R5-TC-ALLOC-08 — Strict FEFO benchmark same inputs</t>
  </si>
  <si>
    <t>Priority P1 | Registration §3.2; SRS NFR-D06; R5-11; M07/WF04/TS01
Expected: Record complete/short, near-expiry units, mean distance, warehouses/order, runtime; zero eligibility violations; no global optimum claim.</t>
  </si>
  <si>
    <t>Frozen eligible pool and order priorities.
Data: 300x5 orders; 20k batches/5 warehouses; fixed seed.</t>
  </si>
  <si>
    <t>R5-TC-ALLOC-09 — Reject run repeat and stale plan</t>
  </si>
  <si>
    <t>Priority P1 | SRS v1.8 §3.7.2; BR-38; M07/WF03/TS03
Expected: One run per ICT date and at most one reservation per fragment; stale approval rejected.</t>
  </si>
  <si>
    <t>Already approved plan and run.
Data: Duplicate daily trigger, stale proposal.</t>
  </si>
  <si>
    <t>R5-TC-PICK-01 — PO conversion with verified prepaid</t>
  </si>
  <si>
    <t>Priority P1 | SRS v1.8 §3.6.6/§3.9.1; BR-51/66/72; M08/WF01/TS01
Expected: PO + warehouse slips created exactly once; no slips prior to verification.</t>
  </si>
  <si>
    <t>Approved quote accepted by retailer; Prepaid bank transfer verified.
Data: Valid bank proof, authorized Operator.</t>
  </si>
  <si>
    <t>R5-TC-PICK-02 — PO conversion with approved Deferred</t>
  </si>
  <si>
    <t>Priority P1 | SRS v1.8 §3.6.6/§3.9.1; BR-51/73; M08/WF01/TS02
Expected: PO allowed without prepaid if term valid; due date later tied to actual receipt.</t>
  </si>
  <si>
    <t>Accepted approved quote and active term.
Data: Retailer term=14 days approved.</t>
  </si>
  <si>
    <t>R5-TC-PICK-03 — Incomplete picking prevents dispatch</t>
  </si>
  <si>
    <t>Priority P1 | SRS v1.8 §3.9.1; AC-3.9.1-01; M08/WF02/TS01
Expected: Dispatch blocked until every warehouse portion fully picked.</t>
  </si>
  <si>
    <t>PO with shipments from W1 and W2.
Data: W1 Ready, W2 not ready.</t>
  </si>
  <si>
    <t>R5-TC-PICK-04 — Ready warehouses but open lock/exception</t>
  </si>
  <si>
    <t>Priority P1 | R5-05/R5-07; SDD picking exceptions; M08/WF02/TS02
Expected: Dispatch remains blocked until authorized resolution and revalidation.</t>
  </si>
  <si>
    <t>Both warehouse portions Ready; active lock or pick exception exists.
Data: Open exception / locked batch.</t>
  </si>
  <si>
    <t>R5-TC-PICK-05 — Only Administrator resolves picking exception</t>
  </si>
  <si>
    <t>Priority P1 | R5-07; SDD PICKING_EXCEPTION; M08/WF02/TS03
Expected: Keeper cannot finalize exception decision; Admin action audited, recovery required before dispatch.</t>
  </si>
  <si>
    <t>Pick exception raised by Keeper.
Data: Keeper resolve attempt, Admin decision.</t>
  </si>
  <si>
    <t>R5-TC-DISP-01 — No prepaid confirmation blocks dispatch</t>
  </si>
  <si>
    <t>Priority P1 | R5-01/R5-05; SRS v1.8 §3.13.1; M08/WF03/TS01
Expected: Dispatch rejected; OnHand untouched; no issued QR state.</t>
  </si>
  <si>
    <t>PO or shipment prepared; prepaid obligation unpaid.
Data: Paid flag=false; all pick Ready.</t>
  </si>
  <si>
    <t>R5-TC-DISP-02 — Dispatch once and preserve stock ledger</t>
  </si>
  <si>
    <t>Priority P1 | SRS v1.8 §3.9.1/§3.13.1; M08/WF03/TS02
Expected: Physical OnHand decreases once at dispatch; reservation consumed once; no duplicates.</t>
  </si>
  <si>
    <t>Valid ready PO; no blockers.
Data: Idempotency key repeated.</t>
  </si>
  <si>
    <t>R5-TC-DEL-01 — Delivery retry with Administrator decision</t>
  </si>
  <si>
    <t>Verify Administrator user management permits creation of authorized non-admin accounts with audit history, while blocking creation of additional Administrator accounts and unauthorized promotion of existing users to Administrator.</t>
  </si>
  <si>
    <t>Priority P1 | SRS v1.8 §3.13.1; BR-76; R5-07; M09/WF01/TS01
Expected: Retry only if constraints still valid; Admin decision audited; no automatic restock.</t>
  </si>
  <si>
    <t>Assigned shipment failed with evidence.
Data: ETA/MLOR/deadline still valid vs invalid.</t>
  </si>
  <si>
    <t>R5-TC-REC-01 — Receipt received zero</t>
  </si>
  <si>
    <t>Priority P1 | R5-07; SRS v1.8 §3.9.2; M09/WF02/TS01
Expected: Valid discrepancy recorded; order NOT Delivered; no loyalty award.</t>
  </si>
  <si>
    <t>Dispatched shipment expected=10.
Data: Received=0, missing=10, damaged=0.</t>
  </si>
  <si>
    <t>R5-TC-REC-02 — Partial receipt with damaged bound</t>
  </si>
  <si>
    <t>Priority P1 | SRS v1.8 §3.9.2; R5-07; M09/WF02/TS02
Expected: First accepted subject to evidence; damaged&lt;=received enforced; second rejected.</t>
  </si>
  <si>
    <t>Shipment expected=10.
Data: Received=7, missing=3, damaged=7 then damaged=8.</t>
  </si>
  <si>
    <t>R5-TC-REC-03 — All shipments confirmed but incomplete total</t>
  </si>
  <si>
    <t>Priority P1 | R5-07; SRS v1.8 §3.9.2; M09/WF02/TS03
Expected: Shipment confirmations exist but order remains not Delivered until full actual quantity; no early loyalty.</t>
  </si>
  <si>
    <t>Two shipments each expected=10.
Data: W1 received=10; W2 received=8, missing=2.</t>
  </si>
  <si>
    <t>R5-TC-REC-04 — Full receipt and idempotent confirmation</t>
  </si>
  <si>
    <t>Priority P1 | SRS v1.8 §3.9.2; AC-3.9.2-01; M09/WF02/TS04
Expected: Only fully received order becomes Delivered; one receipt per shipment; no duplicate side effects.</t>
  </si>
  <si>
    <t>All portions dispatched, QR issued to one retailer.
Data: 20 expected/20 received, repeated QR confirmation.</t>
  </si>
  <si>
    <t>R5-TC-COMP-01 — Batch-specific discrepancy cap</t>
  </si>
  <si>
    <t>Priority P1 | SRS v1.8 §3.10.4; BR-67–69; M09/WF03/TS01
Expected: Adjustment cap=2×72,000 not gross or batch B price; no automatic return-to-stock.</t>
  </si>
  <si>
    <t>Accepted complaint on allocated batch A (net 72k) and batch B (net 90k).
Data: Affected A qty=2; adjusted unit price A=72,000.</t>
  </si>
  <si>
    <t>R5-TC-COMP-02 — Unauthorized adjustment denied</t>
  </si>
  <si>
    <t>Priority P1 | R5-07; SRS v1.8 §3.10.4; M09/WF03/TS02
Expected: Denied; only authorized Operator recommendation and Admin final acceptance; no financial mutation.</t>
  </si>
  <si>
    <t>Sales user and Operator/Admin roles seeded.
Data: Sales attempts approve complaint.</t>
  </si>
  <si>
    <t>R5-TC-PAY-01 — COD is rejected at method selection</t>
  </si>
  <si>
    <t>Priority P1 | R5-01; SRS v1.8 §3.10.1/BR-51; M10/WF01/TS01
Expected: COD unavailable/rejected; no successful COD test, PO or payment side effects.</t>
  </si>
  <si>
    <t>Accepted quotation available.
Data: Method=COD.</t>
  </si>
  <si>
    <t>R5-TC-PAY-02 — Prepaid cash is rejected</t>
  </si>
  <si>
    <t>Priority P1 | R5-01; SRS v1.8 §3.10.1/BR-51; M10/WF01/TS02
Expected: Prepaid requires authorized bank transfer flow; cash route rejected.</t>
  </si>
  <si>
    <t>Accepted quotation.
Data: Method=prepaid cash.</t>
  </si>
  <si>
    <t>R5-TC-PAY-03 — Prepaid bank transfer after approved price</t>
  </si>
  <si>
    <t>Priority P1 | SRS v1.8 §3.6.6/§3.10.1; BR-51/72; R5-05; M10/WF01/TS03
Expected: Prepaid only after approved quote; verified before PO/dispatch; amount equals final quote.</t>
  </si>
  <si>
    <t>Final allocation and batch prices approved; quote accepted.
Data: VietQR proof and reference code, deadline valid.</t>
  </si>
  <si>
    <t>R5-TC-PAY-04 — Expired prepaid verification deadline</t>
  </si>
  <si>
    <t>Priority P1 | SRS v1.8 §3.6.6; BR-51/72; M10/WF01/TS04
Expected: Order cancelled/expired per deadline; reserved stock released; no PO/dispatch.</t>
  </si>
  <si>
    <t>Accepted prepaid quote before deadline.
Data: Proof submitted/verified after deadline.</t>
  </si>
  <si>
    <t>R5-TC-PAY-05 — Deferred requires valid approved term</t>
  </si>
  <si>
    <t>Priority P1 | SRS v1.8 §3.6.6/§3.10.1; BR-51/73; M10/WF02/TS01
Expected: Only approved valid term leads to PO; absent or expired rejected.</t>
  </si>
  <si>
    <t>Retailer terms absent / expired / approved.
Data: Deferred chosen in each state.</t>
  </si>
  <si>
    <t>R5-TC-PAY-06 — Deferred due date from full receipt</t>
  </si>
  <si>
    <t>Priority P1 | SRS v1.8 §3.10.1; AC-3.10.1-01; M10/WF02/TS02
Expected: Deferred due = date of actual full receipt + approved term; independent of prepaid quote deadline.</t>
  </si>
  <si>
    <t>Deferred PO, approved term days=14.
Data: Last full receipt 18/09/2026.</t>
  </si>
  <si>
    <t>R5-TC-PAY-07 — Cash collection only for delivered credit</t>
  </si>
  <si>
    <t>Priority P1 | SRS v1.8 §3.10.1; UC-23/35; BR-51/52; M10/WF02/TS03
Expected: Full cash accepted only for own delivered deferred receivable; prepaid cash rejected.</t>
  </si>
  <si>
    <t>Assigned Sales, credit order fully delivered.
Data: Full outstanding cash amount, prepaid case.</t>
  </si>
  <si>
    <t>R5-TC-PAY-08 — Bank transfer credited by authorized staff</t>
  </si>
  <si>
    <t>Priority P1 | SRS v1.8 §3.10.1; UC-36; R5-01; M10/WF02/TS04
Expected: One confirmed ledger payment; unauthorized actor rejected.</t>
  </si>
  <si>
    <t>Bank proof available.
Data: Transaction code, payment amount, Operator user.</t>
  </si>
  <si>
    <t>R5-TC-REF-01 — Manual refund evidence rejection then supplement</t>
  </si>
  <si>
    <t>Priority P1 | SRS v1.8 §3.10.4; BR-74; AC-3.10.4-01; M10/WF03/TS01
Expected: Pending-&gt;Needs supplement-&gt;Awaiting verification-&gt;Refunded; obligation remains while evidence invalid.</t>
  </si>
  <si>
    <t>Approved refund obligation and Operator submits evidence.
Data: Bad proof then corrected proof.</t>
  </si>
  <si>
    <t>R5-TC-REF-02 — Refund verifier separated from submitter</t>
  </si>
  <si>
    <t>Priority P1 | SRS v1.8 §3.10.4; BR-74; M10/WF03/TS02
Expected: Self-verification forbidden; distinct approved verifier accepted; full audit retained.</t>
  </si>
  <si>
    <t>Operator submits transfer.
Data: Same-person verifies as Admin vs distinct authorized Admin.</t>
  </si>
  <si>
    <t>R5-TC-REF-03 — Refund uses affected allocated net batch price</t>
  </si>
  <si>
    <t>Priority P1 | Registration §3.2; SRS v1.8 §3.10.4; BR-69; M10/WF03/TS03
Expected: Obligation capped at 3×80k and confirmed paid balance; never B2 or list-price basis.</t>
  </si>
  <si>
    <t>One complaint affecting batch B1 only.
Data: B1 net 80k, B2 net 95k; 3 affected B1 cartons.</t>
  </si>
  <si>
    <t>R5-TC-REF-04 — Refund verification not second loyalty deduction</t>
  </si>
  <si>
    <t>Priority P1 | R5-08; SRS v1.8 §3.10.4/NFR-D04; M10/WF03/TS04
Expected: One linked loyalty correction total; refund verification does not deduct points again.</t>
  </si>
  <si>
    <t>Loyalty correction posted when financial adjustment Completed.
Data: Refund verify event replay.</t>
  </si>
  <si>
    <t>R5-TC-LOY-01 — No points before full receipt, settlement, complaint resolution</t>
  </si>
  <si>
    <t>Priority P1 | Registration §3.2; SRS v1.8 §3.10.3; NFR-D04; R5-08; M11/WF01/TS01
Expected: Zero initial point awards until ALL conditions satisfied.</t>
  </si>
  <si>
    <t>Order only partly received OR unpaid OR unresolved complaint.
Data: Three isolated blocker scenarios.</t>
  </si>
  <si>
    <t>R5-TC-LOY-02 — Exactly once initial earning</t>
  </si>
  <si>
    <t>Priority P1 | SRS v1.8 §3.10.3; BR-54; NFR-D04; M11/WF01/TS02
Expected: Exactly one initial award and one resulting balance change.</t>
  </si>
  <si>
    <t>Fully received/settled complaint-free order.
Data: Award event replay 10 times.</t>
  </si>
  <si>
    <t>R5-TC-LOY-03 — P1 point adjustment after Completed: 61 to 54; balance -6</t>
  </si>
  <si>
    <t>Priority P1 | Five Main Flows F1–F5; Report 5 v1.3
Expected: 612,000 VND -&gt;61 points; redeem 60 -&gt;1; 72,000 VND adjustment -&gt;540,000 target54 =&gt; -7 correction, balance -6.</t>
  </si>
  <si>
    <t>P1 fully received/settled; approved A1 72,000 adjustment; no open complaint.</t>
  </si>
  <si>
    <t>R5-TC-LOY-04 — Gift request holds points and stock</t>
  </si>
  <si>
    <t>Priority P1 | SRS v1.8 §3.10.3; BR-75; AC-3.10.3-01; M11/WF03/TS01
Expected: Pending request holds 200 points and gift stock once; no completion yet.</t>
  </si>
  <si>
    <t>Retailer positive available points; gift in stock.
Data: Available 412; gift 200 points.</t>
  </si>
  <si>
    <t>R5-TC-LOY-05 — Gift rejection releases hold exactly once</t>
  </si>
  <si>
    <t>Priority P1 | SRS v1.8 §3.10.3; BR-75; M11/WF03/TS02
Expected: Hold released exactly once; no negative double release.</t>
  </si>
  <si>
    <t>Pending gift request with held balance.
Data: Repeated reject/cancel event.</t>
  </si>
  <si>
    <t>R5-TC-LOY-06 — Staff finishes gift redemption with recorded delivery</t>
  </si>
  <si>
    <t>Priority P1 | Five Main Flows F1–F5; Report 5 v1.3
Expected: After Admin/Operator delivery evidence, authorized staff completes redemption once; no separate Retailer confirmation required.</t>
  </si>
  <si>
    <t>Approved gift request, valid delivery proof and authorized Admin/Operator accounts.</t>
  </si>
  <si>
    <t>R5-TC-NFR-01 — API p95 and error rate at reference load</t>
  </si>
  <si>
    <t>Priority P2 | SRS v1.8 §4 NFR-P01; NFR N1–N5; M12/WF01/TS01
Expected: Read p95&lt;=1s, write p95&lt;=2s, error rate&lt;1%; actual metrics linked.</t>
  </si>
  <si>
    <t>Staging fixed dataset and authenticated virtual users.
Data: 50 VUs x 10 min; read/write endpoints.</t>
  </si>
  <si>
    <t>R5-TC-NFR-02 — Allocation large dataset performance</t>
  </si>
  <si>
    <t>Priority P2 | SRS v1.8 §4 NFR-P03; R5-11; M12/WF01/TS02
Expected: Allocation &lt;=5min, approval commit &lt;=30s; no incomplete/duplicate stock effects.</t>
  </si>
  <si>
    <t>Generated fixed workload and known machine shape.
Data: 300 orders×5 lines; 20k batches; 5 warehouses.</t>
  </si>
  <si>
    <t>R5-TC-NFR-03 — Concurrent stock/payment invariants</t>
  </si>
  <si>
    <t>Priority P1 | SRS v1.8 §4 NFR-R03; M12/WF02/TS01
Expected: Zero negative physical/available, duplicate reservation, receipt, payment, refund or points.</t>
  </si>
  <si>
    <t>Concurrent test harness, seeded balances.
Data: 50 parallel approvals, scans, receipts and payments.</t>
  </si>
  <si>
    <t>R5-TC-NFR-04 — Rerun scheduler and recover failures</t>
  </si>
  <si>
    <t>Priority P1 | SRS v1.8 §4 NFR-R04/R05/R06 (00:00 ICT); M12/WF02/TS02
Expected: One run per business date; terminal logged status; no duplicated effects; alert timing recalibrated to 00:00.</t>
  </si>
  <si>
    <t>Job locked by ICT date, outbox enabled.
Data: Same date run twice; injected DB/network failure.</t>
  </si>
  <si>
    <t>R5-TC-NFR-05 — Offline queue resilience and duplication</t>
  </si>
  <si>
    <t>Priority P2 | SRS v1.8 §4 NFR-P06/O01–O04; M12/WF03/TS01
Expected: No lost drafts, no automatic send on reconnect, 20 drafts &lt;=60s, one accepted order per key.</t>
  </si>
  <si>
    <t>Flutter app SQLite fixture.
Data: 200 drafts; 20 app kills; 10 duplicate sends; 4G profile.</t>
  </si>
  <si>
    <t>R5-TC-NFR-06 — Snapshot and pricing correctness</t>
  </si>
  <si>
    <t>Priority P1 | SRS v1.8 §4 NFR-D01/D02; R5-02; M12/WF03/TS02
Expected: Whole-VND accuracy; zero discrepancy between batch sum and quote; immutable price/MLOR/tier snapshots.</t>
  </si>
  <si>
    <t>Approved prices and later updated tier policy.
Data: Fractional discount amount, split batch lines.</t>
  </si>
  <si>
    <t>R5-TC-NFR-07 — Availability and restoration</t>
  </si>
  <si>
    <t>Priority P2 | SRS v1.8 §4 NFR-R01/R02; NFR N1–N5; M12/WF04/TS01
Expected: Availability &gt;=99% excluding approved maintenance; RPO&lt;=24h; RTO&lt;=4h, evidence links.</t>
  </si>
  <si>
    <t>Azure staging monitoring and backup permissions.
Data: 5min health interval, controlled restore drill.</t>
  </si>
  <si>
    <t>R5-TC-NFR-08 — Algorithm evaluation validity</t>
  </si>
  <si>
    <t>Priority P1 | SRS v1.8 §4 NFR-D06; R5-11; M12/WF04/TS02
Expected: Report complete/short, near-expiry quantity, mean distance, warehouses/order, runtime; zero invalid allocations; no optimality claim.</t>
  </si>
  <si>
    <t>Two evaluators consume exact same eligible snapshot and priority.
Data: Seeds with close-to-expiry units, different distances.</t>
  </si>
  <si>
    <t>Sub total</t>
  </si>
  <si>
    <t>User Management — FSCM scenarios</t>
  </si>
  <si>
    <t>Test coverage</t>
  </si>
  <si>
    <t>FT-004-P</t>
  </si>
  <si>
    <t>Administrator user management
Positive — Create permitted Sales user</t>
  </si>
  <si>
    <t>1. Seed isolated FSCM fixture with required SKU, retailer, warehouse, roles and state; record starting stock/payment/ledger snapshots.
2. Sign in as Administrator; perform scenario: Create permitted Sales user.
3. Submit both the valid operation and the specified invalid/boundary input.
4. Compare response, persisted state, actor audit, once-only effects and unchanged records against the expected result.</t>
  </si>
  <si>
    <t>Create a non-admin account with traceability</t>
  </si>
  <si>
    <t>%</t>
  </si>
  <si>
    <t>Test successful coverage</t>
  </si>
  <si>
    <t>Type: Positive; Role: Administrator; Level: System / Integration
SRS v1.8 / BR: 3.2.3; BR-02
Test data: Create permitted Sales user
Source: https://github.com/GFA26SE63/FSCM-Backend/blob/0f56f7099f07aa60d76673e6b6a57a2b606fb833/src/FSCM.API/Controllers/UsersController.cs
Automation: Manual / candidate
Version: 1.3; Actual result: —; Evidence: —</t>
  </si>
  <si>
    <t>FT-004-N</t>
  </si>
  <si>
    <t>Administrator user management
Negative — Create an Administrator through UI/API</t>
  </si>
  <si>
    <t>1. Seed isolated FSCM fixture with required SKU, retailer, warehouse, roles and state; record starting stock/payment/ledger snapshots.
2. Sign in as Administrator; perform scenario: Create an Administrator through UI/API.
3. Submit both the valid operation and the specified invalid/boundary input.
4. Compare response, persisted state, actor audit, once-only effects and unchanged records against the expected result.</t>
  </si>
  <si>
    <t>Deny prohibited privileged account creation</t>
  </si>
  <si>
    <t>Type: Negative; Role: Administrator; Level: System / Integration
SRS v1.8 / BR: 3.2.3; BR-02
Test data: Create an Administrator through UI/API
Source: https://github.com/GFA26SE63/FSCM-Backend/blob/0f56f7099f07aa60d76673e6b6a57a2b606fb833/src/FSCM.API/Controllers/UsersController.cs
Automation: Manual / candidate
Version: 1.3; Actual result: —; Evidence: —</t>
  </si>
  <si>
    <t>FT-004-B</t>
  </si>
  <si>
    <t>Administrator user management
Boundary — Promote existing user to Administrator</t>
  </si>
  <si>
    <t>1. Seed isolated FSCM fixture with required SKU, retailer, warehouse, roles and state; record starting stock/payment/ledger snapshots.
2. Sign in as Administrator; perform scenario: Promote existing user to Administrator.
3. Submit both the valid operation and the specified invalid/boundary input.
4. Compare response, persisted state, actor audit, once-only effects and unchanged records against the expected result.</t>
  </si>
  <si>
    <t>Deny administrator-role escalation even through update</t>
  </si>
  <si>
    <t>Type: Boundary; Role: Administrator; Level: System / Integration
SRS v1.8 / BR: 3.2.3; BR-02
Test data: Promote existing user to Administrator
Source: https://github.com/GFA26SE63/FSCM-Backend/blob/0f56f7099f07aa60d76673e6b6a57a2b606fb833/src/FSCM.API/Controllers/UsersController.cs
Automation: Manual / candidate
Version: 1.3; Actual result: —; Evidence: —</t>
  </si>
  <si>
    <t>Verify retailer declarations capture mandatory assessment data and remain Pending until authorized review. Detect duplicate stores, require review reasons, issue an 8-digit code on approval, and permit deferred terms only when currently approved.</t>
  </si>
  <si>
    <t>Verify authorized retailer profile and versioned shelf-life requirement updates. Reject invalid MLOR ratios and resolve the effective requirement in order of SKU, Category, then product default without losing prior policy history.</t>
  </si>
  <si>
    <t>Retailer Registration — FSCM scenarios</t>
  </si>
  <si>
    <t>FT-005-P</t>
  </si>
  <si>
    <t>Declare retailer and assessment
Positive — Complete prospect data and assessment</t>
  </si>
  <si>
    <t>1. Seed isolated FSCM fixture with required SKU, retailer, warehouse, roles and state; record starting stock/payment/ledger snapshots.
2. Sign in as Sales; Operator; perform scenario: Complete prospect data and assessment.
3. Submit both the valid operation and the specified invalid/boundary input.
4. Compare response, persisted state, actor audit, once-only effects and unchanged records against the expected result.</t>
  </si>
  <si>
    <t>Create pending retailer declaration</t>
  </si>
  <si>
    <t>Type: Positive; Role: Sales; Operator; Level: System / Integration
SRS v1.8 / BR: 3.3.1; BR-12
Test data: Complete prospect data and assessment
Source: https://github.com/GFA26SE63/FSCM-Backend/blob/0f56f7099f07aa60d76673e6b6a57a2b606fb833/src/FSCM.API/Controllers/RetailersController.cs
Automation: Manual / candidate
Version: 1.3; Actual result: —; Evidence: —</t>
  </si>
  <si>
    <t>FT-005-N</t>
  </si>
  <si>
    <t>Declare retailer and assessment
Negative — Duplicate store declaration</t>
  </si>
  <si>
    <t>1. Seed isolated FSCM fixture with required SKU, retailer, warehouse, roles and state; record starting stock/payment/ledger snapshots.
2. Sign in as Sales; Operator; perform scenario: Duplicate store declaration.
3. Submit both the valid operation and the specified invalid/boundary input.
4. Compare response, persisted state, actor audit, once-only effects and unchanged records against the expected result.</t>
  </si>
  <si>
    <t>Detect duplicate and avoid new retailer</t>
  </si>
  <si>
    <t>Type: Negative; Role: Sales; Operator; Level: System / Integration
SRS v1.8 / BR: 3.3.1; BR-12
Test data: Duplicate store declaration
Source: https://github.com/GFA26SE63/FSCM-Backend/blob/0f56f7099f07aa60d76673e6b6a57a2b606fb833/src/FSCM.API/Controllers/RetailersController.cs
Automation: Manual / candidate
Version: 1.3; Actual result: —; Evidence: —</t>
  </si>
  <si>
    <t>FT-005-B</t>
  </si>
  <si>
    <t>Declare retailer and assessment
Boundary — Missing mandatory assessment field</t>
  </si>
  <si>
    <t>1. Seed isolated FSCM fixture with required SKU, retailer, warehouse, roles and state; record starting stock/payment/ledger snapshots.
2. Sign in as Sales; Operator; perform scenario: Missing mandatory assessment field.
3. Submit both the valid operation and the specified invalid/boundary input.
4. Compare response, persisted state, actor audit, once-only effects and unchanged records against the expected result.</t>
  </si>
  <si>
    <t>Validate required fields; do not silently activate</t>
  </si>
  <si>
    <t>Retailer Profiles — FSCM scenarios</t>
  </si>
  <si>
    <t>FT-007-P</t>
  </si>
  <si>
    <t>Type: Boundary; Role: Sales; Operator; Level: System / Integration
SRS v1.8 / BR: 3.3.1; BR-12
Test data: Missing mandatory assessment field
Source: https://github.com/GFA26SE63/FSCM-Backend/blob/0f56f7099f07aa60d76673e6b6a57a2b606fb833/src/FSCM.API/Controllers/RetailersController.cs
Automation: Manual / candidate
Version: 1.3; Actual result: —; Evidence: —</t>
  </si>
  <si>
    <t>Manage retailer profile and MLOR
Positive — Update permitted retailer/category/SKU MLOR</t>
  </si>
  <si>
    <t>FT-006-P</t>
  </si>
  <si>
    <t>1. Seed isolated FSCM fixture with required SKU, retailer, warehouse, roles and state; record starting stock/payment/ledger snapshots.
2. Sign in as Administrator; perform scenario: Update permitted retailer/category/SKU MLOR.
3. Submit both the valid operation and the specified invalid/boundary input.
4. Compare response, persisted state, actor audit, once-only effects and unchanged records against the expected result.</t>
  </si>
  <si>
    <t>Review retailer activation
Positive — Approve pending retailer with reason</t>
  </si>
  <si>
    <t>Save new version and retain history</t>
  </si>
  <si>
    <t>1. Seed isolated FSCM fixture with required SKU, retailer, warehouse, roles and state; record starting stock/payment/ledger snapshots.
2. Sign in as Administrator; perform scenario: Approve pending retailer with reason.
3. Submit both the valid operation and the specified invalid/boundary input.
4. Compare response, persisted state, actor audit, once-only effects and unchanged records against the expected result.</t>
  </si>
  <si>
    <t>Assign active status and business code</t>
  </si>
  <si>
    <t>Type: Positive; Role: Administrator; Level: System / Integration
SRS v1.8 / BR: 3.3.3; 3.7.4
Test data: Update permitted retailer/category/SKU MLOR
Source: https://github.com/GFA26SE63/FSCM-Backend/blob/0f56f7099f07aa60d76673e6b6a57a2b606fb833/src/FSCM.API/Controllers/MlorConfigurationsController.cs
Automation: Manual / candidate
Version: 1.3; Actual result: —; Evidence: —</t>
  </si>
  <si>
    <t>FT-007-N</t>
  </si>
  <si>
    <t>Manage retailer profile and MLOR
Negative — Ratio less than or equal to zero</t>
  </si>
  <si>
    <t>Type: Positive; Role: Administrator; Level: System / Integration
SRS v1.8 / BR: 3.3.2; BR-12
Test data: Approve pending retailer with reason
Source: https://github.com/GFA26SE63/FSCM-Backend/blob/0f56f7099f07aa60d76673e6b6a57a2b606fb833/src/FSCM.Application/Features/Retailers/RetailerService.cs
Automation: Manual / candidate
Version: 1.3; Actual result: —; Evidence: —</t>
  </si>
  <si>
    <t>1. Seed isolated FSCM fixture with required SKU, retailer, warehouse, roles and state; record starting stock/payment/ledger snapshots.
2. Sign in as Administrator; perform scenario: Ratio less than or equal to zero.
3. Submit both the valid operation and the specified invalid/boundary input.
4. Compare response, persisted state, actor audit, once-only effects and unchanged records against the expected result.</t>
  </si>
  <si>
    <t>FT-006-N</t>
  </si>
  <si>
    <t>Reject invalid ratio</t>
  </si>
  <si>
    <t>Review retailer activation
Negative — Unauthorized reviewer attempts approval</t>
  </si>
  <si>
    <t>1. Seed isolated FSCM fixture with required SKU, retailer, warehouse, roles and state; record starting stock/payment/ledger snapshots.
2. Sign in as Administrator; perform scenario: Unauthorized reviewer attempts approval.
3. Submit both the valid operation and the specified invalid/boundary input.
4. Compare response, persisted state, actor audit, once-only effects and unchanged records against the expected result.</t>
  </si>
  <si>
    <t>Reject unauthorized approval</t>
  </si>
  <si>
    <t>Type: Negative; Role: Administrator; Level: System / Integration
SRS v1.8 / BR: 3.3.3; 3.7.4
Test data: Ratio less than or equal to zero
Source: https://github.com/GFA26SE63/FSCM-Backend/blob/0f56f7099f07aa60d76673e6b6a57a2b606fb833/src/FSCM.API/Controllers/MlorConfigurationsController.cs
Automation: Manual / candidate
Version: 1.3; Actual result: —; Evidence: —</t>
  </si>
  <si>
    <t>FT-007-B</t>
  </si>
  <si>
    <t>Manage retailer profile and MLOR
Boundary — SKU override and category fallback</t>
  </si>
  <si>
    <t>1. Seed isolated FSCM fixture with required SKU, retailer, warehouse, roles and state; record starting stock/payment/ledger snapshots.
2. Sign in as Administrator; perform scenario: SKU override and category fallback.
3. Submit both the valid operation and the specified invalid/boundary input.
4. Compare response, persisted state, actor audit, once-only effects and unchanged records against the expected result.</t>
  </si>
  <si>
    <t>Use configured precedence and effective version for standard line</t>
  </si>
  <si>
    <t>Type: Boundary; Role: Administrator; Level: System / Integration
SRS v1.8 / BR: 3.3.3; 3.7.4
Test data: SKU override and category fallback
Source: https://github.com/GFA26SE63/FSCM-Backend/blob/0f56f7099f07aa60d76673e6b6a57a2b606fb833/src/FSCM.API/Controllers/MlorConfigurationsController.cs
Automation: Manual / candidate
Version: 1.3; Actual result: —; Evidence: —</t>
  </si>
  <si>
    <t>Type: Negative; Role: Administrator; Level: System / Integration
SRS v1.8 / BR: 3.3.2; BR-12
Test data: Unauthorized reviewer attempts approval
Source: https://github.com/GFA26SE63/FSCM-Backend/blob/0f56f7099f07aa60d76673e6b6a57a2b606fb833/src/FSCM.Application/Features/Retailers/RetailerService.cs
Automation: Manual / candidate
Version: 1.3; Actual result: —; Evidence: —</t>
  </si>
  <si>
    <t>FT-006-B</t>
  </si>
  <si>
    <t>Review retailer activation
Boundary — Rejection without reason</t>
  </si>
  <si>
    <t>1. Seed isolated FSCM fixture with required SKU, retailer, warehouse, roles and state; record starting stock/payment/ledger snapshots.
2. Sign in as Administrator; perform scenario: Rejection without reason.
3. Submit both the valid operation and the specified invalid/boundary input.
4. Compare response, persisted state, actor audit, once-only effects and unchanged records against the expected result.</t>
  </si>
  <si>
    <t>Keep rejection reason mandatory and preserve review trail</t>
  </si>
  <si>
    <t>Type: Boundary; Role: Administrator; Level: System / Integration
SRS v1.8 / BR: 3.3.2; BR-12
Test data: Rejection without reason
Source: https://github.com/GFA26SE63/FSCM-Backend/blob/0f56f7099f07aa60d76673e6b6a57a2b606fb833/src/FSCM.Application/Features/Retailers/RetailerService.cs
Automation: Manual / candidate
Version: 1.3; Actual result: —; Evidence: —</t>
  </si>
  <si>
    <t>R5-TC-RET-01</t>
  </si>
  <si>
    <t>Retailer declared and approved</t>
  </si>
  <si>
    <t>1. Submit declaration; 2. Admin approves; 3. Inspect code and scope.</t>
  </si>
  <si>
    <t>Pending→Active only under Admin approval; assigned 8-digit code and scoped account.</t>
  </si>
  <si>
    <t>Assigned Sales; pending Retailer.
Test data: Store identity, MLOR and evidence, approval actor.</t>
  </si>
  <si>
    <t>Requirement/Traceability: SRS v1.8 §3.3.1–3.3.2; AC-3.3.2-01; M02/WF01/TS01
Priority: P1; Level: Integration / System / Acceptance
Version: 1.3; Actual result: —; Evidence: —</t>
  </si>
  <si>
    <t>R5-TC-RET-02</t>
  </si>
  <si>
    <t>Retailer term scope and validation</t>
  </si>
  <si>
    <t>1. Request Deferred; 2. Change term version; 3. Attempt with invalid term.</t>
  </si>
  <si>
    <t>Only approved, currently valid term allows Deferred; otherwise rejected.</t>
  </si>
  <si>
    <t>Retailers with/without approved versioned credit terms.
Test data: Term valid/expired/unapproved.</t>
  </si>
  <si>
    <t>Requirement/Traceability: SRS v1.8 §3.3.3, §3.10.1; BR-51/73; M02/WF02/TS01
Priority: P1; Level: Integration / System / Acceptance
Version: 1.3; Actual result: —; Evidence: —</t>
  </si>
  <si>
    <t>Confirm Administrator AND Operator can create, price, edit Draft and publish SKU_A / SKU_B, using 100,000/50,000 VND list prices; reject unauthorized edits and modification of Published records. Replacements retain prior batch and sales history.</t>
  </si>
  <si>
    <t>Product &amp; Categories — FSCM scenarios</t>
  </si>
  <si>
    <t>FT-008-P</t>
  </si>
  <si>
    <t>Manage category hierarchy
Positive — Create child category under parent</t>
  </si>
  <si>
    <t>1. Seed isolated FSCM fixture with required SKU, retailer, warehouse, roles and state; record starting stock/payment/ledger snapshots.
2. Sign in as Administrator; perform scenario: Create child category under parent.
3. Submit both the valid operation and the specified invalid/boundary input.
4. Compare response, persisted state, actor audit, once-only effects and unchanged records against the expected result.</t>
  </si>
  <si>
    <t>Persist valid non-cyclic hierarchy</t>
  </si>
  <si>
    <t>Type: Positive; Role: Administrator; Level: System / Integration
SRS v1.8 / BR: 3.4.1
Test data: Create child category under parent
Source: https://github.com/GFA26SE63/FSCM-Backend/blob/0f56f7099f07aa60d76673e6b6a57a2b606fb833/src/FSCM.API/Controllers/CategoriesController.cs
Automation: Manual / candidate
Version: 1.3; Actual result: —; Evidence: —</t>
  </si>
  <si>
    <t>FT-008-N</t>
  </si>
  <si>
    <t>Manage category hierarchy
Negative — Select descendant as parent</t>
  </si>
  <si>
    <t>1. Seed isolated FSCM fixture with required SKU, retailer, warehouse, roles and state; record starting stock/payment/ledger snapshots.
2. Sign in as Administrator; perform scenario: Select descendant as parent.
3. Submit both the valid operation and the specified invalid/boundary input.
4. Compare response, persisted state, actor audit, once-only effects and unchanged records against the expected result.</t>
  </si>
  <si>
    <t>Block parent-child cycles</t>
  </si>
  <si>
    <t>Type: Negative; Role: Administrator; Level: System / Integration
SRS v1.8 / BR: 3.4.1
Test data: Select descendant as parent
Source: https://github.com/GFA26SE63/FSCM-Backend/blob/0f56f7099f07aa60d76673e6b6a57a2b606fb833/src/FSCM.API/Controllers/CategoriesController.cs
Automation: Manual / candidate
Version: 1.3; Actual result: —; Evidence: —</t>
  </si>
  <si>
    <t>FT-008-B</t>
  </si>
  <si>
    <t>Manage category hierarchy
Boundary — Delete parent with active children/products</t>
  </si>
  <si>
    <t>1. Seed isolated FSCM fixture with required SKU, retailer, warehouse, roles and state; record starting stock/payment/ledger snapshots.
2. Sign in as Administrator; perform scenario: Delete parent with active children/products.
3. Submit both the valid operation and the specified invalid/boundary input.
4. Compare response, persisted state, actor audit, once-only effects and unchanged records against the expected result.</t>
  </si>
  <si>
    <t>Preserve dependent children/products on prohibited delete</t>
  </si>
  <si>
    <t>Verify group promotion threshold sums eligible SKU quantities within one Sales Order: SKU_A6+SKU_B4 and SKU_A10 qualify; SKU_A6+SKU_B3 or external SKU4 do not. Apply 10% ordinary discount once, choose best valid campaign, then only percentage shelf-life tiers &lt;100%.</t>
  </si>
  <si>
    <t>Type: Boundary; Role: Administrator; Level: System / Integration
SRS v1.8 / BR: 3.4.1
Test data: Delete parent with active children/products
Source: https://github.com/GFA26SE63/FSCM-Backend/blob/0f56f7099f07aa60d76673e6b6a57a2b606fb833/src/FSCM.API/Controllers/CategoriesController.cs
Automation: Manual / candidate
Version: 1.3; Actual result: —; Evidence: —</t>
  </si>
  <si>
    <t>FT-009-P</t>
  </si>
  <si>
    <t>Admin/Operator publishes SKU_A and SKU_B with approved effective prices</t>
  </si>
  <si>
    <t>1. Sign in as Administrator; create SKU_A at 100,000 VND/carton and SKU_B at 50,000 VND/carton as Draft. 2. Publish both, verify Catalog. 3. Repeat on independent Draft with authorized Operator role. 4. Inspect effective price and audit.</t>
  </si>
  <si>
    <t>Both authorized roles can publish eligible Draft products; SKU_A/B visible and prices versioned; no duplicate SKU.</t>
  </si>
  <si>
    <t>F1 source fixture: Admin and Operator with product permissions; Draft SKU_A/SKU_B; price effective date.</t>
  </si>
  <si>
    <t>Type: Positive; Role: Administrator; Level: System / Integration
SRS v1.8 / BR: 3.4.2; BR-07–08
Test data: Create Draft and publish valid SKU
Source: https://github.com/GFA26SE63/FSCM-Backend/blob/0f56f7099f07aa60d76673e6b6a57a2b606fb833/src/FSCM.API/Controllers/ProductsController.cs
Automation: Manual / candidate
Version: 1.3; Actual result: —; Evidence: —</t>
  </si>
  <si>
    <t>FT-009-N</t>
  </si>
  <si>
    <t>Published SKU price locked; unauthorized non-product role cannot modify</t>
  </si>
  <si>
    <t>1. Publish SKU_A. 2. Attempt edit price as Admin/Operator; must use new Draft/version. 3. Attempt any change as Sales. 4. Verify historical price and stock untouched.</t>
  </si>
  <si>
    <t>Published record immutable for both authorized roles; new Draft replacement allowed; Sales write forbidden; historical batch/transaction links unchanged.</t>
  </si>
  <si>
    <t>Type: Negative; Role: Administrator; Level: System / Integration
SRS v1.8 / BR: 3.4.2; BR-07–08
Test data: Edit published SKU price
Source: https://github.com/GFA26SE63/FSCM-Backend/blob/0f56f7099f07aa60d76673e6b6a57a2b606fb833/src/FSCM.API/Controllers/ProductsController.cs
Automation: Manual / candidate
Version: 1.3; Actual result: —; Evidence: —</t>
  </si>
  <si>
    <t>FT-009-B</t>
  </si>
  <si>
    <t>Create and publish product
Boundary — Clone already used SKU</t>
  </si>
  <si>
    <t>1. Seed isolated FSCM fixture with required SKU, retailer, warehouse, roles and state; record starting stock/payment/ledger snapshots.
2. Sign in as Administrator; perform scenario: Clone already used SKU.
3. Submit both the valid operation and the specified invalid/boundary input.
4. Compare response, persisted state, actor audit, once-only effects and unchanged records against the expected result.</t>
  </si>
  <si>
    <t>Reject duplicate SKU without side effects</t>
  </si>
  <si>
    <t>Type: Boundary; Role: Administrator; Level: System / Integration
SRS v1.8 / BR: 3.4.2; BR-07–08
Test data: Clone already used SKU
Source: https://github.com/GFA26SE63/FSCM-Backend/blob/0f56f7099f07aa60d76673e6b6a57a2b606fb833/src/FSCM.API/Controllers/ProductsController.cs
Automation: Manual / candidate
Version: 1.3; Actual result: —; Evidence: —</t>
  </si>
  <si>
    <t>FT-010-P</t>
  </si>
  <si>
    <t>Product search and catalog visibility
Positive — Search published SKU in eligible catalog</t>
  </si>
  <si>
    <t>1. Seed isolated FSCM fixture with required SKU, retailer, warehouse, roles and state; record starting stock/payment/ledger snapshots.
2. Sign in as Sales; Retailer; Administrator; perform scenario: Search published SKU in eligible catalog.
3. Submit both the valid operation and the specified invalid/boundary input.
4. Compare response, persisted state, actor audit, once-only effects and unchanged records against the expected result.</t>
  </si>
  <si>
    <t>Return only permitted published products</t>
  </si>
  <si>
    <t>Type: Positive; Role: Sales; Retailer; Administrator; Level: System / Integration
SRS v1.8 / BR: 3.4.3
Test data: Search published SKU in eligible catalog
Source: https://github.com/GFA26SE63/FSCM-Backend/blob/0f56f7099f07aa60d76673e6b6a57a2b606fb833/src/FSCM.Application/Features/Catalog/CatalogService.cs
Automation: Manual / candidate
Version: 1.3; Actual result: —; Evidence: —</t>
  </si>
  <si>
    <t>FT-010-N</t>
  </si>
  <si>
    <t>Product search and catalog visibility
Negative — Access Draft product as purchasable</t>
  </si>
  <si>
    <t>1. Seed isolated FSCM fixture with required SKU, retailer, warehouse, roles and state; record starting stock/payment/ledger snapshots.
2. Sign in as Sales; Retailer; Administrator; perform scenario: Access Draft product as purchasable.
3. Submit both the valid operation and the specified invalid/boundary input.
4. Compare response, persisted state, actor audit, once-only effects and unchanged records against the expected result.</t>
  </si>
  <si>
    <t>Never expose Draft/Inactive as orderable</t>
  </si>
  <si>
    <t>Type: Negative; Role: Sales; Retailer; Administrator; Level: System / Integration
SRS v1.8 / BR: 3.4.3
Test data: Access Draft product as purchasable
Source: https://github.com/GFA26SE63/FSCM-Backend/blob/0f56f7099f07aa60d76673e6b6a57a2b606fb833/src/FSCM.Application/Features/Catalog/CatalogService.cs
Automation: Manual / candidate
Version: 1.3; Actual result: —; Evidence: —</t>
  </si>
  <si>
    <t>FT-010-B</t>
  </si>
  <si>
    <t>Product search and catalog visibility
Boundary — Empty search / paginated result</t>
  </si>
  <si>
    <t>1. Seed isolated FSCM fixture with required SKU, retailer, warehouse, roles and state; record starting stock/payment/ledger snapshots.
2. Sign in as Sales; Retailer; Administrator; perform scenario: Empty search / paginated result.
3. Submit both the valid operation and the specified invalid/boundary input.
4. Compare response, persisted state, actor audit, once-only effects and unchanged records against the expected result.</t>
  </si>
  <si>
    <t>Return stable paged results or empty state</t>
  </si>
  <si>
    <t>Type: Boundary; Role: Sales; Retailer; Administrator; Level: System / Integration
SRS v1.8 / BR: 3.4.3
Test data: Empty search / paginated result
Source: https://github.com/GFA26SE63/FSCM-Backend/blob/0f56f7099f07aa60d76673e6b6a57a2b606fb833/src/FSCM.Application/Features/Catalog/CatalogService.cs
Automation: Manual / candidate
Version: 1.3; Actual result: —; Evidence: —</t>
  </si>
  <si>
    <t>R5-TC-CAT-01</t>
  </si>
  <si>
    <t>F1 catalog, product authority and independent replacement Draft</t>
  </si>
  <si>
    <t>1. Admin/Operator creates Category, SKU_A/B Draft and price effective versions. 2. Publish, query catalog as Sales. 3. Clone SKU_A for replacement, verify unique code and no migrated batches. 4. Test unauthorized writer.</t>
  </si>
  <si>
    <t>Admin and Operator permitted on catalog operations; Sales read-only; old SKU, inventory and historical orders unchanged; replacement has independent new Draft state.</t>
  </si>
  <si>
    <t>Draft/published SKU and parent category.
Test data: Valid SKU, cycle-forming parent, inactive SKU.</t>
  </si>
  <si>
    <t>Requirement/Traceability: SRS v1.8 §3.4.1–3.4.2; AC-3.4.2-01; M03/WF01/TS01
Priority: P2; Level: Integration / System / Acceptance
Version: 1.3; Actual result: —; Evidence: —</t>
  </si>
  <si>
    <t>Promotion Management — FSCM scenarios</t>
  </si>
  <si>
    <t>FT-011-P</t>
  </si>
  <si>
    <t>Group promotion applies to sum SKU_A6 + SKU_B4</t>
  </si>
  <si>
    <t>1. Admin creates eligible group {SKU_A,SKU_B}, threshold 10 cartons and 10% discount. 2. Sales creates R1 SO with A6 at 100,000 and B4 at 50,000. 3. Verify promotion eligibility and amounts before allocation.</t>
  </si>
  <si>
    <t>Eligible quantity=10; gross 800,000 VND; group discount=80,000; post-promotion base=720,000; applies once within this SO.</t>
  </si>
  <si>
    <t>F2 group SKU_A,SKU_B, active eligible retailer R1; list prices A100,000/B50,000; discount tier under applicable MLOR.</t>
  </si>
  <si>
    <t>Type: Positive; Role: Administrator; Level: System / Integration
SRS v1.8 / BR: 3.5.1; BR-14–19
Test data: Create valid scoped promotion
Source: https://github.com/GFA26SE63/FSCM-Backend/blob/0f56f7099f07aa60d76673e6b6a57a2b606fb833/src/FSCM.Application/Features/Promotions/PromotionService.cs
Automation: Manual / candidate
Version: 1.3; Actual result: —; Evidence: —</t>
  </si>
  <si>
    <t>Validate percentage-only shelf-life tiers after batch eligibility and ordinary group promotion; fixed-amount and 100% tiers are rejected. Check SKU&gt;Category tier precedence, 20%/&lt;40%, 10%/40–&lt;70%, 0%/&gt;=70% demo bands, rounding &gt;0, split-batch snapshots and exact-batch net-price adjustments.</t>
  </si>
  <si>
    <t>FT-011-N</t>
  </si>
  <si>
    <t>Group promotion rejects under-threshold and foreign SKU quantities</t>
  </si>
  <si>
    <t>1. Quote A6+B3 in one SO. 2. Quote A6+foreignSKU4 in a second SO. 3. Create two separate SOs whose combined quantity is 10. 4. Check eligible counted units.</t>
  </si>
  <si>
    <t>None qualifies for the 10-carton group; foreign SKU and quantities from other orders do not contribute.</t>
  </si>
  <si>
    <t>Type: Negative; Role: Administrator; Level: System / Integration
SRS v1.8 / BR: 3.5.1; BR-14–19
Test data: Overlapping invalid period or unauthorized role
Source: https://github.com/GFA26SE63/FSCM-Backend/blob/0f56f7099f07aa60d76673e6b6a57a2b606fb833/src/FSCM.Application/Features/Promotions/PromotionService.cs
Automation: Manual / candidate
Version: 1.3; Actual result: —; Evidence: —</t>
  </si>
  <si>
    <t>FT-011-B</t>
  </si>
  <si>
    <t>Group threshold boundary and active-campaign tie-break</t>
  </si>
  <si>
    <t>1. Submit A10 and A6+B4 (valid), then A6+B3 (invalid). 2. Create two active group campaigns with equal VND discounts. 3. Set one campaign paused and repeat.</t>
  </si>
  <si>
    <t>Exactly 10 eligible cartons qualifies, 9 does not. Highest discount chosen per line; equal amount breaks by ascending campaign code; paused ignored.</t>
  </si>
  <si>
    <t>Type: Boundary; Role: Administrator; Level: System / Integration
SRS v1.8 / BR: 3.5.1; BR-14–19
Test data: Paused/expired promotion evaluated for price
Source: https://github.com/GFA26SE63/FSCM-Backend/blob/0f56f7099f07aa60d76673e6b6a57a2b606fb833/src/FSCM.Application/Features/Promotions/PromotionService.cs
Automation: Manual / candidate
Version: 1.3; Actual result: —; Evidence: —</t>
  </si>
  <si>
    <t>R5-TC-PROM-01</t>
  </si>
  <si>
    <t>F2 promotion non-stacking, group threshold and percentage-only tiers</t>
  </si>
  <si>
    <t>1. Seed SKU_A6+B4, 10-carton group promotion 10% and two overlapping valid ordinary campaigns. 2. Select largest VND benefit with deterministic code tie. 3. Apply valid percent-only batch tier after allocation. 4. Attempt fixed shelf-life tier and 100% tier.</t>
  </si>
  <si>
    <t>Only one ordinary discount per line; 80,000 VND off 800,000 total. Shelf-life percent tier applied to the remaining batch-specific net basis; fixed/100% rejected.</t>
  </si>
  <si>
    <t>Requirement/Traceability: SRS v1.8 §3.5.1; AC-3.5.1-01; M04/WF01/TS01
Priority: P2; Level: Integration / System / Acceptance
Version: 1.3; Actual result: —; Evidence: —</t>
  </si>
  <si>
    <t>Shelf-Life Pricing — FSCM scenarios</t>
  </si>
  <si>
    <t>Verify Sales captures Sales Orders (SO), not POs; authorized Operator reviews before 00:00 ICT cutoff. Only after approved allocation price, Retailer quotation acceptance and valid prepaid/deferred method can a Purchase Order (PO) be issued. Rejected SO has reason; no reservation on capture/review.</t>
  </si>
  <si>
    <t>FT-012-P</t>
  </si>
  <si>
    <t>Percentage tier chosen after eligibility and group promotion</t>
  </si>
  <si>
    <t>1. Configure shelf-life bands (&lt;40%=20%, 40%-&lt;70%=10%, &gt;=70%=0%), with SKU-specific higher priority than Category. 2. Allocate eligible batch only. 3. Apply percent to post-group-promotion base and capture batch price trace.</t>
  </si>
  <si>
    <t>Percentage shelf-life discount only; correct SKU precedence; no tier applied before eligibility; positive VND-rounded net price.</t>
  </si>
  <si>
    <t>F2/F3 tier demo, SKU_A and SKU_B in two warehouses; ordinary group discount applied first.</t>
  </si>
  <si>
    <t>Type: Positive; Role: Administrator; System; Level: System / Integration
SRS v1.8 / BR: Registration price rules; SRS 3.5
Test data: Valid SKU tier covers remaining-life band
Source: https://github.com/GFA26SE63/FSCM-Backend/blob/0f56f7099f07aa60d76673e6b6a57a2b606fb833/src/FSCM.Application/Features/ShelfLifeDiscounts/ShelfLifeDiscountService.cs
Automation: Manual / candidate
Version: 1.3; Actual result: —; Evidence: —</t>
  </si>
  <si>
    <t>FT-012-N</t>
  </si>
  <si>
    <t>Reject fixed, 100% and non-positive rounded final price</t>
  </si>
  <si>
    <t>1. Submit fixed amount 3,500 VND/unit as a shelf-life tier. 2. Submit 100% tier. 3. Submit percentage tier whose rounded net unit price is 0. 4. Compare saved rules and totals.</t>
  </si>
  <si>
    <t>All invalid cases rejected without storing active tier/zero-price quotation; only percentage &lt;100% and rounded net unit price &gt;0 valid.</t>
  </si>
  <si>
    <t>Type: Negative; Role: Administrator; System; Level: System / Integration
SRS v1.8 / BR: Registration price rules; SRS 3.5
Test data: Overlapping tier or unsupported discount
Source: https://github.com/GFA26SE63/FSCM-Backend/blob/0f56f7099f07aa60d76673e6b6a57a2b606fb833/src/FSCM.Application/Features/ShelfLifeDiscounts/ShelfLifeDiscountService.cs
Automation: Manual / candidate
Version: 1.3; Actual result: —; Evidence: —</t>
  </si>
  <si>
    <t>FT-012-B</t>
  </si>
  <si>
    <t>Percentage tier band boundaries and VND rounding</t>
  </si>
  <si>
    <t>1. Evaluate 39.9999%, 40%, 69.9999%, 70% remaining shelf life. 2. Apply 20%,10%,10%,0% respectively where MLOR allows. 3. Reconcile split fragments in whole VND.</t>
  </si>
  <si>
    <t>Boundary follows [0,40),[40,70),[70,100]; no fixed tier, no 100% discount or final rounded price of zero.</t>
  </si>
  <si>
    <t>Type: Boundary; Role: Administrator; System; Level: System / Integration
SRS v1.8 / BR: Registration price rules; SRS 3.5
Test data: Tier upper-bound exact equality
Source: https://github.com/GFA26SE63/FSCM-Backend/blob/0f56f7099f07aa60d76673e6b6a57a2b606fb833/src/FSCM.Application/Features/ShelfLifeDiscounts/ShelfLifeDiscountService.cs
Automation: Manual / candidate
Version: 1.3; Actual result: —; Evidence: —</t>
  </si>
  <si>
    <t>R5-TC-DISC-01</t>
  </si>
  <si>
    <t>Percentage shelf-life tier</t>
  </si>
  <si>
    <t>Configure 12% SKU tier; allocate eligible 6-unit line; inspect versioned batch price and rounded amount.</t>
  </si>
  <si>
    <t>12% discount = 9,000/unit, 54,000 total; net = 396,000 VND; one recorded tier/version; no change to MLOR.</t>
  </si>
  <si>
    <t>SKU 12% tier; one eligible batch; base price 75,000 VND/unit; qty=6.</t>
  </si>
  <si>
    <t>Requirement/Traceability: SRS v1.8 §3.5.4; BR-79/80; AC-3.5.4-01; M04/WF02/TS01
Priority: P1; Level: Integration / System / Acceptance
Version: 1.3; Actual result: —; Evidence: —</t>
  </si>
  <si>
    <t>R5-TC-DISC-02</t>
  </si>
  <si>
    <t>Reject fixed shelf-life discount configuration</t>
  </si>
  <si>
    <t>1. Admin/Operator submits a fixed-amount-per-unit tier 3,500 VND on SKU_A. 2. Attempt publish and pricing. 3. Compare stored tier list, batch quote and audit.</t>
  </si>
  <si>
    <t>Fixed tier rejected; no price snapshot or sale uses fixed reduction; percentage-only tiers remain accepted.</t>
  </si>
  <si>
    <t>Active product and eligible batch; percentage-only approved shelf-life tier schedule.</t>
  </si>
  <si>
    <t>Requirement/Traceability: Registration §3.2; SRS v1.8 §3.5.4; R5-02; R5-02; M04/WF02/TS02
Priority: P1; Level: Integration / System / Acceptance
Version: 1.3; Actual result: —; Evidence: —</t>
  </si>
  <si>
    <t>R5-TC-DISC-03</t>
  </si>
  <si>
    <t>Reject zero final unit price after rounding</t>
  </si>
  <si>
    <t>1. Seed valid small base unit price. 2. Apply eligible percentage tier &lt;100% whose whole-VND final price rounds to 0. 3. Compare validation result and snapshot.</t>
  </si>
  <si>
    <t>Price rejected, not clamped/accepted at zero; no approved quotation, payment or dispatch uses zero final unit price.</t>
  </si>
  <si>
    <t>Tier bounds 20%-40%; at 20%, 40%; fractional final price; approved rounding rule.</t>
  </si>
  <si>
    <t>Requirement/Traceability: SRS v1.8 §3.5.4, §4 NFR-D01; BR-79; M04/WF02/TS03
Priority: P1; Level: Integration / System / Acceptance
Version: 1.3; Actual result: —; Evidence: —</t>
  </si>
  <si>
    <t>R5-TC-DISC-04</t>
  </si>
  <si>
    <t>F3 P1 612,000 VND immutable split-batch price snapshot</t>
  </si>
  <si>
    <t>1. Seed F3 P1: SKU_A6 + SKU_B4 with group 10% ordinary discount. 2. Allocate across A1/A2/B1; calculate respective percentage shelf-life tiers. 3. Check fragments and overall final quote. 4. Edit tier afterward.</t>
  </si>
  <si>
    <t>P1 final quote 612,000 VND. Each batch/warehouse fragment keeps original list, group discount, remaining-life percent tier and net value; changing tier does not rewrite quote.</t>
  </si>
  <si>
    <t>F3 fixture sheet 03 and sheet 04 from Five Main Flows; P1 eligible A1/A2/B1 batches.</t>
  </si>
  <si>
    <t>Requirement/Traceability: Registration §3.2; SRS v1.8 §3.7.2/§3.5.4; NFR-D02; M04/WF02/TS04
Priority: P1; Level: Integration / System / Acceptance
Version: 1.3; Actual result: —; Evidence: —</t>
  </si>
  <si>
    <t>R5-TC-DISC-05</t>
  </si>
  <si>
    <t>MLOR restriction survives near-expiry discount</t>
  </si>
  <si>
    <t>Apply eligibility B1/B2 to near-expiry batch failing effective MLOR; configure high discount; rerun same candidate.</t>
  </si>
  <si>
    <t>Batch rejected before discount calculation; no offer/discount may relax effective MLOR or override hard eligibility.</t>
  </si>
  <si>
    <t>Retailer effective MLOR=0.80; batch remaining ratio at ETA=0.79; 50% discount eligible.</t>
  </si>
  <si>
    <t>Requirement/Traceability: Registration §3.2; R5-03; SRS v1.8 §3.7.4; M04/WF03/TS01
Priority: P1; Level: Integration / System / Acceptance
Version: 1.3; Actual result: —; Evidence: —</t>
  </si>
  <si>
    <t>R5-TC-DISC-06</t>
  </si>
  <si>
    <t>Effective MLOR precedence</t>
  </si>
  <si>
    <t>Resolve SKU-specific, Category and product-default MLOR for three otherwise identical lines; filter candidate at ETA.</t>
  </si>
  <si>
    <t>Choose SKU then Category then product default; candidate fails SKU rule but passes category/default; source and version snapshotted.</t>
  </si>
  <si>
    <t>SKU rule 0.80; Category 0.65; product default 0.50; candidate at ETA=0.70.</t>
  </si>
  <si>
    <t>Verify Sales offline orders remain local drafts after reconnect and are sent only by explicit Send. Validate server rechecks of price, MLOR and retailer scope; safe idempotent technical retries; and a new request key after changing the payload.</t>
  </si>
  <si>
    <t>Requirement/Traceability: Registration §3.2; SRS v1.8 §3.7.4; AC-3.7.4-01; M04/WF03/TS02
Priority: P1; Level: Integration / System / Acceptance
Version: 1.3; Actual result: —; Evidence: —</t>
  </si>
  <si>
    <t>Order Management — FSCM scenarios</t>
  </si>
  <si>
    <t>FT-014-P</t>
  </si>
  <si>
    <t>Create online order for assigned retailer
Positive — Valid retailer and SKU/quantity</t>
  </si>
  <si>
    <t>1. Seed isolated FSCM fixture with required SKU, retailer, warehouse, roles and state; record starting stock/payment/ledger snapshots.
2. Sign in as Sales; perform scenario: Valid retailer and SKU/quantity.
3. Submit both the valid operation and the specified invalid/boundary input.
4. Compare response, persisted state, actor audit, once-only effects and unchanged records against the expected result.</t>
  </si>
  <si>
    <t>Create Pending review; no hold/reservation</t>
  </si>
  <si>
    <t>Type: Positive; Role: Sales; Level: System / Integration
SRS v1.8 / BR: 3.6.1; BR-20–22
Test data: Valid retailer and SKU/quantity
Source: https://github.com/GFA26SE63/FSCM-Backend/blob/0f56f7099f07aa60d76673e6b6a57a2b606fb833/src/FSCM.Application/Features/Orders/OrderService.cs
Automation: Manual / candidate
Version: 1.3; Actual result: —; Evidence: —</t>
  </si>
  <si>
    <t>FT-014-N</t>
  </si>
  <si>
    <t>Create online order for assigned retailer
Negative — Retailer outside Sales territory</t>
  </si>
  <si>
    <t>1. Seed isolated FSCM fixture with required SKU, retailer, warehouse, roles and state; record starting stock/payment/ledger snapshots.
2. Sign in as Sales; perform scenario: Retailer outside Sales territory.
3. Submit both the valid operation and the specified invalid/boundary input.
4. Compare response, persisted state, actor audit, once-only effects and unchanged records against the expected result.</t>
  </si>
  <si>
    <t>Block out-of-scope retailer</t>
  </si>
  <si>
    <t>Type: Negative; Role: Sales; Level: System / Integration
SRS v1.8 / BR: 3.6.1; BR-20–22
Test data: Retailer outside Sales territory
Source: https://github.com/GFA26SE63/FSCM-Backend/blob/0f56f7099f07aa60d76673e6b6a57a2b606fb833/src/FSCM.Application/Features/Orders/OrderService.cs
Automation: Manual / candidate
Version: 1.3; Actual result: —; Evidence: —</t>
  </si>
  <si>
    <t>FT-014-B</t>
  </si>
  <si>
    <t>Create online order for assigned retailer
Boundary — Current stock below requested quantity</t>
  </si>
  <si>
    <t>1. Seed isolated FSCM fixture with required SKU, retailer, warehouse, roles and state; record starting stock/payment/ledger snapshots.
2. Sign in as Sales; perform scenario: Current stock below requested quantity.
3. Submit both the valid operation and the specified invalid/boundary input.
4. Compare response, persisted state, actor audit, once-only effects and unchanged records against the expected result.</t>
  </si>
  <si>
    <t>Accept valid request without promising stock; run later decides shortage</t>
  </si>
  <si>
    <t>Type: Boundary; Role: Sales; Level: System / Integration
SRS v1.8 / BR: 3.6.1; BR-20–22
Test data: Current stock below requested quantity
Source: https://github.com/GFA26SE63/FSCM-Backend/blob/0f56f7099f07aa60d76673e6b6a57a2b606fb833/src/FSCM.Application/Features/Orders/OrderService.cs
Automation: Manual / candidate
Version: 1.3; Actual result: —; Evidence: —</t>
  </si>
  <si>
    <t>FT-015-P</t>
  </si>
  <si>
    <t>Create order with step quantity validation
Positive — Quantity is configured multiple</t>
  </si>
  <si>
    <t>1. Seed isolated FSCM fixture with required SKU, retailer, warehouse, roles and state; record starting stock/payment/ledger snapshots.
2. Sign in as Sales; perform scenario: Quantity is configured multiple.
3. Submit both the valid operation and the specified invalid/boundary input.
4. Compare response, persisted state, actor audit, once-only effects and unchanged records against the expected result.</t>
  </si>
  <si>
    <t>Persist compliant order lines</t>
  </si>
  <si>
    <t>Type: Positive; Role: Sales; Level: System / Integration
SRS v1.8 / BR: 3.6.1; configuration
Test data: Quantity is configured multiple
Source: https://github.com/GFA26SE63/FSCM-Backend/blob/0f56f7099f07aa60d76673e6b6a57a2b606fb833/src/FSCM.Application/Features/Orders/OrderService.cs
Automation: Manual / candidate
Version: 1.3; Actual result: —; Evidence: —</t>
  </si>
  <si>
    <t>FT-015-N</t>
  </si>
  <si>
    <t>Create order with step quantity validation
Negative — Quantity violates configured step</t>
  </si>
  <si>
    <t>1. Seed isolated FSCM fixture with required SKU, retailer, warehouse, roles and state; record starting stock/payment/ledger snapshots.
2. Sign in as Sales; perform scenario: Quantity violates configured step.
3. Submit both the valid operation and the specified invalid/boundary input.
4. Compare response, persisted state, actor audit, once-only effects and unchanged records against the expected result.</t>
  </si>
  <si>
    <t>Return validation error without order</t>
  </si>
  <si>
    <t>Type: Negative; Role: Sales; Level: System / Integration
SRS v1.8 / BR: 3.6.1; configuration
Test data: Quantity violates configured step
Source: https://github.com/GFA26SE63/FSCM-Backend/blob/0f56f7099f07aa60d76673e6b6a57a2b606fb833/src/FSCM.Application/Features/Orders/OrderService.cs
Automation: Manual / candidate
Version: 1.3; Actual result: —; Evidence: —</t>
  </si>
  <si>
    <t>FT-015-B</t>
  </si>
  <si>
    <t>Create order with step quantity validation
Boundary — Quantity exactly one order step</t>
  </si>
  <si>
    <t>1. Seed isolated FSCM fixture with required SKU, retailer, warehouse, roles and state; record starting stock/payment/ledger snapshots.
2. Sign in as Sales; perform scenario: Quantity exactly one order step.
3. Submit both the valid operation and the specified invalid/boundary input.
4. Compare response, persisted state, actor audit, once-only effects and unchanged records against the expected result.</t>
  </si>
  <si>
    <t>Accept exactly one step</t>
  </si>
  <si>
    <t>Type: Boundary; Role: Sales; Level: System / Integration
SRS v1.8 / BR: 3.6.1; configuration
Test data: Quantity exactly one order step
Source: https://github.com/GFA26SE63/FSCM-Backend/blob/0f56f7099f07aa60d76673e6b6a57a2b606fb833/src/FSCM.Application/Features/Orders/OrderService.cs
Automation: Manual / candidate
Version: 1.3; Actual result: —; Evidence: —</t>
  </si>
  <si>
    <t>FT-016-P</t>
  </si>
  <si>
    <t>Review Sales Order before 00:00 ICT cutoff</t>
  </si>
  <si>
    <t>1. Capture a Sales Order. 2. Operator reviews it before 00:00 Asia/Ho_Chi_Minh. 3. Inspect acceptance/review timestamps. 4. Confirm no physical stock change.</t>
  </si>
  <si>
    <t>Commercial review moves Sales Order to awaiting daily run; no PO, picking list, stock reservation, or final batch price yet.</t>
  </si>
  <si>
    <t>Type: Positive; Role: Operator; Administrator; Level: System / Integration
SRS v1.8 / BR: 3.6.3; BR-25
Test data: Approve eligible order before cutoff
Source: https://github.com/GFA26SE63/FSCM-Backend/blob/0f56f7099f07aa60d76673e6b6a57a2b606fb833/src/FSCM.API/Controllers/OrdersController.cs
Automation: Manual / candidate
Version: 1.3; Actual result: —; Evidence: —</t>
  </si>
  <si>
    <t>FT-016-N</t>
  </si>
  <si>
    <t>Review and reject purchase order
Negative — Unauthorized review actor</t>
  </si>
  <si>
    <t>1. Seed isolated FSCM fixture with required SKU, retailer, warehouse, roles and state; record starting stock/payment/ledger snapshots.
2. Sign in as Operator; Administrator; perform scenario: Unauthorized review actor.
3. Submit both the valid operation and the specified invalid/boundary input.
4. Compare response, persisted state, actor audit, once-only effects and unchanged records against the expected result.</t>
  </si>
  <si>
    <t>Reject unauthorized decision</t>
  </si>
  <si>
    <t>Offline Synchronization — FSCM scenarios</t>
  </si>
  <si>
    <t>Type: Negative; Role: Operator; Administrator; Level: System / Integration
SRS v1.8 / BR: 3.6.3; BR-25
Test data: Unauthorized review actor
Source: https://github.com/GFA26SE63/FSCM-Backend/blob/0f56f7099f07aa60d76673e6b6a57a2b606fb833/src/FSCM.API/Controllers/OrdersController.cs
Automation: Manual / candidate
Version: 1.3; Actual result: —; Evidence: —</t>
  </si>
  <si>
    <t>FT-016-B</t>
  </si>
  <si>
    <t>Reject inclusion when either cutoff timestamp is late</t>
  </si>
  <si>
    <t>FT-019-P</t>
  </si>
  <si>
    <t>1. Set server acceptance and Operator review on opposite sides of 00:00 ICT. 2. Attempt today run. 3. Repeat at exact boundary.</t>
  </si>
  <si>
    <t>Save offline order to local queue
Positive — No network, valid cached draft</t>
  </si>
  <si>
    <t>Both server acceptance and approval must be strictly before 00:00 ICT; otherwise defer to next run. Device time cannot override server ordering.</t>
  </si>
  <si>
    <t>1. Seed isolated FSCM fixture with required SKU, retailer, warehouse, roles and state; record starting stock/payment/ledger snapshots.
2. Sign in as Sales; perform scenario: No network, valid cached draft.
3. Submit both the valid operation and the specified invalid/boundary input.
4. Compare response, persisted state, actor audit, once-only effects and unchanged records against the expected result.</t>
  </si>
  <si>
    <t>Keep pending local draft visibly unsynced</t>
  </si>
  <si>
    <t>Type: Boundary; Role: Operator; Administrator; Level: System / Integration
SRS v1.8 / BR: 3.6.3; BR-25
Test data: Order received at/after cutoff
Source: https://github.com/GFA26SE63/FSCM-Backend/blob/0f56f7099f07aa60d76673e6b6a57a2b606fb833/src/FSCM.API/Controllers/OrdersController.cs
Automation: Manual / candidate
Version: 1.3; Actual result: —; Evidence: —</t>
  </si>
  <si>
    <t>FT-017-P</t>
  </si>
  <si>
    <t>Cancel order with evidence
Positive — Cancel eligible pre-dispatch order with reason</t>
  </si>
  <si>
    <t>Type: Positive; Role: Sales; Level: System / Integration
SRS v1.8 / BR: 3.6.2; BR-23
Test data: No network, valid cached draft
Source: https://github.com/GFA26SE63/FSCM-Mobile/blob/2b5c4aa6591e1b2be65567964480df070100fbeb/lib/data/local/daos/offline_order_dao.dart
Automation: Manual / candidate
Version: 1.3; Actual result: —; Evidence: —</t>
  </si>
  <si>
    <t>1. Seed isolated FSCM fixture with required SKU, retailer, warehouse, roles and state; record starting stock/payment/ledger snapshots.
2. Sign in as Sales; Administrator; perform scenario: Cancel eligible pre-dispatch order with reason.
3. Submit both the valid operation and the specified invalid/boundary input.
4. Compare response, persisted state, actor audit, once-only effects and unchanged records against the expected result.</t>
  </si>
  <si>
    <t>FT-019-N</t>
  </si>
  <si>
    <t>Cancel and release reservations where applicable</t>
  </si>
  <si>
    <t>Save offline order to local queue
Negative — No local storage permission/corrupted payload</t>
  </si>
  <si>
    <t>1. Seed isolated FSCM fixture with required SKU, retailer, warehouse, roles and state; record starting stock/payment/ledger snapshots.
2. Sign in as Sales; perform scenario: No local storage permission/corrupted payload.
3. Submit both the valid operation and the specified invalid/boundary input.
4. Compare response, persisted state, actor audit, once-only effects and unchanged records against the expected result.</t>
  </si>
  <si>
    <t>Show local persistence failure, not server success</t>
  </si>
  <si>
    <t>Type: Positive; Role: Sales; Administrator; Level: System / Integration
SRS v1.8 / BR: 3.6.4; BR-26
Test data: Cancel eligible pre-dispatch order with reason
Source: https://github.com/GFA26SE63/FSCM-Backend/blob/0f56f7099f07aa60d76673e6b6a57a2b606fb833/src/FSCM.API/Controllers/OrdersController.cs
Automation: Manual / candidate
Version: 1.3; Actual result: —; Evidence: —</t>
  </si>
  <si>
    <t>FT-017-N</t>
  </si>
  <si>
    <t>Type: Negative; Role: Sales; Level: System / Integration
SRS v1.8 / BR: 3.6.2; BR-23
Test data: No local storage permission/corrupted payload
Source: https://github.com/GFA26SE63/FSCM-Mobile/blob/2b5c4aa6591e1b2be65567964480df070100fbeb/lib/data/local/daos/offline_order_dao.dart
Automation: Manual / candidate
Version: 1.3; Actual result: —; Evidence: —</t>
  </si>
  <si>
    <t>Cancel order with evidence
Negative — Cancel already dispatched order</t>
  </si>
  <si>
    <t>FT-019-B</t>
  </si>
  <si>
    <t>Save offline order to local queue
Boundary — Duplicate device request identifier</t>
  </si>
  <si>
    <t>1. Seed isolated FSCM fixture with required SKU, retailer, warehouse, roles and state; record starting stock/payment/ledger snapshots.
2. Sign in as Sales; Administrator; perform scenario: Cancel already dispatched order.
3. Submit both the valid operation and the specified invalid/boundary input.
4. Compare response, persisted state, actor audit, once-only effects and unchanged records against the expected result.</t>
  </si>
  <si>
    <t>Block cancellation after any dispatch</t>
  </si>
  <si>
    <t>1. Seed isolated FSCM fixture with required SKU, retailer, warehouse, roles and state; record starting stock/payment/ledger snapshots.
2. Sign in as Sales; perform scenario: Duplicate device request identifier.
3. Submit both the valid operation and the specified invalid/boundary input.
4. Compare response, persisted state, actor audit, once-only effects and unchanged records against the expected result.</t>
  </si>
  <si>
    <t>Reuse same client key and avoid duplicate queue entries</t>
  </si>
  <si>
    <t>Type: Negative; Role: Sales; Administrator; Level: System / Integration
SRS v1.8 / BR: 3.6.4; BR-26
Test data: Cancel already dispatched order
Source: https://github.com/GFA26SE63/FSCM-Backend/blob/0f56f7099f07aa60d76673e6b6a57a2b606fb833/src/FSCM.API/Controllers/OrdersController.cs
Automation: Manual / candidate
Version: 1.3; Actual result: —; Evidence: —</t>
  </si>
  <si>
    <t>Type: Boundary; Role: Sales; Level: System / Integration
SRS v1.8 / BR: 3.6.2; BR-23
Test data: Duplicate device request identifier
Source: https://github.com/GFA26SE63/FSCM-Mobile/blob/2b5c4aa6591e1b2be65567964480df070100fbeb/lib/data/local/daos/offline_order_dao.dart
Automation: Manual / candidate
Version: 1.3; Actual result: —; Evidence: —</t>
  </si>
  <si>
    <t>FT-020-P</t>
  </si>
  <si>
    <t>FT-017-B</t>
  </si>
  <si>
    <t>Manual Send is required for locally saved offline order</t>
  </si>
  <si>
    <t>Cancel order with evidence
Boundary — Attempt cancellation without attachment</t>
  </si>
  <si>
    <t>1. Save offline draft; 2. Reconnect without action; 3. Confirm no server order; 4. Sales taps Send.</t>
  </si>
  <si>
    <t>Reconnection does not auto-submit drafts; explicit Sales Send validates current terms and creates one server order.</t>
  </si>
  <si>
    <t>1. Seed isolated FSCM fixture with required SKU, retailer, warehouse, roles and state; record starting stock/payment/ledger snapshots.
2. Sign in as Sales; Administrator; perform scenario: Attempt cancellation without attachment.
3. Submit both the valid operation and the specified invalid/boundary input.
4. Compare response, persisted state, actor audit, once-only effects and unchanged records against the expected result.</t>
  </si>
  <si>
    <t>Require cancellation evidence and audit trail</t>
  </si>
  <si>
    <t>Type: Positive; Role: Sales; Level: System / Integration
SRS v1.8 / BR: 3.6.2; BR-23–24
Test data: Reconnect with compatible cached price
Source: https://github.com/GFA26SE63/FSCM-Mobile/blob/2b5c4aa6591e1b2be65567964480df070100fbeb/lib/sync/sync_service.dart
Automation: Manual / candidate
Version: 1.3; Actual result: —; Evidence: —</t>
  </si>
  <si>
    <t>FT-020-N</t>
  </si>
  <si>
    <t>Changed price/MLOR/scope requires server conflict handling</t>
  </si>
  <si>
    <t>Type: Boundary; Role: Sales; Administrator; Level: System / Integration
SRS v1.8 / BR: 3.6.4; BR-26
Test data: Attempt cancellation without attachment
Source: https://github.com/GFA26SE63/FSCM-Backend/blob/0f56f7099f07aa60d76673e6b6a57a2b606fb833/src/FSCM.API/Controllers/OrdersController.cs
Automation: Manual / candidate
Version: 1.3; Actual result: —; Evidence: —</t>
  </si>
  <si>
    <t>1. Save draft; 2. Change base price, SKU MLOR or retailer assignment; 3. Tap Send.</t>
  </si>
  <si>
    <t>FT-018-P</t>
  </si>
  <si>
    <t>Price/MLOR changes require explicit confirmation; revoked retailer scope is rejected; no silent order acceptance.</t>
  </si>
  <si>
    <t>View scoped order history
Positive — Sales opens own group's order</t>
  </si>
  <si>
    <t>1. Seed isolated FSCM fixture with required SKU, retailer, warehouse, roles and state; record starting stock/payment/ledger snapshots.
2. Sign in as All permitted roles; perform scenario: Sales opens own group's order.
3. Submit both the valid operation and the specified invalid/boundary input.
4. Compare response, persisted state, actor audit, once-only effects and unchanged records against the expected result.</t>
  </si>
  <si>
    <t>Return authorized timeline and amounts</t>
  </si>
  <si>
    <t>Type: Negative; Role: Sales; Level: System / Integration
SRS v1.8 / BR: 3.6.2; BR-23–24
Test data: Server price or MLOR differs
Source: https://github.com/GFA26SE63/FSCM-Mobile/blob/2b5c4aa6591e1b2be65567964480df070100fbeb/lib/sync/sync_service.dart
Automation: Manual / candidate
Version: 1.3; Actual result: —; Evidence: —</t>
  </si>
  <si>
    <t>FT-020-B</t>
  </si>
  <si>
    <t>Replay identical payload; new key required after edit</t>
  </si>
  <si>
    <t>1. Send draft twice with same UUID/payload; 2. Edit payload and replay old key; 3. Send with new UUID.</t>
  </si>
  <si>
    <t>One server order for same key/payload; altered payload is rejected with old key and requires new key and revalidation.</t>
  </si>
  <si>
    <t>Type: Positive; Role: All permitted roles; Level: System / Integration
SRS v1.8 / BR: 3.6.5; BR-03
Test data: Sales opens own group's order
Source: https://github.com/GFA26SE63/FSCM-Backend/blob/0f56f7099f07aa60d76673e6b6a57a2b606fb833/src/FSCM.API/Controllers/OrdersController.cs
Automation: Manual / candidate
Version: 1.3; Actual result: —; Evidence: —</t>
  </si>
  <si>
    <t>FT-018-N</t>
  </si>
  <si>
    <t>View scoped order history
Negative — Retailer accesses another retailer's order</t>
  </si>
  <si>
    <t>1. Seed isolated FSCM fixture with required SKU, retailer, warehouse, roles and state; record starting stock/payment/ledger snapshots.
2. Sign in as All permitted roles; perform scenario: Retailer accesses another retailer's order.
3. Submit both the valid operation and the specified invalid/boundary input.
4. Compare response, persisted state, actor audit, once-only effects and unchanged records against the expected result.</t>
  </si>
  <si>
    <t>Return forbidden/not-found</t>
  </si>
  <si>
    <t>Type: Boundary; Role: Sales; Level: System / Integration
SRS v1.8 / BR: 3.6.2; BR-23–24
Test data: Re-submit same UUID after timeout
Source: https://github.com/GFA26SE63/FSCM-Mobile/blob/2b5c4aa6591e1b2be65567964480df070100fbeb/lib/sync/sync_service.dart
Automation: Manual / candidate
Version: 1.3; Actual result: —; Evidence: —</t>
  </si>
  <si>
    <t>FT-021-P</t>
  </si>
  <si>
    <t>Technical retry begins only after Sales initiates Send</t>
  </si>
  <si>
    <t>1. Reconnect and wait; 2. Tap Send; 3. Simulate timeout and technical retry.</t>
  </si>
  <si>
    <t>No draft sent on reconnect. Retries for already-initiated sends use same key/payload only.</t>
  </si>
  <si>
    <t>Type: Negative; Role: All permitted roles; Level: System / Integration
SRS v1.8 / BR: 3.6.5; BR-03
Test data: Retailer accesses another retailer's order
Source: https://github.com/GFA26SE63/FSCM-Backend/blob/0f56f7099f07aa60d76673e6b6a57a2b606fb833/src/FSCM.API/Controllers/OrdersController.cs
Automation: Manual / candidate
Version: 1.3; Actual result: —; Evidence: —</t>
  </si>
  <si>
    <t>FT-018-B</t>
  </si>
  <si>
    <t>View scoped order history
Boundary — No orders match filters</t>
  </si>
  <si>
    <t>1. Seed isolated FSCM fixture with required SKU, retailer, warehouse, roles and state; record starting stock/payment/ledger snapshots.
2. Sign in as All permitted roles; perform scenario: No orders match filters.
3. Submit both the valid operation and the specified invalid/boundary input.
4. Compare response, persisted state, actor audit, once-only effects and unchanged records against the expected result.</t>
  </si>
  <si>
    <t>Render empty state and stable pagination</t>
  </si>
  <si>
    <t>Type: Positive; Role: Sales; Level: System / Integration
SRS v1.8 / BR: 3.6.2; NFR Reliability
Test data: Automatic retry after backoff
Source: https://github.com/GFA26SE63/FSCM-Mobile/blob/2b5c4aa6591e1b2be65567964480df070100fbeb/lib/sync/sync_queue_logic.dart
Automation: Manual / candidate
Version: 1.3; Actual result: —; Evidence: —</t>
  </si>
  <si>
    <t>FT-021-N</t>
  </si>
  <si>
    <t>Retry failure preserves server-accepted conditions</t>
  </si>
  <si>
    <t>1. Start manual Send; simulate intermittent failures. 2. Change server price after acceptance. 3. Retry unchanged accepted payload/key.</t>
  </si>
  <si>
    <t>Retries use same key and confirmed payload, do not reset acceptance or create duplicate orders; hard conflicts require user action.</t>
  </si>
  <si>
    <t>Type: Boundary; Role: All permitted roles; Level: System / Integration
SRS v1.8 / BR: 3.6.5; BR-03
Test data: No orders match filters
Source: https://github.com/GFA26SE63/FSCM-Backend/blob/0f56f7099f07aa60d76673e6b6a57a2b606fb833/src/FSCM.API/Controllers/OrdersController.cs
Automation: Manual / candidate
Version: 1.3; Actual result: —; Evidence: —</t>
  </si>
  <si>
    <t>R5-TC-ORD-01</t>
  </si>
  <si>
    <t>Capture indicative Sales Order</t>
  </si>
  <si>
    <t>1. Submit online order; 2. Inspect allocations and physical/reserved.</t>
  </si>
  <si>
    <t>Pending review with indicative price; no batch allocation, PO, reservation or stock movement.</t>
  </si>
  <si>
    <t>Active assigned retailer and published products.
Test data: Sales account; two SKU lines.</t>
  </si>
  <si>
    <t>Type: Negative; Role: Sales; Level: System / Integration
SRS v1.8 / BR: 3.6.2; NFR Reliability
Test data: Retry during offline period
Source: https://github.com/GFA26SE63/FSCM-Mobile/blob/2b5c4aa6591e1b2be65567964480df070100fbeb/lib/sync/sync_queue_logic.dart
Automation: Manual / candidate
Version: 1.3; Actual result: —; Evidence: —</t>
  </si>
  <si>
    <t>FT-021-B</t>
  </si>
  <si>
    <t>Manual retry when automated attempts exhausted</t>
  </si>
  <si>
    <t>1. Exhaust bounded technical retries of explicitly submitted item. 2. Reconnect. 3. User taps Retry. 4. Inspect sequence and idempotency.</t>
  </si>
  <si>
    <t>Manual retry remains available, with exactly-once server effect; untouched drafts remain local.</t>
  </si>
  <si>
    <t>Requirement/Traceability: SRS v1.8 §3.6.1; AC-3.6.1-01; M05/WF01/TS01
Priority: P1; Level: Integration / System / Acceptance
Version: 1.3; Actual result: —; Evidence: —</t>
  </si>
  <si>
    <t>R5-TC-ORD-02</t>
  </si>
  <si>
    <t>Reject wrong retailer or step</t>
  </si>
  <si>
    <t>1. Submit wrong-scope retailer; 2. Submit invalid step.</t>
  </si>
  <si>
    <t>Both rejected; no order or inventory effects.</t>
  </si>
  <si>
    <t>Sales assigned to another sales group.
Test data: Wrong retailer; quantity 7 when step=5.</t>
  </si>
  <si>
    <t>Type: Boundary; Role: Sales; Level: System / Integration
SRS v1.8 / BR: 3.6.2; NFR Reliability
Test data: Manual retry after automatic limit
Source: https://github.com/GFA26SE63/FSCM-Mobile/blob/2b5c4aa6591e1b2be65567964480df070100fbeb/lib/sync/sync_queue_logic.dart
Automation: Manual / candidate
Version: 1.3; Actual result: —; Evidence: —</t>
  </si>
  <si>
    <t>R5-TC-OFF-01</t>
  </si>
  <si>
    <t>Reconnect does not send local drafts</t>
  </si>
  <si>
    <t>1. Reconnect; 2. Wait; 3. Inspect server/queue.</t>
  </si>
  <si>
    <t>Requirement/Traceability: SRS v1.8 §3.6.1; BR-23; M05/WF01/TS02
Priority: P1; Level: Integration / System / Acceptance
Version: 1.3; Actual result: —; Evidence: —</t>
  </si>
  <si>
    <t>Zero drafts uploaded until explicit Sales Send; local drafts remain Pending.</t>
  </si>
  <si>
    <t>R5-TC-ORD-03</t>
  </si>
  <si>
    <t>3 drafts cached offline.
Test data: Connectivity toggled from offline to online.</t>
  </si>
  <si>
    <t>Operator reviews before cutoff</t>
  </si>
  <si>
    <t>1. Operator approves; 2. Start 00:00 run.</t>
  </si>
  <si>
    <t>Order eligible for current run if server accepted before cutoff; review creates no reservation.</t>
  </si>
  <si>
    <t>Pending review order captured before cutoff.
Test data: Review at 23:59:59 ICT.</t>
  </si>
  <si>
    <t>Requirement/Traceability: SRS v1.8 §3.6.3; AC-3.6.3-01 (00:00 ICT); R5-04; M05/WF02/TS01
Priority: P1; Level: Integration / System / Acceptance
Version: 1.3; Actual result: —; Evidence: —</t>
  </si>
  <si>
    <t>R5-TC-ORD-04</t>
  </si>
  <si>
    <t>Reject unauthorized review and save reason</t>
  </si>
  <si>
    <t>Requirement/Traceability: SRS v1.8 §3.6.2; AC-3.6.2-01; R5-06; M06/WF01/TS01
Priority: P1; Level: Integration / System / Acceptance
Version: 1.3; Actual result: —; Evidence: —</t>
  </si>
  <si>
    <t>1. Submit unauthorized approve; 2. Operator rejects.</t>
  </si>
  <si>
    <t>R5-TC-OFF-02</t>
  </si>
  <si>
    <t>Sales denied; authorized rejection audited, reason preserved and order excluded.</t>
  </si>
  <si>
    <t>Sales manually sends unchanged draft</t>
  </si>
  <si>
    <t>Pending review order and Sales user.
Test data: Sales review attempt, Operator rejection with reason.</t>
  </si>
  <si>
    <t>1. Tap Send; 2. Replay same UUID and payload 10 times.</t>
  </si>
  <si>
    <t>Exactly one accepted server order, same order code on replay; no duplicates or priority changes.</t>
  </si>
  <si>
    <t>Draft cached and reconnect completed.
Test data: Valid draft and stable UUID.</t>
  </si>
  <si>
    <t>Requirement/Traceability: SRS v1.8 §3.6.3; M05/WF02/TS02
Priority: P1; Level: Integration / System / Acceptance
Version: 1.3; Actual result: —; Evidence: —</t>
  </si>
  <si>
    <t>Requirement/Traceability: SRS v1.8 §3.6.2; BR-23; R5-06; M06/WF01/TS02
Priority: P1; Level: Integration / System / Acceptance
Version: 1.3; Actual result: —; Evidence: —</t>
  </si>
  <si>
    <t>R5-TC-ORD-05</t>
  </si>
  <si>
    <t>R5-TC-OFF-03</t>
  </si>
  <si>
    <t>Cancel Sales Order with evidence</t>
  </si>
  <si>
    <t>Base price changes before manual Send</t>
  </si>
  <si>
    <t>1. Cancel permitted state; 2. Repeat; 3. Test after dispatch.</t>
  </si>
  <si>
    <t>1. Tap Send; 2. Review conflict; 3. Confirm updated conditions.</t>
  </si>
  <si>
    <t>Permitted cancellation releases held stock once and creates refund obligation if paid; invalid state rejected.</t>
  </si>
  <si>
    <t>No silent submit; Sales explicitly accepts current price before server order created.</t>
  </si>
  <si>
    <t>Cancelable order or approved quotation.
Test data: Attachment, cancellation reason and idempotency key.</t>
  </si>
  <si>
    <t>Cached price outdated.
Test data: Old 100,000 vs server 110,000.</t>
  </si>
  <si>
    <t>Requirement/Traceability: SRS v1.8 §3.6.4; AC-3.6.4-01; M05/WF03/TS01
Priority: P1; Level: Integration / System / Acceptance
Version: 1.3; Actual result: —; Evidence: —</t>
  </si>
  <si>
    <t>Requirement/Traceability: SRS v1.8 §3.6.2; AC-3.6.2-02; NFR-O04; M06/WF02/TS01
Priority: P1; Level: Integration / System / Acceptance
Version: 1.3; Actual result: —; Evidence: —</t>
  </si>
  <si>
    <t>R5-TC-OFF-04</t>
  </si>
  <si>
    <t>MLOR changes before submission</t>
  </si>
  <si>
    <t>1. Tap Send; 2. Observe conflict; 3. Reject or confirm.</t>
  </si>
  <si>
    <t>Until confirmation order not accepted; current effective MLOR applied after confirmation.</t>
  </si>
  <si>
    <t>SKU MLOR version updated while draft offline.
Test data: Cached MLOR=0.3; current=0.8.</t>
  </si>
  <si>
    <t>Run one daily allocation snapshot at 00:00 Asia/Ho_Chi_Minh using server acceptance + review strictly before cutoff. Use weighted fE/fD/fQ and all-or-nothing priority; equal-score tie-break is earliest expiry, shortest distance, lowest batch code; never swap earlier allocations. Validate P1/C1/P2 complete and SHORT returns pool.</t>
  </si>
  <si>
    <t>Requirement/Traceability: SRS v1.8 §3.6.2; NFR-O04; R5-06; M06/WF02/TS02
Priority: P1; Level: Integration / System / Acceptance
Version: 1.3; Actual result: —; Evidence: —</t>
  </si>
  <si>
    <t>R5-TC-OFF-05</t>
  </si>
  <si>
    <t>Retailer scope revoked while offline</t>
  </si>
  <si>
    <t>1. Send; 2. Attempt confirm.</t>
  </si>
  <si>
    <t>Server rejects unauthorized/inactive retailer; no order created even with old local cache.</t>
  </si>
  <si>
    <t>Assigned retailer becomes inactive/out of scope.
Test data: Draft for removed retailer.</t>
  </si>
  <si>
    <t>Requirement/Traceability: SRS v1.8 §3.6.2; NFR-O04; M06/WF02/TS03
Priority: P1; Level: Integration / System / Acceptance
Version: 1.3; Actual result: —; Evidence: —</t>
  </si>
  <si>
    <t>R5-TC-OFF-06</t>
  </si>
  <si>
    <t>Technical retry preserves accepted payload</t>
  </si>
  <si>
    <t>1. Submit; 2. Simulate lost response; 3. Retry automatic technical transport.</t>
  </si>
  <si>
    <t>Same acceptance/terms and server order returned; no duplicates or changed conditions.</t>
  </si>
  <si>
    <t>Explicit Send attempted but network fails after server commit.
Test data: Same key and bytes; retry/backoff.</t>
  </si>
  <si>
    <t>Requirement/Traceability: R5-06; BR-23; NFR-O03; M06/WF03/TS01
Priority: P1; Level: Integration / System / Acceptance
Version: 1.3; Actual result: —; Evidence: —</t>
  </si>
  <si>
    <t>R5-TC-OFF-07</t>
  </si>
  <si>
    <t>Edited draft requires new request key</t>
  </si>
  <si>
    <t>1. Reuse UUID-A with edited payload; 2. Generate UUID-B; 3. Send.</t>
  </si>
  <si>
    <t>Old key/payload mismatch rejected; edited action must use new UUID-B and fresh server validation.</t>
  </si>
  <si>
    <t>Earlier draft key used; user edits quantity.
Test data: UUID-A for old hash; UUID-B for edited payload.</t>
  </si>
  <si>
    <t>Requirement/Traceability: R5-06; SDD v1.8 Table 3.0 ID-2; R5-06; M06/WF03/TS02
Priority: P1; Level: Integration / System / Acceptance
Version: 1.3; Actual result: —; Evidence: —</t>
  </si>
  <si>
    <t>Allocation Engine — FSCM scenarios</t>
  </si>
  <si>
    <t>FT-022-P</t>
  </si>
  <si>
    <t>Daily allocation at 00:00 ICT with server timestamps</t>
  </si>
  <si>
    <t>1. Seed accepted/reviewed orders at 23:59:59 ICT. 2. Trigger run at 00:00. 3. Inspect snapshot and run business date.</t>
  </si>
  <si>
    <t>Include only orders both server-accepted and reviewed before 00:00 ICT; one immutable run snapshot per local business day.</t>
  </si>
  <si>
    <t>Type: Positive; Role: System Scheduler; Level: System / Integration
SRS v1.8 / BR: 3.7.1; BR-27–30
Test data: Eligible approved orders before 00:00 VN
Source: https://github.com/GFA26SE63/FSCM-Backend/blob/0f56f7099f07aa60d76673e6b6a57a2b606fb833/src/FSCM.Application/Features/AllocationRuns/AllocationRunService.cs
Automation: Manual / candidate
Version: 1.3; Actual result: —; Evidence: —</t>
  </si>
  <si>
    <t>FT-022-N</t>
  </si>
  <si>
    <t>Create daily allocation run
Negative — Execute same daily run twice</t>
  </si>
  <si>
    <t>1. Seed isolated FSCM fixture with required SKU, retailer, warehouse, roles and state; record starting stock/payment/ledger snapshots.
2. Sign in as System Scheduler; perform scenario: Execute same daily run twice.
3. Submit both the valid operation and the specified invalid/boundary input.
4. Compare response, persisted state, actor audit, once-only effects and unchanged records against the expected result.</t>
  </si>
  <si>
    <t>Return existing run without duplicate</t>
  </si>
  <si>
    <t>Type: Negative; Role: System Scheduler; Level: System / Integration
SRS v1.8 / BR: 3.7.1; BR-27–30
Test data: Execute same daily run twice
Source: https://github.com/GFA26SE63/FSCM-Backend/blob/0f56f7099f07aa60d76673e6b6a57a2b606fb833/src/FSCM.Application/Features/AllocationRuns/AllocationRunService.cs
Automation: Manual / candidate
Version: 1.3; Actual result: —; Evidence: —</t>
  </si>
  <si>
    <t>FT-022-B</t>
  </si>
  <si>
    <t>At-cutoff equality and month/year rollover</t>
  </si>
  <si>
    <t>1. Test acceptance/review at 23:59:59, 00:00:00 and 00:00:01 ICT. 2. Repeat at 31 Dec→1 Jan and month-end. 3. Vary device clocks.</t>
  </si>
  <si>
    <t>Strictly-before cutoff admits orders; equality/after and either late timestamp defer. ICT calendar and server times govern priority.</t>
  </si>
  <si>
    <t>Type: Boundary; Role: System Scheduler; Level: System / Integration
SRS v1.8 / BR: 3.7.1; BR-27–30
Test data: Order at exactly midnight VN
Source: https://github.com/GFA26SE63/FSCM-Backend/blob/0f56f7099f07aa60d76673e6b6a57a2b606fb833/src/FSCM.Application/Features/AllocationRuns/AllocationRunService.cs
Automation: Manual / candidate
Version: 1.3; Actual result: —; Evidence: —</t>
  </si>
  <si>
    <t>FT-023-P</t>
  </si>
  <si>
    <t>Apply FEFO–MLOR hard eligibility
Positive — Batch meets SKU/distance/expiry/MLOR</t>
  </si>
  <si>
    <t>1. Seed isolated FSCM fixture with required SKU, retailer, warehouse, roles and state; record starting stock/payment/ledger snapshots.
2. Sign in as System; perform scenario: Batch meets SKU/distance/expiry/MLOR.
3. Submit both the valid operation and the specified invalid/boundary input.
4. Compare response, persisted state, actor audit, once-only effects and unchanged records against the expected result.</t>
  </si>
  <si>
    <t>Keep eligible batch for scoring</t>
  </si>
  <si>
    <t>Type: Positive; Role: System; Level: System / Integration
SRS v1.8 / BR: 3.7.1; BR-31–32,61
Test data: Batch meets SKU/distance/expiry/MLOR
Source: https://github.com/GFA26SE63/FSCM-Backend/blob/0f56f7099f07aa60d76673e6b6a57a2b606fb833/src/FSCM.Application/Features/AllocationRuns/AllocationPlanner.cs
Automation: Manual / candidate
Version: 1.3; Actual result: —; Evidence: —</t>
  </si>
  <si>
    <t>FT-023-N</t>
  </si>
  <si>
    <t>Apply FEFO–MLOR hard eligibility
Negative — Batch expired or outside Dmax</t>
  </si>
  <si>
    <t>1. Seed isolated FSCM fixture with required SKU, retailer, warehouse, roles and state; record starting stock/payment/ledger snapshots.
2. Sign in as System; perform scenario: Batch expired or outside Dmax.
3. Submit both the valid operation and the specified invalid/boundary input.
4. Compare response, persisted state, actor audit, once-only effects and unchanged records against the expected result.</t>
  </si>
  <si>
    <t>Exclude ineligible batch and log reason</t>
  </si>
  <si>
    <t>Type: Negative; Role: System; Level: System / Integration
SRS v1.8 / BR: 3.7.1; BR-31–32,61
Test data: Batch expired or outside Dmax
Source: https://github.com/GFA26SE63/FSCM-Backend/blob/0f56f7099f07aa60d76673e6b6a57a2b606fb833/src/FSCM.Application/Features/AllocationRuns/AllocationPlanner.cs
Automation: Manual / candidate
Version: 1.3; Actual result: —; Evidence: —</t>
  </si>
  <si>
    <t>FT-023-B</t>
  </si>
  <si>
    <t>Apply FEFO–MLOR hard eligibility
Boundary — EXP−ETA exactly effective MLOR * shelf life</t>
  </si>
  <si>
    <t>1. Seed isolated FSCM fixture with required SKU, retailer, warehouse, roles and state; record starting stock/payment/ledger snapshots.
2. Sign in as System; perform scenario: EXP−ETA exactly effective MLOR * shelf life.
3. Submit both the valid operation and the specified invalid/boundary input.
4. Compare response, persisted state, actor audit, once-only effects and unchanged records against the expected result.</t>
  </si>
  <si>
    <t>Treat equality as eligible</t>
  </si>
  <si>
    <t>Type: Boundary; Role: System; Level: System / Integration
SRS v1.8 / BR: 3.7.1; BR-31–32,61
Test data: EXP−ETA exactly effective MLOR * shelf life
Source: https://github.com/GFA26SE63/FSCM-Backend/blob/0f56f7099f07aa60d76673e6b6a57a2b606fb833/src/FSCM.Application/Features/AllocationRuns/AllocationPlanner.cs
Automation: Manual / candidate
Version: 1.3; Actual result: —; Evidence: —</t>
  </si>
  <si>
    <t>FT-024-P</t>
  </si>
  <si>
    <t>No later-order batch swap after earlier order is satisfied</t>
  </si>
  <si>
    <t>1. Admit two ordered orders; 2. Allocate scarce batch; 3. Compare earlier allocations after later order.</t>
  </si>
  <si>
    <t>Earlier complete order retains allocation; later order becomes Short if pool exhausted; no batch reassignment.</t>
  </si>
  <si>
    <t>Type: Positive; Role: System; Level: System / Integration
SRS v1.8 / BR: 3.7.1; BR-33–34
Test data: Eligible near/far batches with quantities
Source: https://github.com/GFA26SE63/FSCM-Backend/blob/0f56f7099f07aa60d76673e6b6a57a2b606fb833/src/FSCM.Domain/Allocation/AllocationEngine.cs
Automation: Manual / candidate
Version: 1.3; Actual result: —; Evidence: —</t>
  </si>
  <si>
    <t>FT-024-N</t>
  </si>
  <si>
    <t>Score weighted batches and allocate
Negative — Candidate set empty</t>
  </si>
  <si>
    <t>1. Seed isolated FSCM fixture with required SKU, retailer, warehouse, roles and state; record starting stock/payment/ledger snapshots.
2. Sign in as System; perform scenario: Candidate set empty.
3. Submit both the valid operation and the specified invalid/boundary input.
4. Compare response, persisted state, actor audit, once-only effects and unchanged records against the expected result.</t>
  </si>
  <si>
    <t>Return shortage explanation</t>
  </si>
  <si>
    <t>Type: Negative; Role: System; Level: System / Integration
SRS v1.8 / BR: 3.7.1; BR-33–34
Test data: Candidate set empty
Source: https://github.com/GFA26SE63/FSCM-Backend/blob/0f56f7099f07aa60d76673e6b6a57a2b606fb833/src/FSCM.Domain/Allocation/AllocationEngine.cs
Automation: Manual / candidate
Version: 1.3; Actual result: —; Evidence: —</t>
  </si>
  <si>
    <t>FT-024-B</t>
  </si>
  <si>
    <t>Equal-score tie-break: expiry, distance, batch code</t>
  </si>
  <si>
    <t>1. Seed candidates with identical weighted scores but different expiry dates. 2. Equalize expiry and vary W1=5 km/W2=10 km. 3. Equalize both and vary batch code. 4. Re-run with same frozen seed.</t>
  </si>
  <si>
    <t>Apply tie-break ONLY after equal score: earliest expiry, then nearer warehouse, then ascending batch code; stable across reruns.</t>
  </si>
  <si>
    <t>Type: Boundary; Role: System; Level: System / Integration
SRS v1.8 / BR: 3.7.1; BR-33–34
Test data: Identical scores for two batches
Source: https://github.com/GFA26SE63/FSCM-Backend/blob/0f56f7099f07aa60d76673e6b6a57a2b606fb833/src/FSCM.Domain/Allocation/AllocationEngine.cs
Automation: Manual / candidate
Version: 1.3; Actual result: —; Evidence: —</t>
  </si>
  <si>
    <t>FT-025-P</t>
  </si>
  <si>
    <t>Reject partial fulfillment and return pool
Positive — Multiple lines fully fulfillable</t>
  </si>
  <si>
    <t>1. Seed isolated FSCM fixture with required SKU, retailer, warehouse, roles and state; record starting stock/payment/ledger snapshots.
2. Sign in as System; perform scenario: Multiple lines fully fulfillable.
3. Submit both the valid operation and the specified invalid/boundary input.
4. Compare response, persisted state, actor audit, once-only effects and unchanged records against the expected result.</t>
  </si>
  <si>
    <t>Keep complete order tentatively allocated</t>
  </si>
  <si>
    <t>Type: Positive; Role: System; Level: System / Integration
SRS v1.8 / BR: 3.7.1; BR-36
Test data: Multiple lines fully fulfillable
Source: https://github.com/GFA26SE63/FSCM-Backend/blob/0f56f7099f07aa60d76673e6b6a57a2b606fb833/src/FSCM.Application/Features/AllocationRuns/AllocationPlanner.cs
Automation: Manual / candidate
Version: 1.3; Actual result: —; Evidence: —</t>
  </si>
  <si>
    <t>FT-025-N</t>
  </si>
  <si>
    <t>Short order receives no allocation or retained resubmission priority</t>
  </si>
  <si>
    <t>1. Submit multi-line order with insufficient second SKU; 2. Inspect rollback; 3. Create new order.</t>
  </si>
  <si>
    <t>Return all tentative stock to shared pool; new order has new server timestamp/code and no reserved priority.</t>
  </si>
  <si>
    <t>Type: Negative; Role: System; Level: System / Integration
SRS v1.8 / BR: 3.7.1; BR-36
Test data: One required SKU insufficient
Source: https://github.com/GFA26SE63/FSCM-Backend/blob/0f56f7099f07aa60d76673e6b6a57a2b606fb833/src/FSCM.Application/Features/AllocationRuns/AllocationPlanner.cs
Automation: Manual / candidate
Version: 1.3; Actual result: —; Evidence: —</t>
  </si>
  <si>
    <t>FT-025-B</t>
  </si>
  <si>
    <t>Reject partial fulfillment and return pool
Boundary — Stock exactly equals order total</t>
  </si>
  <si>
    <t>1. Seed isolated FSCM fixture with required SKU, retailer, warehouse, roles and state; record starting stock/payment/ledger snapshots.
2. Sign in as System; perform scenario: Stock exactly equals order total.
3. Submit both the valid operation and the specified invalid/boundary input.
4. Compare response, persisted state, actor audit, once-only effects and unchanged records against the expected result.</t>
  </si>
  <si>
    <t>Allow exact total with zero remainder</t>
  </si>
  <si>
    <t>Type: Boundary; Role: System; Level: System / Integration
SRS v1.8 / BR: 3.7.1; BR-36
Test data: Stock exactly equals order total
Source: https://github.com/GFA26SE63/FSCM-Backend/blob/0f56f7099f07aa60d76673e6b6a57a2b606fb833/src/FSCM.Application/Features/AllocationRuns/AllocationPlanner.cs
Automation: Manual / candidate
Version: 1.3; Actual result: —; Evidence: —</t>
  </si>
  <si>
    <t>R5-TC-CUT-01</t>
  </si>
  <si>
    <t>00:00 cutoff acceptance/review 01</t>
  </si>
  <si>
    <t>Record server acceptance at 23:59:58 and Operator review at 23:59:59 ICT; trigger 00:00 run.</t>
  </si>
  <si>
    <t>Order included once in the run; server timestamps and priority key retained.</t>
  </si>
  <si>
    <t>Both server timestamps strictly before business-date cutoff (Asia/Ho_Chi_Minh).</t>
  </si>
  <si>
    <t>Verify Administrator approval or reasoned recalculation of the current priced allocation proposal. Reject stale versions and stock conflicts, reserve inventory atomically exactly once, and issue a versioned quotation without releasing PO/picking before acceptance and valid payment.</t>
  </si>
  <si>
    <t>Requirement/Traceability: Registration §3.2; R5-04 (00:00 ICT); M07/WF01/TS01
Priority: P1; Level: Integration / System / Acceptance
Version: 1.3; Actual result: —; Evidence: —</t>
  </si>
  <si>
    <t>R5-TC-CUT-02</t>
  </si>
  <si>
    <t>00:00 cutoff acceptance/review 02</t>
  </si>
  <si>
    <t>Record acceptance at exactly 00:00:00 ICT and earlier review in boundary fixture; trigger run.</t>
  </si>
  <si>
    <t>Order excluded from current run and queued for the next eligible business day.</t>
  </si>
  <si>
    <t>Acceptance=00:00:00; review=23:59:59; valid order fixture.</t>
  </si>
  <si>
    <t>Requirement/Traceability: Registration §3.2; R5-04 (00:00 ICT); M07/WF01/TS02
Priority: P1; Level: Integration / System / Acceptance
Version: 1.3; Actual result: —; Evidence: —</t>
  </si>
  <si>
    <t>R5-TC-CUT-03</t>
  </si>
  <si>
    <t>00:00 cutoff acceptance/review 03</t>
  </si>
  <si>
    <t>Record acceptance at 23:59:59 and review at exactly 00:00:00 ICT; trigger run.</t>
  </si>
  <si>
    <t>Order excluded from current run because review was not strictly before cutoff.</t>
  </si>
  <si>
    <t>Acceptance=23:59:59; review=00:00:00; valid order fixture.</t>
  </si>
  <si>
    <t>Requirement/Traceability: Registration §3.2; R5-04 (00:00 ICT); M07/WF01/TS03
Priority: P1; Level: Integration / System / Acceptance
Version: 1.3; Actual result: —; Evidence: —</t>
  </si>
  <si>
    <t>R5-TC-CUT-04</t>
  </si>
  <si>
    <t>00:00 cutoff acceptance/review 04</t>
  </si>
  <si>
    <t>Record both timestamps at 00:00:01 ICT; trigger current and next daily runs.</t>
  </si>
  <si>
    <t>No current-run admission; later admission occurs at the next permitted cutoff, without duplicates.</t>
  </si>
  <si>
    <t>Acceptance=00:00:01; review=00:00:01 on same business date.</t>
  </si>
  <si>
    <t>Requirement/Traceability: Registration §3.2; R5-04 (00:00 ICT); M07/WF01/TS04
Priority: P1; Level: Integration / System / Acceptance
Version: 1.3; Actual result: —; Evidence: —</t>
  </si>
  <si>
    <t>R5-TC-CUT-05</t>
  </si>
  <si>
    <t>00:00 cutoff acceptance/review 05</t>
  </si>
  <si>
    <t>Record both timestamps at 23:59:59 ICT; compare to otherwise identical exactly-00:00 order.</t>
  </si>
  <si>
    <t>23:59:59 order included and earlier in server priority; 00:00:00 order deferred.</t>
  </si>
  <si>
    <t>Both accepted/reviewed=23:59:59; comparison order at 00:00:00 ICT.</t>
  </si>
  <si>
    <t>Requirement/Traceability: Registration §3.2; R5-04 (00:00 ICT); M07/WF01/TS05
Priority: P1; Level: Integration / System / Acceptance
Version: 1.3; Actual result: —; Evidence: —</t>
  </si>
  <si>
    <t>R5-TC-CUT-06</t>
  </si>
  <si>
    <t>Month and year rollover ICT</t>
  </si>
  <si>
    <t>Test 31 Oct→1 Nov and 31 Dec→1 Jan at 23:59:59 and 00:00:00 ICT; validate UTC↔ICT conversion.</t>
  </si>
  <si>
    <t>Each run uses Vietnam business date; exactly one run per date; no UTC-boundary off-by-one admission.</t>
  </si>
  <si>
    <t>Vietnam timezone UTC+07; time fixtures across month/year boundaries.</t>
  </si>
  <si>
    <t>Requirement/Traceability: Registration §3.2; R5-04; M07/WF01/TS06
Priority: P1; Level: Integration / System / Acceptance
Version: 1.3; Actual result: —; Evidence: —</t>
  </si>
  <si>
    <t>R5-TC-CUT-07</t>
  </si>
  <si>
    <t>Device clock cannot influence priority</t>
  </si>
  <si>
    <t>Set device A clock ahead and B behind; accept on server at t1&lt;t2; run allocation and inspect ordering.</t>
  </si>
  <si>
    <t>Priority determined solely by server acceptance timestamp, then order code; local device clock ignored.</t>
  </si>
  <si>
    <t>Two valid approved Sales Orders; client timestamps contradict server acceptance order.</t>
  </si>
  <si>
    <t>Requirement/Traceability: Registration §3.2; R5-04; M07/WF01/TS07
Priority: P1; Level: Integration / System / Acceptance
Version: 1.3; Actual result: —; Evidence: —</t>
  </si>
  <si>
    <t>R5-TC-CUT-08</t>
  </si>
  <si>
    <t>One late timestamp causes deferral</t>
  </si>
  <si>
    <t>Construct acceptance-pre/review-late and acceptance-late/review-pre fixtures; execute 00:00 selection.</t>
  </si>
  <si>
    <t>Both deferred. Inclusion requires both server acceptance and review strictly before 00:00 ICT.</t>
  </si>
  <si>
    <t>Both fixtures with exactly one server timestamp at/after cutoff.</t>
  </si>
  <si>
    <t>Requirement/Traceability: Registration §3.2; R5-04; M07/WF01/TS08
Priority: P1; Level: Integration / System / Acceptance
Version: 1.3; Actual result: —; Evidence: —</t>
  </si>
  <si>
    <t>R5-TC-ALLOC-01</t>
  </si>
  <si>
    <t>Hard filters and MLOR at ETA</t>
  </si>
  <si>
    <t>Snapshot stock; filter expired, locked, wrong SKU, unreachable radius and below-MLOR batches; inspect trace.</t>
  </si>
  <si>
    <t>Only eligible batches scored. Every excluded candidate has reason; discount cannot change eligibility.</t>
  </si>
  <si>
    <t>Eligible and ineligible batches; configured service radius/ETA and effective MLOR.</t>
  </si>
  <si>
    <t>Requirement/Traceability: Registration §3.2; SRS v1.8 §3.7.1; AC-3.7.1-01; M07/WF02/TS01
Priority: P1; Level: Integration / System / Acceptance
Version: 1.3; Actual result: —; Evidence: —</t>
  </si>
  <si>
    <t>R5-TC-ALLOC-02</t>
  </si>
  <si>
    <t>No later-order batch swapping</t>
  </si>
  <si>
    <t>Plan two accepted orders needing the same ten units; check first result after processing later order.</t>
  </si>
  <si>
    <t>Earlier complete order keeps batch; later is Short; no reassignment/batch swapping to favor a later order.</t>
  </si>
  <si>
    <t>Earlier qty=10; later qty=10; usable pool=10; one batch.</t>
  </si>
  <si>
    <t>Requirement/Traceability: Registration §3.2; R5-04; M07/WF02/TS02
Priority: P1; Level: Integration / System / Acceptance
Version: 1.3; Actual result: —; Evidence: —</t>
  </si>
  <si>
    <t>R5-TC-ALLOC-03</t>
  </si>
  <si>
    <t>F3 P1/C1/P2 complete; SHORT all-or-nothing rollback</t>
  </si>
  <si>
    <t>1. Seed F3 four usable batches total 30 cartons across W1/W2 plus locked and expired excluded. 2. Submit server accepted SOs P1=09:00, C1=09:05, P2=09:10, SHORT=09:15, all approved before 00:00 cutoff. 3. Run weighted allocation with correct MLOR. 4. Examine all warehouse/batch fragments and temporary pool.</t>
  </si>
  <si>
    <t>P1, C1, P2 are complete in priority order. SHORT remains Short with ZERO assigned stock and all its tentative draws returned. No swapping P1/C1/P2 allocations.</t>
  </si>
  <si>
    <t>Five Main Flows F2/F3 example data; SKU_A/B, R1 MLOR30%, R2 SKU_A MLOR80%, W1/W2 distance 5/10km; same business date.</t>
  </si>
  <si>
    <t>Requirement/Traceability: Registration §3.2; SRS v1.8 §3.7.1; M07/WF02/TS03
Priority: P1; Level: Integration / System / Acceptance
Version: 1.3; Actual result: —; Evidence: —</t>
  </si>
  <si>
    <t>R5-TC-ALLOC-04</t>
  </si>
  <si>
    <t>Short resubmit gets new priority</t>
  </si>
  <si>
    <t>Finalize a Short order, choose Create New Order, submit new order after cutoff; compare priorities.</t>
  </si>
  <si>
    <t>Short order retains no allocation or priority; replacement is a new Sales Order with new acceptance timestamp/code after older orders.</t>
  </si>
  <si>
    <t>Original accepted t1, shortage outcome; replacement accepted t2; older unrelated order t_mid.</t>
  </si>
  <si>
    <t>Requirement/Traceability: Registration §4 exclusions; R5-04; M07/WF02/TS04
Priority: P1; Level: Integration / System / Acceptance
Version: 1.3; Actual result: —; Evidence: —</t>
  </si>
  <si>
    <t>R5-TC-ALLOC-05</t>
  </si>
  <si>
    <t>Weighted scoring tie-break F3 deterministic precedence</t>
  </si>
  <si>
    <t>1. Freeze eligible batch pool and weights fE=.5 fD=.3 fQ=.2. 2. Construct three equal-score candidates; vary expiry/distance/code one factor at a time. 3. Compare chosen trace with ordered tie factors.</t>
  </si>
  <si>
    <t>Equal-score ordering is earlier expiry -&gt; smaller distance -&gt; ascending batch code; never force FEFO before weighted score differs.</t>
  </si>
  <si>
    <t>Fixed scoring weights, eligible pool, tie-breaking batch codes.</t>
  </si>
  <si>
    <t>Requirement/Traceability: SRS v1.8 §3.7.1; BR-17–19; M07/WF02/TS05
Priority: P1; Level: Integration / System / Acceptance
Version: 1.3; Actual result: —; Evidence: —</t>
  </si>
  <si>
    <t>R5-TC-ALLOC-06</t>
  </si>
  <si>
    <t>Approval creates reservation only once</t>
  </si>
  <si>
    <t>Plan version V1; approve with stale version then retry after stock was reduced; verify rollback.</t>
  </si>
  <si>
    <t>Conflicting approval fails atomically; no partial reservation, price rewrite or duplicate audit.</t>
  </si>
  <si>
    <t>Verify warehouse goods receipts record valid SKU, lot, production/expiry and quantity data; inventory increases only after authorized approval. Reject ineligible products and merge matching warehouse/SKU/expiry stock without duplicate ledger effects.</t>
  </si>
  <si>
    <t>Two concurrent Admin sessions; stale proposal version or insufficient remaining stock.</t>
  </si>
  <si>
    <t>Requirement/Traceability: SRS v1.8 §3.7.2; AC-3.7.2-01; M07/WF03/TS01
Priority: P1; Level: Integration / System / Acceptance
Version: 1.3; Actual result: —; Evidence: —</t>
  </si>
  <si>
    <t>R5-TC-ALLOC-07</t>
  </si>
  <si>
    <t>Quote release follows approved price</t>
  </si>
  <si>
    <t>Approve priced plan; issue quotation; ensure no PO/picking before Retailer acceptance and valid payment choice.</t>
  </si>
  <si>
    <t>Reservations only after Admin approval; quote price/version and deadline immutable; PO and picking created only after valid quotation response/payment gate.</t>
  </si>
  <si>
    <t>Approved allocation and batch prices; Retailer with allowed payment options.</t>
  </si>
  <si>
    <t>Requirement/Traceability: SRS v1.8 §3.6.6/§3.7.2; BR-51/72; M07/WF03/TS02
Priority: P1; Level: Integration / System / Acceptance
Version: 1.3; Actual result: —; Evidence: —</t>
  </si>
  <si>
    <t>R5-TC-ALLOC-08</t>
  </si>
  <si>
    <t>Strict FEFO benchmark same inputs</t>
  </si>
  <si>
    <t>Run weighted vs strict FEFO on identical frozen eligible stock/order inputs; compare per-run output metrics.</t>
  </si>
  <si>
    <t>Report complete/short counts, near-expiry quantity, distance, warehouses/order and runtime; preserve all-or-nothing; no global-optimum claim.</t>
  </si>
  <si>
    <t>300 orders × 5 lines; 20,000 batches; 5 warehouses; identical scoring filters and priority.</t>
  </si>
  <si>
    <t>Allocation Approval — FSCM scenarios</t>
  </si>
  <si>
    <t>Requirement/Traceability: Registration §3.2; SRS NFR-D06; R5-11; M07/WF04/TS01
Priority: P1; Level: Integration / System / Acceptance
Version: 1.3; Actual result: —; Evidence: —</t>
  </si>
  <si>
    <t>R5-TC-ALLOC-09</t>
  </si>
  <si>
    <t>FT-026-P</t>
  </si>
  <si>
    <t>Reject run repeat and stale plan</t>
  </si>
  <si>
    <t>Review proposal and recalculate
Positive — Review current proposal revision</t>
  </si>
  <si>
    <t>Invoke same daily run twice; replay approval using stale proposal; verify immutable version and stock ledger.</t>
  </si>
  <si>
    <t>Second trigger joins existing business-day run; no double reservation, extra order priority or duplicate posting.</t>
  </si>
  <si>
    <t>1. Seed isolated FSCM fixture with required SKU, retailer, warehouse, roles and state; record starting stock/payment/ledger snapshots.
2. Sign in as Administrator; perform scenario: Review current proposal revision.
3. Submit both the valid operation and the specified invalid/boundary input.
4. Compare response, persisted state, actor audit, once-only effects and unchanged records against the expected result.</t>
  </si>
  <si>
    <t>Previously closed approved run for one ICT date.</t>
  </si>
  <si>
    <t>Record approval or reasoned recalculation</t>
  </si>
  <si>
    <t>Requirement/Traceability: SRS v1.8 §3.7.2; BR-38; M07/WF03/TS03
Priority: P1; Level: Integration / System / Acceptance
Version: 1.3; Actual result: —; Evidence: —</t>
  </si>
  <si>
    <t>Type: Positive; Role: Administrator; Level: System / Integration
SRS v1.8 / BR: 3.7.2; BR-37–40
Test data: Review current proposal revision
Source: https://github.com/GFA26SE63/FSCM-Backend/blob/0f56f7099f07aa60d76673e6b6a57a2b606fb833/src/FSCM.Application/Features/AllocationRuns/AllocationPlanApprovalService.cs
Automation: Manual / candidate
Version: 1.3; Actual result: —; Evidence: —</t>
  </si>
  <si>
    <t>FT-026-N</t>
  </si>
  <si>
    <t>Review proposal and recalculate
Negative — Approve stale proposal version</t>
  </si>
  <si>
    <t>1. Seed isolated FSCM fixture with required SKU, retailer, warehouse, roles and state; record starting stock/payment/ledger snapshots.
2. Sign in as Administrator; perform scenario: Approve stale proposal version.
3. Submit both the valid operation and the specified invalid/boundary input.
4. Compare response, persisted state, actor audit, once-only effects and unchanged records against the expected result.</t>
  </si>
  <si>
    <t>Refuse stale version</t>
  </si>
  <si>
    <t>Type: Negative; Role: Administrator; Level: System / Integration
SRS v1.8 / BR: 3.7.2; BR-37–40
Test data: Approve stale proposal version
Source: https://github.com/GFA26SE63/FSCM-Backend/blob/0f56f7099f07aa60d76673e6b6a57a2b606fb833/src/FSCM.Application/Features/AllocationRuns/AllocationPlanApprovalService.cs
Automation: Manual / candidate
Version: 1.3; Actual result: —; Evidence: —</t>
  </si>
  <si>
    <t>FT-026-B</t>
  </si>
  <si>
    <t>Review proposal and recalculate
Boundary — Request recalculation without reason</t>
  </si>
  <si>
    <t>1. Seed isolated FSCM fixture with required SKU, retailer, warehouse, roles and state; record starting stock/payment/ledger snapshots.
2. Sign in as Administrator; perform scenario: Request recalculation without reason.
3. Submit both the valid operation and the specified invalid/boundary input.
4. Compare response, persisted state, actor audit, once-only effects and unchanged records against the expected result.</t>
  </si>
  <si>
    <t>Require rationale and preserve revision chain</t>
  </si>
  <si>
    <t>Type: Boundary; Role: Administrator; Level: System / Integration
SRS v1.8 / BR: 3.7.2; BR-37–40
Test data: Request recalculation without reason
Source: https://github.com/GFA26SE63/FSCM-Backend/blob/0f56f7099f07aa60d76673e6b6a57a2b606fb833/src/FSCM.Application/Features/AllocationRuns/AllocationPlanApprovalService.cs
Automation: Manual / candidate
Version: 1.3; Actual result: —; Evidence: —</t>
  </si>
  <si>
    <t>FT-027-P</t>
  </si>
  <si>
    <t>Admin plan and final batch price approval reserves once</t>
  </si>
  <si>
    <t>1. Plan and approve allocation price version. 2. Verify atomic reservation. 3. Inspect quotation lifecycle before Retailer acceptance/payment.</t>
  </si>
  <si>
    <t>Approval only reserves stock and publishes versioned quotation; PO and picking release wait for retailer quotation acceptance and valid prepaid/deferred conversion.</t>
  </si>
  <si>
    <t>Type: Positive; Role: Administrator; System; Level: System / Integration
SRS v1.8 / BR: 3.7.2; BR-38,41
Test data: Approve unchanged eligible proposal
Source: https://github.com/GFA26SE63/FSCM-Backend/blob/0f56f7099f07aa60d76673e6b6a57a2b606fb833/src/FSCM.Application/Features/AllocationRuns/AllocationReservationService.cs
Automation: Manual / candidate
Version: 1.3; Actual result: —; Evidence: —</t>
  </si>
  <si>
    <t>FT-027-N</t>
  </si>
  <si>
    <t>Commit reservation transactionally
Negative — Inventory altered since snapshot</t>
  </si>
  <si>
    <t>1. Seed isolated FSCM fixture with required SKU, retailer, warehouse, roles and state; record starting stock/payment/ledger snapshots.
2. Sign in as Administrator; System; perform scenario: Inventory altered since snapshot.
3. Submit both the valid operation and the specified invalid/boundary input.
4. Compare response, persisted state, actor audit, once-only effects and unchanged records against the expected result.</t>
  </si>
  <si>
    <t>Rollback full commit on conflict</t>
  </si>
  <si>
    <t>Type: Negative; Role: Administrator; System; Level: System / Integration
SRS v1.8 / BR: 3.7.2; BR-38,41
Test data: Inventory altered since snapshot
Source: https://github.com/GFA26SE63/FSCM-Backend/blob/0f56f7099f07aa60d76673e6b6a57a2b606fb833/src/FSCM.Application/Features/AllocationRuns/AllocationReservationService.cs
Automation: Manual / candidate
Version: 1.3; Actual result: —; Evidence: —</t>
  </si>
  <si>
    <t>FT-027-B</t>
  </si>
  <si>
    <t>Retry approval is idempotent without PO/picking</t>
  </si>
  <si>
    <t>1. Re-send same plan approval. 2. Inspect ledger/reservations/quotes/PO/picking counts.</t>
  </si>
  <si>
    <t>One reservation and one approved quote version; no PO or picking before payment-method/PO gate.</t>
  </si>
  <si>
    <t>Type: Boundary; Role: Administrator; System; Level: System / Integration
SRS v1.8 / BR: 3.7.2; BR-38,41
Test data: Repeat identical approval request
Source: https://github.com/GFA26SE63/FSCM-Backend/blob/0f56f7099f07aa60d76673e6b6a57a2b606fb833/src/FSCM.Application/Features/AllocationRuns/AllocationReservationService.cs
Automation: Manual / candidate
Version: 1.3; Actual result: —; Evidence: —</t>
  </si>
  <si>
    <t>Goods Receipts — FSCM scenarios</t>
  </si>
  <si>
    <t>FT-028-P</t>
  </si>
  <si>
    <t>Create goods receipt and approve stock-in
Positive — Valid product/batch/expiry and approved receipt</t>
  </si>
  <si>
    <t>1. Seed isolated FSCM fixture with required SKU, retailer, warehouse, roles and state; record starting stock/payment/ledger snapshots.
2. Sign in as Warehouse Keeper; Administrator; perform scenario: Valid product/batch/expiry and approved receipt.
3. Submit both the valid operation and the specified invalid/boundary input.
4. Compare response, persisted state, actor audit, once-only effects and unchanged records against the expected result.</t>
  </si>
  <si>
    <t>Increase inventory only on approval</t>
  </si>
  <si>
    <t>Type: Positive; Role: Warehouse Keeper; Administrator; Level: System / Integration
SRS v1.8 / BR: 3.8.1; BR-09,42
Test data: Valid product/batch/expiry and approved receipt
Source: https://github.com/GFA26SE63/FSCM-Backend/blob/0f56f7099f07aa60d76673e6b6a57a2b606fb833/src/FSCM.Application/Features/Inventory/InventoryService.cs
Automation: Manual / candidate
Version: 1.3; Actual result: —; Evidence: —</t>
  </si>
  <si>
    <t>FT-028-N</t>
  </si>
  <si>
    <t>Create goods receipt and approve stock-in
Negative — Receive Draft/Inactive product</t>
  </si>
  <si>
    <t>1. Seed isolated FSCM fixture with required SKU, retailer, warehouse, roles and state; record starting stock/payment/ledger snapshots.
2. Sign in as Warehouse Keeper; Administrator; perform scenario: Receive Draft/Inactive product.
3. Submit both the valid operation and the specified invalid/boundary input.
4. Compare response, persisted state, actor audit, once-only effects and unchanged records against the expected result.</t>
  </si>
  <si>
    <t>Block ineligible SKU / bad data</t>
  </si>
  <si>
    <t>Type: Negative; Role: Warehouse Keeper; Administrator; Level: System / Integration
SRS v1.8 / BR: 3.8.1; BR-09,42
Test data: Receive Draft/Inactive product
Source: https://github.com/GFA26SE63/FSCM-Backend/blob/0f56f7099f07aa60d76673e6b6a57a2b606fb833/src/FSCM.Application/Features/Inventory/InventoryService.cs
Automation: Manual / candidate
Version: 1.3; Actual result: —; Evidence: —</t>
  </si>
  <si>
    <t>FT-028-B</t>
  </si>
  <si>
    <t>Create goods receipt and approve stock-in
Boundary — Same warehouse+SKU+expiry already exists</t>
  </si>
  <si>
    <t>1. Seed isolated FSCM fixture with required SKU, retailer, warehouse, roles and state; record starting stock/payment/ledger snapshots.
2. Sign in as Warehouse Keeper; Administrator; perform scenario: Same warehouse+SKU+expiry already exists.
3. Submit both the valid operation and the specified invalid/boundary input.
4. Compare response, persisted state, actor audit, once-only effects and unchanged records against the expected result.</t>
  </si>
  <si>
    <t>Merge stock into same batch identity</t>
  </si>
  <si>
    <t>Verify warehouse-scoped OnHand, Reserved, Locked and Available balances, expiry detection, inventory locks and approved write-offs. Reject unauthorized reads, expired allocation, negative/over-limit movements and premature deductions; preserve QR-label quantity lineage.</t>
  </si>
  <si>
    <t>Type: Boundary; Role: Warehouse Keeper; Administrator; Level: System / Integration
SRS v1.8 / BR: 3.8.1; BR-09,42
Test data: Same warehouse+SKU+expiry already exists
Source: https://github.com/GFA26SE63/FSCM-Backend/blob/0f56f7099f07aa60d76673e6b6a57a2b606fb833/src/FSCM.Application/Features/Inventory/InventoryService.cs
Automation: Manual / candidate
Version: 1.3; Actual result: —; Evidence: —</t>
  </si>
  <si>
    <t>Warehouse Inventory — FSCM scenarios</t>
  </si>
  <si>
    <t>FT-029-P</t>
  </si>
  <si>
    <t>View warehouse batch and stock
Positive — Read own assigned warehouse</t>
  </si>
  <si>
    <t>1. Seed isolated FSCM fixture with required SKU, retailer, warehouse, roles and state; record starting stock/payment/ledger snapshots.
2. Sign in as Warehouse Keeper; Administrator; perform scenario: Read own assigned warehouse.
3. Submit both the valid operation and the specified invalid/boundary input.
4. Compare response, persisted state, actor audit, once-only effects and unchanged records against the expected result.</t>
  </si>
  <si>
    <t>Return OnHand/Reserved/Available accurately</t>
  </si>
  <si>
    <t>Type: Positive; Role: Warehouse Keeper; Administrator; Level: System / Integration
SRS v1.8 / BR: 3.8.2; BR-41
Test data: Read own assigned warehouse
Source: https://github.com/GFA26SE63/FSCM-Backend/blob/0f56f7099f07aa60d76673e6b6a57a2b606fb833/src/FSCM.API/Controllers/InventoryController.cs
Automation: Manual / candidate
Version: 1.3; Actual result: —; Evidence: —</t>
  </si>
  <si>
    <t>FT-029-N</t>
  </si>
  <si>
    <t>View warehouse batch and stock
Negative — Warehouse Keeper queries unauthorized warehouse</t>
  </si>
  <si>
    <t>1. Seed isolated FSCM fixture with required SKU, retailer, warehouse, roles and state; record starting stock/payment/ledger snapshots.
2. Sign in as Warehouse Keeper; Administrator; perform scenario: Warehouse Keeper queries unauthorized warehouse.
3. Submit both the valid operation and the specified invalid/boundary input.
4. Compare response, persisted state, actor audit, once-only effects and unchanged records against the expected result.</t>
  </si>
  <si>
    <t>Block access outside warehouse</t>
  </si>
  <si>
    <t>Type: Negative; Role: Warehouse Keeper; Administrator; Level: System / Integration
SRS v1.8 / BR: 3.8.2; BR-41
Test data: Warehouse Keeper queries unauthorized warehouse
Source: https://github.com/GFA26SE63/FSCM-Backend/blob/0f56f7099f07aa60d76673e6b6a57a2b606fb833/src/FSCM.API/Controllers/InventoryController.cs
Automation: Manual / candidate
Version: 1.3; Actual result: —; Evidence: —</t>
  </si>
  <si>
    <t>FT-029-B</t>
  </si>
  <si>
    <t>View warehouse batch and stock
Boundary — Reserved equals OnHand</t>
  </si>
  <si>
    <t>1. Seed isolated FSCM fixture with required SKU, retailer, warehouse, roles and state; record starting stock/payment/ledger snapshots.
2. Sign in as Warehouse Keeper; Administrator; perform scenario: Reserved equals OnHand.
3. Submit both the valid operation and the specified invalid/boundary input.
4. Compare response, persisted state, actor audit, once-only effects and unchanged records against the expected result.</t>
  </si>
  <si>
    <t>Available is zero and not negative</t>
  </si>
  <si>
    <t>Type: Boundary; Role: Warehouse Keeper; Administrator; Level: System / Integration
SRS v1.8 / BR: 3.8.2; BR-41
Test data: Reserved equals OnHand
Source: https://github.com/GFA26SE63/FSCM-Backend/blob/0f56f7099f07aa60d76673e6b6a57a2b606fb833/src/FSCM.API/Controllers/InventoryController.cs
Automation: Manual / candidate
Version: 1.3; Actual result: —; Evidence: —</t>
  </si>
  <si>
    <t>FT-030-P</t>
  </si>
  <si>
    <t>Detect expiry and inventory lock
Positive — Nightly scan sees expired batch</t>
  </si>
  <si>
    <t>1. Seed isolated FSCM fixture with required SKU, retailer, warehouse, roles and state; record starting stock/payment/ledger snapshots.
2. Sign in as System; perform scenario: Nightly scan sees expired batch.
3. Submit both the valid operation and the specified invalid/boundary input.
4. Compare response, persisted state, actor audit, once-only effects and unchanged records against the expected result.</t>
  </si>
  <si>
    <t>Mark expired and prevent issue</t>
  </si>
  <si>
    <t>Type: Positive; Role: System; Level: System / Integration
SRS v1.8 / BR: 3.8.2; BR-43
Test data: Nightly scan sees expired batch
Source: https://github.com/GFA26SE63/FSCM-Backend/blob/0f56f7099f07aa60d76673e6b6a57a2b606fb833/src/FSCM.Application/Features/Inventory/InventoryExpirySweepService.cs
Automation: Manual / candidate
Version: 1.3; Actual result: —; Evidence: —</t>
  </si>
  <si>
    <t>FT-030-N</t>
  </si>
  <si>
    <t>Detect expiry and inventory lock
Negative — Expired batch offered to allocation</t>
  </si>
  <si>
    <t>1. Seed isolated FSCM fixture with required SKU, retailer, warehouse, roles and state; record starting stock/payment/ledger snapshots.
2. Sign in as System; perform scenario: Expired batch offered to allocation.
3. Submit both the valid operation and the specified invalid/boundary input.
4. Compare response, persisted state, actor audit, once-only effects and unchanged records against the expected result.</t>
  </si>
  <si>
    <t>Reject expired stock candidate</t>
  </si>
  <si>
    <t>Type: Negative; Role: System; Level: System / Integration
SRS v1.8 / BR: 3.8.2; BR-43
Test data: Expired batch offered to allocation
Source: https://github.com/GFA26SE63/FSCM-Backend/blob/0f56f7099f07aa60d76673e6b6a57a2b606fb833/src/FSCM.Application/Features/Inventory/InventoryExpirySweepService.cs
Automation: Manual / candidate
Version: 1.3; Actual result: —; Evidence: —</t>
  </si>
  <si>
    <t>FT-030-B</t>
  </si>
  <si>
    <t>Detect expiry and inventory lock
Boundary — Expiry exactly today</t>
  </si>
  <si>
    <t>1. Seed isolated FSCM fixture with required SKU, retailer, warehouse, roles and state; record starting stock/payment/ledger snapshots.
2. Sign in as System; perform scenario: Expiry exactly today.
3. Submit both the valid operation and the specified invalid/boundary input.
4. Compare response, persisted state, actor audit, once-only effects and unchanged records against the expected result.</t>
  </si>
  <si>
    <t>Apply configured boundary rule with traceable status</t>
  </si>
  <si>
    <t>Type: Boundary; Role: System; Level: System / Integration
SRS v1.8 / BR: 3.8.2; BR-43
Test data: Expiry exactly today
Source: https://github.com/GFA26SE63/FSCM-Backend/blob/0f56f7099f07aa60d76673e6b6a57a2b606fb833/src/FSCM.Application/Features/Inventory/InventoryExpirySweepService.cs
Automation: Manual / candidate
Version: 1.3; Actual result: —; Evidence: —</t>
  </si>
  <si>
    <t>FT-031-P</t>
  </si>
  <si>
    <t>Write-off unusable quantity
Positive — Authorized write-off with reason/evidence</t>
  </si>
  <si>
    <t>1. Seed isolated FSCM fixture with required SKU, retailer, warehouse, roles and state; record starting stock/payment/ledger snapshots.
2. Sign in as Warehouse Keeper; Administrator; perform scenario: Authorized write-off with reason/evidence.
3. Submit both the valid operation and the specified invalid/boundary input.
4. Compare response, persisted state, actor audit, once-only effects and unchanged records against the expected result.</t>
  </si>
  <si>
    <t>Reduce only approved affected stock with audit</t>
  </si>
  <si>
    <t>Type: Positive; Role: Warehouse Keeper; Administrator; Level: System / Integration
SRS v1.8 / BR: 3.8.3; BR-44
Test data: Authorized write-off with reason/evidence
Source: https://github.com/GFA26SE63/FSCM-Backend/blob/0f56f7099f07aa60d76673e6b6a57a2b606fb833/src/FSCM.Application/Features/Inventory/InventoryLockService.cs
Automation: Manual / candidate
Version: 1.3; Actual result: —; Evidence: —</t>
  </si>
  <si>
    <t>FT-031-N</t>
  </si>
  <si>
    <t>Write-off unusable quantity
Negative — Remove stock before approval</t>
  </si>
  <si>
    <t>1. Seed isolated FSCM fixture with required SKU, retailer, warehouse, roles and state; record starting stock/payment/ledger snapshots.
2. Sign in as Warehouse Keeper; Administrator; perform scenario: Remove stock before approval.
3. Submit both the valid operation and the specified invalid/boundary input.
4. Compare response, persisted state, actor audit, once-only effects and unchanged records against the expected result.</t>
  </si>
  <si>
    <t>Keep inventory unchanged while pending</t>
  </si>
  <si>
    <t>Verify picking lists are issued once per warehouse only after valid Purchase Order conversion. Validate QR batch/warehouse scans and order splits, complete readiness, and dispatch blocks for missing prepaid verification, open locks or picking exceptions despite Ready flags.</t>
  </si>
  <si>
    <t>Type: Negative; Role: Warehouse Keeper; Administrator; Level: System / Integration
SRS v1.8 / BR: 3.8.3; BR-44
Test data: Remove stock before approval
Source: https://github.com/GFA26SE63/FSCM-Backend/blob/0f56f7099f07aa60d76673e6b6a57a2b606fb833/src/FSCM.Application/Features/Inventory/InventoryLockService.cs
Automation: Manual / candidate
Version: 1.3; Actual result: —; Evidence: —</t>
  </si>
  <si>
    <t>FT-031-B</t>
  </si>
  <si>
    <t>Write-off unusable quantity
Boundary — Write-off exceeds available quantity</t>
  </si>
  <si>
    <t>1. Seed isolated FSCM fixture with required SKU, retailer, warehouse, roles and state; record starting stock/payment/ledger snapshots.
2. Sign in as Warehouse Keeper; Administrator; perform scenario: Write-off exceeds available quantity.
3. Submit both the valid operation and the specified invalid/boundary input.
4. Compare response, persisted state, actor audit, once-only effects and unchanged records against the expected result.</t>
  </si>
  <si>
    <t>Reject invalid or over-limit quantity</t>
  </si>
  <si>
    <t>Type: Boundary; Role: Warehouse Keeper; Administrator; Level: System / Integration
SRS v1.8 / BR: 3.8.3; BR-44
Test data: Write-off exceeds available quantity
Source: https://github.com/GFA26SE63/FSCM-Backend/blob/0f56f7099f07aa60d76673e6b6a57a2b606fb833/src/FSCM.Application/Features/Inventory/InventoryLockService.cs
Automation: Manual / candidate
Version: 1.3; Actual result: —; Evidence: —</t>
  </si>
  <si>
    <t>FT-032-P</t>
  </si>
  <si>
    <t>Generate and split batch QR label
Positive — Create and split eligible quantity label</t>
  </si>
  <si>
    <t>1. Seed isolated FSCM fixture with required SKU, retailer, warehouse, roles and state; record starting stock/payment/ledger snapshots.
2. Sign in as Warehouse Keeper; perform scenario: Create and split eligible quantity label.
3. Submit both the valid operation and the specified invalid/boundary input.
4. Compare response, persisted state, actor audit, once-only effects and unchanged records against the expected result.</t>
  </si>
  <si>
    <t>Maintain traceable QR lineage</t>
  </si>
  <si>
    <t>Type: Positive; Role: Warehouse Keeper; Level: System / Integration
SRS v1.8 / BR: 3.9.1; BR-10
Test data: Create and split eligible quantity label
Source: https://github.com/GFA26SE63/FSCM-Backend/blob/0f56f7099f07aa60d76673e6b6a57a2b606fb833/src/FSCM.Application/Features/QrLabels/QrLabelService.cs
Automation: Manual / candidate
Version: 1.3; Actual result: —; Evidence: —</t>
  </si>
  <si>
    <t>FT-032-N</t>
  </si>
  <si>
    <t>Generate and split batch QR label
Negative — Split quantity larger than parent</t>
  </si>
  <si>
    <t>1. Seed isolated FSCM fixture with required SKU, retailer, warehouse, roles and state; record starting stock/payment/ledger snapshots.
2. Sign in as Warehouse Keeper; perform scenario: Split quantity larger than parent.
3. Submit both the valid operation and the specified invalid/boundary input.
4. Compare response, persisted state, actor audit, once-only effects and unchanged records against the expected result.</t>
  </si>
  <si>
    <t>Reject over-split</t>
  </si>
  <si>
    <t>Type: Negative; Role: Warehouse Keeper; Level: System / Integration
SRS v1.8 / BR: 3.9.1; BR-10
Test data: Split quantity larger than parent
Source: https://github.com/GFA26SE63/FSCM-Backend/blob/0f56f7099f07aa60d76673e6b6a57a2b606fb833/src/FSCM.Application/Features/QrLabels/QrLabelService.cs
Automation: Manual / candidate
Version: 1.3; Actual result: —; Evidence: —</t>
  </si>
  <si>
    <t>FT-032-B</t>
  </si>
  <si>
    <t>Generate and split batch QR label
Boundary — Child quantities equal parent</t>
  </si>
  <si>
    <t>1. Seed isolated FSCM fixture with required SKU, retailer, warehouse, roles and state; record starting stock/payment/ledger snapshots.
2. Sign in as Warehouse Keeper; perform scenario: Child quantities equal parent.
3. Submit both the valid operation and the specified invalid/boundary input.
4. Compare response, persisted state, actor audit, once-only effects and unchanged records against the expected result.</t>
  </si>
  <si>
    <t>Conserve quantity and preserve parent linkage</t>
  </si>
  <si>
    <t>Type: Boundary; Role: Warehouse Keeper; Level: System / Integration
SRS v1.8 / BR: 3.9.1; BR-10
Test data: Child quantities equal parent
Source: https://github.com/GFA26SE63/FSCM-Backend/blob/0f56f7099f07aa60d76673e6b6a57a2b606fb833/src/FSCM.Application/Features/QrLabels/QrLabelService.cs
Automation: Manual / candidate
Version: 1.3; Actual result: —; Evidence: —</t>
  </si>
  <si>
    <t>Validate exact shipment quantities received across every warehouse, including zero/partial/damaged&lt;=received; never mark Delivered or Completed for an order with missing physical units, even if complaint settled. Keep received discrepancy, no automatic stock restock or loyalty before full receipt.</t>
  </si>
  <si>
    <t>Picking &amp; QR — FSCM scenarios</t>
  </si>
  <si>
    <t>FT-033-P</t>
  </si>
  <si>
    <t>Issue warehouse picking after Purchase Order conversion</t>
  </si>
  <si>
    <t>1. Approve allocation price. 2. Retailer accepts quote. 3. Verify prepaid transfer or approved credit term. 4. Convert to PO. 5. Issue warehouse picking.</t>
  </si>
  <si>
    <t>Only a valid PO creates one picking list per warehouse with gather/split links to approved batch net price.</t>
  </si>
  <si>
    <t>Type: Positive; Role: System; Warehouse Keeper; Level: System / Integration
SRS v1.8 / BR: 3.9.1; BR-45
Test data: Approved run with complete orders
Source: https://github.com/GFA26SE63/FSCM-Backend/blob/0f56f7099f07aa60d76673e6b6a57a2b606fb833/src/FSCM.Application/Features/AllocationRuns/RunPickingIssueService.cs
Automation: Manual / candidate
Version: 1.3; Actual result: —; Evidence: —</t>
  </si>
  <si>
    <t>FT-033-N</t>
  </si>
  <si>
    <t>No picking before quotation acceptance or valid payment choice</t>
  </si>
  <si>
    <t>1. Seed approved plan but unaccepted quote/unverified prepaid/ineligible credit term. 2. Request picking release.</t>
  </si>
  <si>
    <t>No picking list/PO released until accepted quote and compliant prepaid verification or approved deferred credit.</t>
  </si>
  <si>
    <t>Type: Negative; Role: System; Warehouse Keeper; Level: System / Integration
SRS v1.8 / BR: 3.9.1; BR-45
Test data: Unapproved run requests picking
Source: https://github.com/GFA26SE63/FSCM-Backend/blob/0f56f7099f07aa60d76673e6b6a57a2b606fb833/src/FSCM.Application/Features/AllocationRuns/RunPickingIssueService.cs
Automation: Manual / candidate
Version: 1.3; Actual result: —; Evidence: —</t>
  </si>
  <si>
    <t>FT-033-B</t>
  </si>
  <si>
    <t>Release approved warehouse picking list
Boundary — One batch serves multiple orders</t>
  </si>
  <si>
    <t>1. Seed isolated FSCM fixture with required SKU, retailer, warehouse, roles and state; record starting stock/payment/ledger snapshots.
2. Sign in as System; Warehouse Keeper; perform scenario: One batch serves multiple orders.
3. Submit both the valid operation and the specified invalid/boundary input.
4. Compare response, persisted state, actor audit, once-only effects and unchanged records against the expected result.</t>
  </si>
  <si>
    <t>Aggregate once while preserving order-line splits</t>
  </si>
  <si>
    <t>Type: Boundary; Role: System; Warehouse Keeper; Level: System / Integration
SRS v1.8 / BR: 3.9.1; BR-45
Test data: One batch serves multiple orders
Source: https://github.com/GFA26SE63/FSCM-Backend/blob/0f56f7099f07aa60d76673e6b6a57a2b606fb833/src/FSCM.Application/Features/AllocationRuns/RunPickingIssueService.cs
Automation: Manual / candidate
Version: 1.3; Actual result: —; Evidence: —</t>
  </si>
  <si>
    <t>FT-034-P</t>
  </si>
  <si>
    <t>Scan picking item and confirm readiness
Positive — Scan correct warehouse/batch and quantity</t>
  </si>
  <si>
    <t>1. Seed isolated FSCM fixture with required SKU, retailer, warehouse, roles and state; record starting stock/payment/ledger snapshots.
2. Sign in as Warehouse Keeper; perform scenario: Scan correct warehouse/batch and quantity.
3. Submit both the valid operation and the specified invalid/boundary input.
4. Compare response, persisted state, actor audit, once-only effects and unchanged records against the expected result.</t>
  </si>
  <si>
    <t>Record scan and mark ready without stock issue</t>
  </si>
  <si>
    <t>Type: Positive; Role: Warehouse Keeper; Level: System / Integration
SRS v1.8 / BR: 3.9.1; BR-45–46
Test data: Scan correct warehouse/batch and quantity
Source: https://github.com/GFA26SE63/FSCM-Backend/blob/0f56f7099f07aa60d76673e6b6a57a2b606fb833/src/FSCM.Application/Features/Picking/PickingService.cs
Automation: Manual / candidate
Version: 1.3; Actual result: —; Evidence: —</t>
  </si>
  <si>
    <t>FT-034-N</t>
  </si>
  <si>
    <t>Scan picking item and confirm readiness
Negative — Scan wrong warehouse or batch</t>
  </si>
  <si>
    <t>1. Seed isolated FSCM fixture with required SKU, retailer, warehouse, roles and state; record starting stock/payment/ledger snapshots.
2. Sign in as Warehouse Keeper; perform scenario: Scan wrong warehouse or batch.
3. Submit both the valid operation and the specified invalid/boundary input.
4. Compare response, persisted state, actor audit, once-only effects and unchanged records against the expected result.</t>
  </si>
  <si>
    <t>Reject inconsistent scan</t>
  </si>
  <si>
    <t>Type: Negative; Role: Warehouse Keeper; Level: System / Integration
SRS v1.8 / BR: 3.9.1; BR-45–46
Test data: Scan wrong warehouse or batch
Source: https://github.com/GFA26SE63/FSCM-Backend/blob/0f56f7099f07aa60d76673e6b6a57a2b606fb833/src/FSCM.Application/Features/Picking/PickingService.cs
Automation: Manual / candidate
Version: 1.3; Actual result: —; Evidence: —</t>
  </si>
  <si>
    <t>FT-034-B</t>
  </si>
  <si>
    <t>Scan picking item and confirm readiness
Boundary — Duplicate scan with same idempotency key</t>
  </si>
  <si>
    <t>1. Seed isolated FSCM fixture with required SKU, retailer, warehouse, roles and state; record starting stock/payment/ledger snapshots.
2. Sign in as Warehouse Keeper; perform scenario: Duplicate scan with same idempotency key.
3. Submit both the valid operation and the specified invalid/boundary input.
4. Compare response, persisted state, actor audit, once-only effects and unchanged records against the expected result.</t>
  </si>
  <si>
    <t>No double picked quantity when retried</t>
  </si>
  <si>
    <t>Type: Boundary; Role: Warehouse Keeper; Level: System / Integration
SRS v1.8 / BR: 3.9.1; BR-45–46
Test data: Duplicate scan with same idempotency key
Source: https://github.com/GFA26SE63/FSCM-Backend/blob/0f56f7099f07aa60d76673e6b6a57a2b606fb833/src/FSCM.Application/Features/Picking/PickingService.cs
Automation: Manual / candidate
Version: 1.3; Actual result: —; Evidence: —</t>
  </si>
  <si>
    <t>FT-035-P</t>
  </si>
  <si>
    <t>Confirm dispatch idempotently
Positive — All warehouse portions ready and payment eligible</t>
  </si>
  <si>
    <t>1. Seed isolated FSCM fixture with required SKU, retailer, warehouse, roles and state; record starting stock/payment/ledger snapshots.
2. Sign in as Operator; Warehouse Keeper; perform scenario: All warehouse portions ready and payment eligible.
3. Submit both the valid operation and the specified invalid/boundary input.
4. Compare response, persisted state, actor audit, once-only effects and unchanged records against the expected result.</t>
  </si>
  <si>
    <t>Move reserved and OnHand only once</t>
  </si>
  <si>
    <t>Type: Positive; Role: Operator; Warehouse Keeper; Level: System / Integration
SRS v1.8 / BR: 3.9.1; BR-46–47
Test data: All warehouse portions ready and payment eligible
Source: https://github.com/GFA26SE63/FSCM-Backend/blob/0f56f7099f07aa60d76673e6b6a57a2b606fb833/src/FSCM.Application/Features/Deliveries/DeliveryService.cs
Automation: Manual / candidate
Version: 1.3; Actual result: —; Evidence: —</t>
  </si>
  <si>
    <t>FT-035-N</t>
  </si>
  <si>
    <t>Dispatch requires all warehouses Ready and no blocking exception</t>
  </si>
  <si>
    <t>1. Mark all picking lists Ready. 2. Keep one inventory lock or picking exception unresolved, or unpaid prepaid. 3. Attempt dispatch.</t>
  </si>
  <si>
    <t>Dispatch remains blocked by open stock lock, picking exception, or missing prepaid even when every warehouse is marked Ready.</t>
  </si>
  <si>
    <t>Type: Negative; Role: Operator; Warehouse Keeper; Level: System / Integration
SRS v1.8 / BR: 3.9.1; BR-46–47
Test data: One portion not ready
Source: https://github.com/GFA26SE63/FSCM-Backend/blob/0f56f7099f07aa60d76673e6b6a57a2b606fb833/src/FSCM.Application/Features/Deliveries/DeliveryService.cs
Automation: Manual / candidate
Version: 1.3; Actual result: —; Evidence: —</t>
  </si>
  <si>
    <t>FT-035-B</t>
  </si>
  <si>
    <t>Confirm dispatch idempotently
Boundary — Send same dispatch confirmation twice</t>
  </si>
  <si>
    <t>1. Seed isolated FSCM fixture with required SKU, retailer, warehouse, roles and state; record starting stock/payment/ledger snapshots.
2. Sign in as Operator; Warehouse Keeper; perform scenario: Send same dispatch confirmation twice.
3. Submit both the valid operation and the specified invalid/boundary input.
4. Compare response, persisted state, actor audit, once-only effects and unchanged records against the expected result.</t>
  </si>
  <si>
    <t>Second command is no-op with same result</t>
  </si>
  <si>
    <t>Type: Boundary; Role: Operator; Warehouse Keeper; Level: System / Integration
SRS v1.8 / BR: 3.9.1; BR-46–47
Test data: Send same dispatch confirmation twice
Source: https://github.com/GFA26SE63/FSCM-Backend/blob/0f56f7099f07aa60d76673e6b6a57a2b606fb833/src/FSCM.Application/Features/Deliveries/DeliveryService.cs
Automation: Manual / candidate
Version: 1.3; Actual result: —; Evidence: —</t>
  </si>
  <si>
    <t>R5-TC-PICK-01</t>
  </si>
  <si>
    <t>PO conversion with verified prepaid</t>
  </si>
  <si>
    <t>1. Verify transfer; 2. Create PO; 3. Issue warehouse picking.</t>
  </si>
  <si>
    <t>PO + warehouse slips created exactly once; no slips prior to verification.</t>
  </si>
  <si>
    <t>Approved quote accepted by retailer; Prepaid bank transfer verified.
Test data: Valid bank proof, authorized Operator.</t>
  </si>
  <si>
    <t>Requirement/Traceability: SRS v1.8 §3.6.6/§3.9.1; BR-51/66/72; M08/WF01/TS01
Priority: P1; Level: Integration / System / Acceptance
Version: 1.3; Actual result: —; Evidence: —</t>
  </si>
  <si>
    <t>Delivery &amp; Receipt — FSCM scenarios</t>
  </si>
  <si>
    <t>R5-TC-PICK-02</t>
  </si>
  <si>
    <t>PO conversion with approved Deferred</t>
  </si>
  <si>
    <t>1. Choose Deferred; 2. Convert; 3. Issue slips.</t>
  </si>
  <si>
    <t>PO allowed without prepaid if term valid; due date later tied to actual receipt.</t>
  </si>
  <si>
    <t>Accepted approved quote and active term.
Test data: Retailer term=14 days approved.</t>
  </si>
  <si>
    <t>FT-036-P</t>
  </si>
  <si>
    <t>Assign vehicle and driver
Positive — Valid shipment and authorized master data</t>
  </si>
  <si>
    <t>Requirement/Traceability: SRS v1.8 §3.6.6/§3.9.1; BR-51/73; M08/WF01/TS02
Priority: P1; Level: Integration / System / Acceptance
Version: 1.3; Actual result: —; Evidence: —</t>
  </si>
  <si>
    <t>R5-TC-PICK-03</t>
  </si>
  <si>
    <t>1. Seed isolated FSCM fixture with required SKU, retailer, warehouse, roles and state; record starting stock/payment/ledger snapshots.
2. Sign in as Operator; perform scenario: Valid shipment and authorized master data.
3. Submit both the valid operation and the specified invalid/boundary input.
4. Compare response, persisted state, actor audit, once-only effects and unchanged records against the expected result.</t>
  </si>
  <si>
    <t>Incomplete picking prevents dispatch</t>
  </si>
  <si>
    <t>Store assignment snapshot for one shipment</t>
  </si>
  <si>
    <t>1. Complete W1; 2. Request dispatch.</t>
  </si>
  <si>
    <t>Dispatch blocked until every warehouse portion fully picked.</t>
  </si>
  <si>
    <t>PO with shipments from W1 and W2.
Test data: W1 Ready, W2 not ready.</t>
  </si>
  <si>
    <t>Requirement/Traceability: SRS v1.8 §3.9.1; AC-3.9.1-01; M08/WF02/TS01
Priority: P1; Level: Integration / System / Acceptance
Version: 1.3; Actual result: —; Evidence: —</t>
  </si>
  <si>
    <t>R5-TC-PICK-04</t>
  </si>
  <si>
    <t>Ready warehouses but open lock/exception</t>
  </si>
  <si>
    <t>1. Mark all Ready; 2. Attempt dispatch.</t>
  </si>
  <si>
    <t>Type: Positive; Role: Operator; Level: System / Integration
SRS v1.8 / BR: 3.13.1; BR-48
Test data: Valid shipment and authorized master data
Source: https://github.com/GFA26SE63/FSCM-Backend/blob/0f56f7099f07aa60d76673e6b6a57a2b606fb833/src/FSCM.API/Controllers/DeliveriesController.cs
Automation: Manual / candidate
Version: 1.3; Actual result: —; Evidence: —</t>
  </si>
  <si>
    <t>Dispatch remains blocked until authorized resolution and revalidation.</t>
  </si>
  <si>
    <t>FT-036-N</t>
  </si>
  <si>
    <t>Both warehouse portions Ready; active lock or pick exception exists.
Test data: Open exception / locked batch.</t>
  </si>
  <si>
    <t>Assign vehicle and driver
Negative — Select unavailable/nonexistent driver</t>
  </si>
  <si>
    <t>1. Seed isolated FSCM fixture with required SKU, retailer, warehouse, roles and state; record starting stock/payment/ledger snapshots.
2. Sign in as Operator; perform scenario: Select unavailable/nonexistent driver.
3. Submit both the valid operation and the specified invalid/boundary input.
4. Compare response, persisted state, actor audit, once-only effects and unchanged records against the expected result.</t>
  </si>
  <si>
    <t>Reject invalid assignment</t>
  </si>
  <si>
    <t>Type: Negative; Role: Operator; Level: System / Integration
SRS v1.8 / BR: 3.13.1; BR-48
Test data: Select unavailable/nonexistent driver
Source: https://github.com/GFA26SE63/FSCM-Backend/blob/0f56f7099f07aa60d76673e6b6a57a2b606fb833/src/FSCM.API/Controllers/DeliveriesController.cs
Automation: Manual / candidate
Version: 1.3; Actual result: —; Evidence: —</t>
  </si>
  <si>
    <t>FT-036-B</t>
  </si>
  <si>
    <t>Requirement/Traceability: R5-05/R5-07; SDD picking exceptions; M08/WF02/TS02
Priority: P1; Level: Integration / System / Acceptance
Version: 1.3; Actual result: —; Evidence: —</t>
  </si>
  <si>
    <t>Assign vehicle and driver
Boundary — Multi-warehouse order has separate shipment</t>
  </si>
  <si>
    <t>R5-TC-PICK-05</t>
  </si>
  <si>
    <t>Only Administrator resolves picking exception</t>
  </si>
  <si>
    <t>1. Seed isolated FSCM fixture with required SKU, retailer, warehouse, roles and state; record starting stock/payment/ledger snapshots.
2. Sign in as Operator; perform scenario: Multi-warehouse order has separate shipment.
3. Submit both the valid operation and the specified invalid/boundary input.
4. Compare response, persisted state, actor audit, once-only effects and unchanged records against the expected result.</t>
  </si>
  <si>
    <t>1. Keeper attempts resolve; 2. Admin adjudicates; 3. Recheck readiness.</t>
  </si>
  <si>
    <t>Retain separate vehicle/person per warehouse shipment</t>
  </si>
  <si>
    <t>Keeper cannot finalize exception decision; Admin action audited, recovery required before dispatch.</t>
  </si>
  <si>
    <t>Pick exception raised by Keeper.
Test data: Keeper resolve attempt, Admin decision.</t>
  </si>
  <si>
    <t>Type: Boundary; Role: Operator; Level: System / Integration
SRS v1.8 / BR: 3.13.1; BR-48
Test data: Multi-warehouse order has separate shipment
Source: https://github.com/GFA26SE63/FSCM-Backend/blob/0f56f7099f07aa60d76673e6b6a57a2b606fb833/src/FSCM.API/Controllers/DeliveriesController.cs
Automation: Manual / candidate
Version: 1.3; Actual result: —; Evidence: —</t>
  </si>
  <si>
    <t>Requirement/Traceability: R5-07; SDD PICKING_EXCEPTION; M08/WF02/TS03
Priority: P1; Level: Integration / System / Acceptance
Version: 1.3; Actual result: —; Evidence: —</t>
  </si>
  <si>
    <t>FT-037-P</t>
  </si>
  <si>
    <t>Receipt records received, missing and damaged by shipment</t>
  </si>
  <si>
    <t>1. Scan expected QR label. 2. Submit received=0, missing=all for a line; then submit partially received with damaged≤received. 3. Inspect state.</t>
  </si>
  <si>
    <t>Valid quantities are recorded per shipment. Partial/zero received remains discrepancy; no automatic return to inventory, Delivered status or loyalty award.</t>
  </si>
  <si>
    <t>Type: Positive; Role: Retailer; Level: System / Integration
SRS v1.8 / BR: 3.9.2; BR-49
Test data: Retailer scans assigned issued QR
Source: https://github.com/GFA26SE63/FSCM-Backend/blob/0f56f7099f07aa60d76673e6b6a57a2b606fb833/src/FSCM.Application/Features/Deliveries/DeliveryService.cs
Automation: Manual / candidate
Version: 1.3; Actual result: —; Evidence: —</t>
  </si>
  <si>
    <t>FT-037-N</t>
  </si>
  <si>
    <t>Confirm retailer receipt by QR
Negative — Scan QR for another retailer's order</t>
  </si>
  <si>
    <t>1. Seed isolated FSCM fixture with required SKU, retailer, warehouse, roles and state; record starting stock/payment/ledger snapshots.
2. Sign in as Retailer; perform scenario: Scan QR for another retailer's order.
3. Submit both the valid operation and the specified invalid/boundary input.
4. Compare response, persisted state, actor audit, once-only effects and unchanged records against the expected result.</t>
  </si>
  <si>
    <t>Reject unrelated QR</t>
  </si>
  <si>
    <t>Type: Negative; Role: Retailer; Level: System / Integration
SRS v1.8 / BR: 3.9.2; BR-49
Test data: Scan QR for another retailer's order
Source: https://github.com/GFA26SE63/FSCM-Backend/blob/0f56f7099f07aa60d76673e6b6a57a2b606fb833/src/FSCM.Application/Features/Deliveries/DeliveryService.cs
Automation: Manual / candidate
Version: 1.3; Actual result: —; Evidence: —</t>
  </si>
  <si>
    <t>FT-037-B</t>
  </si>
  <si>
    <t>All shipment confirmations do not imply full actual receipt</t>
  </si>
  <si>
    <t>1. Confirm all shipment records but report one missing quantity; 2. Check status and loyalty.</t>
  </si>
  <si>
    <t>Order not Delivered and points blocked until complete actual quantity resolution; no automatic stock return.</t>
  </si>
  <si>
    <t>Type: Boundary; Role: Retailer; Level: System / Integration
SRS v1.8 / BR: 3.9.2; BR-49
Test data: Last outstanding shipment confirmed
Source: https://github.com/GFA26SE63/FSCM-Backend/blob/0f56f7099f07aa60d76673e6b6a57a2b606fb833/src/FSCM.Application/Features/Deliveries/DeliveryService.cs
Automation: Manual / candidate
Version: 1.3; Actual result: —; Evidence: —</t>
  </si>
  <si>
    <t>R5-TC-DISP-01</t>
  </si>
  <si>
    <t>No prepaid confirmation blocks dispatch</t>
  </si>
  <si>
    <t>Mark all picking lists Ready but leave prepaid unpaid, locked batch or open picking exception; attempt dispatch per blocker.</t>
  </si>
  <si>
    <t>Dispatch blocked for unpaid prepaid, active lock or unresolved exception regardless of Ready flags.</t>
  </si>
  <si>
    <t>Ready per warehouse, with each blocker seeded in isolation.</t>
  </si>
  <si>
    <t>Requirement/Traceability: R5-01/R5-05; SRS v1.8 §3.13.1; M08/WF03/TS01
Priority: P1; Level: Integration / System / Acceptance
Version: 1.3; Actual result: —; Evidence: —</t>
  </si>
  <si>
    <t>R5-TC-DISP-02</t>
  </si>
  <si>
    <t>Dispatch once and preserve stock ledger</t>
  </si>
  <si>
    <t>After all Ready and no blockers, dispatch twice with same operation key; inspect physical/reserved/label state.</t>
  </si>
  <si>
    <t>One dispatch per shipment; OnHand decreases once and reserved consumed once; stable repeated response.</t>
  </si>
  <si>
    <t>Verify receipt complaints retain affected batch, shipment and evidence; only authorized actors decide adjustments or verify manual refunds. Cap adjustments/refunds by affected batch net price, reject duplicate/over-cap actions, and allow evidence supplementation without double loyalty deductions.</t>
  </si>
  <si>
    <t>Paid prepaid PO or valid deferred PO; no lock/exception; all portions Ready.</t>
  </si>
  <si>
    <t>Requirement/Traceability: SRS v1.8 §3.9.1/§3.13.1; M08/WF03/TS02
Priority: P1; Level: Integration / System / Acceptance
Version: 1.3; Actual result: —; Evidence: —</t>
  </si>
  <si>
    <t>R5-TC-DEL-01</t>
  </si>
  <si>
    <t>Delivery retry with Administrator decision</t>
  </si>
  <si>
    <t>Record failed delivery with evidence; request retry by unauthorized actor, then by authorized decision maker.</t>
  </si>
  <si>
    <t>Only authorized settlement/retry action accepted; no Delivered, points or automatic stock return; audit both decisions.</t>
  </si>
  <si>
    <t>Shipment failed, ETA/MLOR/deadline still feasible; alternate invalid-feasibility fixture.</t>
  </si>
  <si>
    <t>Requirement/Traceability: SRS v1.8 §3.13.1; BR-76; R5-07; M09/WF01/TS01
Priority: P1; Level: Integration / System / Acceptance
Version: 1.3; Actual result: —; Evidence: —</t>
  </si>
  <si>
    <t>R5-TC-REC-01</t>
  </si>
  <si>
    <t>Receipt received zero</t>
  </si>
  <si>
    <t>Confirm shipment with expected=10, received=0, missing=10; inspect order, warehouse stock and points.</t>
  </si>
  <si>
    <t>Valid zero-receipt discrepancy recorded; order not Delivered and points not posted; no automatic inventory return.</t>
  </si>
  <si>
    <t>Issued QR for one shipment; Retailer actor; expected=10 cartons.</t>
  </si>
  <si>
    <t>Requirement/Traceability: R5-07; SRS v1.8 §3.9.2; M09/WF02/TS01
Priority: P1; Level: Integration / System / Acceptance
Version: 1.3; Actual result: —; Evidence: —</t>
  </si>
  <si>
    <t>R5-TC-REC-02</t>
  </si>
  <si>
    <t>Partial receipt with damaged bound</t>
  </si>
  <si>
    <t>Confirm received=7, missing=3, damaged=7; retry with damaged=8; compare validation.</t>
  </si>
  <si>
    <t>Damaged≤received is accepted; damaged=8 rejected; discrepancy/evidence retained; no unsanctioned stock effect.</t>
  </si>
  <si>
    <t>Shipment expected=10; actual received=7; missing=3.</t>
  </si>
  <si>
    <t>Requirement/Traceability: SRS v1.8 §3.9.2; R5-07; M09/WF02/TS02
Priority: P1; Level: Integration / System / Acceptance
Version: 1.3; Actual result: —; Evidence: —</t>
  </si>
  <si>
    <t>R5-TC-REC-03</t>
  </si>
  <si>
    <t>All shipments confirmed but incomplete total</t>
  </si>
  <si>
    <t>Confirm W1 fully and W2 with missing=2, even though both shipments are marked confirmed; inspect order.</t>
  </si>
  <si>
    <t>Order remains not Delivered and points blocked until all actual quantities settled by authorized flow.</t>
  </si>
  <si>
    <t>W1 expected=10 received=10; W2 expected=10 received=8 missing=2.</t>
  </si>
  <si>
    <t>Requirement/Traceability: R5-07; SRS v1.8 §3.9.2; M09/WF02/TS03
Priority: P1; Level: Integration / System / Acceptance
Version: 1.3; Actual result: —; Evidence: —</t>
  </si>
  <si>
    <t>R5-TC-REC-04</t>
  </si>
  <si>
    <t>Full receipt and idempotent confirmation</t>
  </si>
  <si>
    <t>Retailer confirms full QR receipts for both warehouse portions, then submits repeated confirmation.</t>
  </si>
  <si>
    <t>Exactly-once full receipt and Delivered only when all actual quantities satisfied; repeated scan cannot double-post.</t>
  </si>
  <si>
    <t>Two shipments; all labels belong to same retailer; expected=20 received=20.</t>
  </si>
  <si>
    <t>Requirement/Traceability: SRS v1.8 §3.9.2; AC-3.9.2-01; M09/WF02/TS04
Priority: P1; Level: Integration / System / Acceptance
Version: 1.3; Actual result: —; Evidence: —</t>
  </si>
  <si>
    <t>Complaints &amp; Refunds — FSCM scenarios</t>
  </si>
  <si>
    <t>Reject COD and prepaid cash. Verify full prepaid bank transfer at actual transaction time before quotation deadline, allowing authorized staff verification afterward only if fulfillment feasibility remains valid; require approved Deferred term, actual full receipt due-date basis, and correct cash/transfer actors.</t>
  </si>
  <si>
    <t>FT-038-P</t>
  </si>
  <si>
    <t>Report damaged/missing goods
Positive — Complaint on received batch with evidence</t>
  </si>
  <si>
    <t>1. Seed isolated FSCM fixture with required SKU, retailer, warehouse, roles and state; record starting stock/payment/ledger snapshots.
2. Sign in as Retailer; Operator; perform scenario: Complaint on received batch with evidence.
3. Submit both the valid operation and the specified invalid/boundary input.
4. Compare response, persisted state, actor audit, once-only effects and unchanged records against the expected result.</t>
  </si>
  <si>
    <t>Create independent complaint linked to batch/shipment</t>
  </si>
  <si>
    <t>Type: Positive; Role: Retailer; Operator; Level: System / Integration
SRS v1.8 / BR: 3.9.3; BR-50
Test data: Complaint on received batch with evidence
Source: https://github.com/GFA26SE63/FSCM-Backend/blob/0f56f7099f07aa60d76673e6b6a57a2b606fb833/src/FSCM.API/Controllers/ComplaintsController.cs
Automation: Manual / candidate
Version: 1.3; Actual result: —; Evidence: —</t>
  </si>
  <si>
    <t>FT-038-N</t>
  </si>
  <si>
    <t>Report damaged/missing goods
Negative — Complaint on someone else's order</t>
  </si>
  <si>
    <t>1. Seed isolated FSCM fixture with required SKU, retailer, warehouse, roles and state; record starting stock/payment/ledger snapshots.
2. Sign in as Retailer; Operator; perform scenario: Complaint on someone else's order.
3. Submit both the valid operation and the specified invalid/boundary input.
4. Compare response, persisted state, actor audit, once-only effects and unchanged records against the expected result.</t>
  </si>
  <si>
    <t>Block unauthorized complaint</t>
  </si>
  <si>
    <t>Type: Negative; Role: Retailer; Operator; Level: System / Integration
SRS v1.8 / BR: 3.9.3; BR-50
Test data: Complaint on someone else's order
Source: https://github.com/GFA26SE63/FSCM-Backend/blob/0f56f7099f07aa60d76673e6b6a57a2b606fb833/src/FSCM.API/Controllers/ComplaintsController.cs
Automation: Manual / candidate
Version: 1.3; Actual result: —; Evidence: —</t>
  </si>
  <si>
    <t>FT-038-B</t>
  </si>
  <si>
    <t>Report damaged/missing goods
Boundary — Issue submitted after already delivered status</t>
  </si>
  <si>
    <t>1. Seed isolated FSCM fixture with required SKU, retailer, warehouse, roles and state; record starting stock/payment/ledger snapshots.
2. Sign in as Retailer; Operator; perform scenario: Issue submitted after already delivered status.
3. Submit both the valid operation and the specified invalid/boundary input.
4. Compare response, persisted state, actor audit, once-only effects and unchanged records against the expected result.</t>
  </si>
  <si>
    <t>Do not automatically reverse Delivered or stock</t>
  </si>
  <si>
    <t>Type: Boundary; Role: Retailer; Operator; Level: System / Integration
SRS v1.8 / BR: 3.9.3; BR-50
Test data: Issue submitted after already delivered status
Source: https://github.com/GFA26SE63/FSCM-Backend/blob/0f56f7099f07aa60d76673e6b6a57a2b606fb833/src/FSCM.API/Controllers/ComplaintsController.cs
Automation: Manual / candidate
Version: 1.3; Actual result: —; Evidence: —</t>
  </si>
  <si>
    <t>FT-041-P</t>
  </si>
  <si>
    <t>Handle manual refund and evidence
Positive — Submit refund with external proof and independent verifier</t>
  </si>
  <si>
    <t>1. Seed isolated FSCM fixture with required SKU, retailer, warehouse, roles and state; record starting stock/payment/ledger snapshots.
2. Sign in as Operator; Administrator; perform scenario: Submit refund with external proof and independent verifier.
3. Submit both the valid operation and the specified invalid/boundary input.
4. Compare response, persisted state, actor audit, once-only effects and unchanged records against the expected result.</t>
  </si>
  <si>
    <t>Keep pending until independent Admin verification</t>
  </si>
  <si>
    <t>Type: Positive; Role: Operator; Administrator; Level: System / Integration
SRS v1.8 / BR: 3.10.4; BR-66–70
Test data: Submit refund with external proof and independent verifier
Source: https://github.com/GFA26SE63/FSCM-Backend/blob/0f56f7099f07aa60d76673e6b6a57a2b606fb833/src/FSCM.Application/Features/Refunds/RefundService.cs
Automation: Manual / candidate
Version: 1.3; Actual result: —; Evidence: —</t>
  </si>
  <si>
    <t>FT-041-N</t>
  </si>
  <si>
    <t>Handle manual refund and evidence
Negative — Refund without evidence</t>
  </si>
  <si>
    <t>1. Seed isolated FSCM fixture with required SKU, retailer, warehouse, roles and state; record starting stock/payment/ledger snapshots.
2. Sign in as Operator; Administrator; perform scenario: Refund without evidence.
3. Submit both the valid operation and the specified invalid/boundary input.
4. Compare response, persisted state, actor audit, once-only effects and unchanged records against the expected result.</t>
  </si>
  <si>
    <t>Reject absent evidence/self-approval</t>
  </si>
  <si>
    <t>Type: Negative; Role: Operator; Administrator; Level: System / Integration
SRS v1.8 / BR: 3.10.4; BR-66–70
Test data: Refund without evidence
Source: https://github.com/GFA26SE63/FSCM-Backend/blob/0f56f7099f07aa60d76673e6b6a57a2b606fb833/src/FSCM.Application/Features/Refunds/RefundService.cs
Automation: Manual / candidate
Version: 1.3; Actual result: —; Evidence: —</t>
  </si>
  <si>
    <t>FT-041-B</t>
  </si>
  <si>
    <t>Handle manual refund and evidence
Boundary — Repeated refund key or amount beyond cap</t>
  </si>
  <si>
    <t>1. Seed isolated FSCM fixture with required SKU, retailer, warehouse, roles and state; record starting stock/payment/ledger snapshots.
2. Sign in as Operator; Administrator; perform scenario: Repeated refund key or amount beyond cap.
3. Submit both the valid operation and the specified invalid/boundary input.
4. Compare response, persisted state, actor audit, once-only effects and unchanged records against the expected result.</t>
  </si>
  <si>
    <t>Prevent duplicate and over-refund</t>
  </si>
  <si>
    <t>Type: Boundary; Role: Operator; Administrator; Level: System / Integration
SRS v1.8 / BR: 3.10.4; BR-66–70
Test data: Repeated refund key or amount beyond cap
Source: https://github.com/GFA26SE63/FSCM-Backend/blob/0f56f7099f07aa60d76673e6b6a57a2b606fb833/src/FSCM.Application/Features/Refunds/RefundService.cs
Automation: Manual / candidate
Version: 1.3; Actual result: —; Evidence: —</t>
  </si>
  <si>
    <t>FT-042-P</t>
  </si>
  <si>
    <t>Complaint adjustment uses allocated net price of affected batch</t>
  </si>
  <si>
    <t>1. Create discrepancy against one priced allocation fragment. 2. Have Operator propose and Admin approve adjustment. 3. Read net price snapshot.</t>
  </si>
  <si>
    <t>Adjustment cap = affected quantity × actual approved net unit price of that batch/warehouse; one adjustment ledger entry, no premature inventory return.</t>
  </si>
  <si>
    <t>Type: Positive; Role: Operator; Administrator; Level: System / Integration
SRS v1.8 / BR: 3.10.4; BR-67–70
Test data: Approved claim with affected net allocated price
Source: https://github.com/GFA26SE63/FSCM-Backend/blob/0f56f7099f07aa60d76673e6b6a57a2b606fb833/src/FSCM.API/Controllers/PaymentsController.cs
Automation: Manual / candidate
Version: 1.3; Actual result: —; Evidence: —</t>
  </si>
  <si>
    <t>FT-042-N</t>
  </si>
  <si>
    <t>Financial adjustment for complaint
Negative — Adjust beyond claimed quantity/value</t>
  </si>
  <si>
    <t>1. Seed isolated FSCM fixture with required SKU, retailer, warehouse, roles and state; record starting stock/payment/ledger snapshots.
2. Sign in as Operator; Administrator; perform scenario: Adjust beyond claimed quantity/value.
3. Submit both the valid operation and the specified invalid/boundary input.
4. Compare response, persisted state, actor audit, once-only effects and unchanged records against the expected result.</t>
  </si>
  <si>
    <t>Reject exceeding caps / duplicate adjustment</t>
  </si>
  <si>
    <t>Type: Negative; Role: Operator; Administrator; Level: System / Integration
SRS v1.8 / BR: 3.10.4; BR-67–70
Test data: Adjust beyond claimed quantity/value
Source: https://github.com/GFA26SE63/FSCM-Backend/blob/0f56f7099f07aa60d76673e6b6a57a2b606fb833/src/FSCM.API/Controllers/PaymentsController.cs
Automation: Manual / candidate
Version: 1.3; Actual result: —; Evidence: —</t>
  </si>
  <si>
    <t>FT-042-B</t>
  </si>
  <si>
    <t>Financial adjustment for complaint
Boundary — Claim rejected after pending disputed amount</t>
  </si>
  <si>
    <t>1. Seed isolated FSCM fixture with required SKU, retailer, warehouse, roles and state; record starting stock/payment/ledger snapshots.
2. Sign in as Operator; Administrator; perform scenario: Claim rejected after pending disputed amount.
3. Submit both the valid operation and the specified invalid/boundary input.
4. Compare response, persisted state, actor audit, once-only effects and unchanged records against the expected result.</t>
  </si>
  <si>
    <t>Restore undisputed collection on rejection; no automatic bank refund</t>
  </si>
  <si>
    <t>Type: Boundary; Role: Operator; Administrator; Level: System / Integration
SRS v1.8 / BR: 3.10.4; BR-67–70
Test data: Claim rejected after pending disputed amount
Source: https://github.com/GFA26SE63/FSCM-Backend/blob/0f56f7099f07aa60d76673e6b6a57a2b606fb833/src/FSCM.API/Controllers/PaymentsController.cs
Automation: Manual / candidate
Version: 1.3; Actual result: —; Evidence: —</t>
  </si>
  <si>
    <t>R5-TC-COMP-01</t>
  </si>
  <si>
    <t>Batch-specific discrepancy cap</t>
  </si>
  <si>
    <t>1. Operator recommends; 2. Admin approves; 3. Inspect ledger.</t>
  </si>
  <si>
    <t>Adjustment cap=2×72,000 not gross or batch B price; no automatic return-to-stock.</t>
  </si>
  <si>
    <t>Accepted complaint on allocated batch A (net 72k) and batch B (net 90k).
Test data: Affected A qty=2; adjusted unit price A=72,000.</t>
  </si>
  <si>
    <t>Requirement/Traceability: SRS v1.8 §3.10.4; BR-67–69; M09/WF03/TS01
Priority: P1; Level: Integration / System / Acceptance
Version: 1.3; Actual result: —; Evidence: —</t>
  </si>
  <si>
    <t>R5-TC-COMP-02</t>
  </si>
  <si>
    <t>Unauthorized adjustment denied</t>
  </si>
  <si>
    <t>1. Submit approval as Sales; 2. Check audit and balances.</t>
  </si>
  <si>
    <t>Denied; only authorized Operator recommendation and Admin final acceptance; no financial mutation.</t>
  </si>
  <si>
    <t>Sales user and Operator/Admin roles seeded.
Test data: Sales attempts approve complaint.</t>
  </si>
  <si>
    <t>Requirement/Traceability: R5-07; SRS v1.8 §3.10.4; M09/WF03/TS02
Priority: P1; Level: Integration / System / Acceptance
Version: 1.3; Actual result: —; Evidence: —</t>
  </si>
  <si>
    <t>R5-TC-REF-01</t>
  </si>
  <si>
    <t>Manual refund evidence rejection then supplement</t>
  </si>
  <si>
    <t>Submit authorized manual transfer with evidence; request independent verification.</t>
  </si>
  <si>
    <t>Refund remains unverified until separate authorized approval; amount capped at outstanding obligation.</t>
  </si>
  <si>
    <t>Paid order with approved refund obligation and operator transfer proof.</t>
  </si>
  <si>
    <t>Requirement/Traceability: SRS v1.8 §3.10.4; BR-74; AC-3.10.4-01; M10/WF03/TS01
Priority: P1; Level: Integration / System / Acceptance
Version: 1.3; Actual result: —; Evidence: —</t>
  </si>
  <si>
    <t>R5-TC-REF-02</t>
  </si>
  <si>
    <t>Refund verifier separated from submitter</t>
  </si>
  <si>
    <t>Reject incomplete transfer evidence; upload supplementary evidence; verify from different Admin.</t>
  </si>
  <si>
    <t>Rejected evidence not treated as completed refund; supplement re-enters review; valid independent verification posts once.</t>
  </si>
  <si>
    <t>Pending refund, first submission lacks evidence; corrected proof from Operator.</t>
  </si>
  <si>
    <t>Requirement/Traceability: SRS v1.8 §3.10.4; BR-74; M10/WF03/TS02
Priority: P1; Level: Integration / System / Acceptance
Version: 1.3; Actual result: —; Evidence: —</t>
  </si>
  <si>
    <t>Payments &amp; Receivables — FSCM scenarios</t>
  </si>
  <si>
    <t>R5-TC-REF-03</t>
  </si>
  <si>
    <t>Refund uses affected allocated net batch price</t>
  </si>
  <si>
    <t>Attempt repeated verified refund; compare loyalty and payment-ledger deltas.</t>
  </si>
  <si>
    <t>Refund verification does not subtract points again; once-only payment/refund status and audit.</t>
  </si>
  <si>
    <t>Verified refund for completed order with preexisting adjustment-based points correction.</t>
  </si>
  <si>
    <t>FT-039-P</t>
  </si>
  <si>
    <t>Full prepaid transfer accepted by transaction time and feasibility</t>
  </si>
  <si>
    <t>1. Approve 612,000 VND P1 batch quote. 2. Bank transfer full amount before quote deadline. 3. Authorized Operator confirms after deadline but while ETA/MLOR remains feasible. 4. Inspect one PO, picking and ledger.</t>
  </si>
  <si>
    <t>Requirement/Traceability: Registration §3.2; SRS v1.8 §3.10.4; BR-69; M10/WF03/TS03
Priority: P1; Level: Integration / System / Acceptance
Version: 1.3; Actual result: —; Evidence: —</t>
  </si>
  <si>
    <t>Allowed if actual transfer is timely and fulfillment still valid; transfer verification time alone does not cause false rejection. One PO after verified payment; no early dispatch.</t>
  </si>
  <si>
    <t>R5-TC-REF-04</t>
  </si>
  <si>
    <t>Refund verification not second loyalty deduction</t>
  </si>
  <si>
    <t>1. Complete adjustment; 2. Verify refund; 3. Replay.</t>
  </si>
  <si>
    <t>One linked loyalty correction total; refund verification does not deduct points again.</t>
  </si>
  <si>
    <t>Loyalty correction posted when financial adjustment Completed.
Test data: Refund verify event replay.</t>
  </si>
  <si>
    <t>Requirement/Traceability: R5-08; SRS v1.8 §3.10.4/NFR-D04; M10/WF03/TS04
Priority: P1; Level: Integration / System / Acceptance
Version: 1.3; Actual result: —; Evidence: —</t>
  </si>
  <si>
    <t>Type: Positive; Role: Retailer; Sales; Operator; Level: System / Integration
SRS v1.8 / BR: 3.10.1; BR-51–53
Test data: Record permitted final-price collection
Source: https://github.com/GFA26SE63/FSCM-Backend/blob/0f56f7099f07aa60d76673e6b6a57a2b606fb833/src/FSCM.Application/Features/Payments/PaymentService.cs
Automation: Manual / candidate
Version: 1.3; Actual result: —; Evidence: —</t>
  </si>
  <si>
    <t>FT-039-N</t>
  </si>
  <si>
    <t>Reject COD and prepaid cash for purchase order</t>
  </si>
  <si>
    <t>1. Select COD; 2. Attempt prepaid cash; 3. Inspect PO and payment ledger after both.</t>
  </si>
  <si>
    <t>Reject both COD and cash prepaid; no PO, dispatch or ledger effect. Sales cash only for delivered approved credit.</t>
  </si>
  <si>
    <t>Type: Negative; Role: Retailer; Sales; Operator; Level: System / Integration
SRS v1.8 / BR: 3.10.1; BR-51–53
Test data: Prepaid collection before allocation approval
Source: https://github.com/GFA26SE63/FSCM-Backend/blob/0f56f7099f07aa60d76673e6b6a57a2b606fb833/src/FSCM.Application/Features/Payments/PaymentService.cs
Automation: Manual / candidate
Version: 1.3; Actual result: —; Evidence: —</t>
  </si>
  <si>
    <t>FT-039-B</t>
  </si>
  <si>
    <t>Deferred payment requires current approved retailer credit term</t>
  </si>
  <si>
    <t>1. Try missing/expired/current retailer terms; 2. Accept quotation as Deferred; 3. Inspect ledger and PO.</t>
  </si>
  <si>
    <t>Only current approved term permits Deferred; resulting deferred due date is based on actual completed receipt.</t>
  </si>
  <si>
    <t>Type: Boundary; Role: Retailer; Sales; Operator; Level: System / Integration
SRS v1.8 / BR: 3.10.1; BR-51–53
Test data: Collection of partial amount
Source: https://github.com/GFA26SE63/FSCM-Backend/blob/0f56f7099f07aa60d76673e6b6a57a2b606fb833/src/FSCM.Application/Features/Payments/PaymentService.cs
Automation: Manual / candidate
Version: 1.3; Actual result: —; Evidence: —</t>
  </si>
  <si>
    <t>FT-040-P</t>
  </si>
  <si>
    <t>Deferred due date starts at completed actual receipt</t>
  </si>
  <si>
    <t>1. Select valid deferred. 2. Dispatch multiwarehouse order. 3. Confirm last required quantity. 4. Compute term-based due date.</t>
  </si>
  <si>
    <t>Due date is established from completed actual receipt and approved retailer term; prepaid quote deadline is independent.</t>
  </si>
  <si>
    <t>Type: Positive; Role: Operator; System; Level: System / Integration
SRS v1.8 / BR: 3.10.1; BR-52–53
Test data: Delivered credit order 7/14/30 days
Source: https://github.com/GFA26SE63/FSCM-Backend/blob/0f56f7099f07aa60d76673e6b6a57a2b606fb833/src/FSCM.Application/Features/Payments/PaymentService.cs
Automation: Manual / candidate
Version: 1.3; Actual result: —; Evidence: —</t>
  </si>
  <si>
    <t>FT-040-N</t>
  </si>
  <si>
    <t>Calculate deferred due date and overdue
Negative — Credit without eligible term</t>
  </si>
  <si>
    <t>1. Seed isolated FSCM fixture with required SKU, retailer, warehouse, roles and state; record starting stock/payment/ledger snapshots.
2. Sign in as Operator; System; perform scenario: Credit without eligible term.
3. Submit both the valid operation and the specified invalid/boundary input.
4. Compare response, persisted state, actor audit, once-only effects and unchanged records against the expected result.</t>
  </si>
  <si>
    <t>Reject ineligible deferred payment</t>
  </si>
  <si>
    <t>Type: Negative; Role: Operator; System; Level: System / Integration
SRS v1.8 / BR: 3.10.1; BR-52–53
Test data: Credit without eligible term
Source: https://github.com/GFA26SE63/FSCM-Backend/blob/0f56f7099f07aa60d76673e6b6a57a2b606fb833/src/FSCM.Application/Features/Payments/PaymentService.cs
Automation: Manual / candidate
Version: 1.3; Actual result: —; Evidence: —</t>
  </si>
  <si>
    <t>FT-040-B</t>
  </si>
  <si>
    <t>Calculate deferred due date and overdue
Boundary — Due date exactly today</t>
  </si>
  <si>
    <t>1. Seed isolated FSCM fixture with required SKU, retailer, warehouse, roles and state; record starting stock/payment/ledger snapshots.
2. Sign in as Operator; System; perform scenario: Due date exactly today.
3. Submit both the valid operation and the specified invalid/boundary input.
4. Compare response, persisted state, actor audit, once-only effects and unchanged records against the expected result.</t>
  </si>
  <si>
    <t>Mark overdue only after due date</t>
  </si>
  <si>
    <t>Type: Boundary; Role: Operator; System; Level: System / Integration
SRS v1.8 / BR: 3.10.1; BR-52–53
Test data: Due date exactly today
Source: https://github.com/GFA26SE63/FSCM-Backend/blob/0f56f7099f07aa60d76673e6b6a57a2b606fb833/src/FSCM.Application/Features/Payments/PaymentService.cs
Automation: Manual / candidate
Version: 1.3; Actual result: —; Evidence: —</t>
  </si>
  <si>
    <t>R5-TC-PAY-01</t>
  </si>
  <si>
    <t>COD is rejected at method selection</t>
  </si>
  <si>
    <t>Attempt COD selection through UI and direct API after approved quotation; examine ledger and PO.</t>
  </si>
  <si>
    <t>COD is unavailable/rejected, regardless of route; no PO, payment or dispatch side effect.</t>
  </si>
  <si>
    <t>Retailer has an accepted versioned quotation; method=COD.</t>
  </si>
  <si>
    <t>Requirement/Traceability: R5-01; SRS v1.8 §3.10.1/BR-51; M10/WF01/TS01
Priority: P1; Level: Integration / System / Acceptance
Version: 1.3; Actual result: —; Evidence: —</t>
  </si>
  <si>
    <t>R5-TC-PAY-02</t>
  </si>
  <si>
    <t>Prepaid cash is rejected</t>
  </si>
  <si>
    <t>Attempt cash for prepaid quotation; attempt authorized Sales credit collection as control.</t>
  </si>
  <si>
    <t>Prepaid cash rejected; cash allowed only for full collection of assigned delivered deferred receivable by Sales.</t>
  </si>
  <si>
    <t>Approved prepaid quote and separate fully delivered deferred invoice.</t>
  </si>
  <si>
    <t>Requirement/Traceability: R5-01; SRS v1.8 §3.10.1/BR-51; M10/WF01/TS02
Priority: P1; Level: Integration / System / Acceptance
Version: 1.3; Actual result: —; Evidence: —</t>
  </si>
  <si>
    <t>R5-TC-PAY-03</t>
  </si>
  <si>
    <t>Prepaid bank transfer after approved price</t>
  </si>
  <si>
    <t>Approve allocation/batch price; accept prepaid quote; submit bank transfer proof; Operator verifies before deadline; attempt dispatch.</t>
  </si>
  <si>
    <t>Only verified full bank transfer creates PO and picking; no COD; dispatch impossible before successful verification.</t>
  </si>
  <si>
    <t>Approved price/version; quotation accepted; exact transfer amount/reference; valid deadline.</t>
  </si>
  <si>
    <t>Requirement/Traceability: SRS v1.8 §3.6.6/§3.10.1; BR-51/72; R5-05; M10/WF01/TS03
Priority: P1; Level: Integration / System / Acceptance
Version: 1.3; Actual result: —; Evidence: —</t>
  </si>
  <si>
    <t>R5-TC-PAY-04</t>
  </si>
  <si>
    <t>Prepaid transfer time on deadline; verification arrives later</t>
  </si>
  <si>
    <t>1. Admin approves P1 final quote and sets response/payment deadline 10:00. 2. Retailer bank transfers full 612,000 VND at 09:59; Operator verifies at 10:05. 3. Revalidate current shipment ETA, expiry, MLOR and state. 4. Repeat using transfer time 10:01.</t>
  </si>
  <si>
    <t>The on-time 09:59 transfer can be accepted despite 10:05 verification IF fulfillment remains feasible and quote not irreversibly expired; late 10:01 transfer rejected. No duplicate PO/payment or dispatch before validation.</t>
  </si>
  <si>
    <t>Final quote approved; verified immutable bank transaction timestamp and matching proof; no COD.</t>
  </si>
  <si>
    <t>Requirement/Traceability: SRS v1.8 §3.6.6; BR-51/72; M10/WF01/TS04
Priority: P1; Level: Integration / System / Acceptance
Version: 1.3; Actual result: —; Evidence: —</t>
  </si>
  <si>
    <t>R5-TC-PAY-05</t>
  </si>
  <si>
    <t>Deferred requires valid approved term</t>
  </si>
  <si>
    <t>Select Deferred with missing, expired and valid approved retailer terms; inspect PO and ledger.</t>
  </si>
  <si>
    <t>Only C may choose Deferred and convert quote to PO; others rejected with no stock/payment side effect.</t>
  </si>
  <si>
    <t>Retailers A: no term, B: expired term, C: current approved term.</t>
  </si>
  <si>
    <t>Requirement/Traceability: SRS v1.8 §3.6.6/§3.10.1; BR-51/73; M10/WF02/TS01
Priority: P1; Level: Integration / System / Acceptance
Version: 1.3; Actual result: —; Evidence: —</t>
  </si>
  <si>
    <t>R5-TC-PAY-06</t>
  </si>
  <si>
    <t>Deferred due date from full receipt</t>
  </si>
  <si>
    <t>Confirm all required quantities of two shipments on different dates; inspect credit due date.</t>
  </si>
  <si>
    <t>Due date = 02/10/2026 based on last actual full receipt; prepaid quotation deadline remains separate.</t>
  </si>
  <si>
    <t>After full physical shipment quantities, settlement and no open complaint, award floor(net eligible VND/10,000) once: P1 612,000 -&gt;61, after 72,000 adjustment -&gt;54 (delta -7). A missing-quantity order cannot become Completed by settlement alone. Staff finalize redeemed gifts with delivery evidence; Retailer confirmation not mandatory.</t>
  </si>
  <si>
    <t>Deferred PO with approved term=14 days; last complete receipt=18/09/2026.</t>
  </si>
  <si>
    <t>Requirement/Traceability: SRS v1.8 §3.10.1; AC-3.10.1-01; M10/WF02/TS02
Priority: P1; Level: Integration / System / Acceptance
Version: 1.3; Actual result: —; Evidence: —</t>
  </si>
  <si>
    <t>R5-TC-PAY-07</t>
  </si>
  <si>
    <t>Cash collection only for delivered credit</t>
  </si>
  <si>
    <t>Sales records full cash collected for assigned delivered deferred debt; replay idempotency; try prepaid cash.</t>
  </si>
  <si>
    <t>Exactly one full cash collection for credit; prepaid cash and foreign-scope Sales rejected.</t>
  </si>
  <si>
    <t>Delivered deferred receivable, full due amount, assigned Sales, same key on repeat.</t>
  </si>
  <si>
    <t>Requirement/Traceability: SRS v1.8 §3.10.1; UC-23/35; BR-51/52; M10/WF02/TS03
Priority: P1; Level: Integration / System / Acceptance
Version: 1.3; Actual result: —; Evidence: —</t>
  </si>
  <si>
    <t>R5-TC-PAY-08</t>
  </si>
  <si>
    <t>Bank transfer credited by authorized staff</t>
  </si>
  <si>
    <t>Operator records approved bank transfer; replay; attempt same action as Sales.</t>
  </si>
  <si>
    <t>One correct ledger payment; repeated request no duplicate; unauthorized bank-transfer verification forbidden.</t>
  </si>
  <si>
    <t>Verified transfer reference, canonical receivable, authorized Operator and unauthorized Sales.</t>
  </si>
  <si>
    <t>Requirement/Traceability: SRS v1.8 §3.10.1; UC-36; R5-01; M10/WF02/TS04
Priority: P1; Level: Integration / System / Acceptance
Version: 1.3; Actual result: —; Evidence: —</t>
  </si>
  <si>
    <t>Verify Sales and retailer assignments stay within valid regions and permissions. Reject cross-region retailer coverage and preserve assignment history when transferring a Sales representative between groups.</t>
  </si>
  <si>
    <t>Loyalty Management — FSCM scenarios</t>
  </si>
  <si>
    <t>FT-043-P</t>
  </si>
  <si>
    <t>Earn points once after full actual receipt, settlement and no open complaint</t>
  </si>
  <si>
    <t>1. Complete all shipment quantities; 2. Settle payment; 3. Resolve complaints; 4. Run earning twice.</t>
  </si>
  <si>
    <t>Exactly one initial points award only after all conditions satisfied.</t>
  </si>
  <si>
    <t>Type: Positive; Role: System; Level: System / Integration
SRS v1.8 / BR: 3.10.2; BR-54
Test data: Fully received settled no open complaint
Source: https://github.com/GFA26SE63/FSCM-Backend/blob/0f56f7099f07aa60d76673e6b6a57a2b606fb833/src/FSCM.Application/Features/Loyalty/LoyaltyService.cs
Automation: Manual / candidate
Version: 1.3; Actual result: —; Evidence: —</t>
  </si>
  <si>
    <t>FT-043-N</t>
  </si>
  <si>
    <t>Do not earn with unresolved complaint or incomplete shipment</t>
  </si>
  <si>
    <t>1. Mark all shipment records confirmed with missing quantity or keep a complaint unresolved. 2. Settle amount. 3. Trigger earning.</t>
  </si>
  <si>
    <t>No loyalty points before actual full receipt and complaint resolution, even when status flags or payment appear complete.</t>
  </si>
  <si>
    <t>Type: Negative; Role: System; Level: System / Integration
SRS v1.8 / BR: 3.10.2; BR-54
Test data: Order not fully delivered or settled
Source: https://github.com/GFA26SE63/FSCM-Backend/blob/0f56f7099f07aa60d76673e6b6a57a2b606fb833/src/FSCM.Application/Features/Loyalty/LoyaltyService.cs
Automation: Manual / candidate
Version: 1.3; Actual result: —; Evidence: —</t>
  </si>
  <si>
    <t>FT-043-B</t>
  </si>
  <si>
    <t>Earn points boundary at 100,000 VND</t>
  </si>
  <si>
    <t>1. Fully receive and settle 100,000 VND eligible order with no unresolved complaint. 2. Trigger earning twice. 3. Check ledger rounding and count.</t>
  </si>
  <si>
    <t>floor(100,000/10,000) = 10 points posted once (not 1). 99,999 VND earns 9 points; no duplicate ledger.</t>
  </si>
  <si>
    <t>Point rate 1 per 10,000 VND; full actual quantity received; no complaint; payment settled.</t>
  </si>
  <si>
    <t>Type: Boundary; Role: System; Level: System / Integration
SRS v1.8 / BR: 3.10.2; BR-54
Test data: Eligible amount exactly 100000 VND
Source: https://github.com/GFA26SE63/FSCM-Backend/blob/0f56f7099f07aa60d76673e6b6a57a2b606fb833/src/FSCM.Application/Features/Loyalty/LoyaltyService.cs
Automation: Manual / candidate
Version: 1.3; Actual result: —; Evidence: —</t>
  </si>
  <si>
    <t>FT-044-P</t>
  </si>
  <si>
    <t>Staff completes gift after documented physical delivery</t>
  </si>
  <si>
    <t>1. Retailer requests gift costing 60 points. 2. Administrator approves and points are deducted/hold settled once. 3. Operator records gift delivered with evidence. 4. Authorized Administrator/Operator finalizes Completed; repeat and try unauthorized Sales.</t>
  </si>
  <si>
    <t>Completed after authorized staff delivery confirmation with evidence; no Retailer confirmation step required. No duplicate point debit and unauthorized action denied.</t>
  </si>
  <si>
    <t>Type: Positive; Role: Retailer; Administrator; Level: System / Integration
SRS v1.8 / BR: 3.10.3; BR-55,70
Test data: Enough points and active reward
Source: https://github.com/GFA26SE63/FSCM-Backend/blob/0f56f7099f07aa60d76673e6b6a57a2b606fb833/src/FSCM.API/Controllers/LoyaltyRedemptionsController.cs
Automation: Manual / candidate
Version: 1.3; Actual result: —; Evidence: —</t>
  </si>
  <si>
    <t>FT-044-N</t>
  </si>
  <si>
    <t>Redeem reward and settle points
Negative — Insufficient / negative corrected balance</t>
  </si>
  <si>
    <t>1. Seed isolated FSCM fixture with required SKU, retailer, warehouse, roles and state; record starting stock/payment/ledger snapshots.
2. Sign in as Retailer; Administrator; perform scenario: Insufficient / negative corrected balance.
3. Submit both the valid operation and the specified invalid/boundary input.
4. Compare response, persisted state, actor audit, once-only effects and unchanged records against the expected result.</t>
  </si>
  <si>
    <t>Block invalid redemption</t>
  </si>
  <si>
    <t>Type: Negative; Role: Retailer; Administrator; Level: System / Integration
SRS v1.8 / BR: 3.10.3; BR-55,70
Test data: Insufficient / negative corrected balance
Source: https://github.com/GFA26SE63/FSCM-Backend/blob/0f56f7099f07aa60d76673e6b6a57a2b606fb833/src/FSCM.API/Controllers/LoyaltyRedemptionsController.cs
Automation: Manual / candidate
Version: 1.3; Actual result: —; Evidence: —</t>
  </si>
  <si>
    <t>FT-044-B</t>
  </si>
  <si>
    <t>Gift rejection releases holds once and negative balance blocks redemption</t>
  </si>
  <si>
    <t>1. Reject a pending redemption and repeat. 2. Record P1 adjustment causing balance -6 per F5. 3. Retailer attempts a second gift. 4. Inspect ledger and stocks.</t>
  </si>
  <si>
    <t>Rejected holds released exactly once; negative corrected balance -6 blocks new request; staff delivery confirmation governs completion, not Retailer UI confirmation.</t>
  </si>
  <si>
    <t>Type: Boundary; Role: Retailer; Administrator; Level: System / Integration
SRS v1.8 / BR: 3.10.3; BR-55,70
Test data: Request rejected after points held
Source: https://github.com/GFA26SE63/FSCM-Backend/blob/0f56f7099f07aa60d76673e6b6a57a2b606fb833/src/FSCM.API/Controllers/LoyaltyRedemptionsController.cs
Automation: Manual / candidate
Version: 1.3; Actual result: —; Evidence: —</t>
  </si>
  <si>
    <t>FT-045-P</t>
  </si>
  <si>
    <t>Manage loyalty program and gift catalog
Positive — Create eligible program/reward</t>
  </si>
  <si>
    <t>1. Seed isolated FSCM fixture with required SKU, retailer, warehouse, roles and state; record starting stock/payment/ledger snapshots.
2. Sign in as Administrator; perform scenario: Create eligible program/reward.
3. Submit both the valid operation and the specified invalid/boundary input.
4. Compare response, persisted state, actor audit, once-only effects and unchanged records against the expected result.</t>
  </si>
  <si>
    <t>Store program and reward configuration</t>
  </si>
  <si>
    <t>Type: Positive; Role: Administrator; Level: System / Integration
SRS v1.8 / BR: 3.10.3; BR-54–55
Test data: Create eligible program/reward
Source: https://github.com/GFA26SE63/FSCM-Backend/blob/0f56f7099f07aa60d76673e6b6a57a2b606fb833/src/FSCM.Application/Features/Loyalty/RewardService.cs
Automation: Manual / candidate
Version: 1.3; Actual result: —; Evidence: —</t>
  </si>
  <si>
    <t>FT-045-N</t>
  </si>
  <si>
    <t>Manage loyalty program and gift catalog
Negative — Activate out-of-stock reward</t>
  </si>
  <si>
    <t>1. Seed isolated FSCM fixture with required SKU, retailer, warehouse, roles and state; record starting stock/payment/ledger snapshots.
2. Sign in as Administrator; perform scenario: Activate out-of-stock reward.
3. Submit both the valid operation and the specified invalid/boundary input.
4. Compare response, persisted state, actor audit, once-only effects and unchanged records against the expected result.</t>
  </si>
  <si>
    <t>Reject invalid activation</t>
  </si>
  <si>
    <t>Type: Negative; Role: Administrator; Level: System / Integration
SRS v1.8 / BR: 3.10.3; BR-54–55
Test data: Activate out-of-stock reward
Source: https://github.com/GFA26SE63/FSCM-Backend/blob/0f56f7099f07aa60d76673e6b6a57a2b606fb833/src/FSCM.Application/Features/Loyalty/RewardService.cs
Automation: Manual / candidate
Version: 1.3; Actual result: —; Evidence: —</t>
  </si>
  <si>
    <t>FT-045-B</t>
  </si>
  <si>
    <t>Manage loyalty program and gift catalog
Boundary — Expiration exactly current day</t>
  </si>
  <si>
    <t>1. Seed isolated FSCM fixture with required SKU, retailer, warehouse, roles and state; record starting stock/payment/ledger snapshots.
2. Sign in as Administrator; perform scenario: Expiration exactly current day.
3. Submit both the valid operation and the specified invalid/boundary input.
4. Compare response, persisted state, actor audit, once-only effects and unchanged records against the expected result.</t>
  </si>
  <si>
    <t>Apply documented expiry boundary consistently</t>
  </si>
  <si>
    <t>Type: Boundary; Role: Administrator; Level: System / Integration
SRS v1.8 / BR: 3.10.3; BR-54–55
Test data: Expiration exactly current day
Source: https://github.com/GFA26SE63/FSCM-Backend/blob/0f56f7099f07aa60d76673e6b6a57a2b606fb833/src/FSCM.Application/Features/Loyalty/RewardService.cs
Automation: Manual / candidate
Version: 1.3; Actual result: —; Evidence: —</t>
  </si>
  <si>
    <t>R5-TC-LOY-01</t>
  </si>
  <si>
    <t>Full receipt is mandatory even after complaint settlement</t>
  </si>
  <si>
    <t>1. Dispatch 10 cartons; Retailer receives 8 and records missing 2. 2. Resolve complaint and adjust financial balance fully. 3. Trigger Completed and earn. 4. Separately confirm missing 2 cartons physically received and settle outstanding amounts; retry.</t>
  </si>
  <si>
    <t>After only 8/10 received, order remains non-Delivered/non-Completed and earns 0 points even if adjustment settled. Completion and earning require full physical quantity, full payment and no open complaint.</t>
  </si>
  <si>
    <t>Multiwarehouse delivery with one initially missing portion; open discrepancy; eventual full settlement.</t>
  </si>
  <si>
    <t>Requirement/Traceability: Registration §3.2; SRS v1.8 §3.10.3; NFR-D04; R5-08; M11/WF01/TS01
Priority: P1; Level: Integration / System / Acceptance
Version: 1.3; Actual result: —; Evidence: —</t>
  </si>
  <si>
    <t>R5-TC-LOY-02</t>
  </si>
  <si>
    <t>Exactly once initial earning</t>
  </si>
  <si>
    <t>Publish initial earning event; deliver same event repeatedly; compare ledger and balance.</t>
  </si>
  <si>
    <t>Exactly one initial earning ledger entry and one balance increase per order.</t>
  </si>
  <si>
    <t>Eligible completed order, settled net amount, no open complaint; duplicated event/ID.</t>
  </si>
  <si>
    <t>Territory &amp; Sales Groups — FSCM scenarios</t>
  </si>
  <si>
    <t>Requirement/Traceability: SRS v1.8 §3.10.3; BR-54; NFR-D04; M11/WF01/TS02
Priority: P1; Level: Integration / System / Acceptance
Version: 1.3; Actual result: —; Evidence: —</t>
  </si>
  <si>
    <t>R5-TC-LOY-03</t>
  </si>
  <si>
    <t>F5 P1 adjustment 61 -&gt; 54 points and possible -6 balance</t>
  </si>
  <si>
    <t>1. Fully receive and settle P1=612,000 VND; post 61 points. 2. Redeem gift costing 60 (remaining=1). 3. Approve affected A1 complaint adjustment 72,000 VND, reducing eligible value to 540,000. 4. Run correction twice and verify refund separately.</t>
  </si>
  <si>
    <t>Target points=floor(540,000/10,000)=54; correction -7, final balance=1-7=-6. Exactly one correction; manual refund verification does NOT deduct points again.</t>
  </si>
  <si>
    <t>Five Main Flows F5 sheet 04; P1 fully received (no missing quantity), disputed A1 batch priced net 72,000; claim authorized, full settlement.</t>
  </si>
  <si>
    <t>FT-046-P</t>
  </si>
  <si>
    <t>Manage sales groups and coverage
Positive — Assign Sales and retailer in same region</t>
  </si>
  <si>
    <t>Requirement/Traceability: R5-08; SRS v1.8 §3.10.4/NFR-D04; M11/WF02/TS01
Priority: P1; Level: Integration / System / Acceptance
Version: 1.3; Actual result: —; Evidence: —</t>
  </si>
  <si>
    <t>R5-TC-LOY-04</t>
  </si>
  <si>
    <t>1. Seed isolated FSCM fixture with required SKU, retailer, warehouse, roles and state; record starting stock/payment/ledger snapshots.
2. Sign in as Sales Manager; perform scenario: Assign Sales and retailer in same region.
3. Submit both the valid operation and the specified invalid/boundary input.
4. Compare response, persisted state, actor audit, once-only effects and unchanged records against the expected result.</t>
  </si>
  <si>
    <t>Gift request holds points and stock</t>
  </si>
  <si>
    <t>Persist valid scope and membership</t>
  </si>
  <si>
    <t>Retailer requests eligible gift; inspect held points/stock before Admin decision; replay request.</t>
  </si>
  <si>
    <t>One Pending redemption holds 200 points and 1 gift unit; no premature completion or duplicate holds.</t>
  </si>
  <si>
    <t>200 available points; gift stock=1; cost 200; active program.</t>
  </si>
  <si>
    <t>Requirement/Traceability: SRS v1.8 §3.10.3; BR-75; AC-3.10.3-01; M11/WF03/TS01
Priority: P1; Level: Integration / System / Acceptance
Version: 1.3; Actual result: —; Evidence: —</t>
  </si>
  <si>
    <t>R5-TC-LOY-05</t>
  </si>
  <si>
    <t>Type: Positive; Role: Sales Manager; Level: System / Integration
SRS v1.8 / BR: 3.11.1; BR-03
Test data: Assign Sales and retailer in same region
Source: https://github.com/GFA26SE63/FSCM-Backend/blob/0f56f7099f07aa60d76673e6b6a57a2b606fb833/src/FSCM.Application/Features/Territory/TerritoryService.cs
Automation: Manual / candidate
Version: 1.3; Actual result: —; Evidence: —</t>
  </si>
  <si>
    <t>Gift rejection releases hold exactly once</t>
  </si>
  <si>
    <t>FT-046-N</t>
  </si>
  <si>
    <t>Admin rejects pending gift; replay rejection and verify held balances and ledger.</t>
  </si>
  <si>
    <t>Release holds exactly once; return available balances; no negative/double adjustment.</t>
  </si>
  <si>
    <t>Manage sales groups and coverage
Negative — Assign retailer to foreign group</t>
  </si>
  <si>
    <t>Pending gift hold=200 points and 1 stock.</t>
  </si>
  <si>
    <t>1. Seed isolated FSCM fixture with required SKU, retailer, warehouse, roles and state; record starting stock/payment/ledger snapshots.
2. Sign in as Sales Manager; perform scenario: Assign retailer to foreign group.
3. Submit both the valid operation and the specified invalid/boundary input.
4. Compare response, persisted state, actor audit, once-only effects and unchanged records against the expected result.</t>
  </si>
  <si>
    <t>Reject cross-region mapping</t>
  </si>
  <si>
    <t>Requirement/Traceability: SRS v1.8 §3.10.3; BR-75; M11/WF03/TS02
Priority: P1; Level: Integration / System / Acceptance
Version: 1.3; Actual result: —; Evidence: —</t>
  </si>
  <si>
    <t>R5-TC-LOY-06</t>
  </si>
  <si>
    <t>Gift completed by authorized staff on verified delivery</t>
  </si>
  <si>
    <t>1. Retailer requests gift. 2. Admin approves and holds/settles points once. 3. Operator/Admin records physical delivery evidence and marks Completed. 4. Retry same transition; let Sales attempt unauthorized completion.</t>
  </si>
  <si>
    <t>Type: Negative; Role: Sales Manager; Level: System / Integration
SRS v1.8 / BR: 3.11.1; BR-03
Test data: Assign retailer to foreign group
Source: https://github.com/GFA26SE63/FSCM-Backend/blob/0f56f7099f07aa60d76673e6b6a57a2b606fb833/src/FSCM.Application/Features/Territory/TerritoryService.cs
Automation: Manual / candidate
Version: 1.3; Actual result: —; Evidence: —</t>
  </si>
  <si>
    <t>Authorized staff may complete without extra Retailer confirmation; status/points/stock once only; unauthorized actor denied.</t>
  </si>
  <si>
    <t>FT-046-B</t>
  </si>
  <si>
    <t>Approved gift with delivery evidence, intended Retailer account, still unconfirmed.</t>
  </si>
  <si>
    <t>Manage sales groups and coverage
Boundary — Transfer Sales between groups</t>
  </si>
  <si>
    <t>1. Seed isolated FSCM fixture with required SKU, retailer, warehouse, roles and state; record starting stock/payment/ledger snapshots.
2. Sign in as Sales Manager; perform scenario: Transfer Sales between groups.
3. Submit both the valid operation and the specified invalid/boundary input.
4. Compare response, persisted state, actor audit, once-only effects and unchanged records against the expected result.</t>
  </si>
  <si>
    <t>Close previous membership without losing history</t>
  </si>
  <si>
    <t>Verify authorized Sales and Manager dashboards show only permitted group/retailer data, with accurate completed-order KPIs and net revenue after promotions and approved adjustments. Exclude cancelled orders and handle empty datasets and rounding correctly.</t>
  </si>
  <si>
    <t>Requirement/Traceability: R5-08; SRS v1.8 §3.10.3/BR-75 lifecycle; M11/WF03/TS03
Priority: P1; Level: Integration / System / Acceptance
Version: 1.3; Actual result: —; Evidence: —</t>
  </si>
  <si>
    <t>Type: Boundary; Role: Sales Manager; Level: System / Integration
SRS v1.8 / BR: 3.11.1; BR-03
Test data: Transfer Sales between groups
Source: https://github.com/GFA26SE63/FSCM-Backend/blob/0f56f7099f07aa60d76673e6b6a57a2b606fb833/src/FSCM.Application/Features/Territory/TerritoryService.cs
Automation: Manual / candidate
Version: 1.3; Actual result: —; Evidence: —</t>
  </si>
  <si>
    <t>Verify versioned distance/transit bands and map locations yield valid ETA inputs; reject overlapping bands, handle boundary values and invalidate stale routes. Persist authorized notifications once and retry provider failures without undoing committed operations.</t>
  </si>
  <si>
    <t>Sales Reporting — FSCM scenarios</t>
  </si>
  <si>
    <t>FT-047-P</t>
  </si>
  <si>
    <t>View authorized sales dashboard
Positive — Manager loads own team period KPIs</t>
  </si>
  <si>
    <t>1. Seed isolated FSCM fixture with required SKU, retailer, warehouse, roles and state; record starting stock/payment/ledger snapshots.
2. Sign in as Administrator; Sales Manager; Sales; perform scenario: Manager loads own team period KPIs.
3. Submit both the valid operation and the specified invalid/boundary input.
4. Compare response, persisted state, actor audit, once-only effects and unchanged records against the expected result.</t>
  </si>
  <si>
    <t>Return scoped counts and net revenue</t>
  </si>
  <si>
    <t>Type: Positive; Role: Administrator; Sales Manager; Sales; Level: System / Integration
SRS v1.8 / BR: 3.11.2; BR-56
Test data: Manager loads own team period KPIs
Source: https://github.com/GFA26SE63/FSCM-Backend/blob/0f56f7099f07aa60d76673e6b6a57a2b606fb833/src/FSCM.Application/Features/Reports/ReportService.cs
Automation: Manual / candidate
Version: 1.3; Actual result: —; Evidence: —</t>
  </si>
  <si>
    <t>FT-047-N</t>
  </si>
  <si>
    <t>View authorized sales dashboard
Negative — Retailer tries sales leaderboard</t>
  </si>
  <si>
    <t>1. Seed isolated FSCM fixture with required SKU, retailer, warehouse, roles and state; record starting stock/payment/ledger snapshots.
2. Sign in as Administrator; Sales Manager; Sales; perform scenario: Retailer tries sales leaderboard.
3. Submit both the valid operation and the specified invalid/boundary input.
4. Compare response, persisted state, actor audit, once-only effects and unchanged records against the expected result.</t>
  </si>
  <si>
    <t>Deny unauthorized role/group</t>
  </si>
  <si>
    <t>Type: Negative; Role: Administrator; Sales Manager; Sales; Level: System / Integration
SRS v1.8 / BR: 3.11.2; BR-56
Test data: Retailer tries sales leaderboard
Source: https://github.com/GFA26SE63/FSCM-Backend/blob/0f56f7099f07aa60d76673e6b6a57a2b606fb833/src/FSCM.Application/Features/Reports/ReportService.cs
Automation: Manual / candidate
Version: 1.3; Actual result: —; Evidence: —</t>
  </si>
  <si>
    <t>FT-047-B</t>
  </si>
  <si>
    <t>View authorized sales dashboard
Boundary — No qualifying completed orders</t>
  </si>
  <si>
    <t>1. Seed isolated FSCM fixture with required SKU, retailer, warehouse, roles and state; record starting stock/payment/ledger snapshots.
2. Sign in as Administrator; Sales Manager; Sales; perform scenario: No qualifying completed orders.
3. Submit both the valid operation and the specified invalid/boundary input.
4. Compare response, persisted state, actor audit, once-only effects and unchanged records against the expected result.</t>
  </si>
  <si>
    <t>Show zeros, not stale/unscoped totals</t>
  </si>
  <si>
    <t>Type: Boundary; Role: Administrator; Sales Manager; Sales; Level: System / Integration
SRS v1.8 / BR: 3.11.2; BR-56
Test data: No qualifying completed orders
Source: https://github.com/GFA26SE63/FSCM-Backend/blob/0f56f7099f07aa60d76673e6b6a57a2b606fb833/src/FSCM.Application/Features/Reports/ReportService.cs
Automation: Manual / candidate
Version: 1.3; Actual result: —; Evidence: —</t>
  </si>
  <si>
    <t>FT-048-P</t>
  </si>
  <si>
    <t>Calculate net revenue after adjustments
Positive — Completed order with promo and approved adjustment</t>
  </si>
  <si>
    <t>1. Seed isolated FSCM fixture with required SKU, retailer, warehouse, roles and state; record starting stock/payment/ledger snapshots.
2. Sign in as Administrator; Sales Manager; perform scenario: Completed order with promo and approved adjustment.
3. Submit both the valid operation and the specified invalid/boundary input.
4. Compare response, persisted state, actor audit, once-only effects and unchanged records against the expected result.</t>
  </si>
  <si>
    <t>Report final net after discounts/adjustments</t>
  </si>
  <si>
    <t>Type: Positive; Role: Administrator; Sales Manager; Level: System / Integration
SRS v1.8 / BR: 3.11.2; BR-56
Test data: Completed order with promo and approved adjustment
Source: https://github.com/GFA26SE63/FSCM-Backend/blob/0f56f7099f07aa60d76673e6b6a57a2b606fb833/src/FSCM.API/Controllers/ReportsController.cs
Automation: Manual / candidate
Version: 1.3; Actual result: —; Evidence: —</t>
  </si>
  <si>
    <t>FT-048-N</t>
  </si>
  <si>
    <t>Calculate net revenue after adjustments
Negative — Cancelled/unfulfilled order counted as revenue</t>
  </si>
  <si>
    <t>1. Seed isolated FSCM fixture with required SKU, retailer, warehouse, roles and state; record starting stock/payment/ledger snapshots.
2. Sign in as Administrator; Sales Manager; perform scenario: Cancelled/unfulfilled order counted as revenue.
3. Submit both the valid operation and the specified invalid/boundary input.
4. Compare response, persisted state, actor audit, once-only effects and unchanged records against the expected result.</t>
  </si>
  <si>
    <t>Exclude ineligible statuses</t>
  </si>
  <si>
    <t>Type: Negative; Role: Administrator; Sales Manager; Level: System / Integration
SRS v1.8 / BR: 3.11.2; BR-56
Test data: Cancelled/unfulfilled order counted as revenue
Source: https://github.com/GFA26SE63/FSCM-Backend/blob/0f56f7099f07aa60d76673e6b6a57a2b606fb833/src/FSCM.API/Controllers/ReportsController.cs
Automation: Manual / candidate
Version: 1.3; Actual result: —; Evidence: —</t>
  </si>
  <si>
    <t>FT-048-B</t>
  </si>
  <si>
    <t>Calculate net revenue after adjustments
Boundary — Zero adjustment and rounding edge</t>
  </si>
  <si>
    <t>1. Seed isolated FSCM fixture with required SKU, retailer, warehouse, roles and state; record starting stock/payment/ledger snapshots.
2. Sign in as Administrator; Sales Manager; perform scenario: Zero adjustment and rounding edge.
3. Submit both the valid operation and the specified invalid/boundary input.
4. Compare response, persisted state, actor audit, once-only effects and unchanged records against the expected result.</t>
  </si>
  <si>
    <t>Conserve monetary precision and avoid negative artifact</t>
  </si>
  <si>
    <t>Type: Boundary; Role: Administrator; Sales Manager; Level: System / Integration
SRS v1.8 / BR: 3.11.2; BR-56
Test data: Zero adjustment and rounding edge
Source: https://github.com/GFA26SE63/FSCM-Backend/blob/0f56f7099f07aa60d76673e6b6a57a2b606fb833/src/FSCM.API/Controllers/ReportsController.cs
Automation: Manual / candidate
Version: 1.3; Actual result: —; Evidence: —</t>
  </si>
  <si>
    <t>Configuration &amp; Notifications — FSCM scenarios</t>
  </si>
  <si>
    <t>FT-049-P</t>
  </si>
  <si>
    <t>Version transit distance and ETA rules
Positive — Publish valid nonoverlapping distance bands</t>
  </si>
  <si>
    <t>1. Seed isolated FSCM fixture with required SKU, retailer, warehouse, roles and state; record starting stock/payment/ledger snapshots.
2. Sign in as Administrator; perform scenario: Publish valid nonoverlapping distance bands.
3. Submit both the valid operation and the specified invalid/boundary input.
4. Compare response, persisted state, actor audit, once-only effects and unchanged records against the expected result.</t>
  </si>
  <si>
    <t>Version active rules and compute configured ETA</t>
  </si>
  <si>
    <t>Type: Positive; Role: Administrator; Level: System / Integration
SRS v1.8 / BR: 3.12.1; BR-31–32,57
Test data: Publish valid nonoverlapping distance bands
Source: https://github.com/GFA26SE63/FSCM-Backend/blob/0f56f7099f07aa60d76673e6b6a57a2b606fb833/src/FSCM.Application/Features/TransitTables/TransitTableService.cs
Automation: Manual / candidate
Version: 1.3; Actual result: —; Evidence: —</t>
  </si>
  <si>
    <t>FT-049-N</t>
  </si>
  <si>
    <t>Version transit distance and ETA rules
Negative — Overlapping 0–10 and 5–20 km bands</t>
  </si>
  <si>
    <t>1. Seed isolated FSCM fixture with required SKU, retailer, warehouse, roles and state; record starting stock/payment/ledger snapshots.
2. Sign in as Administrator; perform scenario: Overlapping 0–10 and 5–20 km bands.
3. Submit both the valid operation and the specified invalid/boundary input.
4. Compare response, persisted state, actor audit, once-only effects and unchanged records against the expected result.</t>
  </si>
  <si>
    <t>Reject contradictory bands</t>
  </si>
  <si>
    <t>Type: Negative; Role: Administrator; Level: System / Integration
SRS v1.8 / BR: 3.12.1; BR-31–32,57
Test data: Overlapping 0–10 and 5–20 km bands
Source: https://github.com/GFA26SE63/FSCM-Backend/blob/0f56f7099f07aa60d76673e6b6a57a2b606fb833/src/FSCM.Application/Features/TransitTables/TransitTableService.cs
Automation: Manual / candidate
Version: 1.3; Actual result: —; Evidence: —</t>
  </si>
  <si>
    <t>FT-049-B</t>
  </si>
  <si>
    <t>Version transit distance and ETA rules
Boundary — Exactly 10 and 20 km boundary</t>
  </si>
  <si>
    <t>1. Seed isolated FSCM fixture with required SKU, retailer, warehouse, roles and state; record starting stock/payment/ledger snapshots.
2. Sign in as Administrator; perform scenario: Exactly 10 and 20 km boundary.
3. Submit both the valid operation and the specified invalid/boundary input.
4. Compare response, persisted state, actor audit, once-only effects and unchanged records against the expected result.</t>
  </si>
  <si>
    <t>Apply exclusive/inclusive band edge as specified</t>
  </si>
  <si>
    <t>Type: Boundary; Role: Administrator; Level: System / Integration
SRS v1.8 / BR: 3.12.1; BR-31–32,57
Test data: Exactly 10 and 20 km boundary
Source: https://github.com/GFA26SE63/FSCM-Backend/blob/0f56f7099f07aa60d76673e6b6a57a2b606fb833/src/FSCM.Application/Features/TransitTables/TransitTableService.cs
Automation: Manual / candidate
Version: 1.3; Actual result: —; Evidence: —</t>
  </si>
  <si>
    <t>FT-050-P</t>
  </si>
  <si>
    <t>Warehouse location and map distance
Positive — Valid coordinate and map route</t>
  </si>
  <si>
    <t>1. Seed isolated FSCM fixture with required SKU, retailer, warehouse, roles and state; record starting stock/payment/ledger snapshots.
2. Sign in as Administrator; perform scenario: Valid coordinate and map route.
3. Submit both the valid operation and the specified invalid/boundary input.
4. Compare response, persisted state, actor audit, once-only effects and unchanged records against the expected result.</t>
  </si>
  <si>
    <t>Save location and route version</t>
  </si>
  <si>
    <t>Type: Positive; Role: Administrator; Level: System / Integration
SRS v1.8 / BR: 3.12.1
Test data: Valid coordinate and map route
Source: https://github.com/GFA26SE63/FSCM-Backend/blob/0f56f7099f07aa60d76673e6b6a57a2b606fb833/src/FSCM.Application/Features/Maps/MapService.cs
Automation: Manual / candidate
Version: 1.3; Actual result: —; Evidence: —</t>
  </si>
  <si>
    <t>FT-050-N</t>
  </si>
  <si>
    <t>Warehouse location and map distance
Negative — Provider quota or unreachable route</t>
  </si>
  <si>
    <t>1. Seed isolated FSCM fixture with required SKU, retailer, warehouse, roles and state; record starting stock/payment/ledger snapshots.
2. Sign in as Administrator; perform scenario: Provider quota or unreachable route.
3. Submit both the valid operation and the specified invalid/boundary input.
4. Compare response, persisted state, actor audit, once-only effects and unchanged records against the expected result.</t>
  </si>
  <si>
    <t>Surface controlled provider failure</t>
  </si>
  <si>
    <t>Type: Negative; Role: Administrator; Level: System / Integration
SRS v1.8 / BR: 3.12.1
Test data: Provider quota or unreachable route
Source: https://github.com/GFA26SE63/FSCM-Backend/blob/0f56f7099f07aa60d76673e6b6a57a2b606fb833/src/FSCM.Application/Features/Maps/MapService.cs
Automation: Manual / candidate
Version: 1.3; Actual result: —; Evidence: —</t>
  </si>
  <si>
    <t>FT-050-B</t>
  </si>
  <si>
    <t>Warehouse location and map distance
Boundary — Change warehouse location after route cached</t>
  </si>
  <si>
    <t>1. Seed isolated FSCM fixture with required SKU, retailer, warehouse, roles and state; record starting stock/payment/ledger snapshots.
2. Sign in as Administrator; perform scenario: Change warehouse location after route cached.
3. Submit both the valid operation and the specified invalid/boundary input.
4. Compare response, persisted state, actor audit, once-only effects and unchanged records against the expected result.</t>
  </si>
  <si>
    <t>Invalidate stale distance version</t>
  </si>
  <si>
    <t>Type: Boundary; Role: Administrator; Level: System / Integration
SRS v1.8 / BR: 3.12.1
Test data: Change warehouse location after route cached
Source: https://github.com/GFA26SE63/FSCM-Backend/blob/0f56f7099f07aa60d76673e6b6a57a2b606fb833/src/FSCM.Application/Features/Maps/MapService.cs
Automation: Manual / candidate
Version: 1.3; Actual result: —; Evidence: —</t>
  </si>
  <si>
    <t>FT-051-P</t>
  </si>
  <si>
    <t>Send operational notification
Positive — Batch expired, notify authorized recipients</t>
  </si>
  <si>
    <t>1. Seed isolated FSCM fixture with required SKU, retailer, warehouse, roles and state; record starting stock/payment/ledger snapshots.
2. Sign in as System; perform scenario: Batch expired, notify authorized recipients.
3. Submit both the valid operation and the specified invalid/boundary input.
4. Compare response, persisted state, actor audit, once-only effects and unchanged records against the expected result.</t>
  </si>
  <si>
    <t>Persist event and notify once</t>
  </si>
  <si>
    <t>Type: Positive; Role: System; Level: System / Integration
SRS v1.8 / BR: 3.12.2; NFR Reliability
Test data: Batch expired, notify authorized recipients
Source: https://github.com/GFA26SE63/FSCM-Backend/blob/0f56f7099f07aa60d76673e6b6a57a2b606fb833/src/FSCM.Application/Features/Inventory/InventoryOutboxDispatcher.cs
Automation: Manual / candidate
Version: 1.3; Actual result: —; Evidence: —</t>
  </si>
  <si>
    <t>FT-051-N</t>
  </si>
  <si>
    <t>Send operational notification
Negative — Notification provider is unavailable</t>
  </si>
  <si>
    <t>1. Seed isolated FSCM fixture with required SKU, retailer, warehouse, roles and state; record starting stock/payment/ledger snapshots.
2. Sign in as System; perform scenario: Notification provider is unavailable.
3. Submit both the valid operation and the specified invalid/boundary input.
4. Compare response, persisted state, actor audit, once-only effects and unchanged records against the expected result.</t>
  </si>
  <si>
    <t>Retry/record failure without business rollback</t>
  </si>
  <si>
    <t>Type: Negative; Role: System; Level: System / Integration
SRS v1.8 / BR: 3.12.2; NFR Reliability
Test data: Notification provider is unavailable
Source: https://github.com/GFA26SE63/FSCM-Backend/blob/0f56f7099f07aa60d76673e6b6a57a2b606fb833/src/FSCM.Application/Features/Inventory/InventoryOutboxDispatcher.cs
Automation: Manual / candidate
Version: 1.3; Actual result: —; Evidence: —</t>
  </si>
  <si>
    <t>FT-051-B</t>
  </si>
  <si>
    <t>Send operational notification
Boundary — Same event consumed twice</t>
  </si>
  <si>
    <t>1. Seed isolated FSCM fixture with required SKU, retailer, warehouse, roles and state; record starting stock/payment/ledger snapshots.
2. Sign in as System; perform scenario: Same event consumed twice.
3. Submit both the valid operation and the specified invalid/boundary input.
4. Compare response, persisted state, actor audit, once-only effects and unchanged records against the expected result.</t>
  </si>
  <si>
    <t>Deduplicate repeated outbox delivery</t>
  </si>
  <si>
    <t>Type: Boundary; Role: System; Level: System / Integration
SRS v1.8 / BR: 3.12.2; NFR Reliability
Test data: Same event consumed twice
Source: https://github.com/GFA26SE63/FSCM-Backend/blob/0f56f7099f07aa60d76673e6b6a57a2b606fb833/src/FSCM.Application/Features/Inventory/InventoryOutboxDispatcher.cs
Automation: Manual / candidate
Version: 1.3; Actual result: —; Evidence: —</t>
  </si>
  <si>
    <t>Execute Main Flows F1–F5 against fixed demonstrable data: F1 two warehouses and SKU catalog/stock; F2 group-promotion SOs with manual offline Send; F3 00:00 FEFO–MLOR allocation P1/C1/P2 complete and SHORT; F4 quotation/PO/picking/verified payment/receipts; F5 payment, refund, full-receipt-gated loyalty and staff gift completion.</t>
  </si>
  <si>
    <t>Verify authorized lifecycle from Sales Order through quoted/PO/picking/dispatch/receipt/Completed, requiring full physical quantities before Delivered or Completed. Gift request -&gt; approve -&gt; staff delivery-confirmation -&gt; Completed (no mandatory Retailer confirmation). Check refund/complaint idempotency.</t>
  </si>
  <si>
    <t>Main Workflows — FSCM scenarios</t>
  </si>
  <si>
    <t>E2E-W01</t>
  </si>
  <si>
    <t>F1 — Source stock, Admin/Operator product publish, goods receipt and QR</t>
  </si>
  <si>
    <t>1. Admin and Operator log in separately; create Category and SKU_A/B Draft with prices A=100,000 and B=50,000 VND. 2. Publish; Sales views catalog; Warehouse Keeper raises goods receipt. 3. Approver accepts receipt once, print/scan QR for 4 usable batches (30 cartons). 4. Lock expired/damaged batches; write off via approval.</t>
  </si>
  <si>
    <t>Both Admin and Operator manage products; only approved receiving raises OnHand once; four eligible batches total 30 units; locked/expired excluded; QR and stock movement auditable.</t>
  </si>
  <si>
    <t>Five Main Flows F1–F5 demonstration fixtures, frozen business date, seeded test accounts and warehouse data; all execution Not Run.</t>
  </si>
  <si>
    <t>State Transitions — FSCM scenarios</t>
  </si>
  <si>
    <t>Type: End-to-End; Role: Sales; Administrator; Level: Acceptance / System
SRS v1.8 / BR: BR-12; 3.3–3.6
Test data: Seed actors, warehouses, SKUs, retailer, batches and approved business conditions
Source: SRS BR-12; 3.3–3.6
Automation: Manual E2E
Version: 1.3; Actual result: —; Evidence: —</t>
  </si>
  <si>
    <t>E2E-W02</t>
  </si>
  <si>
    <t>F2 — R1/R2 onboarding, group SKU promo, assisted SO and manual offline Send</t>
  </si>
  <si>
    <t>1. Sales registers R1 category MLOR30% and R2 SKU_A MLOR80%; Admin activates R2 with credit term7d. 2. Admin configures group A+B threshold10, 10% discount. 3. Quote P1 A6+B4; P2 A3+B2; validate A6+B3 and A6+foreignSKU4. 4. Make offline draft and reconnect WITHOUT Send; then Sales Send and revalidate.</t>
  </si>
  <si>
    <t>P1 qualifies: gross800,000, group discount80,000, post-promotion720,000 VND; P2 not eligible. Draft stays local on reconnect; manual Send exactly once; no PO/payment choice on SO.</t>
  </si>
  <si>
    <t>ST-001</t>
  </si>
  <si>
    <t>Product Draft → Published
Allowed state change: Valid approved publish</t>
  </si>
  <si>
    <t>Type: End-to-End; Role: Sales; Operator; Level: Acceptance / System
SRS v1.8 / BR: BR-20–25
Test data: Seed actors, warehouses, SKUs, retailer, batches and approved business conditions
Source: SRS BR-20–25
Automation: Manual E2E
Version: 1.3; Actual result: —; Evidence: —</t>
  </si>
  <si>
    <t>1. Seed isolated FSCM fixture with required SKU, retailer, warehouse, roles and state; record starting stock/payment/ledger snapshots.
2. Sign in as Authorized actor / System; perform scenario: Allowed state change: Valid approved publish.
3. Submit both the valid operation and the specified invalid/boundary input.
4. Compare response, persisted state, actor audit, once-only effects and unchanged records against the expected result.</t>
  </si>
  <si>
    <t>Only allowed transition reaches Published; history records actor/time; invalid transition is rejected</t>
  </si>
  <si>
    <t>E2E-W03</t>
  </si>
  <si>
    <t>F3 — 00:00 ICT allocation P1/C1/P2/SHORT, pricing and Admin approval</t>
  </si>
  <si>
    <t>1. Freeze F3 stock and retailer MLOR; server accepts P1 09:00 C1 09:05 P2 09:10 SHORT 09:15 and approves all before next 00:00 ICT. 2. Run weighted FEFO with Dmax20km weights .5/.3/.2 and all-or-nothing. 3. Verify tie-break and no swaps. 4. Admin approves prices; read quotes and reservation.</t>
  </si>
  <si>
    <t>P1,C1,P2 complete; SHORT has no allocation. Quotes P1=612,000 C1=500,000 P2=360,000 VND; stock reserved only after Admin approval; no PO/picking until payment eligibility.</t>
  </si>
  <si>
    <t>Type: State transition; Role: Authorized actor / System; Level: System / Integration
SRS v1.8 / BR: BR / state design
Test data: Entity=Product; from=Draft; trigger=Valid approved publish
Source: SRS state workflow
Automation: Manual / candidate
Version: 1.3; Actual result: —; Evidence: —</t>
  </si>
  <si>
    <t>Type: End-to-End; Role: Sales; Administrator; System; Level: Acceptance / System
SRS v1.8 / BR: BR-27–41
Test data: Seed actors, warehouses, SKUs, retailer, batches and approved business conditions
Source: SRS BR-27–41
Automation: Manual E2E
Version: 1.3; Actual result: —; Evidence: —</t>
  </si>
  <si>
    <t>E2E-W04</t>
  </si>
  <si>
    <t>ST-002</t>
  </si>
  <si>
    <t>F4 — Price-approved quotation, prepaid verification, PO and multiwarehouse picking</t>
  </si>
  <si>
    <t>Product Published → Inactive
Allowed state change: Deactivation/replacement</t>
  </si>
  <si>
    <t>1. Retailer accepts P1 612,000 quote and selects prepaid bank transfer. 2. Send full transfer at 09:59 before 10:00 deadline; authorized Operator verifies at 10:05 while still ETA/MLOR-feasible. 3. Issue PO only then; generate each warehouse picking list. 4. Confirm QR lines, test a lock/exception gate, then dispatch after resolution.</t>
  </si>
  <si>
    <t>On-time transaction accepted even if verification later while feasible; one PO/picking per warehouse; no dispatch with open lock/exception or unpaid prepaid; OnHand deducted only on dispatch.</t>
  </si>
  <si>
    <t>1. Seed isolated FSCM fixture with required SKU, retailer, warehouse, roles and state; record starting stock/payment/ledger snapshots.
2. Sign in as Authorized actor / System; perform scenario: Allowed state change: Deactivation/replacement.
3. Submit both the valid operation and the specified invalid/boundary input.
4. Compare response, persisted state, actor audit, once-only effects and unchanged records against the expected result.</t>
  </si>
  <si>
    <t>Only allowed transition reaches Inactive; history records actor/time; invalid transition is rejected</t>
  </si>
  <si>
    <t>Type: End-to-End; Role: Warehouse Keeper; Operator; Level: Acceptance / System
SRS v1.8 / BR: BR-09,41–47
Test data: Seed actors, warehouses, SKUs, retailer, batches and approved business conditions
Source: SRS BR-09,41–47
Automation: Manual E2E
Version: 1.3; Actual result: —; Evidence: —</t>
  </si>
  <si>
    <t>E2E-W05</t>
  </si>
  <si>
    <t>F4 — Receipt of all portions and missing/damaged validation</t>
  </si>
  <si>
    <t>1. Send P1 in separate W1/W2 shipments. 2. Scan labels for assigned Retailer; try received=0, missing=expected and damaged&gt;received rejection. 3. Complete confirmations with 1 missing carton and settle complaint. 4. Attempt Delivered/Completed. 5. Confirm physically received remainder.</t>
  </si>
  <si>
    <t>Type: State transition; Role: Authorized actor / System; Level: System / Integration
SRS v1.8 / BR: BR / state design
Test data: Entity=Product; from=Published; trigger=Deactivation/replacement
Source: SRS state workflow
Automation: Manual / candidate
Version: 1.3; Actual result: —; Evidence: —</t>
  </si>
  <si>
    <t>No Delivered/Completed or points with missing physical quantity even after adjustment. Only full physically received total, full settlement and no open complaint permit final completion.</t>
  </si>
  <si>
    <t>ST-003</t>
  </si>
  <si>
    <t>Retailer Pending → Active
Allowed state change: Authorized reviewer approval</t>
  </si>
  <si>
    <t>1. Seed isolated FSCM fixture with required SKU, retailer, warehouse, roles and state; record starting stock/payment/ledger snapshots.
2. Sign in as Authorized actor / System; perform scenario: Allowed state change: Authorized reviewer approval.
3. Submit both the valid operation and the specified invalid/boundary input.
4. Compare response, persisted state, actor audit, once-only effects and unchanged records against the expected result.</t>
  </si>
  <si>
    <t>Only allowed transition reaches Active; history records actor/time; invalid transition is rejected</t>
  </si>
  <si>
    <t>Type: End-to-End; Role: Operator; Retailer; Level: Acceptance / System
SRS v1.8 / BR: BR-48–49
Test data: Seed actors, warehouses, SKUs, retailer, batches and approved business conditions
Source: SRS BR-48–49
Automation: Manual E2E
Version: 1.3; Actual result: —; Evidence: —</t>
  </si>
  <si>
    <t>E2E-W06</t>
  </si>
  <si>
    <t>F5 — Complaint adjustment and manual refund at affected batch net unit price</t>
  </si>
  <si>
    <t>1. Use fully received P1 and approved A1 batch net unit price 72,000 VND. 2. Submit authorized one-carton complaint adjustment, evidence and staff decision. 3. Record refund transfer, reject incomplete evidence, supplement and verify independently. 4. Retry both commands.</t>
  </si>
  <si>
    <t>One adjustment=72,000 VND, P1 settled eligible value=540,000; no automatic return stock; verified refund once and no duplicate financial/loyalty adjustment.</t>
  </si>
  <si>
    <t>Type: State transition; Role: Authorized actor / System; Level: System / Integration
SRS v1.8 / BR: BR / state design
Test data: Entity=Retailer; from=Pending; trigger=Authorized reviewer approval
Source: SRS state workflow
Automation: Manual / candidate
Version: 1.3; Actual result: —; Evidence: —</t>
  </si>
  <si>
    <t>ST-004</t>
  </si>
  <si>
    <t>Retailer Pending → Rejected
Allowed state change: Reasoned rejection</t>
  </si>
  <si>
    <t>1. Seed isolated FSCM fixture with required SKU, retailer, warehouse, roles and state; record starting stock/payment/ledger snapshots.
2. Sign in as Authorized actor / System; perform scenario: Allowed state change: Reasoned rejection.
3. Submit both the valid operation and the specified invalid/boundary input.
4. Compare response, persisted state, actor audit, once-only effects and unchanged records against the expected result.</t>
  </si>
  <si>
    <t>Only allowed transition reaches Rejected; history records actor/time; invalid transition is rejected</t>
  </si>
  <si>
    <t>Type: End-to-End; Role: Retailer; Operator; Administrator; Level: Acceptance / System
SRS v1.8 / BR: BR-50; BR-66–70
Test data: Seed actors, warehouses, SKUs, retailer, batches and approved business conditions
Source: SRS BR-50; BR-66–70
Automation: Manual E2E
Version: 1.3; Actual result: —; Evidence: —</t>
  </si>
  <si>
    <t>E2E-W07</t>
  </si>
  <si>
    <t>F5 — Points 61 to 54, gift 60 and final balance -6</t>
  </si>
  <si>
    <t>1. Fully receive/settle P1 net612,000; ensure no open complaint and post 61 points once. 2. Redeem gift for 60 points; approve and complete with Admin/Operator delivery evidence. 3. Approve 72,000 adjustment to P1, rerun points. 4. Verify refund evidence and rerun reconciliation.</t>
  </si>
  <si>
    <t>Type: State transition; Role: Authorized actor / System; Level: System / Integration
SRS v1.8 / BR: BR / state design
Test data: Entity=Retailer; from=Pending; trigger=Reasoned rejection
Source: SRS state workflow
Automation: Manual / candidate
Version: 1.3; Actual result: —; Evidence: —</t>
  </si>
  <si>
    <t>After redemption balance1; adjusted target54 points gives delta -7 and balance -6; no repeated deduction during refund verification; gift completed by staff without mandatory retailer receipt confirmation.</t>
  </si>
  <si>
    <t>ST-005</t>
  </si>
  <si>
    <t>Order Pending review → Awaiting allocation
Allowed state change: Commercial approval</t>
  </si>
  <si>
    <t>1. Seed isolated FSCM fixture with required SKU, retailer, warehouse, roles and state; record starting stock/payment/ledger snapshots.
2. Sign in as Authorized actor / System; perform scenario: Allowed state change: Commercial approval.
3. Submit both the valid operation and the specified invalid/boundary input.
4. Compare response, persisted state, actor audit, once-only effects and unchanged records against the expected result.</t>
  </si>
  <si>
    <t>Only allowed transition reaches Awaiting allocation; history records actor/time; invalid transition is rejected</t>
  </si>
  <si>
    <t>Type: End-to-End; Role: Operator; Retailer; System; Level: Acceptance / System
SRS v1.8 / BR: BR-51–55
Test data: Seed actors, warehouses, SKUs, retailer, batches and approved business conditions
Source: SRS BR-51–55
Automation: Manual E2E
Version: 1.3; Actual result: —; Evidence: —</t>
  </si>
  <si>
    <t>E2E-W08</t>
  </si>
  <si>
    <t>F1–F5 — Access scope, fixed-discount rejection and FEFO benchmark</t>
  </si>
  <si>
    <t>1. Validate Admin/Operator product update; cross-scope Sales/Retailer reads denied. 2. Reject fixed shelf-life discount and 100%/zero rounded price; configure percentage bands. 3. Run Weighted FEFO versus strict FEFO on identical eligible snapshot, priority, all-or-nothing and machine. 4. Record complete/short counts, near-expiry units, distances, warehouses/order, runtime.</t>
  </si>
  <si>
    <t>All role/price validation holds. Zero eligibility violations, deterministic tie-break earliest expiry/nearer warehouse/batch code; benchmark reports observed metrics without global-optimum claim.</t>
  </si>
  <si>
    <t>Type: State transition; Role: Authorized actor / System; Level: System / Integration
SRS v1.8 / BR: BR / state design
Test data: Entity=Order; from=Pending review; trigger=Commercial approval
Source: SRS state workflow
Automation: Manual / candidate
Version: 1.3; Actual result: —; Evidence: —</t>
  </si>
  <si>
    <t>ST-006</t>
  </si>
  <si>
    <t>Order Pending review → Rejected
Allowed state change: Commercial rejection</t>
  </si>
  <si>
    <t>1. Seed isolated FSCM fixture with required SKU, retailer, warehouse, roles and state; record starting stock/payment/ledger snapshots.
2. Sign in as Authorized actor / System; perform scenario: Allowed state change: Commercial rejection.
3. Submit both the valid operation and the specified invalid/boundary input.
4. Compare response, persisted state, actor audit, once-only effects and unchanged records against the expected result.</t>
  </si>
  <si>
    <t>Type: End-to-End; Role: Administrator; Sales; Level: Acceptance / System
SRS v1.8 / BR: BR-07–19
Test data: Seed actors, warehouses, SKUs, retailer, batches and approved business conditions
Source: SRS BR-07–19
Automation: Manual E2E
Version: 1.3; Actual result: —; Evidence: —</t>
  </si>
  <si>
    <t>Type: State transition; Role: Authorized actor / System; Level: System / Integration
SRS v1.8 / BR: BR / state design
Test data: Entity=Order; from=Pending review; trigger=Commercial rejection
Source: SRS state workflow
Automation: Manual / candidate
Version: 1.3; Actual result: —; Evidence: —</t>
  </si>
  <si>
    <t>ST-007</t>
  </si>
  <si>
    <t>Order Awaiting allocation → Allocating
Allowed state change: Daily locked run</t>
  </si>
  <si>
    <t>1. Seed isolated FSCM fixture with required SKU, retailer, warehouse, roles and state; record starting stock/payment/ledger snapshots.
2. Sign in as Authorized actor / System; perform scenario: Allowed state change: Daily locked run.
3. Submit both the valid operation and the specified invalid/boundary input.
4. Compare response, persisted state, actor audit, once-only effects and unchanged records against the expected result.</t>
  </si>
  <si>
    <t>Only allowed transition reaches Allocating; history records actor/time; invalid transition is rejected</t>
  </si>
  <si>
    <t>Type: State transition; Role: Authorized actor / System; Level: System / Integration
SRS v1.8 / BR: BR / state design
Test data: Entity=Order; from=Awaiting allocation; trigger=Daily locked run
Source: SRS state workflow
Automation: Manual / candidate
Version: 1.3; Actual result: —; Evidence: —</t>
  </si>
  <si>
    <t>ST-008</t>
  </si>
  <si>
    <t>Order Awaiting allocation → Cancelled
Allowed state change: Cancellation with evidence</t>
  </si>
  <si>
    <t>1. Seed isolated FSCM fixture with required SKU, retailer, warehouse, roles and state; record starting stock/payment/ledger snapshots.
2. Sign in as Authorized actor / System; perform scenario: Allowed state change: Cancellation with evidence.
3. Submit both the valid operation and the specified invalid/boundary input.
4. Compare response, persisted state, actor audit, once-only effects and unchanged records against the expected result.</t>
  </si>
  <si>
    <t>Only allowed transition reaches Cancelled; history records actor/time; invalid transition is rejected</t>
  </si>
  <si>
    <t>Type: State transition; Role: Authorized actor / System; Level: System / Integration
SRS v1.8 / BR: BR / state design
Test data: Entity=Order; from=Awaiting allocation; trigger=Cancellation with evidence
Source: SRS state workflow
Automation: Manual / candidate
Version: 1.3; Actual result: —; Evidence: —</t>
  </si>
  <si>
    <t>ST-009</t>
  </si>
  <si>
    <t>Allocation Run Snapshotted → Awaiting approval
Allowed state change: Tentative complete/short proposal</t>
  </si>
  <si>
    <t>1. Seed isolated FSCM fixture with required SKU, retailer, warehouse, roles and state; record starting stock/payment/ledger snapshots.
2. Sign in as Authorized actor / System; perform scenario: Allowed state change: Tentative complete/short proposal.
3. Submit both the valid operation and the specified invalid/boundary input.
4. Compare response, persisted state, actor audit, once-only effects and unchanged records against the expected result.</t>
  </si>
  <si>
    <t>Only allowed transition reaches Awaiting approval; history records actor/time; invalid transition is rejected</t>
  </si>
  <si>
    <t>Type: State transition; Role: Authorized actor / System; Level: System / Integration
SRS v1.8 / BR: BR / state design
Test data: Entity=Allocation Run; from=Snapshotted; trigger=Tentative complete/short proposal
Source: SRS state workflow
Automation: Manual / candidate
Version: 1.3; Actual result: —; Evidence: —</t>
  </si>
  <si>
    <t>ST-010</t>
  </si>
  <si>
    <t>Allocation Run Awaiting approval → Approved
Allowed state change: Version-checked approval</t>
  </si>
  <si>
    <t>1. Seed isolated FSCM fixture with required SKU, retailer, warehouse, roles and state; record starting stock/payment/ledger snapshots.
2. Sign in as Authorized actor / System; perform scenario: Allowed state change: Version-checked approval.
3. Submit both the valid operation and the specified invalid/boundary input.
4. Compare response, persisted state, actor audit, once-only effects and unchanged records against the expected result.</t>
  </si>
  <si>
    <t>Only allowed transition reaches Approved; history records actor/time; invalid transition is rejected</t>
  </si>
  <si>
    <t>Type: State transition; Role: Authorized actor / System; Level: System / Integration
SRS v1.8 / BR: BR / state design
Test data: Entity=Allocation Run; from=Awaiting approval; trigger=Version-checked approval
Source: SRS state workflow
Automation: Manual / candidate
Version: 1.3; Actual result: —; Evidence: —</t>
  </si>
  <si>
    <t>ST-011</t>
  </si>
  <si>
    <t>Allocation Run Awaiting approval → Recalculation
Allowed state change: Reasoned version rejection</t>
  </si>
  <si>
    <t>1. Seed isolated FSCM fixture with required SKU, retailer, warehouse, roles and state; record starting stock/payment/ledger snapshots.
2. Sign in as Authorized actor / System; perform scenario: Allowed state change: Reasoned version rejection.
3. Submit both the valid operation and the specified invalid/boundary input.
4. Compare response, persisted state, actor audit, once-only effects and unchanged records against the expected result.</t>
  </si>
  <si>
    <t>Only allowed transition reaches Recalculation; history records actor/time; invalid transition is rejected</t>
  </si>
  <si>
    <t>Verify role isolation, idempotency, transaction safety, offline durability, recovery and supported-client usability. Measure API latency, allocation runtime, availability and reliability against approved NFR thresholds; compare weighted FEFO with strict FEFO on identical eligible inputs and report measured metrics.</t>
  </si>
  <si>
    <t>Type: State transition; Role: Authorized actor / System; Level: System / Integration
SRS v1.8 / BR: BR / state design
Test data: Entity=Allocation Run; from=Awaiting approval; trigger=Reasoned version rejection
Source: SRS state workflow
Automation: Manual / candidate
Version: 1.3; Actual result: —; Evidence: —</t>
  </si>
  <si>
    <t>ST-012</t>
  </si>
  <si>
    <t>Order Allocating → Insufficient stock
Allowed state change: Whole-order shortage / return pool</t>
  </si>
  <si>
    <t>1. Seed isolated FSCM fixture with required SKU, retailer, warehouse, roles and state; record starting stock/payment/ledger snapshots.
2. Sign in as Authorized actor / System; perform scenario: Allowed state change: Whole-order shortage / return pool.
3. Submit both the valid operation and the specified invalid/boundary input.
4. Compare response, persisted state, actor audit, once-only effects and unchanged records against the expected result.</t>
  </si>
  <si>
    <t>Only allowed transition reaches Insufficient stock; history records actor/time; invalid transition is rejected</t>
  </si>
  <si>
    <t>Type: State transition; Role: Authorized actor / System; Level: System / Integration
SRS v1.8 / BR: BR / state design
Test data: Entity=Order; from=Allocating; trigger=Whole-order shortage / return pool
Source: SRS state workflow
Automation: Manual / candidate
Version: 1.3; Actual result: —; Evidence: —</t>
  </si>
  <si>
    <t>ST-013</t>
  </si>
  <si>
    <t>Reservation Absent → Committed only after Admin approves priced plan</t>
  </si>
  <si>
    <t>1. Confirm plan and pricing. 2. Trigger Admin approval with version. 3. Inspect stock ledger and quote.</t>
  </si>
  <si>
    <t>Reserve once and issue versioned quotation; PO/picking remain absent before customer quotation/payment decision.</t>
  </si>
  <si>
    <t>Type: State transition; Role: Authorized actor / System; Level: System / Integration
SRS v1.8 / BR: BR / state design
Test data: Entity=Reservation; from=Absent; trigger=Atomic run approval
Source: SRS state workflow
Automation: Manual / candidate
Version: 1.3; Actual result: —; Evidence: —</t>
  </si>
  <si>
    <t>ST-014</t>
  </si>
  <si>
    <t>Picking Absent → Released only after valid PO</t>
  </si>
  <si>
    <t>1. With approved allocation only, request picking. 2. Accept quote, verify prepaid or approved deferred term. 3. Convert PO. 4. Reissue picking.</t>
  </si>
  <si>
    <t>No picking before PO; warehouse picking releases once, readiness requires full scans and resolved exceptions.</t>
  </si>
  <si>
    <t>Type: State transition; Role: Authorized actor / System; Level: System / Integration
SRS v1.8 / BR: BR / state design
Test data: Entity=Picking; from=Released; trigger=Validated scanned quantities
Source: SRS state workflow
Automation: Manual / candidate
Version: 1.3; Actual result: —; Evidence: —</t>
  </si>
  <si>
    <t>ST-015</t>
  </si>
  <si>
    <t>Shipment Ready → Dispatched after all payment/exception gates</t>
  </si>
  <si>
    <t>1. Mark all portions Ready. 2. Test open lock, exception and missing prepaid. 3. Resolve each with authorized actor; retry dispatch.</t>
  </si>
  <si>
    <t>Blocked until all critical gates pass; physical stock/ledger changes once on dispatch.</t>
  </si>
  <si>
    <t>Type: State transition; Role: Authorized actor / System; Level: System / Integration
SRS v1.8 / BR: BR / state design
Test data: Entity=Shipment; from=Ready; trigger=All warehouses ready &amp; payment gate
Source: SRS state workflow
Automation: Manual / candidate
Version: 1.3; Actual result: —; Evidence: —</t>
  </si>
  <si>
    <t>ST-016</t>
  </si>
  <si>
    <t>Shipment Dispatched → Received
Allowed state change: Retailer QR verified</t>
  </si>
  <si>
    <t>1. Seed isolated FSCM fixture with required SKU, retailer, warehouse, roles and state; record starting stock/payment/ledger snapshots.
2. Sign in as Authorized actor / System; perform scenario: Allowed state change: Retailer QR verified.
3. Submit both the valid operation and the specified invalid/boundary input.
4. Compare response, persisted state, actor audit, once-only effects and unchanged records against the expected result.</t>
  </si>
  <si>
    <t>Only allowed transition reaches Received; history records actor/time; invalid transition is rejected</t>
  </si>
  <si>
    <t>Type: State transition; Role: Authorized actor / System; Level: System / Integration
SRS v1.8 / BR: BR / state design
Test data: Entity=Shipment; from=Dispatched; trigger=Retailer QR verified
Source: SRS state workflow
Automation: Manual / candidate
Version: 1.3; Actual result: —; Evidence: —</t>
  </si>
  <si>
    <t>ST-017</t>
  </si>
  <si>
    <t>Full physical receipt gate before Delivered and Completed</t>
  </si>
  <si>
    <t>1. Dispatch 10; confirm 8 received, 2 missing. 2. Resolve complaint financially and mark every shipment confirmation complete. 3. Attempt Delivered and Completed. 4. Physically receive remaining 2 via authorized flow and re-evaluate.</t>
  </si>
  <si>
    <t>Neither Delivered nor Completed when total physical received &lt; dispatch qty, regardless of financial settlement; transitions only after full actual receipt and settlement.</t>
  </si>
  <si>
    <t>Type: State transition; Role: Authorized actor / System; Level: System / Integration
SRS v1.8 / BR: BR / state design
Test data: Entity=Order; from=Delivering; trigger=All shipments confirmed
Source: SRS state workflow
Automation: Manual / candidate
Version: 1.3; Actual result: —; Evidence: —</t>
  </si>
  <si>
    <t>ST-018</t>
  </si>
  <si>
    <t>Complaint Pending → Resolved
Allowed state change: Authorized financial decision</t>
  </si>
  <si>
    <t>1. Seed isolated FSCM fixture with required SKU, retailer, warehouse, roles and state; record starting stock/payment/ledger snapshots.
2. Sign in as Authorized actor / System; perform scenario: Allowed state change: Authorized financial decision.
3. Submit both the valid operation and the specified invalid/boundary input.
4. Compare response, persisted state, actor audit, once-only effects and unchanged records against the expected result.</t>
  </si>
  <si>
    <t>Only allowed transition reaches Resolved; history records actor/time; invalid transition is rejected</t>
  </si>
  <si>
    <t>Type: State transition; Role: Authorized actor / System; Level: System / Integration
SRS v1.8 / BR: BR / state design
Test data: Entity=Complaint; from=Pending; trigger=Authorized financial decision
Source: SRS state workflow
Automation: Manual / candidate
Version: 1.3; Actual result: —; Evidence: —</t>
  </si>
  <si>
    <t>ST-019</t>
  </si>
  <si>
    <t>Refund evidence rejected → supplemented → independently Verified</t>
  </si>
  <si>
    <t>1. Operator submits evidence. 2. Admin rejects/request supplement. 3. Operator resubmits; different Admin verifies. 4. Inspect points.</t>
  </si>
  <si>
    <t>Refund verification is role-separated, evidence versioned and idempotent; no second loyalty deduction at refund verification.</t>
  </si>
  <si>
    <t>Type: State transition; Role: Authorized actor / System; Level: System / Integration
SRS v1.8 / BR: BR / state design
Test data: Entity=Refund; from=Pending; trigger=Evidence and independent approval
Source: SRS state workflow
Automation: Manual / candidate
Version: 1.3; Actual result: —; Evidence: —</t>
  </si>
  <si>
    <t>ST-020</t>
  </si>
  <si>
    <t>Gift Pending → Approved → Delivered → Staff Completed</t>
  </si>
  <si>
    <t>1. Retailer requests gift. 2. Administrator approves and holds/settles points. 3. Assigned staff documents delivery. 4. Authorized Admin/Operator completes request and retries. 5. Unauthorized user attempts completion.</t>
  </si>
  <si>
    <t>Completed after documented delivery confirmed by authorized staff, without mandatory Retailer confirmation; idempotent and audit complete.</t>
  </si>
  <si>
    <t>Type: State transition; Role: Authorized actor / System; Level: System / Integration
SRS v1.8 / BR: BR / state design
Test data: Entity=Loyalty redemption; from=Pending; trigger=Rejection and audit ledger
Source: SRS state workflow
Automation: Manual / candidate
Version: 1.3; Actual result: —; Evidence: —</t>
  </si>
  <si>
    <t>Non-Functional Tests — FSCM scenarios</t>
  </si>
  <si>
    <t>NFR-SEC-01</t>
  </si>
  <si>
    <t>Access-control data isolation
Access-control data isolation</t>
  </si>
  <si>
    <t>1. Seed isolated FSCM fixture with required SKU, retailer, warehouse, roles and state; record starting stock/payment/ledger snapshots.
2. Sign in as Relevant actor; perform scenario: Access-control data isolation.
3. Submit both the valid operation and the specified invalid/boundary input.
4. Compare response, persisted state, actor audit, once-only effects and unchanged records against the expected result.</t>
  </si>
  <si>
    <t>Return 403/404, no unscoped data</t>
  </si>
  <si>
    <t>Type: NFR / Security; Role: Relevant actor; Level: System / Integration
SRS v1.8 / BR: BR-03; 4.2.4
Test data: Sales uses unrelated territory retailer GUID
Source: SRS BR-03; 4.2.4
Automation: Manual / automate later
Version: 1.3; Actual result: —; Evidence: —</t>
  </si>
  <si>
    <t>NFR-SEC-02</t>
  </si>
  <si>
    <t>Protected endpoints without token
Protected endpoints without token</t>
  </si>
  <si>
    <t>1. Seed isolated FSCM fixture with required SKU, retailer, warehouse, roles and state; record starting stock/payment/ledger snapshots.
2. Sign in as Relevant actor; perform scenario: Protected endpoints without token.
3. Submit both the valid operation and the specified invalid/boundary input.
4. Compare response, persisted state, actor audit, once-only effects and unchanged records against the expected result.</t>
  </si>
  <si>
    <t>Return unauthorized response</t>
  </si>
  <si>
    <t>Type: NFR / Security; Role: Relevant actor; Level: System / Integration
SRS v1.8 / BR: 4.2.4
Test data: GET restricted inventory with no access token
Source: SRS 4.2.4
Automation: Manual / automate later
Version: 1.3; Actual result: —; Evidence: —</t>
  </si>
  <si>
    <t>NFR-SEC-03</t>
  </si>
  <si>
    <t>Admin-role assignment prohibition
Admin-role assignment prohibition</t>
  </si>
  <si>
    <t>1. Seed isolated FSCM fixture with required SKU, retailer, warehouse, roles and state; record starting stock/payment/ledger snapshots.
2. Sign in as Relevant actor; perform scenario: Admin-role assignment prohibition.
3. Submit both the valid operation and the specified invalid/boundary input.
4. Compare response, persisted state, actor audit, once-only effects and unchanged records against the expected result.</t>
  </si>
  <si>
    <t>Block forbidden privilege escalation</t>
  </si>
  <si>
    <t>Type: NFR / Security; Role: Relevant actor; Level: System / Integration
SRS v1.8 / BR: BR-02
Test data: POST/UPDATE a regular user to Administrator
Source: SRS BR-02
Automation: Manual / automate later
Version: 1.3; Actual result: —; Evidence: —</t>
  </si>
  <si>
    <t>NFR-REL-01</t>
  </si>
  <si>
    <t>Idempotent offline replay
Idempotent offline replay</t>
  </si>
  <si>
    <t>1. Seed isolated FSCM fixture with required SKU, retailer, warehouse, roles and state; record starting stock/payment/ledger snapshots.
2. Sign in as Relevant actor; perform scenario: Idempotent offline replay.
3. Submit both the valid operation and the specified invalid/boundary input.
4. Compare response, persisted state, actor audit, once-only effects and unchanged records against the expected result.</t>
  </si>
  <si>
    <t>Exactly one server order</t>
  </si>
  <si>
    <t>Type: NFR / Reliability; Role: Relevant actor; Level: System / Integration
SRS v1.8 / BR: BR-23
Test data: Send same UUID order twice
Source: SRS BR-23
Automation: Manual / automate later
Version: 1.3; Actual result: —; Evidence: —</t>
  </si>
  <si>
    <t>NFR-REL-02</t>
  </si>
  <si>
    <t>No oversell under parallel reservations
No oversell under parallel reservations</t>
  </si>
  <si>
    <t>1. Seed isolated FSCM fixture with required SKU, retailer, warehouse, roles and state; record starting stock/payment/ledger snapshots.
2. Sign in as Relevant actor; perform scenario: No oversell under parallel reservations.
3. Submit both the valid operation and the specified invalid/boundary input.
4. Compare response, persisted state, actor audit, once-only effects and unchanged records against the expected result.</t>
  </si>
  <si>
    <t>Transactional check prevents negative Available</t>
  </si>
  <si>
    <t>Type: NFR / Reliability; Role: Relevant actor; Level: System / Integration
SRS v1.8 / BR: BR-38,41
Test data: Attempt two commits against shared finite batch
Source: SRS BR-38,41
Automation: Manual / automate later
Version: 1.3; Actual result: —; Evidence: —</t>
  </si>
  <si>
    <t>NFR-REL-03</t>
  </si>
  <si>
    <t>Failure rollback on commit conflict
Failure rollback on commit conflict</t>
  </si>
  <si>
    <t>1. Seed isolated FSCM fixture with required SKU, retailer, warehouse, roles and state; record starting stock/payment/ledger snapshots.
2. Sign in as Relevant actor; perform scenario: Failure rollback on commit conflict.
3. Submit both the valid operation and the specified invalid/boundary input.
4. Compare response, persisted state, actor audit, once-only effects and unchanged records against the expected result.</t>
  </si>
  <si>
    <t>No partial reservation/picking on conflict</t>
  </si>
  <si>
    <t>Type: NFR / Reliability; Role: Relevant actor; Level: System / Integration
SRS v1.8 / BR: BR-38
Test data: Change stock after planning, then approve
Source: SRS BR-38
Automation: Manual / automate later
Version: 1.3; Actual result: —; Evidence: —</t>
  </si>
  <si>
    <t>NFR-REL-04</t>
  </si>
  <si>
    <t>Dispatch duplicate protection
Dispatch duplicate protection</t>
  </si>
  <si>
    <t>1. Seed isolated FSCM fixture with required SKU, retailer, warehouse, roles and state; record starting stock/payment/ledger snapshots.
2. Sign in as Relevant actor; perform scenario: Dispatch duplicate protection.
3. Submit both the valid operation and the specified invalid/boundary input.
4. Compare response, persisted state, actor audit, once-only effects and unchanged records against the expected result.</t>
  </si>
  <si>
    <t>One inventory issue, one audit movement</t>
  </si>
  <si>
    <t>Type: NFR / Reliability; Role: Relevant actor; Level: System / Integration
SRS v1.8 / BR: BR-47
Test data: Submit same shipment dispatch key twice
Source: SRS BR-47
Automation: Manual / automate later
Version: 1.3; Actual result: —; Evidence: —</t>
  </si>
  <si>
    <t>NFR-REL-05</t>
  </si>
  <si>
    <t>Cloud service outage resilience
Cloud service outage resilience</t>
  </si>
  <si>
    <t>1. Seed isolated FSCM fixture with required SKU, retailer, warehouse, roles and state; record starting stock/payment/ledger snapshots.
2. Sign in as Relevant actor; perform scenario: Cloud service outage resilience.
3. Submit both the valid operation and the specified invalid/boundary input.
4. Compare response, persisted state, actor audit, once-only effects and unchanged records against the expected result.</t>
  </si>
  <si>
    <t>Controlled failure/retry; no false success</t>
  </si>
  <si>
    <t>Type: NFR / Reliability; Role: Relevant actor; Level: System / Integration
SRS v1.8 / BR: 4.2.2
Test data: Simulate map/notification provider failure
Source: SRS 4.2.2
Automation: Manual / automate later
Version: 1.3; Actual result: —; Evidence: —</t>
  </si>
  <si>
    <t>NFR-PERF-01</t>
  </si>
  <si>
    <t>Reference API p95 latency and error rate</t>
  </si>
  <si>
    <t>1. Fix production-like reference dataset and authorized user mix. 2. Load 50 virtual users. 3. Capture p50/p95 latency, success and 5xx rate per path.</t>
  </si>
  <si>
    <t>Compare observed p95/error rate against signed NFR-P01 thresholds; retain test config, metrics and raw evidence rather than marking Pass without a run.</t>
  </si>
  <si>
    <t>Type: NFR / Performance; Role: Relevant actor; Level: System / Integration
SRS v1.8 / BR: 4.2.3
Test data: 100 sequential GET requests; record p50/p95
Source: SRS 4.2.3
Automation: Manual / automate later
Version: 1.3; Actual result: —; Evidence: —</t>
  </si>
  <si>
    <t>NFR-PERF-02</t>
  </si>
  <si>
    <t>Weighted FEFO versus Strict FEFO on identical eligible input</t>
  </si>
  <si>
    <t>1. Freeze eligible candidate pool/order priority; 2. Run both algorithms with all-or-nothing; 3. Record metrics.</t>
  </si>
  <si>
    <t>Document complete/short, near-expiry units, route distances, warehouses per order and runtime; zero invalid allocation; no global optimum claim.</t>
  </si>
  <si>
    <t>Type: NFR / Performance; Role: Relevant actor; Level: System / Integration
SRS v1.8 / BR: Registration NFR
Test data: Run same eligible batch/order dataset for both algorithms
Source: SRS Registration NFR
Automation: Manual / automate later
Version: 1.3; Actual result: —; Evidence: —</t>
  </si>
  <si>
    <t>NFR-PERF-03</t>
  </si>
  <si>
    <t>Manual offline Send reliability and throughput</t>
  </si>
  <si>
    <t>1. Seed offline drafts. 2. Restore network; verify no automatic upload. 3. Explicitly Send controlled batch; inject transient failures. 4. Measure latency/retry/duplication.</t>
  </si>
  <si>
    <t>Manual submission, bounded safe retries and no duplicates; measure profile N1–N5 and NFR-O04 without invented metrics.</t>
  </si>
  <si>
    <t>Type: NFR / Performance; Role: Relevant actor; Level: System / Integration
SRS v1.8 / BR: 4.2.3
Test data: Queue 100 valid drafts and reconnect
Source: SRS 4.2.3
Automation: Manual / automate later
Version: 1.3; Actual result: —; Evidence: —</t>
  </si>
  <si>
    <t>NFR-COMP-01</t>
  </si>
  <si>
    <t>Web and mobile usability smoke test
Web and mobile usability smoke test</t>
  </si>
  <si>
    <t>1. Seed isolated FSCM fixture with required SKU, retailer, warehouse, roles and state; record starting stock/payment/ledger snapshots.
2. Sign in as Relevant actor; perform scenario: Web and mobile usability smoke test.
3. Submit both the valid operation and the specified invalid/boundary input.
4. Compare response, persisted state, actor audit, once-only effects and unchanged records against the expected result.</t>
  </si>
  <si>
    <t>Navigation, error feedback, screens verified</t>
  </si>
  <si>
    <t>Type: NFR / Usability; Role: Relevant actor; Level: System / Integration
SRS v1.8 / BR: 4.2.1
Test data: Chrome/Edge + representative Android emulator
Source: SRS 4.2.1
Automation: Manual / automate later
Version: 1.3; Actual result: —; Evidence: —</t>
  </si>
  <si>
    <t>R5-TC-NFR-01</t>
  </si>
  <si>
    <t>API p95 and error rate at reference load</t>
  </si>
  <si>
    <t>Run repeatable 50-VU API profile for 10 minutes; collect p95 read/write latency and error rate.</t>
  </si>
  <si>
    <t>Read p95 ≤1s, write p95 ≤2s, error rate &lt;1%; attach raw traces/summary; mark Not Run until measured.</t>
  </si>
  <si>
    <t>Pinned staging SHA, authenticated 50 VUs, fixed routes and payloads, timestamps.</t>
  </si>
  <si>
    <t>Requirement/Traceability: SRS v1.8 §4 NFR-P01; NFR N1–N5; M12/WF01/TS01
Priority: P2; Level: NFR / measurement
Version: 1.3; Actual result: —; Evidence: —</t>
  </si>
  <si>
    <t>R5-TC-NFR-02</t>
  </si>
  <si>
    <t>Allocation large dataset performance</t>
  </si>
  <si>
    <t>Seed fixed workload; time allocation planning and approval separately; repeat and record resource usage.</t>
  </si>
  <si>
    <t>Allocation ≤5min; approval ≤30s under approved profile; record actual timing, failure rate and zero invariant violations.</t>
  </si>
  <si>
    <t>300 orders × 5 lines; 20,000 batches in 5 warehouses; same machine and seed.</t>
  </si>
  <si>
    <t>Requirement/Traceability: SRS v1.8 §4 NFR-P03; R5-11; M12/WF01/TS02
Priority: P2; Level: NFR / measurement
Version: 1.3; Actual result: —; Evidence: —</t>
  </si>
  <si>
    <t>R5-TC-NFR-03</t>
  </si>
  <si>
    <t>Concurrent stock/payment invariants</t>
  </si>
  <si>
    <t>Run 50 concurrent stock/payment commands; assert all persisted invariants after retries.</t>
  </si>
  <si>
    <t>Zero oversell, negative stock, duplicate reservations, receipts, payments, refunds or loyalty grants.</t>
  </si>
  <si>
    <t>Same stock batch, overlapping approvals and idempotency keys; constrained balances.</t>
  </si>
  <si>
    <t>Requirement/Traceability: SRS v1.8 §4 NFR-R03; M12/WF02/TS01
Priority: P1; Level: NFR / measurement
Version: 1.3; Actual result: —; Evidence: —</t>
  </si>
  <si>
    <t>R5-TC-NFR-04</t>
  </si>
  <si>
    <t>Rerun scheduler and recover failures</t>
  </si>
  <si>
    <t>Trigger duplicate 00:00 runs and failure mid-transaction; restart scheduler/outbox.</t>
  </si>
  <si>
    <t>Exactly one daily run and once-only effects; rollback/recovery logged with expected alerts.</t>
  </si>
  <si>
    <t>One ICT business date, injected database timeout, repeat job operation keys.</t>
  </si>
  <si>
    <t>Requirement/Traceability: SRS v1.8 §4 NFR-R04/R05/R06 (00:00 ICT); M12/WF02/TS02
Priority: P1; Level: NFR / measurement
Version: 1.3; Actual result: —; Evidence: —</t>
  </si>
  <si>
    <t>R5-TC-NFR-05</t>
  </si>
  <si>
    <t>Offline queue resilience and duplication</t>
  </si>
  <si>
    <t>Save 200 offline drafts; kill/restart app 20 times; reconnect and wait; explicitly Send 20 and replay keys.</t>
  </si>
  <si>
    <t>No automatic upload, 0 lost drafts, 20 sent within ≤60s under approved profile; exactly one server order/key.</t>
  </si>
  <si>
    <t>Flutter SQLite snapshot fixture, 4G profile, 200 drafts; 20 user-selected sends.</t>
  </si>
  <si>
    <t>Requirement/Traceability: SRS v1.8 §4 NFR-P06/O01–O04; M12/WF03/TS01
Priority: P2; Level: NFR / measurement
Version: 1.3; Actual result: —; Evidence: —</t>
  </si>
  <si>
    <t>R5-TC-NFR-06</t>
  </si>
  <si>
    <t>Snapshot and pricing correctness</t>
  </si>
  <si>
    <t>Approve prices with fractional discount, split by batch/warehouse, edit live tiers, then audit snapshots.</t>
  </si>
  <si>
    <t>VND rounding matches policy; sum of fragments equals approved quote; immutable MLOR, price and discount records.</t>
  </si>
  <si>
    <t>Fixed and percent tier data; varying qty and expiry; approved quote.</t>
  </si>
  <si>
    <t>Requirement/Traceability: SRS v1.8 §4 NFR-D01/D02; R5-02; M12/WF03/TS02
Priority: P1; Level: NFR / measurement
Version: 1.3; Actual result: —; Evidence: —</t>
  </si>
  <si>
    <t>R5-TC-NFR-07</t>
  </si>
  <si>
    <t>Availability and restoration</t>
  </si>
  <si>
    <t>Collect staging uptime from monitoring; rehearse restore from backup and measure recoverable point/time.</t>
  </si>
  <si>
    <t>Availability ≥99% excluding approved maintenance; RPO ≤24h, RTO ≤4h; actual logs/evidence required.</t>
  </si>
  <si>
    <t>Approved staging monitoring window, recoverable backup snapshot and isolated restore.</t>
  </si>
  <si>
    <t>Requirement/Traceability: SRS v1.8 §4 NFR-R01/R02; NFR N1–N5; M12/WF04/TS01
Priority: P2; Level: NFR / measurement
Version: 1.3; Actual result: —; Evidence: —</t>
  </si>
  <si>
    <t>R5-TC-NFR-08</t>
  </si>
  <si>
    <t>Algorithm evaluation validity</t>
  </si>
  <si>
    <t>Execute weighted and strict FEFO on same prefiltered candidate snapshots and ordered demand; inspect metrics.</t>
  </si>
  <si>
    <t>Record complete/short orders, near-expiry qty, total/mean distance, warehouses/order, runtime and eligibility violations; no optimum claim.</t>
  </si>
  <si>
    <t>Frozen eligible batches, identical priority, same no-partial-delivery rule and machine.</t>
  </si>
  <si>
    <t>Requirement/Traceability: SRS v1.8 §4 NFR-D06; R5-11; M12/WF04/TS02
Priority: P1; Level: NFR / measurement
Version: 1.3; Actual result: —; Evidence: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</si>
</sst>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rgb="FF000000"/>
      <name val="Carlito"/>
      <scheme val="minor"/>
    </font>
    <font>
      <b/>
      <sz val="20.0"/>
      <color rgb="FF000000"/>
      <name val="Tahoma"/>
    </font>
    <font>
      <b/>
      <sz val="10.0"/>
      <color rgb="FF000000"/>
      <name val="Tahoma"/>
    </font>
    <font>
      <b/>
      <sz val="10.0"/>
      <color rgb="FF993300"/>
      <name val="Tahoma"/>
    </font>
    <font/>
    <font>
      <sz val="10.0"/>
      <color rgb="FF000000"/>
      <name val="Tahoma"/>
    </font>
    <font>
      <i/>
      <sz val="10.0"/>
      <color rgb="FF000000"/>
      <name val="Tahoma"/>
    </font>
    <font>
      <i/>
      <sz val="10.0"/>
      <color theme="1"/>
      <name val="Tahoma"/>
    </font>
    <font>
      <b/>
      <sz val="10.0"/>
      <color rgb="FFFFFFFF"/>
      <name val="Tahoma"/>
    </font>
    <font>
      <sz val="10.0"/>
      <color theme="1"/>
      <name val="Tahoma"/>
    </font>
    <font>
      <b/>
      <i/>
      <sz val="10.0"/>
      <color rgb="FF000000"/>
      <name val="Tahoma"/>
    </font>
    <font>
      <color theme="1"/>
      <name val="Carlito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2F0D9"/>
        <bgColor rgb="FFE2F0D9"/>
      </patternFill>
    </fill>
    <fill>
      <patternFill patternType="solid">
        <fgColor rgb="FFFCE4D6"/>
        <bgColor rgb="FFFCE4D6"/>
      </patternFill>
    </fill>
    <fill>
      <patternFill patternType="solid">
        <fgColor rgb="FF333399"/>
        <bgColor rgb="FF333399"/>
      </patternFill>
    </fill>
    <fill>
      <patternFill patternType="solid">
        <fgColor rgb="FF000080"/>
        <bgColor rgb="FF000080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76923C"/>
        <bgColor rgb="FF76923C"/>
      </patternFill>
    </fill>
    <fill>
      <patternFill patternType="solid">
        <fgColor rgb="FFCCFFFF"/>
        <bgColor rgb="FFCCFFFF"/>
      </patternFill>
    </fill>
  </fills>
  <borders count="9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top style="thin">
        <color rgb="FF808080"/>
      </top>
      <bottom style="thin">
        <color rgb="FF80808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center" wrapText="1"/>
    </xf>
    <xf borderId="0" fillId="2" fontId="1" numFmtId="0" xfId="0" applyAlignment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ill="1" applyFont="1">
      <alignment horizontal="left" shrinkToFit="0" vertical="center" wrapText="1"/>
    </xf>
    <xf borderId="3" fillId="2" fontId="3" numFmtId="0" xfId="0" applyAlignment="1" applyBorder="1" applyFill="1" applyFont="1">
      <alignment horizontal="left" shrinkToFit="0" vertical="center" wrapText="1"/>
    </xf>
    <xf borderId="4" fillId="0" fontId="4" numFmtId="0" xfId="0" applyBorder="1" applyFont="1"/>
    <xf borderId="2" fillId="2" fontId="5" numFmtId="0" xfId="0" applyAlignment="1" applyBorder="1" applyFill="1" applyFont="1">
      <alignment horizontal="left" shrinkToFit="0" vertical="center" wrapText="1"/>
    </xf>
    <xf borderId="5" fillId="0" fontId="4" numFmtId="0" xfId="0" applyBorder="1" applyFont="1"/>
    <xf borderId="1" fillId="2" fontId="2" numFmtId="0" xfId="0" applyAlignment="1" applyBorder="1" applyFill="1" applyFont="1">
      <alignment horizontal="left" shrinkToFit="0" vertical="center" wrapText="1"/>
    </xf>
    <xf borderId="6" fillId="2" fontId="6" numFmtId="0" xfId="0" applyAlignment="1" applyBorder="1" applyFill="1" applyFont="1">
      <alignment horizontal="left" shrinkToFit="0" vertical="center" wrapText="1"/>
    </xf>
    <xf borderId="7" fillId="0" fontId="4" numFmtId="0" xfId="0" applyBorder="1" applyFont="1"/>
    <xf borderId="1" fillId="3" fontId="2" numFmtId="0" xfId="0" applyAlignment="1" applyBorder="1" applyFill="1" applyFont="1">
      <alignment horizontal="center" shrinkToFit="0" vertical="center" wrapText="1"/>
    </xf>
    <xf borderId="2" fillId="2" fontId="6" numFmtId="0" xfId="0" applyAlignment="1" applyBorder="1" applyFill="1" applyFont="1">
      <alignment horizontal="left" shrinkToFit="0" vertical="center" wrapText="1"/>
    </xf>
    <xf borderId="6" fillId="2" fontId="3" numFmtId="0" xfId="0" applyAlignment="1" applyBorder="1" applyFill="1" applyFont="1">
      <alignment horizontal="left" shrinkToFit="0" vertical="center" wrapText="1"/>
    </xf>
    <xf borderId="8" fillId="0" fontId="4" numFmtId="0" xfId="0" applyBorder="1" applyFont="1"/>
    <xf borderId="1" fillId="2" fontId="6" numFmtId="0" xfId="0" applyAlignment="1" applyBorder="1" applyFill="1" applyFont="1">
      <alignment horizontal="left" shrinkToFit="0" vertical="center" wrapText="1"/>
    </xf>
    <xf borderId="3" fillId="0" fontId="7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shrinkToFit="0" vertical="center" wrapText="1"/>
    </xf>
    <xf borderId="1" fillId="5" fontId="8" numFmtId="0" xfId="0" applyAlignment="1" applyBorder="1" applyFill="1" applyFont="1">
      <alignment horizontal="center" shrinkToFit="0" vertical="center" wrapText="1"/>
    </xf>
    <xf borderId="3" fillId="0" fontId="9" numFmtId="0" xfId="0" applyAlignment="1" applyBorder="1" applyFont="1">
      <alignment vertical="center"/>
    </xf>
    <xf borderId="1" fillId="2" fontId="5" numFmtId="0" xfId="0" applyAlignment="1" applyBorder="1" applyFill="1" applyFont="1">
      <alignment horizontal="left" shrinkToFit="0" vertical="center" wrapText="1"/>
    </xf>
    <xf borderId="0" fillId="2" fontId="2" numFmtId="0" xfId="0" applyAlignment="1" applyFill="1" applyFont="1">
      <alignment horizontal="left" shrinkToFit="0" vertical="center" wrapText="1"/>
    </xf>
    <xf borderId="3" fillId="6" fontId="8" numFmtId="0" xfId="0" applyAlignment="1" applyBorder="1" applyFill="1" applyFont="1">
      <alignment horizontal="center" shrinkToFit="0" vertical="center" wrapText="1"/>
    </xf>
    <xf borderId="6" fillId="2" fontId="5" numFmtId="0" xfId="0" applyAlignment="1" applyBorder="1" applyFill="1" applyFont="1">
      <alignment horizontal="left" shrinkToFit="0" vertical="center" wrapText="1"/>
    </xf>
    <xf borderId="3" fillId="2" fontId="5" numFmtId="0" xfId="0" applyAlignment="1" applyBorder="1" applyFill="1" applyFont="1">
      <alignment horizontal="left" shrinkToFit="0" vertical="center" wrapText="1"/>
    </xf>
    <xf borderId="1" fillId="6" fontId="8" numFmtId="0" xfId="0" applyAlignment="1" applyBorder="1" applyFill="1" applyFont="1">
      <alignment horizontal="center" shrinkToFit="0" vertical="center" wrapText="1"/>
    </xf>
    <xf borderId="1" fillId="7" fontId="2" numFmtId="0" xfId="0" applyAlignment="1" applyBorder="1" applyFill="1" applyFont="1">
      <alignment horizontal="center" shrinkToFit="0" vertical="center" wrapText="1"/>
    </xf>
    <xf borderId="1" fillId="2" fontId="10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3" fillId="0" fontId="9" numFmtId="0" xfId="0" applyAlignment="1" applyBorder="1" applyFont="1">
      <alignment vertical="center"/>
    </xf>
    <xf borderId="1" fillId="8" fontId="2" numFmtId="0" xfId="0" applyAlignment="1" applyBorder="1" applyFill="1" applyFont="1">
      <alignment horizontal="center" shrinkToFit="0" vertical="center" wrapText="1"/>
    </xf>
    <xf borderId="3" fillId="0" fontId="9" numFmtId="0" xfId="0" applyAlignment="1" applyBorder="1" applyFont="1">
      <alignment shrinkToFit="0" vertical="center" wrapText="1"/>
    </xf>
    <xf borderId="1" fillId="9" fontId="8" numFmtId="0" xfId="0" applyAlignment="1" applyBorder="1" applyFill="1" applyFont="1">
      <alignment horizontal="center" shrinkToFit="0" vertical="center" wrapText="1"/>
    </xf>
    <xf borderId="1" fillId="10" fontId="2" numFmtId="0" xfId="0" applyAlignment="1" applyBorder="1" applyFill="1" applyFont="1">
      <alignment horizontal="left" shrinkToFit="0" vertical="center" wrapText="1"/>
    </xf>
    <xf borderId="0" fillId="0" fontId="11" numFmtId="0" xfId="0" applyFont="1"/>
  </cellXfs>
  <cellStyles count="1">
    <cellStyle xfId="0" name="Normal" builtinId="0"/>
  </cellStyles>
  <dxfs count="2"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customschemas.google.com/relationships/workbookmetadata" Target="metadata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10.0"/>
    <col customWidth="1" min="3" max="3" width="30.88"/>
    <col customWidth="1" min="4" max="4" width="8.0"/>
    <col customWidth="1" min="5" max="5" width="38.0"/>
    <col customWidth="1" min="6" max="6" width="48.13"/>
    <col customWidth="1" min="7" max="26" width="8.63"/>
  </cols>
  <sheetData>
    <row r="2" ht="75.75" customHeight="1">
      <c r="B2" s="2" t="s">
        <v>2</v>
      </c>
    </row>
    <row r="4">
      <c r="A4" s="9" t="s">
        <v>4</v>
      </c>
      <c r="B4" s="13" t="s">
        <v>6</v>
      </c>
      <c r="C4" s="8"/>
      <c r="D4" s="6"/>
      <c r="E4" s="9" t="s">
        <v>9</v>
      </c>
      <c r="F4" s="16" t="s">
        <v>14</v>
      </c>
    </row>
    <row r="5">
      <c r="A5" s="9" t="s">
        <v>7</v>
      </c>
      <c r="B5" s="13" t="s">
        <v>10</v>
      </c>
      <c r="C5" s="8"/>
      <c r="D5" s="6"/>
      <c r="E5" s="9" t="s">
        <v>18</v>
      </c>
      <c r="F5" s="16" t="s">
        <v>19</v>
      </c>
    </row>
    <row r="6">
      <c r="A6" s="9" t="s">
        <v>22</v>
      </c>
      <c r="B6" s="13" t="s">
        <v>24</v>
      </c>
      <c r="C6" s="8"/>
      <c r="D6" s="6"/>
      <c r="E6" s="9" t="s">
        <v>28</v>
      </c>
      <c r="F6" s="16" t="s">
        <v>30</v>
      </c>
    </row>
    <row r="9">
      <c r="A9" s="22" t="s">
        <v>31</v>
      </c>
      <c r="B9" s="22"/>
      <c r="C9" s="22"/>
      <c r="D9" s="22"/>
      <c r="E9" s="22"/>
      <c r="F9" s="22"/>
    </row>
    <row r="10" ht="24.0" customHeight="1">
      <c r="A10" s="23" t="s">
        <v>36</v>
      </c>
      <c r="B10" s="23" t="s">
        <v>28</v>
      </c>
      <c r="C10" s="23" t="s">
        <v>41</v>
      </c>
      <c r="D10" s="23" t="s">
        <v>43</v>
      </c>
      <c r="E10" s="23" t="s">
        <v>45</v>
      </c>
      <c r="F10" s="23" t="s">
        <v>47</v>
      </c>
    </row>
    <row r="11" ht="72.0" customHeight="1">
      <c r="A11" s="25" t="s">
        <v>50</v>
      </c>
      <c r="B11" s="25" t="s">
        <v>54</v>
      </c>
      <c r="C11" s="25" t="s">
        <v>56</v>
      </c>
      <c r="D11" s="25" t="s">
        <v>57</v>
      </c>
      <c r="E11" s="25" t="s">
        <v>59</v>
      </c>
      <c r="F11" s="25" t="s">
        <v>61</v>
      </c>
    </row>
    <row r="12" ht="72.0" customHeight="1">
      <c r="A12" s="25" t="s">
        <v>50</v>
      </c>
      <c r="B12" s="25" t="s">
        <v>64</v>
      </c>
      <c r="C12" s="25" t="s">
        <v>67</v>
      </c>
      <c r="D12" s="25" t="s">
        <v>69</v>
      </c>
      <c r="E12" s="25" t="s">
        <v>72</v>
      </c>
      <c r="F12" s="25" t="s">
        <v>74</v>
      </c>
    </row>
    <row r="13" ht="72.0" customHeight="1">
      <c r="A13" s="25" t="s">
        <v>19</v>
      </c>
      <c r="B13" s="25" t="s">
        <v>76</v>
      </c>
      <c r="C13" s="25" t="s">
        <v>78</v>
      </c>
      <c r="D13" s="25" t="s">
        <v>69</v>
      </c>
      <c r="E13" s="25" t="s">
        <v>81</v>
      </c>
      <c r="F13" s="25" t="s">
        <v>83</v>
      </c>
    </row>
    <row r="14" ht="99.0" customHeight="1">
      <c r="A14" s="30" t="s">
        <v>19</v>
      </c>
      <c r="B14" s="30" t="s">
        <v>30</v>
      </c>
      <c r="C14" s="32" t="s">
        <v>90</v>
      </c>
      <c r="D14" s="30" t="s">
        <v>69</v>
      </c>
      <c r="E14" s="32" t="s">
        <v>92</v>
      </c>
      <c r="F14" s="32" t="s">
        <v>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F2"/>
    <mergeCell ref="B4:D4"/>
    <mergeCell ref="B5:D5"/>
    <mergeCell ref="B6:D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2" width="18.38"/>
    <col customWidth="1" min="3" max="3" width="22.88"/>
    <col customWidth="1" min="4" max="6" width="11.63"/>
    <col customWidth="1" min="7" max="7" width="9.0"/>
    <col customWidth="1" min="8" max="8" width="35.5"/>
    <col customWidth="1" min="9" max="26" width="8.63"/>
  </cols>
  <sheetData>
    <row r="1" ht="34.5" customHeight="1">
      <c r="B1" s="2" t="s">
        <v>0</v>
      </c>
    </row>
    <row r="3" ht="27.0" customHeight="1">
      <c r="B3" s="5" t="s">
        <v>4</v>
      </c>
      <c r="C3" s="10" t="s">
        <v>6</v>
      </c>
      <c r="D3" s="11"/>
      <c r="E3" s="14" t="s">
        <v>9</v>
      </c>
      <c r="F3" s="15"/>
      <c r="G3" s="11"/>
      <c r="H3" s="17" t="s">
        <v>15</v>
      </c>
    </row>
    <row r="4" ht="27.0" customHeight="1">
      <c r="B4" s="5" t="s">
        <v>7</v>
      </c>
      <c r="C4" s="10" t="s">
        <v>10</v>
      </c>
      <c r="D4" s="11"/>
      <c r="E4" s="14" t="s">
        <v>21</v>
      </c>
      <c r="F4" s="15"/>
      <c r="G4" s="11"/>
      <c r="H4" s="20"/>
    </row>
    <row r="5" ht="27.0" customHeight="1">
      <c r="B5" s="5" t="s">
        <v>22</v>
      </c>
      <c r="C5" s="10" t="s">
        <v>24</v>
      </c>
      <c r="D5" s="11"/>
      <c r="E5" s="14" t="s">
        <v>18</v>
      </c>
      <c r="F5" s="15"/>
      <c r="G5" s="11"/>
      <c r="H5" s="17" t="s">
        <v>19</v>
      </c>
    </row>
    <row r="6" ht="27.0" customHeight="1">
      <c r="B6" s="5" t="s">
        <v>39</v>
      </c>
      <c r="C6" s="24" t="s">
        <v>42</v>
      </c>
      <c r="D6" s="15"/>
      <c r="E6" s="15"/>
      <c r="F6" s="15"/>
      <c r="G6" s="15"/>
      <c r="H6" s="11"/>
    </row>
    <row r="10" ht="28.5" customHeight="1">
      <c r="B10" s="26" t="s">
        <v>20</v>
      </c>
      <c r="C10" s="26" t="s">
        <v>66</v>
      </c>
      <c r="D10" s="26" t="s">
        <v>8</v>
      </c>
      <c r="E10" s="26" t="s">
        <v>17</v>
      </c>
      <c r="F10" s="26" t="s">
        <v>62</v>
      </c>
      <c r="G10" s="26" t="s">
        <v>77</v>
      </c>
      <c r="H10" s="26" t="s">
        <v>79</v>
      </c>
    </row>
    <row r="11" ht="25.5" customHeight="1">
      <c r="B11" s="29">
        <v>1.0</v>
      </c>
      <c r="C11" s="21" t="s">
        <v>5</v>
      </c>
      <c r="D11" s="29">
        <f>Authentication!B6</f>
        <v>0</v>
      </c>
      <c r="E11" s="29">
        <f>Authentication!C6</f>
        <v>0</v>
      </c>
      <c r="F11" s="29">
        <f>Authentication!D6</f>
        <v>11</v>
      </c>
      <c r="G11" s="29">
        <f>Authentication!E6</f>
        <v>0</v>
      </c>
      <c r="H11" s="29">
        <f>Authentication!B4</f>
        <v>11</v>
      </c>
    </row>
    <row r="12" ht="25.5" customHeight="1">
      <c r="B12" s="29">
        <v>2.0</v>
      </c>
      <c r="C12" s="21" t="s">
        <v>46</v>
      </c>
      <c r="D12" s="29">
        <f>'User Management'!B6</f>
        <v>0</v>
      </c>
      <c r="E12" s="29">
        <f>'User Management'!C6</f>
        <v>0</v>
      </c>
      <c r="F12" s="29">
        <f>'User Management'!D6</f>
        <v>3</v>
      </c>
      <c r="G12" s="29">
        <f>'User Management'!E6</f>
        <v>0</v>
      </c>
      <c r="H12" s="29">
        <f>'User Management'!B4</f>
        <v>3</v>
      </c>
    </row>
    <row r="13" ht="25.5" customHeight="1">
      <c r="B13" s="29">
        <v>3.0</v>
      </c>
      <c r="C13" s="21" t="s">
        <v>52</v>
      </c>
      <c r="D13" s="29">
        <f>'Retailer Registration'!B6</f>
        <v>0</v>
      </c>
      <c r="E13" s="29">
        <f>'Retailer Registration'!C6</f>
        <v>0</v>
      </c>
      <c r="F13" s="29">
        <f>'Retailer Registration'!D6</f>
        <v>8</v>
      </c>
      <c r="G13" s="29">
        <f>'Retailer Registration'!E6</f>
        <v>0</v>
      </c>
      <c r="H13" s="29">
        <f>'Retailer Registration'!B4</f>
        <v>8</v>
      </c>
    </row>
    <row r="14" ht="25.5" customHeight="1">
      <c r="B14" s="29">
        <v>4.0</v>
      </c>
      <c r="C14" s="21" t="s">
        <v>65</v>
      </c>
      <c r="D14" s="29">
        <f>'Retailer Profiles'!B6</f>
        <v>0</v>
      </c>
      <c r="E14" s="29">
        <f>'Retailer Profiles'!C6</f>
        <v>0</v>
      </c>
      <c r="F14" s="29">
        <f>'Retailer Profiles'!D6</f>
        <v>3</v>
      </c>
      <c r="G14" s="29">
        <f>'Retailer Profiles'!E6</f>
        <v>0</v>
      </c>
      <c r="H14" s="29">
        <f>'Retailer Profiles'!B4</f>
        <v>3</v>
      </c>
    </row>
    <row r="15" ht="25.5" customHeight="1">
      <c r="B15" s="29">
        <v>5.0</v>
      </c>
      <c r="C15" s="21" t="s">
        <v>73</v>
      </c>
      <c r="D15" s="29">
        <f>'Product &amp; Categories'!B6</f>
        <v>0</v>
      </c>
      <c r="E15" s="29">
        <f>'Product &amp; Categories'!C6</f>
        <v>0</v>
      </c>
      <c r="F15" s="29">
        <f>'Product &amp; Categories'!D6</f>
        <v>10</v>
      </c>
      <c r="G15" s="29">
        <f>'Product &amp; Categories'!E6</f>
        <v>0</v>
      </c>
      <c r="H15" s="29">
        <f>'Product &amp; Categories'!B4</f>
        <v>10</v>
      </c>
    </row>
    <row r="16" ht="25.5" customHeight="1">
      <c r="B16" s="29">
        <v>6.0</v>
      </c>
      <c r="C16" s="21" t="s">
        <v>88</v>
      </c>
      <c r="D16" s="29">
        <f>'Promotion Management'!B6</f>
        <v>0</v>
      </c>
      <c r="E16" s="29">
        <f>'Promotion Management'!C6</f>
        <v>0</v>
      </c>
      <c r="F16" s="29">
        <f>'Promotion Management'!D6</f>
        <v>4</v>
      </c>
      <c r="G16" s="29">
        <f>'Promotion Management'!E6</f>
        <v>0</v>
      </c>
      <c r="H16" s="29">
        <f>'Promotion Management'!B4</f>
        <v>4</v>
      </c>
    </row>
    <row r="17" ht="25.5" customHeight="1">
      <c r="B17" s="29">
        <v>7.0</v>
      </c>
      <c r="C17" s="21" t="s">
        <v>94</v>
      </c>
      <c r="D17" s="29">
        <f>'Shelf-Life Pricing'!B6</f>
        <v>0</v>
      </c>
      <c r="E17" s="29">
        <f>'Shelf-Life Pricing'!C6</f>
        <v>0</v>
      </c>
      <c r="F17" s="29">
        <f>'Shelf-Life Pricing'!D6</f>
        <v>9</v>
      </c>
      <c r="G17" s="29">
        <f>'Shelf-Life Pricing'!E6</f>
        <v>0</v>
      </c>
      <c r="H17" s="29">
        <f>'Shelf-Life Pricing'!B4</f>
        <v>9</v>
      </c>
    </row>
    <row r="18" ht="25.5" customHeight="1">
      <c r="B18" s="29">
        <v>8.0</v>
      </c>
      <c r="C18" s="21" t="s">
        <v>102</v>
      </c>
      <c r="D18" s="29">
        <f>'Order Management'!B6</f>
        <v>0</v>
      </c>
      <c r="E18" s="29">
        <f>'Order Management'!C6</f>
        <v>0</v>
      </c>
      <c r="F18" s="29">
        <f>'Order Management'!D6</f>
        <v>20</v>
      </c>
      <c r="G18" s="29">
        <f>'Order Management'!E6</f>
        <v>0</v>
      </c>
      <c r="H18" s="29">
        <f>'Order Management'!B4</f>
        <v>20</v>
      </c>
    </row>
    <row r="19" ht="25.5" customHeight="1">
      <c r="B19" s="29">
        <v>9.0</v>
      </c>
      <c r="C19" s="21" t="s">
        <v>116</v>
      </c>
      <c r="D19" s="29">
        <f>'Offline Synchronization'!B6</f>
        <v>0</v>
      </c>
      <c r="E19" s="29">
        <f>'Offline Synchronization'!C6</f>
        <v>0</v>
      </c>
      <c r="F19" s="29">
        <f>'Offline Synchronization'!D6</f>
        <v>16</v>
      </c>
      <c r="G19" s="29">
        <f>'Offline Synchronization'!E6</f>
        <v>0</v>
      </c>
      <c r="H19" s="29">
        <f>'Offline Synchronization'!B4</f>
        <v>16</v>
      </c>
    </row>
    <row r="20" ht="25.5" customHeight="1">
      <c r="B20" s="29">
        <v>10.0</v>
      </c>
      <c r="C20" s="21" t="s">
        <v>123</v>
      </c>
      <c r="D20" s="29">
        <f>'Allocation Engine'!B6</f>
        <v>0</v>
      </c>
      <c r="E20" s="29">
        <f>'Allocation Engine'!C6</f>
        <v>0</v>
      </c>
      <c r="F20" s="29">
        <f>'Allocation Engine'!D6</f>
        <v>29</v>
      </c>
      <c r="G20" s="29">
        <f>'Allocation Engine'!E6</f>
        <v>0</v>
      </c>
      <c r="H20" s="29">
        <f>'Allocation Engine'!B4</f>
        <v>29</v>
      </c>
    </row>
    <row r="21" ht="25.5" customHeight="1">
      <c r="B21" s="29">
        <v>11.0</v>
      </c>
      <c r="C21" s="21" t="s">
        <v>135</v>
      </c>
      <c r="D21" s="29">
        <f>'Allocation Approval'!B6</f>
        <v>0</v>
      </c>
      <c r="E21" s="29">
        <f>'Allocation Approval'!C6</f>
        <v>0</v>
      </c>
      <c r="F21" s="29">
        <f>'Allocation Approval'!D6</f>
        <v>6</v>
      </c>
      <c r="G21" s="29">
        <f>'Allocation Approval'!E6</f>
        <v>0</v>
      </c>
      <c r="H21" s="29">
        <f>'Allocation Approval'!B4</f>
        <v>6</v>
      </c>
    </row>
    <row r="22" ht="25.5" customHeight="1">
      <c r="B22" s="29">
        <v>12.0</v>
      </c>
      <c r="C22" s="21" t="s">
        <v>140</v>
      </c>
      <c r="D22" s="29">
        <f>'Goods Receipts'!B6</f>
        <v>0</v>
      </c>
      <c r="E22" s="29">
        <f>'Goods Receipts'!C6</f>
        <v>0</v>
      </c>
      <c r="F22" s="29">
        <f>'Goods Receipts'!D6</f>
        <v>3</v>
      </c>
      <c r="G22" s="29">
        <f>'Goods Receipts'!E6</f>
        <v>0</v>
      </c>
      <c r="H22" s="29">
        <f>'Goods Receipts'!B4</f>
        <v>3</v>
      </c>
    </row>
    <row r="23" ht="25.5" customHeight="1">
      <c r="B23" s="29">
        <v>13.0</v>
      </c>
      <c r="C23" s="21" t="s">
        <v>144</v>
      </c>
      <c r="D23" s="29">
        <f>'Warehouse Inventory'!B6</f>
        <v>0</v>
      </c>
      <c r="E23" s="29">
        <f>'Warehouse Inventory'!C6</f>
        <v>0</v>
      </c>
      <c r="F23" s="29">
        <f>'Warehouse Inventory'!D6</f>
        <v>12</v>
      </c>
      <c r="G23" s="29">
        <f>'Warehouse Inventory'!E6</f>
        <v>0</v>
      </c>
      <c r="H23" s="29">
        <f>'Warehouse Inventory'!B4</f>
        <v>12</v>
      </c>
    </row>
    <row r="24" ht="25.5" customHeight="1">
      <c r="B24" s="29">
        <v>14.0</v>
      </c>
      <c r="C24" s="21" t="s">
        <v>155</v>
      </c>
      <c r="D24" s="29">
        <f>'Picking &amp; QR'!B6</f>
        <v>0</v>
      </c>
      <c r="E24" s="29">
        <f>'Picking &amp; QR'!C6</f>
        <v>0</v>
      </c>
      <c r="F24" s="29">
        <f>'Picking &amp; QR'!D6</f>
        <v>14</v>
      </c>
      <c r="G24" s="29">
        <f>'Picking &amp; QR'!E6</f>
        <v>0</v>
      </c>
      <c r="H24" s="29">
        <f>'Picking &amp; QR'!B4</f>
        <v>14</v>
      </c>
    </row>
    <row r="25" ht="25.5" customHeight="1">
      <c r="B25" s="29">
        <v>15.0</v>
      </c>
      <c r="C25" s="21" t="s">
        <v>164</v>
      </c>
      <c r="D25" s="29">
        <f>'Delivery &amp; Receipt'!B6</f>
        <v>0</v>
      </c>
      <c r="E25" s="29">
        <f>'Delivery &amp; Receipt'!C6</f>
        <v>0</v>
      </c>
      <c r="F25" s="29">
        <f>'Delivery &amp; Receipt'!D6</f>
        <v>13</v>
      </c>
      <c r="G25" s="29">
        <f>'Delivery &amp; Receipt'!E6</f>
        <v>0</v>
      </c>
      <c r="H25" s="29">
        <f>'Delivery &amp; Receipt'!B4</f>
        <v>13</v>
      </c>
    </row>
    <row r="26" ht="25.5" customHeight="1">
      <c r="B26" s="29">
        <v>16.0</v>
      </c>
      <c r="C26" s="21" t="s">
        <v>171</v>
      </c>
      <c r="D26" s="29">
        <f>'Complaints &amp; Refunds'!B6</f>
        <v>0</v>
      </c>
      <c r="E26" s="29">
        <f>'Complaints &amp; Refunds'!C6</f>
        <v>0</v>
      </c>
      <c r="F26" s="29">
        <f>'Complaints &amp; Refunds'!D6</f>
        <v>15</v>
      </c>
      <c r="G26" s="29">
        <f>'Complaints &amp; Refunds'!E6</f>
        <v>0</v>
      </c>
      <c r="H26" s="29">
        <f>'Complaints &amp; Refunds'!B4</f>
        <v>15</v>
      </c>
    </row>
    <row r="27" ht="25.5" customHeight="1">
      <c r="B27" s="29">
        <v>17.0</v>
      </c>
      <c r="C27" s="21" t="s">
        <v>175</v>
      </c>
      <c r="D27" s="29">
        <f>'Payments &amp; Receivables'!B6</f>
        <v>0</v>
      </c>
      <c r="E27" s="29">
        <f>'Payments &amp; Receivables'!C6</f>
        <v>0</v>
      </c>
      <c r="F27" s="29">
        <f>'Payments &amp; Receivables'!D6</f>
        <v>14</v>
      </c>
      <c r="G27" s="29">
        <f>'Payments &amp; Receivables'!E6</f>
        <v>0</v>
      </c>
      <c r="H27" s="29">
        <f>'Payments &amp; Receivables'!B4</f>
        <v>14</v>
      </c>
    </row>
    <row r="28" ht="25.5" customHeight="1">
      <c r="B28" s="29">
        <v>18.0</v>
      </c>
      <c r="C28" s="21" t="s">
        <v>186</v>
      </c>
      <c r="D28" s="29">
        <f>'Loyalty Management'!B6</f>
        <v>0</v>
      </c>
      <c r="E28" s="29">
        <f>'Loyalty Management'!C6</f>
        <v>0</v>
      </c>
      <c r="F28" s="29">
        <f>'Loyalty Management'!D6</f>
        <v>15</v>
      </c>
      <c r="G28" s="29">
        <f>'Loyalty Management'!E6</f>
        <v>0</v>
      </c>
      <c r="H28" s="29">
        <f>'Loyalty Management'!B4</f>
        <v>15</v>
      </c>
    </row>
    <row r="29" ht="25.5" customHeight="1">
      <c r="B29" s="29">
        <v>19.0</v>
      </c>
      <c r="C29" s="21" t="s">
        <v>195</v>
      </c>
      <c r="D29" s="29">
        <f>'Territory &amp; Sales Groups'!B6</f>
        <v>0</v>
      </c>
      <c r="E29" s="29">
        <f>'Territory &amp; Sales Groups'!C6</f>
        <v>0</v>
      </c>
      <c r="F29" s="29">
        <f>'Territory &amp; Sales Groups'!D6</f>
        <v>3</v>
      </c>
      <c r="G29" s="29">
        <f>'Territory &amp; Sales Groups'!E6</f>
        <v>0</v>
      </c>
      <c r="H29" s="29">
        <f>'Territory &amp; Sales Groups'!B4</f>
        <v>3</v>
      </c>
    </row>
    <row r="30" ht="25.5" customHeight="1">
      <c r="B30" s="29">
        <v>20.0</v>
      </c>
      <c r="C30" s="21" t="s">
        <v>202</v>
      </c>
      <c r="D30" s="29">
        <f>'Sales Reporting'!B6</f>
        <v>0</v>
      </c>
      <c r="E30" s="29">
        <f>'Sales Reporting'!C6</f>
        <v>0</v>
      </c>
      <c r="F30" s="29">
        <f>'Sales Reporting'!D6</f>
        <v>6</v>
      </c>
      <c r="G30" s="29">
        <f>'Sales Reporting'!E6</f>
        <v>0</v>
      </c>
      <c r="H30" s="29">
        <f>'Sales Reporting'!B4</f>
        <v>6</v>
      </c>
    </row>
    <row r="31" ht="25.5" customHeight="1">
      <c r="B31" s="29">
        <v>21.0</v>
      </c>
      <c r="C31" s="21" t="s">
        <v>212</v>
      </c>
      <c r="D31" s="29">
        <f>'Configuration &amp; Notifications'!B6</f>
        <v>0</v>
      </c>
      <c r="E31" s="29">
        <f>'Configuration &amp; Notifications'!C6</f>
        <v>0</v>
      </c>
      <c r="F31" s="29">
        <f>'Configuration &amp; Notifications'!D6</f>
        <v>9</v>
      </c>
      <c r="G31" s="29">
        <f>'Configuration &amp; Notifications'!E6</f>
        <v>0</v>
      </c>
      <c r="H31" s="29">
        <f>'Configuration &amp; Notifications'!B4</f>
        <v>9</v>
      </c>
    </row>
    <row r="32" ht="25.5" customHeight="1">
      <c r="B32" s="29">
        <v>22.0</v>
      </c>
      <c r="C32" s="21" t="s">
        <v>221</v>
      </c>
      <c r="D32" s="29">
        <f>'Main Workflows'!B6</f>
        <v>0</v>
      </c>
      <c r="E32" s="29">
        <f>'Main Workflows'!C6</f>
        <v>0</v>
      </c>
      <c r="F32" s="29">
        <f>'Main Workflows'!D6</f>
        <v>8</v>
      </c>
      <c r="G32" s="29">
        <f>'Main Workflows'!E6</f>
        <v>0</v>
      </c>
      <c r="H32" s="29">
        <f>'Main Workflows'!B4</f>
        <v>8</v>
      </c>
    </row>
    <row r="33" ht="25.5" customHeight="1">
      <c r="B33" s="29">
        <v>23.0</v>
      </c>
      <c r="C33" s="21" t="s">
        <v>254</v>
      </c>
      <c r="D33" s="29">
        <f>'State Transitions'!B6</f>
        <v>0</v>
      </c>
      <c r="E33" s="29">
        <f>'State Transitions'!C6</f>
        <v>0</v>
      </c>
      <c r="F33" s="29">
        <f>'State Transitions'!D6</f>
        <v>20</v>
      </c>
      <c r="G33" s="29">
        <f>'State Transitions'!E6</f>
        <v>0</v>
      </c>
      <c r="H33" s="29">
        <f>'State Transitions'!B4</f>
        <v>20</v>
      </c>
    </row>
    <row r="34" ht="25.5" customHeight="1">
      <c r="B34" s="29">
        <v>24.0</v>
      </c>
      <c r="C34" s="21" t="s">
        <v>317</v>
      </c>
      <c r="D34" s="29">
        <f>'Non-Functional Tests'!B6</f>
        <v>0</v>
      </c>
      <c r="E34" s="29">
        <f>'Non-Functional Tests'!C6</f>
        <v>0</v>
      </c>
      <c r="F34" s="29">
        <f>'Non-Functional Tests'!D6</f>
        <v>20</v>
      </c>
      <c r="G34" s="29">
        <f>'Non-Functional Tests'!E6</f>
        <v>0</v>
      </c>
      <c r="H34" s="29">
        <f>'Non-Functional Tests'!B4</f>
        <v>20</v>
      </c>
    </row>
    <row r="35" ht="15.75" customHeight="1">
      <c r="B35" s="26"/>
      <c r="C35" s="26" t="s">
        <v>612</v>
      </c>
      <c r="D35" s="26">
        <f t="shared" ref="D35:H35" si="1">SUM(D11:D34)</f>
        <v>0</v>
      </c>
      <c r="E35" s="26">
        <f t="shared" si="1"/>
        <v>0</v>
      </c>
      <c r="F35" s="26">
        <f t="shared" si="1"/>
        <v>271</v>
      </c>
      <c r="G35" s="26">
        <f t="shared" si="1"/>
        <v>0</v>
      </c>
      <c r="H35" s="26">
        <f t="shared" si="1"/>
        <v>271</v>
      </c>
    </row>
    <row r="36" ht="15.75" customHeight="1"/>
    <row r="37" ht="15.75" customHeight="1">
      <c r="C37" s="22" t="s">
        <v>614</v>
      </c>
      <c r="E37" s="35">
        <f>IFERROR((D35+E35)/(H35-G35)*100,0)</f>
        <v>0</v>
      </c>
      <c r="F37" s="35" t="s">
        <v>619</v>
      </c>
    </row>
    <row r="38" ht="15.75" customHeight="1">
      <c r="C38" s="22" t="s">
        <v>620</v>
      </c>
      <c r="E38" s="35">
        <f>IFERROR(D35/(H35-G35)*100,0)</f>
        <v>0</v>
      </c>
      <c r="F38" s="35" t="s">
        <v>619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1:H1"/>
    <mergeCell ref="C3:D3"/>
    <mergeCell ref="E3:G3"/>
    <mergeCell ref="C4:D4"/>
    <mergeCell ref="E4:G4"/>
    <mergeCell ref="C5:D5"/>
    <mergeCell ref="E5:G5"/>
    <mergeCell ref="C6:H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11.88"/>
    <col customWidth="1" min="3" max="3" width="27.75"/>
    <col customWidth="1" min="4" max="4" width="22.38"/>
    <col customWidth="1" min="5" max="5" width="57.5"/>
    <col customWidth="1" min="6" max="6" width="46.0"/>
    <col customWidth="1" min="7" max="26" width="8.63"/>
  </cols>
  <sheetData>
    <row r="1">
      <c r="D1" s="1" t="s">
        <v>1</v>
      </c>
      <c r="E1" s="1"/>
      <c r="F1" s="1"/>
    </row>
    <row r="3">
      <c r="B3" s="4" t="s">
        <v>4</v>
      </c>
      <c r="C3" s="6"/>
      <c r="D3" s="7" t="s">
        <v>6</v>
      </c>
      <c r="E3" s="8"/>
      <c r="F3" s="6"/>
    </row>
    <row r="4">
      <c r="B4" s="4" t="s">
        <v>7</v>
      </c>
      <c r="C4" s="6"/>
      <c r="D4" s="7" t="s">
        <v>10</v>
      </c>
      <c r="E4" s="8"/>
      <c r="F4" s="6"/>
    </row>
    <row r="5" ht="81.75" customHeight="1">
      <c r="B5" s="4" t="s">
        <v>13</v>
      </c>
      <c r="C5" s="6"/>
      <c r="D5" s="7" t="s">
        <v>16</v>
      </c>
      <c r="E5" s="8"/>
      <c r="F5" s="6"/>
    </row>
    <row r="8" ht="27.0" customHeight="1">
      <c r="B8" s="19" t="s">
        <v>20</v>
      </c>
      <c r="C8" s="19" t="s">
        <v>25</v>
      </c>
      <c r="D8" s="19" t="s">
        <v>26</v>
      </c>
      <c r="E8" s="19" t="s">
        <v>27</v>
      </c>
      <c r="F8" s="19" t="s">
        <v>29</v>
      </c>
    </row>
    <row r="9" ht="58.5" customHeight="1">
      <c r="B9" s="21">
        <v>1.0</v>
      </c>
      <c r="C9" s="21" t="s">
        <v>32</v>
      </c>
      <c r="D9" s="21" t="s">
        <v>5</v>
      </c>
      <c r="E9" s="21" t="s">
        <v>33</v>
      </c>
      <c r="F9" s="21" t="s">
        <v>34</v>
      </c>
    </row>
    <row r="10" ht="58.5" customHeight="1">
      <c r="B10" s="21">
        <v>2.0</v>
      </c>
      <c r="C10" s="21" t="s">
        <v>35</v>
      </c>
      <c r="D10" s="21" t="s">
        <v>5</v>
      </c>
      <c r="E10" s="21" t="s">
        <v>37</v>
      </c>
      <c r="F10" s="21" t="s">
        <v>34</v>
      </c>
    </row>
    <row r="11" ht="58.5" customHeight="1">
      <c r="B11" s="21">
        <v>3.0</v>
      </c>
      <c r="C11" s="21" t="s">
        <v>38</v>
      </c>
      <c r="D11" s="21" t="s">
        <v>5</v>
      </c>
      <c r="E11" s="21" t="s">
        <v>40</v>
      </c>
      <c r="F11" s="21" t="s">
        <v>34</v>
      </c>
    </row>
    <row r="12" ht="58.5" customHeight="1">
      <c r="B12" s="21">
        <v>4.0</v>
      </c>
      <c r="C12" s="21" t="s">
        <v>44</v>
      </c>
      <c r="D12" s="21" t="s">
        <v>46</v>
      </c>
      <c r="E12" s="21" t="s">
        <v>48</v>
      </c>
      <c r="F12" s="21" t="s">
        <v>49</v>
      </c>
    </row>
    <row r="13" ht="58.5" customHeight="1">
      <c r="B13" s="21">
        <v>5.0</v>
      </c>
      <c r="C13" s="21" t="s">
        <v>51</v>
      </c>
      <c r="D13" s="21" t="s">
        <v>52</v>
      </c>
      <c r="E13" s="21" t="s">
        <v>53</v>
      </c>
      <c r="F13" s="21" t="s">
        <v>55</v>
      </c>
    </row>
    <row r="14" ht="58.5" customHeight="1">
      <c r="B14" s="21">
        <v>6.0</v>
      </c>
      <c r="C14" s="21" t="s">
        <v>58</v>
      </c>
      <c r="D14" s="21" t="s">
        <v>52</v>
      </c>
      <c r="E14" s="21" t="s">
        <v>60</v>
      </c>
      <c r="F14" s="21" t="s">
        <v>49</v>
      </c>
    </row>
    <row r="15" ht="58.5" customHeight="1">
      <c r="B15" s="21">
        <v>7.0</v>
      </c>
      <c r="C15" s="21" t="s">
        <v>63</v>
      </c>
      <c r="D15" s="21" t="s">
        <v>65</v>
      </c>
      <c r="E15" s="21" t="s">
        <v>68</v>
      </c>
      <c r="F15" s="21" t="s">
        <v>49</v>
      </c>
    </row>
    <row r="16" ht="58.5" customHeight="1">
      <c r="B16" s="21">
        <v>8.0</v>
      </c>
      <c r="C16" s="21" t="s">
        <v>70</v>
      </c>
      <c r="D16" s="21" t="s">
        <v>73</v>
      </c>
      <c r="E16" s="21" t="s">
        <v>75</v>
      </c>
      <c r="F16" s="21" t="s">
        <v>49</v>
      </c>
    </row>
    <row r="17" ht="58.5" customHeight="1">
      <c r="B17" s="21">
        <v>9.0</v>
      </c>
      <c r="C17" s="21" t="s">
        <v>80</v>
      </c>
      <c r="D17" s="21" t="s">
        <v>73</v>
      </c>
      <c r="E17" s="21" t="s">
        <v>82</v>
      </c>
      <c r="F17" s="21" t="s">
        <v>49</v>
      </c>
    </row>
    <row r="18" ht="58.5" customHeight="1">
      <c r="B18" s="21">
        <v>10.0</v>
      </c>
      <c r="C18" s="21" t="s">
        <v>84</v>
      </c>
      <c r="D18" s="21" t="s">
        <v>73</v>
      </c>
      <c r="E18" s="21" t="s">
        <v>85</v>
      </c>
      <c r="F18" s="21" t="s">
        <v>86</v>
      </c>
    </row>
    <row r="19" ht="58.5" customHeight="1">
      <c r="B19" s="21">
        <v>11.0</v>
      </c>
      <c r="C19" s="21" t="s">
        <v>87</v>
      </c>
      <c r="D19" s="21" t="s">
        <v>88</v>
      </c>
      <c r="E19" s="21" t="s">
        <v>89</v>
      </c>
      <c r="F19" s="21" t="s">
        <v>49</v>
      </c>
    </row>
    <row r="20" ht="58.5" customHeight="1">
      <c r="B20" s="21">
        <v>12.0</v>
      </c>
      <c r="C20" s="21" t="s">
        <v>93</v>
      </c>
      <c r="D20" s="21" t="s">
        <v>94</v>
      </c>
      <c r="E20" s="21" t="s">
        <v>96</v>
      </c>
      <c r="F20" s="21" t="s">
        <v>97</v>
      </c>
    </row>
    <row r="21" ht="58.5" customHeight="1">
      <c r="B21" s="21">
        <v>13.0</v>
      </c>
      <c r="C21" s="21" t="s">
        <v>98</v>
      </c>
      <c r="D21" s="21" t="s">
        <v>94</v>
      </c>
      <c r="E21" s="21" t="s">
        <v>99</v>
      </c>
      <c r="F21" s="21" t="s">
        <v>100</v>
      </c>
    </row>
    <row r="22" ht="58.5" customHeight="1">
      <c r="B22" s="21">
        <v>14.0</v>
      </c>
      <c r="C22" s="21" t="s">
        <v>101</v>
      </c>
      <c r="D22" s="21" t="s">
        <v>102</v>
      </c>
      <c r="E22" s="21" t="s">
        <v>103</v>
      </c>
      <c r="F22" s="21" t="s">
        <v>100</v>
      </c>
    </row>
    <row r="23" ht="58.5" customHeight="1">
      <c r="B23" s="21">
        <v>15.0</v>
      </c>
      <c r="C23" s="21" t="s">
        <v>104</v>
      </c>
      <c r="D23" s="21" t="s">
        <v>102</v>
      </c>
      <c r="E23" s="21" t="s">
        <v>105</v>
      </c>
      <c r="F23" s="21" t="s">
        <v>100</v>
      </c>
    </row>
    <row r="24" ht="58.5" customHeight="1">
      <c r="B24" s="21">
        <v>16.0</v>
      </c>
      <c r="C24" s="21" t="s">
        <v>106</v>
      </c>
      <c r="D24" s="21" t="s">
        <v>102</v>
      </c>
      <c r="E24" s="21" t="s">
        <v>107</v>
      </c>
      <c r="F24" s="21" t="s">
        <v>108</v>
      </c>
    </row>
    <row r="25" ht="58.5" customHeight="1">
      <c r="B25" s="21">
        <v>17.0</v>
      </c>
      <c r="C25" s="21" t="s">
        <v>109</v>
      </c>
      <c r="D25" s="21" t="s">
        <v>102</v>
      </c>
      <c r="E25" s="21" t="s">
        <v>110</v>
      </c>
      <c r="F25" s="21" t="s">
        <v>111</v>
      </c>
    </row>
    <row r="26" ht="58.5" customHeight="1">
      <c r="B26" s="21">
        <v>18.0</v>
      </c>
      <c r="C26" s="21" t="s">
        <v>112</v>
      </c>
      <c r="D26" s="21" t="s">
        <v>102</v>
      </c>
      <c r="E26" s="21" t="s">
        <v>113</v>
      </c>
      <c r="F26" s="21" t="s">
        <v>114</v>
      </c>
    </row>
    <row r="27" ht="58.5" customHeight="1">
      <c r="B27" s="21">
        <v>19.0</v>
      </c>
      <c r="C27" s="21" t="s">
        <v>115</v>
      </c>
      <c r="D27" s="21" t="s">
        <v>116</v>
      </c>
      <c r="E27" s="21" t="s">
        <v>117</v>
      </c>
      <c r="F27" s="21" t="s">
        <v>100</v>
      </c>
    </row>
    <row r="28" ht="58.5" customHeight="1">
      <c r="B28" s="21">
        <v>20.0</v>
      </c>
      <c r="C28" s="21" t="s">
        <v>118</v>
      </c>
      <c r="D28" s="21" t="s">
        <v>116</v>
      </c>
      <c r="E28" s="21" t="s">
        <v>119</v>
      </c>
      <c r="F28" s="21" t="s">
        <v>100</v>
      </c>
    </row>
    <row r="29" ht="58.5" customHeight="1">
      <c r="B29" s="21">
        <v>21.0</v>
      </c>
      <c r="C29" s="21" t="s">
        <v>120</v>
      </c>
      <c r="D29" s="21" t="s">
        <v>116</v>
      </c>
      <c r="E29" s="21" t="s">
        <v>121</v>
      </c>
      <c r="F29" s="21" t="s">
        <v>100</v>
      </c>
    </row>
    <row r="30" ht="58.5" customHeight="1">
      <c r="B30" s="21">
        <v>22.0</v>
      </c>
      <c r="C30" s="21" t="s">
        <v>122</v>
      </c>
      <c r="D30" s="21" t="s">
        <v>123</v>
      </c>
      <c r="E30" s="21" t="s">
        <v>124</v>
      </c>
      <c r="F30" s="21" t="s">
        <v>125</v>
      </c>
    </row>
    <row r="31" ht="58.5" customHeight="1">
      <c r="B31" s="21">
        <v>23.0</v>
      </c>
      <c r="C31" s="21" t="s">
        <v>126</v>
      </c>
      <c r="D31" s="21" t="s">
        <v>123</v>
      </c>
      <c r="E31" s="21" t="s">
        <v>127</v>
      </c>
      <c r="F31" s="21" t="s">
        <v>128</v>
      </c>
    </row>
    <row r="32" ht="58.5" customHeight="1">
      <c r="B32" s="21">
        <v>24.0</v>
      </c>
      <c r="C32" s="21" t="s">
        <v>129</v>
      </c>
      <c r="D32" s="21" t="s">
        <v>123</v>
      </c>
      <c r="E32" s="21" t="s">
        <v>131</v>
      </c>
      <c r="F32" s="21" t="s">
        <v>128</v>
      </c>
    </row>
    <row r="33" ht="58.5" customHeight="1">
      <c r="B33" s="21">
        <v>25.0</v>
      </c>
      <c r="C33" s="21" t="s">
        <v>132</v>
      </c>
      <c r="D33" s="21" t="s">
        <v>123</v>
      </c>
      <c r="E33" s="21" t="s">
        <v>133</v>
      </c>
      <c r="F33" s="21" t="s">
        <v>128</v>
      </c>
    </row>
    <row r="34" ht="58.5" customHeight="1">
      <c r="B34" s="21">
        <v>26.0</v>
      </c>
      <c r="C34" s="21" t="s">
        <v>134</v>
      </c>
      <c r="D34" s="21" t="s">
        <v>135</v>
      </c>
      <c r="E34" s="21" t="s">
        <v>136</v>
      </c>
      <c r="F34" s="21" t="s">
        <v>49</v>
      </c>
    </row>
    <row r="35" ht="58.5" customHeight="1">
      <c r="B35" s="21">
        <v>27.0</v>
      </c>
      <c r="C35" s="21" t="s">
        <v>137</v>
      </c>
      <c r="D35" s="21" t="s">
        <v>135</v>
      </c>
      <c r="E35" s="21" t="s">
        <v>138</v>
      </c>
      <c r="F35" s="21" t="s">
        <v>97</v>
      </c>
    </row>
    <row r="36" ht="58.5" customHeight="1">
      <c r="B36" s="21">
        <v>28.0</v>
      </c>
      <c r="C36" s="21" t="s">
        <v>139</v>
      </c>
      <c r="D36" s="21" t="s">
        <v>140</v>
      </c>
      <c r="E36" s="21" t="s">
        <v>141</v>
      </c>
      <c r="F36" s="21" t="s">
        <v>142</v>
      </c>
    </row>
    <row r="37" ht="58.5" customHeight="1">
      <c r="B37" s="21">
        <v>29.0</v>
      </c>
      <c r="C37" s="21" t="s">
        <v>143</v>
      </c>
      <c r="D37" s="21" t="s">
        <v>144</v>
      </c>
      <c r="E37" s="21" t="s">
        <v>145</v>
      </c>
      <c r="F37" s="21" t="s">
        <v>142</v>
      </c>
    </row>
    <row r="38" ht="58.5" customHeight="1">
      <c r="B38" s="21">
        <v>30.0</v>
      </c>
      <c r="C38" s="21" t="s">
        <v>146</v>
      </c>
      <c r="D38" s="21" t="s">
        <v>144</v>
      </c>
      <c r="E38" s="21" t="s">
        <v>147</v>
      </c>
      <c r="F38" s="21" t="s">
        <v>128</v>
      </c>
    </row>
    <row r="39" ht="58.5" customHeight="1">
      <c r="B39" s="21">
        <v>31.0</v>
      </c>
      <c r="C39" s="21" t="s">
        <v>148</v>
      </c>
      <c r="D39" s="21" t="s">
        <v>144</v>
      </c>
      <c r="E39" s="21" t="s">
        <v>149</v>
      </c>
      <c r="F39" s="21" t="s">
        <v>142</v>
      </c>
    </row>
    <row r="40" ht="58.5" customHeight="1">
      <c r="B40" s="21">
        <v>32.0</v>
      </c>
      <c r="C40" s="21" t="s">
        <v>150</v>
      </c>
      <c r="D40" s="21" t="s">
        <v>144</v>
      </c>
      <c r="E40" s="21" t="s">
        <v>151</v>
      </c>
      <c r="F40" s="21" t="s">
        <v>152</v>
      </c>
    </row>
    <row r="41" ht="58.5" customHeight="1">
      <c r="B41" s="21">
        <v>33.0</v>
      </c>
      <c r="C41" s="21" t="s">
        <v>154</v>
      </c>
      <c r="D41" s="21" t="s">
        <v>155</v>
      </c>
      <c r="E41" s="21" t="s">
        <v>156</v>
      </c>
      <c r="F41" s="21" t="s">
        <v>157</v>
      </c>
    </row>
    <row r="42" ht="58.5" customHeight="1">
      <c r="B42" s="21">
        <v>34.0</v>
      </c>
      <c r="C42" s="21" t="s">
        <v>158</v>
      </c>
      <c r="D42" s="21" t="s">
        <v>155</v>
      </c>
      <c r="E42" s="21" t="s">
        <v>159</v>
      </c>
      <c r="F42" s="21" t="s">
        <v>152</v>
      </c>
    </row>
    <row r="43" ht="58.5" customHeight="1">
      <c r="B43" s="21">
        <v>35.0</v>
      </c>
      <c r="C43" s="21" t="s">
        <v>160</v>
      </c>
      <c r="D43" s="21" t="s">
        <v>155</v>
      </c>
      <c r="E43" s="21" t="s">
        <v>161</v>
      </c>
      <c r="F43" s="21" t="s">
        <v>162</v>
      </c>
    </row>
    <row r="44" ht="58.5" customHeight="1">
      <c r="B44" s="21">
        <v>36.0</v>
      </c>
      <c r="C44" s="21" t="s">
        <v>163</v>
      </c>
      <c r="D44" s="21" t="s">
        <v>164</v>
      </c>
      <c r="E44" s="21" t="s">
        <v>165</v>
      </c>
      <c r="F44" s="21" t="s">
        <v>166</v>
      </c>
    </row>
    <row r="45" ht="58.5" customHeight="1">
      <c r="B45" s="21">
        <v>37.0</v>
      </c>
      <c r="C45" s="21" t="s">
        <v>167</v>
      </c>
      <c r="D45" s="21" t="s">
        <v>164</v>
      </c>
      <c r="E45" s="21" t="s">
        <v>168</v>
      </c>
      <c r="F45" s="21" t="s">
        <v>169</v>
      </c>
    </row>
    <row r="46" ht="58.5" customHeight="1">
      <c r="B46" s="21">
        <v>38.0</v>
      </c>
      <c r="C46" s="21" t="s">
        <v>170</v>
      </c>
      <c r="D46" s="21" t="s">
        <v>171</v>
      </c>
      <c r="E46" s="21" t="s">
        <v>172</v>
      </c>
      <c r="F46" s="21" t="s">
        <v>173</v>
      </c>
    </row>
    <row r="47" ht="58.5" customHeight="1">
      <c r="B47" s="21">
        <v>39.0</v>
      </c>
      <c r="C47" s="21" t="s">
        <v>174</v>
      </c>
      <c r="D47" s="21" t="s">
        <v>175</v>
      </c>
      <c r="E47" s="21" t="s">
        <v>176</v>
      </c>
      <c r="F47" s="21" t="s">
        <v>177</v>
      </c>
    </row>
    <row r="48" ht="58.5" customHeight="1">
      <c r="B48" s="21">
        <v>40.0</v>
      </c>
      <c r="C48" s="21" t="s">
        <v>178</v>
      </c>
      <c r="D48" s="21" t="s">
        <v>175</v>
      </c>
      <c r="E48" s="21" t="s">
        <v>179</v>
      </c>
      <c r="F48" s="21" t="s">
        <v>180</v>
      </c>
    </row>
    <row r="49" ht="58.5" customHeight="1">
      <c r="B49" s="21">
        <v>41.0</v>
      </c>
      <c r="C49" s="21" t="s">
        <v>181</v>
      </c>
      <c r="D49" s="21" t="s">
        <v>171</v>
      </c>
      <c r="E49" s="21" t="s">
        <v>182</v>
      </c>
      <c r="F49" s="21" t="s">
        <v>108</v>
      </c>
    </row>
    <row r="50" ht="58.5" customHeight="1">
      <c r="B50" s="21">
        <v>42.0</v>
      </c>
      <c r="C50" s="21" t="s">
        <v>183</v>
      </c>
      <c r="D50" s="21" t="s">
        <v>171</v>
      </c>
      <c r="E50" s="21" t="s">
        <v>184</v>
      </c>
      <c r="F50" s="21" t="s">
        <v>108</v>
      </c>
    </row>
    <row r="51" ht="58.5" customHeight="1">
      <c r="B51" s="21">
        <v>43.0</v>
      </c>
      <c r="C51" s="21" t="s">
        <v>185</v>
      </c>
      <c r="D51" s="21" t="s">
        <v>186</v>
      </c>
      <c r="E51" s="21" t="s">
        <v>187</v>
      </c>
      <c r="F51" s="21" t="s">
        <v>128</v>
      </c>
    </row>
    <row r="52" ht="58.5" customHeight="1">
      <c r="B52" s="21">
        <v>44.0</v>
      </c>
      <c r="C52" s="21" t="s">
        <v>188</v>
      </c>
      <c r="D52" s="21" t="s">
        <v>186</v>
      </c>
      <c r="E52" s="21" t="s">
        <v>189</v>
      </c>
      <c r="F52" s="21" t="s">
        <v>190</v>
      </c>
    </row>
    <row r="53" ht="58.5" customHeight="1">
      <c r="B53" s="21">
        <v>45.0</v>
      </c>
      <c r="C53" s="21" t="s">
        <v>191</v>
      </c>
      <c r="D53" s="21" t="s">
        <v>186</v>
      </c>
      <c r="E53" s="21" t="s">
        <v>192</v>
      </c>
      <c r="F53" s="21" t="s">
        <v>49</v>
      </c>
    </row>
    <row r="54" ht="58.5" customHeight="1">
      <c r="B54" s="21">
        <v>46.0</v>
      </c>
      <c r="C54" s="21" t="s">
        <v>194</v>
      </c>
      <c r="D54" s="21" t="s">
        <v>195</v>
      </c>
      <c r="E54" s="21" t="s">
        <v>196</v>
      </c>
      <c r="F54" s="21" t="s">
        <v>197</v>
      </c>
    </row>
    <row r="55" ht="58.5" customHeight="1">
      <c r="B55" s="21">
        <v>47.0</v>
      </c>
      <c r="C55" s="21" t="s">
        <v>200</v>
      </c>
      <c r="D55" s="21" t="s">
        <v>202</v>
      </c>
      <c r="E55" s="21" t="s">
        <v>203</v>
      </c>
      <c r="F55" s="21" t="s">
        <v>204</v>
      </c>
    </row>
    <row r="56" ht="58.5" customHeight="1">
      <c r="B56" s="21">
        <v>48.0</v>
      </c>
      <c r="C56" s="21" t="s">
        <v>206</v>
      </c>
      <c r="D56" s="21" t="s">
        <v>202</v>
      </c>
      <c r="E56" s="21" t="s">
        <v>209</v>
      </c>
      <c r="F56" s="21" t="s">
        <v>210</v>
      </c>
    </row>
    <row r="57" ht="58.5" customHeight="1">
      <c r="B57" s="21">
        <v>49.0</v>
      </c>
      <c r="C57" s="21" t="s">
        <v>211</v>
      </c>
      <c r="D57" s="21" t="s">
        <v>212</v>
      </c>
      <c r="E57" s="21" t="s">
        <v>213</v>
      </c>
      <c r="F57" s="21" t="s">
        <v>49</v>
      </c>
    </row>
    <row r="58" ht="58.5" customHeight="1">
      <c r="B58" s="21">
        <v>50.0</v>
      </c>
      <c r="C58" s="21" t="s">
        <v>215</v>
      </c>
      <c r="D58" s="21" t="s">
        <v>212</v>
      </c>
      <c r="E58" s="21" t="s">
        <v>216</v>
      </c>
      <c r="F58" s="21" t="s">
        <v>49</v>
      </c>
    </row>
    <row r="59" ht="58.5" customHeight="1">
      <c r="B59" s="21">
        <v>51.0</v>
      </c>
      <c r="C59" s="21" t="s">
        <v>218</v>
      </c>
      <c r="D59" s="21" t="s">
        <v>212</v>
      </c>
      <c r="E59" s="21" t="s">
        <v>219</v>
      </c>
      <c r="F59" s="21" t="s">
        <v>128</v>
      </c>
    </row>
    <row r="60" ht="58.5" customHeight="1">
      <c r="B60" s="21">
        <v>52.0</v>
      </c>
      <c r="C60" s="21" t="s">
        <v>220</v>
      </c>
      <c r="D60" s="21" t="s">
        <v>221</v>
      </c>
      <c r="E60" s="21" t="s">
        <v>222</v>
      </c>
      <c r="F60" s="21" t="s">
        <v>111</v>
      </c>
    </row>
    <row r="61" ht="58.5" customHeight="1">
      <c r="B61" s="21">
        <v>53.0</v>
      </c>
      <c r="C61" s="21" t="s">
        <v>225</v>
      </c>
      <c r="D61" s="21" t="s">
        <v>221</v>
      </c>
      <c r="E61" s="21" t="s">
        <v>227</v>
      </c>
      <c r="F61" s="21" t="s">
        <v>55</v>
      </c>
    </row>
    <row r="62" ht="58.5" customHeight="1">
      <c r="B62" s="21">
        <v>54.0</v>
      </c>
      <c r="C62" s="21" t="s">
        <v>229</v>
      </c>
      <c r="D62" s="21" t="s">
        <v>221</v>
      </c>
      <c r="E62" s="21" t="s">
        <v>230</v>
      </c>
      <c r="F62" s="21" t="s">
        <v>232</v>
      </c>
    </row>
    <row r="63" ht="58.5" customHeight="1">
      <c r="B63" s="21">
        <v>55.0</v>
      </c>
      <c r="C63" s="21" t="s">
        <v>233</v>
      </c>
      <c r="D63" s="21" t="s">
        <v>221</v>
      </c>
      <c r="E63" s="21" t="s">
        <v>234</v>
      </c>
      <c r="F63" s="21" t="s">
        <v>235</v>
      </c>
    </row>
    <row r="64" ht="58.5" customHeight="1">
      <c r="B64" s="21">
        <v>56.0</v>
      </c>
      <c r="C64" s="21" t="s">
        <v>236</v>
      </c>
      <c r="D64" s="21" t="s">
        <v>221</v>
      </c>
      <c r="E64" s="21" t="s">
        <v>238</v>
      </c>
      <c r="F64" s="21" t="s">
        <v>239</v>
      </c>
    </row>
    <row r="65" ht="58.5" customHeight="1">
      <c r="B65" s="21">
        <v>57.0</v>
      </c>
      <c r="C65" s="21" t="s">
        <v>242</v>
      </c>
      <c r="D65" s="21" t="s">
        <v>221</v>
      </c>
      <c r="E65" s="21" t="s">
        <v>244</v>
      </c>
      <c r="F65" s="21" t="s">
        <v>245</v>
      </c>
    </row>
    <row r="66" ht="58.5" customHeight="1">
      <c r="B66" s="21">
        <v>58.0</v>
      </c>
      <c r="C66" s="21" t="s">
        <v>247</v>
      </c>
      <c r="D66" s="21" t="s">
        <v>221</v>
      </c>
      <c r="E66" s="21" t="s">
        <v>248</v>
      </c>
      <c r="F66" s="21" t="s">
        <v>249</v>
      </c>
    </row>
    <row r="67" ht="58.5" customHeight="1">
      <c r="B67" s="21">
        <v>59.0</v>
      </c>
      <c r="C67" s="21" t="s">
        <v>250</v>
      </c>
      <c r="D67" s="21" t="s">
        <v>221</v>
      </c>
      <c r="E67" s="21" t="s">
        <v>251</v>
      </c>
      <c r="F67" s="21" t="s">
        <v>252</v>
      </c>
    </row>
    <row r="68" ht="58.5" customHeight="1">
      <c r="B68" s="21">
        <v>60.0</v>
      </c>
      <c r="C68" s="21" t="s">
        <v>253</v>
      </c>
      <c r="D68" s="21" t="s">
        <v>254</v>
      </c>
      <c r="E68" s="21" t="s">
        <v>256</v>
      </c>
      <c r="F68" s="21" t="s">
        <v>257</v>
      </c>
    </row>
    <row r="69" ht="58.5" customHeight="1">
      <c r="B69" s="21">
        <v>61.0</v>
      </c>
      <c r="C69" s="21" t="s">
        <v>259</v>
      </c>
      <c r="D69" s="21" t="s">
        <v>254</v>
      </c>
      <c r="E69" s="21" t="s">
        <v>261</v>
      </c>
      <c r="F69" s="21" t="s">
        <v>257</v>
      </c>
    </row>
    <row r="70" ht="58.5" customHeight="1">
      <c r="B70" s="21">
        <v>62.0</v>
      </c>
      <c r="C70" s="21" t="s">
        <v>264</v>
      </c>
      <c r="D70" s="21" t="s">
        <v>254</v>
      </c>
      <c r="E70" s="21" t="s">
        <v>265</v>
      </c>
      <c r="F70" s="21" t="s">
        <v>257</v>
      </c>
    </row>
    <row r="71" ht="58.5" customHeight="1">
      <c r="B71" s="21">
        <v>63.0</v>
      </c>
      <c r="C71" s="21" t="s">
        <v>266</v>
      </c>
      <c r="D71" s="21" t="s">
        <v>254</v>
      </c>
      <c r="E71" s="21" t="s">
        <v>267</v>
      </c>
      <c r="F71" s="21" t="s">
        <v>257</v>
      </c>
    </row>
    <row r="72" ht="58.5" customHeight="1">
      <c r="B72" s="21">
        <v>64.0</v>
      </c>
      <c r="C72" s="21" t="s">
        <v>268</v>
      </c>
      <c r="D72" s="21" t="s">
        <v>254</v>
      </c>
      <c r="E72" s="21" t="s">
        <v>269</v>
      </c>
      <c r="F72" s="21" t="s">
        <v>257</v>
      </c>
    </row>
    <row r="73" ht="58.5" customHeight="1">
      <c r="B73" s="21">
        <v>65.0</v>
      </c>
      <c r="C73" s="21" t="s">
        <v>271</v>
      </c>
      <c r="D73" s="21" t="s">
        <v>254</v>
      </c>
      <c r="E73" s="21" t="s">
        <v>267</v>
      </c>
      <c r="F73" s="21" t="s">
        <v>257</v>
      </c>
    </row>
    <row r="74" ht="58.5" customHeight="1">
      <c r="B74" s="21">
        <v>66.0</v>
      </c>
      <c r="C74" s="21" t="s">
        <v>275</v>
      </c>
      <c r="D74" s="21" t="s">
        <v>254</v>
      </c>
      <c r="E74" s="21" t="s">
        <v>277</v>
      </c>
      <c r="F74" s="21" t="s">
        <v>257</v>
      </c>
    </row>
    <row r="75" ht="58.5" customHeight="1">
      <c r="B75" s="21">
        <v>67.0</v>
      </c>
      <c r="C75" s="21" t="s">
        <v>278</v>
      </c>
      <c r="D75" s="21" t="s">
        <v>254</v>
      </c>
      <c r="E75" s="21" t="s">
        <v>279</v>
      </c>
      <c r="F75" s="21" t="s">
        <v>257</v>
      </c>
    </row>
    <row r="76" ht="58.5" customHeight="1">
      <c r="B76" s="21">
        <v>68.0</v>
      </c>
      <c r="C76" s="21" t="s">
        <v>280</v>
      </c>
      <c r="D76" s="21" t="s">
        <v>254</v>
      </c>
      <c r="E76" s="21" t="s">
        <v>281</v>
      </c>
      <c r="F76" s="21" t="s">
        <v>257</v>
      </c>
    </row>
    <row r="77" ht="58.5" customHeight="1">
      <c r="B77" s="21">
        <v>69.0</v>
      </c>
      <c r="C77" s="21" t="s">
        <v>283</v>
      </c>
      <c r="D77" s="21" t="s">
        <v>254</v>
      </c>
      <c r="E77" s="21" t="s">
        <v>285</v>
      </c>
      <c r="F77" s="21" t="s">
        <v>257</v>
      </c>
    </row>
    <row r="78" ht="58.5" customHeight="1">
      <c r="B78" s="21">
        <v>70.0</v>
      </c>
      <c r="C78" s="21" t="s">
        <v>287</v>
      </c>
      <c r="D78" s="21" t="s">
        <v>254</v>
      </c>
      <c r="E78" s="21" t="s">
        <v>290</v>
      </c>
      <c r="F78" s="21" t="s">
        <v>257</v>
      </c>
    </row>
    <row r="79" ht="58.5" customHeight="1">
      <c r="B79" s="21">
        <v>71.0</v>
      </c>
      <c r="C79" s="21" t="s">
        <v>291</v>
      </c>
      <c r="D79" s="21" t="s">
        <v>254</v>
      </c>
      <c r="E79" s="21" t="s">
        <v>292</v>
      </c>
      <c r="F79" s="21" t="s">
        <v>257</v>
      </c>
    </row>
    <row r="80" ht="58.5" customHeight="1">
      <c r="B80" s="21">
        <v>72.0</v>
      </c>
      <c r="C80" s="21" t="s">
        <v>293</v>
      </c>
      <c r="D80" s="21" t="s">
        <v>254</v>
      </c>
      <c r="E80" s="21" t="s">
        <v>294</v>
      </c>
      <c r="F80" s="21" t="s">
        <v>257</v>
      </c>
    </row>
    <row r="81" ht="58.5" customHeight="1">
      <c r="B81" s="21">
        <v>73.0</v>
      </c>
      <c r="C81" s="21" t="s">
        <v>295</v>
      </c>
      <c r="D81" s="21" t="s">
        <v>254</v>
      </c>
      <c r="E81" s="21" t="s">
        <v>296</v>
      </c>
      <c r="F81" s="21" t="s">
        <v>257</v>
      </c>
    </row>
    <row r="82" ht="58.5" customHeight="1">
      <c r="B82" s="21">
        <v>74.0</v>
      </c>
      <c r="C82" s="21" t="s">
        <v>297</v>
      </c>
      <c r="D82" s="21" t="s">
        <v>254</v>
      </c>
      <c r="E82" s="21" t="s">
        <v>299</v>
      </c>
      <c r="F82" s="21" t="s">
        <v>257</v>
      </c>
    </row>
    <row r="83" ht="58.5" customHeight="1">
      <c r="B83" s="21">
        <v>75.0</v>
      </c>
      <c r="C83" s="21" t="s">
        <v>301</v>
      </c>
      <c r="D83" s="21" t="s">
        <v>254</v>
      </c>
      <c r="E83" s="21" t="s">
        <v>302</v>
      </c>
      <c r="F83" s="21" t="s">
        <v>257</v>
      </c>
    </row>
    <row r="84" ht="58.5" customHeight="1">
      <c r="B84" s="21">
        <v>76.0</v>
      </c>
      <c r="C84" s="21" t="s">
        <v>304</v>
      </c>
      <c r="D84" s="21" t="s">
        <v>254</v>
      </c>
      <c r="E84" s="21" t="s">
        <v>306</v>
      </c>
      <c r="F84" s="21" t="s">
        <v>257</v>
      </c>
    </row>
    <row r="85" ht="58.5" customHeight="1">
      <c r="B85" s="21">
        <v>77.0</v>
      </c>
      <c r="C85" s="21" t="s">
        <v>308</v>
      </c>
      <c r="D85" s="21" t="s">
        <v>254</v>
      </c>
      <c r="E85" s="21" t="s">
        <v>309</v>
      </c>
      <c r="F85" s="21" t="s">
        <v>257</v>
      </c>
    </row>
    <row r="86" ht="58.5" customHeight="1">
      <c r="B86" s="21">
        <v>78.0</v>
      </c>
      <c r="C86" s="21" t="s">
        <v>310</v>
      </c>
      <c r="D86" s="21" t="s">
        <v>254</v>
      </c>
      <c r="E86" s="21" t="s">
        <v>311</v>
      </c>
      <c r="F86" s="21" t="s">
        <v>257</v>
      </c>
    </row>
    <row r="87" ht="58.5" customHeight="1">
      <c r="B87" s="21">
        <v>79.0</v>
      </c>
      <c r="C87" s="21" t="s">
        <v>312</v>
      </c>
      <c r="D87" s="21" t="s">
        <v>254</v>
      </c>
      <c r="E87" s="21" t="s">
        <v>313</v>
      </c>
      <c r="F87" s="21" t="s">
        <v>257</v>
      </c>
    </row>
    <row r="88" ht="58.5" customHeight="1">
      <c r="B88" s="21">
        <v>80.0</v>
      </c>
      <c r="C88" s="21" t="s">
        <v>316</v>
      </c>
      <c r="D88" s="21" t="s">
        <v>317</v>
      </c>
      <c r="E88" s="21" t="s">
        <v>319</v>
      </c>
      <c r="F88" s="21" t="s">
        <v>320</v>
      </c>
    </row>
    <row r="89" ht="58.5" customHeight="1">
      <c r="B89" s="21">
        <v>81.0</v>
      </c>
      <c r="C89" s="21" t="s">
        <v>322</v>
      </c>
      <c r="D89" s="21" t="s">
        <v>317</v>
      </c>
      <c r="E89" s="21" t="s">
        <v>324</v>
      </c>
      <c r="F89" s="21" t="s">
        <v>320</v>
      </c>
    </row>
    <row r="90" ht="58.5" customHeight="1">
      <c r="B90" s="21">
        <v>82.0</v>
      </c>
      <c r="C90" s="21" t="s">
        <v>325</v>
      </c>
      <c r="D90" s="21" t="s">
        <v>317</v>
      </c>
      <c r="E90" s="21" t="s">
        <v>326</v>
      </c>
      <c r="F90" s="21" t="s">
        <v>320</v>
      </c>
    </row>
    <row r="91" ht="58.5" customHeight="1">
      <c r="B91" s="21">
        <v>83.0</v>
      </c>
      <c r="C91" s="21" t="s">
        <v>327</v>
      </c>
      <c r="D91" s="21" t="s">
        <v>317</v>
      </c>
      <c r="E91" s="21" t="s">
        <v>328</v>
      </c>
      <c r="F91" s="21" t="s">
        <v>320</v>
      </c>
    </row>
    <row r="92" ht="58.5" customHeight="1">
      <c r="B92" s="21">
        <v>84.0</v>
      </c>
      <c r="C92" s="21" t="s">
        <v>329</v>
      </c>
      <c r="D92" s="21" t="s">
        <v>317</v>
      </c>
      <c r="E92" s="21" t="s">
        <v>331</v>
      </c>
      <c r="F92" s="21" t="s">
        <v>320</v>
      </c>
    </row>
    <row r="93" ht="58.5" customHeight="1">
      <c r="B93" s="21">
        <v>85.0</v>
      </c>
      <c r="C93" s="21" t="s">
        <v>333</v>
      </c>
      <c r="D93" s="21" t="s">
        <v>317</v>
      </c>
      <c r="E93" s="21" t="s">
        <v>335</v>
      </c>
      <c r="F93" s="21" t="s">
        <v>320</v>
      </c>
    </row>
    <row r="94" ht="58.5" customHeight="1">
      <c r="B94" s="21">
        <v>86.0</v>
      </c>
      <c r="C94" s="21" t="s">
        <v>337</v>
      </c>
      <c r="D94" s="21" t="s">
        <v>317</v>
      </c>
      <c r="E94" s="21" t="s">
        <v>339</v>
      </c>
      <c r="F94" s="21" t="s">
        <v>320</v>
      </c>
    </row>
    <row r="95" ht="58.5" customHeight="1">
      <c r="B95" s="21">
        <v>87.0</v>
      </c>
      <c r="C95" s="21" t="s">
        <v>340</v>
      </c>
      <c r="D95" s="21" t="s">
        <v>317</v>
      </c>
      <c r="E95" s="21" t="s">
        <v>341</v>
      </c>
      <c r="F95" s="21" t="s">
        <v>320</v>
      </c>
    </row>
    <row r="96" ht="58.5" customHeight="1">
      <c r="B96" s="21">
        <v>88.0</v>
      </c>
      <c r="C96" s="21" t="s">
        <v>342</v>
      </c>
      <c r="D96" s="21" t="s">
        <v>317</v>
      </c>
      <c r="E96" s="21" t="s">
        <v>343</v>
      </c>
      <c r="F96" s="21" t="s">
        <v>320</v>
      </c>
    </row>
    <row r="97" ht="58.5" customHeight="1">
      <c r="B97" s="21">
        <v>89.0</v>
      </c>
      <c r="C97" s="21" t="s">
        <v>344</v>
      </c>
      <c r="D97" s="21" t="s">
        <v>317</v>
      </c>
      <c r="E97" s="21" t="s">
        <v>346</v>
      </c>
      <c r="F97" s="21" t="s">
        <v>320</v>
      </c>
    </row>
    <row r="98" ht="58.5" customHeight="1">
      <c r="B98" s="21">
        <v>90.0</v>
      </c>
      <c r="C98" s="21" t="s">
        <v>348</v>
      </c>
      <c r="D98" s="21" t="s">
        <v>317</v>
      </c>
      <c r="E98" s="21" t="s">
        <v>350</v>
      </c>
      <c r="F98" s="21" t="s">
        <v>320</v>
      </c>
    </row>
    <row r="99" ht="58.5" customHeight="1">
      <c r="B99" s="21">
        <v>91.0</v>
      </c>
      <c r="C99" s="21" t="s">
        <v>352</v>
      </c>
      <c r="D99" s="21" t="s">
        <v>317</v>
      </c>
      <c r="E99" s="21" t="s">
        <v>354</v>
      </c>
      <c r="F99" s="21" t="s">
        <v>320</v>
      </c>
    </row>
    <row r="100" ht="58.5" customHeight="1">
      <c r="B100" s="21">
        <v>92.0</v>
      </c>
      <c r="C100" s="21" t="s">
        <v>355</v>
      </c>
      <c r="D100" s="21" t="s">
        <v>5</v>
      </c>
      <c r="E100" s="21" t="s">
        <v>356</v>
      </c>
      <c r="F100" s="21" t="s">
        <v>357</v>
      </c>
    </row>
    <row r="101" ht="58.5" customHeight="1">
      <c r="B101" s="21">
        <v>93.0</v>
      </c>
      <c r="C101" s="21" t="s">
        <v>358</v>
      </c>
      <c r="D101" s="21" t="s">
        <v>5</v>
      </c>
      <c r="E101" s="21" t="s">
        <v>359</v>
      </c>
      <c r="F101" s="21" t="s">
        <v>360</v>
      </c>
    </row>
    <row r="102" ht="58.5" customHeight="1">
      <c r="B102" s="21">
        <v>94.0</v>
      </c>
      <c r="C102" s="21" t="s">
        <v>361</v>
      </c>
      <c r="D102" s="21" t="s">
        <v>52</v>
      </c>
      <c r="E102" s="21" t="s">
        <v>362</v>
      </c>
      <c r="F102" s="21" t="s">
        <v>363</v>
      </c>
    </row>
    <row r="103" ht="58.5" customHeight="1">
      <c r="B103" s="21">
        <v>95.0</v>
      </c>
      <c r="C103" s="21" t="s">
        <v>365</v>
      </c>
      <c r="D103" s="21" t="s">
        <v>52</v>
      </c>
      <c r="E103" s="21" t="s">
        <v>368</v>
      </c>
      <c r="F103" s="21" t="s">
        <v>370</v>
      </c>
    </row>
    <row r="104" ht="58.5" customHeight="1">
      <c r="B104" s="21">
        <v>96.0</v>
      </c>
      <c r="C104" s="21" t="s">
        <v>373</v>
      </c>
      <c r="D104" s="21" t="s">
        <v>73</v>
      </c>
      <c r="E104" s="21" t="s">
        <v>374</v>
      </c>
      <c r="F104" s="21" t="s">
        <v>375</v>
      </c>
    </row>
    <row r="105" ht="58.5" customHeight="1">
      <c r="B105" s="21">
        <v>97.0</v>
      </c>
      <c r="C105" s="21" t="s">
        <v>376</v>
      </c>
      <c r="D105" s="21" t="s">
        <v>88</v>
      </c>
      <c r="E105" s="21" t="s">
        <v>377</v>
      </c>
      <c r="F105" s="21" t="s">
        <v>378</v>
      </c>
    </row>
    <row r="106" ht="58.5" customHeight="1">
      <c r="B106" s="21">
        <v>98.0</v>
      </c>
      <c r="C106" s="21" t="s">
        <v>380</v>
      </c>
      <c r="D106" s="21" t="s">
        <v>94</v>
      </c>
      <c r="E106" s="21" t="s">
        <v>383</v>
      </c>
      <c r="F106" s="21" t="s">
        <v>384</v>
      </c>
    </row>
    <row r="107" ht="58.5" customHeight="1">
      <c r="B107" s="21">
        <v>99.0</v>
      </c>
      <c r="C107" s="21" t="s">
        <v>387</v>
      </c>
      <c r="D107" s="21" t="s">
        <v>94</v>
      </c>
      <c r="E107" s="21" t="s">
        <v>389</v>
      </c>
      <c r="F107" s="21" t="s">
        <v>390</v>
      </c>
    </row>
    <row r="108" ht="58.5" customHeight="1">
      <c r="B108" s="21">
        <v>100.0</v>
      </c>
      <c r="C108" s="21" t="s">
        <v>391</v>
      </c>
      <c r="D108" s="21" t="s">
        <v>94</v>
      </c>
      <c r="E108" s="21" t="s">
        <v>392</v>
      </c>
      <c r="F108" s="21" t="s">
        <v>393</v>
      </c>
    </row>
    <row r="109" ht="58.5" customHeight="1">
      <c r="B109" s="21">
        <v>101.0</v>
      </c>
      <c r="C109" s="21" t="s">
        <v>394</v>
      </c>
      <c r="D109" s="21" t="s">
        <v>94</v>
      </c>
      <c r="E109" s="21" t="s">
        <v>396</v>
      </c>
      <c r="F109" s="21" t="s">
        <v>397</v>
      </c>
    </row>
    <row r="110" ht="58.5" customHeight="1">
      <c r="B110" s="21">
        <v>102.0</v>
      </c>
      <c r="C110" s="21" t="s">
        <v>398</v>
      </c>
      <c r="D110" s="21" t="s">
        <v>94</v>
      </c>
      <c r="E110" s="21" t="s">
        <v>399</v>
      </c>
      <c r="F110" s="21" t="s">
        <v>400</v>
      </c>
    </row>
    <row r="111" ht="58.5" customHeight="1">
      <c r="B111" s="21">
        <v>103.0</v>
      </c>
      <c r="C111" s="21" t="s">
        <v>401</v>
      </c>
      <c r="D111" s="21" t="s">
        <v>94</v>
      </c>
      <c r="E111" s="21" t="s">
        <v>402</v>
      </c>
      <c r="F111" s="21" t="s">
        <v>403</v>
      </c>
    </row>
    <row r="112" ht="58.5" customHeight="1">
      <c r="B112" s="21">
        <v>104.0</v>
      </c>
      <c r="C112" s="21" t="s">
        <v>404</v>
      </c>
      <c r="D112" s="21" t="s">
        <v>102</v>
      </c>
      <c r="E112" s="21" t="s">
        <v>405</v>
      </c>
      <c r="F112" s="21" t="s">
        <v>406</v>
      </c>
    </row>
    <row r="113" ht="58.5" customHeight="1">
      <c r="B113" s="21">
        <v>105.0</v>
      </c>
      <c r="C113" s="21" t="s">
        <v>407</v>
      </c>
      <c r="D113" s="21" t="s">
        <v>102</v>
      </c>
      <c r="E113" s="21" t="s">
        <v>408</v>
      </c>
      <c r="F113" s="21" t="s">
        <v>409</v>
      </c>
    </row>
    <row r="114" ht="58.5" customHeight="1">
      <c r="B114" s="21">
        <v>106.0</v>
      </c>
      <c r="C114" s="21" t="s">
        <v>410</v>
      </c>
      <c r="D114" s="21" t="s">
        <v>102</v>
      </c>
      <c r="E114" s="21" t="s">
        <v>411</v>
      </c>
      <c r="F114" s="21" t="s">
        <v>412</v>
      </c>
    </row>
    <row r="115" ht="58.5" customHeight="1">
      <c r="B115" s="21">
        <v>107.0</v>
      </c>
      <c r="C115" s="21" t="s">
        <v>413</v>
      </c>
      <c r="D115" s="21" t="s">
        <v>102</v>
      </c>
      <c r="E115" s="21" t="s">
        <v>414</v>
      </c>
      <c r="F115" s="21" t="s">
        <v>415</v>
      </c>
    </row>
    <row r="116" ht="58.5" customHeight="1">
      <c r="B116" s="21">
        <v>108.0</v>
      </c>
      <c r="C116" s="21" t="s">
        <v>416</v>
      </c>
      <c r="D116" s="21" t="s">
        <v>102</v>
      </c>
      <c r="E116" s="21" t="s">
        <v>417</v>
      </c>
      <c r="F116" s="21" t="s">
        <v>418</v>
      </c>
    </row>
    <row r="117" ht="58.5" customHeight="1">
      <c r="B117" s="21">
        <v>109.0</v>
      </c>
      <c r="C117" s="21" t="s">
        <v>419</v>
      </c>
      <c r="D117" s="21" t="s">
        <v>116</v>
      </c>
      <c r="E117" s="21" t="s">
        <v>420</v>
      </c>
      <c r="F117" s="21" t="s">
        <v>421</v>
      </c>
    </row>
    <row r="118" ht="58.5" customHeight="1">
      <c r="B118" s="21">
        <v>110.0</v>
      </c>
      <c r="C118" s="21" t="s">
        <v>422</v>
      </c>
      <c r="D118" s="21" t="s">
        <v>116</v>
      </c>
      <c r="E118" s="21" t="s">
        <v>423</v>
      </c>
      <c r="F118" s="21" t="s">
        <v>424</v>
      </c>
    </row>
    <row r="119" ht="58.5" customHeight="1">
      <c r="B119" s="21">
        <v>111.0</v>
      </c>
      <c r="C119" s="21" t="s">
        <v>425</v>
      </c>
      <c r="D119" s="21" t="s">
        <v>116</v>
      </c>
      <c r="E119" s="21" t="s">
        <v>426</v>
      </c>
      <c r="F119" s="21" t="s">
        <v>427</v>
      </c>
    </row>
    <row r="120" ht="58.5" customHeight="1">
      <c r="B120" s="21">
        <v>112.0</v>
      </c>
      <c r="C120" s="21" t="s">
        <v>428</v>
      </c>
      <c r="D120" s="21" t="s">
        <v>116</v>
      </c>
      <c r="E120" s="21" t="s">
        <v>429</v>
      </c>
      <c r="F120" s="21" t="s">
        <v>430</v>
      </c>
    </row>
    <row r="121" ht="58.5" customHeight="1">
      <c r="B121" s="21">
        <v>113.0</v>
      </c>
      <c r="C121" s="21" t="s">
        <v>431</v>
      </c>
      <c r="D121" s="21" t="s">
        <v>116</v>
      </c>
      <c r="E121" s="21" t="s">
        <v>432</v>
      </c>
      <c r="F121" s="21" t="s">
        <v>433</v>
      </c>
    </row>
    <row r="122" ht="58.5" customHeight="1">
      <c r="B122" s="21">
        <v>114.0</v>
      </c>
      <c r="C122" s="21" t="s">
        <v>434</v>
      </c>
      <c r="D122" s="21" t="s">
        <v>116</v>
      </c>
      <c r="E122" s="21" t="s">
        <v>435</v>
      </c>
      <c r="F122" s="21" t="s">
        <v>436</v>
      </c>
    </row>
    <row r="123" ht="58.5" customHeight="1">
      <c r="B123" s="21">
        <v>115.0</v>
      </c>
      <c r="C123" s="21" t="s">
        <v>437</v>
      </c>
      <c r="D123" s="21" t="s">
        <v>116</v>
      </c>
      <c r="E123" s="21" t="s">
        <v>438</v>
      </c>
      <c r="F123" s="21" t="s">
        <v>439</v>
      </c>
    </row>
    <row r="124" ht="58.5" customHeight="1">
      <c r="B124" s="21">
        <v>116.0</v>
      </c>
      <c r="C124" s="21" t="s">
        <v>440</v>
      </c>
      <c r="D124" s="21" t="s">
        <v>123</v>
      </c>
      <c r="E124" s="21" t="s">
        <v>441</v>
      </c>
      <c r="F124" s="21" t="s">
        <v>442</v>
      </c>
    </row>
    <row r="125" ht="58.5" customHeight="1">
      <c r="B125" s="21">
        <v>117.0</v>
      </c>
      <c r="C125" s="21" t="s">
        <v>443</v>
      </c>
      <c r="D125" s="21" t="s">
        <v>123</v>
      </c>
      <c r="E125" s="21" t="s">
        <v>444</v>
      </c>
      <c r="F125" s="21" t="s">
        <v>445</v>
      </c>
    </row>
    <row r="126" ht="58.5" customHeight="1">
      <c r="B126" s="21">
        <v>118.0</v>
      </c>
      <c r="C126" s="21" t="s">
        <v>446</v>
      </c>
      <c r="D126" s="21" t="s">
        <v>123</v>
      </c>
      <c r="E126" s="21" t="s">
        <v>447</v>
      </c>
      <c r="F126" s="21" t="s">
        <v>448</v>
      </c>
    </row>
    <row r="127" ht="58.5" customHeight="1">
      <c r="B127" s="21">
        <v>119.0</v>
      </c>
      <c r="C127" s="21" t="s">
        <v>449</v>
      </c>
      <c r="D127" s="21" t="s">
        <v>123</v>
      </c>
      <c r="E127" s="21" t="s">
        <v>450</v>
      </c>
      <c r="F127" s="21" t="s">
        <v>451</v>
      </c>
    </row>
    <row r="128" ht="58.5" customHeight="1">
      <c r="B128" s="21">
        <v>120.0</v>
      </c>
      <c r="C128" s="21" t="s">
        <v>452</v>
      </c>
      <c r="D128" s="21" t="s">
        <v>123</v>
      </c>
      <c r="E128" s="21" t="s">
        <v>453</v>
      </c>
      <c r="F128" s="21" t="s">
        <v>454</v>
      </c>
    </row>
    <row r="129" ht="58.5" customHeight="1">
      <c r="B129" s="21">
        <v>121.0</v>
      </c>
      <c r="C129" s="21" t="s">
        <v>455</v>
      </c>
      <c r="D129" s="21" t="s">
        <v>123</v>
      </c>
      <c r="E129" s="21" t="s">
        <v>456</v>
      </c>
      <c r="F129" s="21" t="s">
        <v>457</v>
      </c>
    </row>
    <row r="130" ht="58.5" customHeight="1">
      <c r="B130" s="21">
        <v>122.0</v>
      </c>
      <c r="C130" s="21" t="s">
        <v>458</v>
      </c>
      <c r="D130" s="21" t="s">
        <v>123</v>
      </c>
      <c r="E130" s="21" t="s">
        <v>459</v>
      </c>
      <c r="F130" s="21" t="s">
        <v>460</v>
      </c>
    </row>
    <row r="131" ht="58.5" customHeight="1">
      <c r="B131" s="21">
        <v>123.0</v>
      </c>
      <c r="C131" s="21" t="s">
        <v>461</v>
      </c>
      <c r="D131" s="21" t="s">
        <v>123</v>
      </c>
      <c r="E131" s="21" t="s">
        <v>462</v>
      </c>
      <c r="F131" s="21" t="s">
        <v>463</v>
      </c>
    </row>
    <row r="132" ht="58.5" customHeight="1">
      <c r="B132" s="21">
        <v>124.0</v>
      </c>
      <c r="C132" s="21" t="s">
        <v>464</v>
      </c>
      <c r="D132" s="21" t="s">
        <v>123</v>
      </c>
      <c r="E132" s="21" t="s">
        <v>465</v>
      </c>
      <c r="F132" s="21" t="s">
        <v>466</v>
      </c>
    </row>
    <row r="133" ht="58.5" customHeight="1">
      <c r="B133" s="21">
        <v>125.0</v>
      </c>
      <c r="C133" s="21" t="s">
        <v>467</v>
      </c>
      <c r="D133" s="21" t="s">
        <v>123</v>
      </c>
      <c r="E133" s="21" t="s">
        <v>468</v>
      </c>
      <c r="F133" s="21" t="s">
        <v>469</v>
      </c>
    </row>
    <row r="134" ht="58.5" customHeight="1">
      <c r="B134" s="21">
        <v>126.0</v>
      </c>
      <c r="C134" s="21" t="s">
        <v>470</v>
      </c>
      <c r="D134" s="21" t="s">
        <v>123</v>
      </c>
      <c r="E134" s="21" t="s">
        <v>471</v>
      </c>
      <c r="F134" s="21" t="s">
        <v>472</v>
      </c>
    </row>
    <row r="135" ht="58.5" customHeight="1">
      <c r="B135" s="21">
        <v>127.0</v>
      </c>
      <c r="C135" s="21" t="s">
        <v>473</v>
      </c>
      <c r="D135" s="21" t="s">
        <v>123</v>
      </c>
      <c r="E135" s="21" t="s">
        <v>474</v>
      </c>
      <c r="F135" s="21" t="s">
        <v>475</v>
      </c>
    </row>
    <row r="136" ht="58.5" customHeight="1">
      <c r="B136" s="21">
        <v>128.0</v>
      </c>
      <c r="C136" s="21" t="s">
        <v>476</v>
      </c>
      <c r="D136" s="21" t="s">
        <v>123</v>
      </c>
      <c r="E136" s="21" t="s">
        <v>477</v>
      </c>
      <c r="F136" s="21" t="s">
        <v>478</v>
      </c>
    </row>
    <row r="137" ht="58.5" customHeight="1">
      <c r="B137" s="21">
        <v>129.0</v>
      </c>
      <c r="C137" s="21" t="s">
        <v>479</v>
      </c>
      <c r="D137" s="21" t="s">
        <v>123</v>
      </c>
      <c r="E137" s="21" t="s">
        <v>480</v>
      </c>
      <c r="F137" s="21" t="s">
        <v>481</v>
      </c>
    </row>
    <row r="138" ht="58.5" customHeight="1">
      <c r="B138" s="21">
        <v>130.0</v>
      </c>
      <c r="C138" s="21" t="s">
        <v>482</v>
      </c>
      <c r="D138" s="21" t="s">
        <v>123</v>
      </c>
      <c r="E138" s="21" t="s">
        <v>483</v>
      </c>
      <c r="F138" s="21" t="s">
        <v>484</v>
      </c>
    </row>
    <row r="139" ht="58.5" customHeight="1">
      <c r="B139" s="21">
        <v>131.0</v>
      </c>
      <c r="C139" s="21" t="s">
        <v>485</v>
      </c>
      <c r="D139" s="21" t="s">
        <v>123</v>
      </c>
      <c r="E139" s="21" t="s">
        <v>486</v>
      </c>
      <c r="F139" s="21" t="s">
        <v>487</v>
      </c>
    </row>
    <row r="140" ht="58.5" customHeight="1">
      <c r="B140" s="21">
        <v>132.0</v>
      </c>
      <c r="C140" s="21" t="s">
        <v>488</v>
      </c>
      <c r="D140" s="21" t="s">
        <v>123</v>
      </c>
      <c r="E140" s="21" t="s">
        <v>489</v>
      </c>
      <c r="F140" s="21" t="s">
        <v>490</v>
      </c>
    </row>
    <row r="141" ht="58.5" customHeight="1">
      <c r="B141" s="21">
        <v>133.0</v>
      </c>
      <c r="C141" s="21" t="s">
        <v>491</v>
      </c>
      <c r="D141" s="21" t="s">
        <v>155</v>
      </c>
      <c r="E141" s="21" t="s">
        <v>492</v>
      </c>
      <c r="F141" s="21" t="s">
        <v>493</v>
      </c>
    </row>
    <row r="142" ht="58.5" customHeight="1">
      <c r="B142" s="21">
        <v>134.0</v>
      </c>
      <c r="C142" s="21" t="s">
        <v>494</v>
      </c>
      <c r="D142" s="21" t="s">
        <v>155</v>
      </c>
      <c r="E142" s="21" t="s">
        <v>495</v>
      </c>
      <c r="F142" s="21" t="s">
        <v>496</v>
      </c>
    </row>
    <row r="143" ht="58.5" customHeight="1">
      <c r="B143" s="21">
        <v>135.0</v>
      </c>
      <c r="C143" s="21" t="s">
        <v>497</v>
      </c>
      <c r="D143" s="21" t="s">
        <v>155</v>
      </c>
      <c r="E143" s="21" t="s">
        <v>498</v>
      </c>
      <c r="F143" s="21" t="s">
        <v>499</v>
      </c>
    </row>
    <row r="144" ht="58.5" customHeight="1">
      <c r="B144" s="21">
        <v>136.0</v>
      </c>
      <c r="C144" s="21" t="s">
        <v>500</v>
      </c>
      <c r="D144" s="21" t="s">
        <v>155</v>
      </c>
      <c r="E144" s="21" t="s">
        <v>501</v>
      </c>
      <c r="F144" s="21" t="s">
        <v>502</v>
      </c>
    </row>
    <row r="145" ht="58.5" customHeight="1">
      <c r="B145" s="21">
        <v>137.0</v>
      </c>
      <c r="C145" s="21" t="s">
        <v>503</v>
      </c>
      <c r="D145" s="21" t="s">
        <v>155</v>
      </c>
      <c r="E145" s="21" t="s">
        <v>504</v>
      </c>
      <c r="F145" s="21" t="s">
        <v>505</v>
      </c>
    </row>
    <row r="146" ht="58.5" customHeight="1">
      <c r="B146" s="21">
        <v>138.0</v>
      </c>
      <c r="C146" s="21" t="s">
        <v>506</v>
      </c>
      <c r="D146" s="21" t="s">
        <v>164</v>
      </c>
      <c r="E146" s="21" t="s">
        <v>507</v>
      </c>
      <c r="F146" s="21" t="s">
        <v>508</v>
      </c>
    </row>
    <row r="147" ht="58.5" customHeight="1">
      <c r="B147" s="21">
        <v>139.0</v>
      </c>
      <c r="C147" s="21" t="s">
        <v>509</v>
      </c>
      <c r="D147" s="21" t="s">
        <v>164</v>
      </c>
      <c r="E147" s="21" t="s">
        <v>510</v>
      </c>
      <c r="F147" s="21" t="s">
        <v>511</v>
      </c>
    </row>
    <row r="148" ht="58.5" customHeight="1">
      <c r="B148" s="21">
        <v>140.0</v>
      </c>
      <c r="C148" s="21" t="s">
        <v>512</v>
      </c>
      <c r="D148" s="21" t="s">
        <v>164</v>
      </c>
      <c r="E148" s="21" t="s">
        <v>514</v>
      </c>
      <c r="F148" s="21" t="s">
        <v>515</v>
      </c>
    </row>
    <row r="149" ht="58.5" customHeight="1">
      <c r="B149" s="21">
        <v>141.0</v>
      </c>
      <c r="C149" s="21" t="s">
        <v>516</v>
      </c>
      <c r="D149" s="21" t="s">
        <v>164</v>
      </c>
      <c r="E149" s="21" t="s">
        <v>517</v>
      </c>
      <c r="F149" s="21" t="s">
        <v>518</v>
      </c>
    </row>
    <row r="150" ht="58.5" customHeight="1">
      <c r="B150" s="21">
        <v>142.0</v>
      </c>
      <c r="C150" s="21" t="s">
        <v>519</v>
      </c>
      <c r="D150" s="21" t="s">
        <v>164</v>
      </c>
      <c r="E150" s="21" t="s">
        <v>520</v>
      </c>
      <c r="F150" s="21" t="s">
        <v>521</v>
      </c>
    </row>
    <row r="151" ht="58.5" customHeight="1">
      <c r="B151" s="21">
        <v>143.0</v>
      </c>
      <c r="C151" s="21" t="s">
        <v>522</v>
      </c>
      <c r="D151" s="21" t="s">
        <v>164</v>
      </c>
      <c r="E151" s="21" t="s">
        <v>523</v>
      </c>
      <c r="F151" s="21" t="s">
        <v>524</v>
      </c>
    </row>
    <row r="152" ht="58.5" customHeight="1">
      <c r="B152" s="21">
        <v>144.0</v>
      </c>
      <c r="C152" s="21" t="s">
        <v>525</v>
      </c>
      <c r="D152" s="21" t="s">
        <v>164</v>
      </c>
      <c r="E152" s="21" t="s">
        <v>526</v>
      </c>
      <c r="F152" s="21" t="s">
        <v>527</v>
      </c>
    </row>
    <row r="153" ht="58.5" customHeight="1">
      <c r="B153" s="21">
        <v>145.0</v>
      </c>
      <c r="C153" s="21" t="s">
        <v>528</v>
      </c>
      <c r="D153" s="21" t="s">
        <v>171</v>
      </c>
      <c r="E153" s="21" t="s">
        <v>529</v>
      </c>
      <c r="F153" s="21" t="s">
        <v>530</v>
      </c>
    </row>
    <row r="154" ht="58.5" customHeight="1">
      <c r="B154" s="21">
        <v>146.0</v>
      </c>
      <c r="C154" s="21" t="s">
        <v>531</v>
      </c>
      <c r="D154" s="21" t="s">
        <v>171</v>
      </c>
      <c r="E154" s="21" t="s">
        <v>532</v>
      </c>
      <c r="F154" s="21" t="s">
        <v>533</v>
      </c>
    </row>
    <row r="155" ht="58.5" customHeight="1">
      <c r="B155" s="21">
        <v>147.0</v>
      </c>
      <c r="C155" s="21" t="s">
        <v>534</v>
      </c>
      <c r="D155" s="21" t="s">
        <v>175</v>
      </c>
      <c r="E155" s="21" t="s">
        <v>535</v>
      </c>
      <c r="F155" s="21" t="s">
        <v>536</v>
      </c>
    </row>
    <row r="156" ht="58.5" customHeight="1">
      <c r="B156" s="21">
        <v>148.0</v>
      </c>
      <c r="C156" s="21" t="s">
        <v>537</v>
      </c>
      <c r="D156" s="21" t="s">
        <v>175</v>
      </c>
      <c r="E156" s="21" t="s">
        <v>538</v>
      </c>
      <c r="F156" s="21" t="s">
        <v>539</v>
      </c>
    </row>
    <row r="157" ht="58.5" customHeight="1">
      <c r="B157" s="21">
        <v>149.0</v>
      </c>
      <c r="C157" s="21" t="s">
        <v>540</v>
      </c>
      <c r="D157" s="21" t="s">
        <v>175</v>
      </c>
      <c r="E157" s="21" t="s">
        <v>541</v>
      </c>
      <c r="F157" s="21" t="s">
        <v>542</v>
      </c>
    </row>
    <row r="158" ht="58.5" customHeight="1">
      <c r="B158" s="21">
        <v>150.0</v>
      </c>
      <c r="C158" s="21" t="s">
        <v>543</v>
      </c>
      <c r="D158" s="21" t="s">
        <v>175</v>
      </c>
      <c r="E158" s="21" t="s">
        <v>544</v>
      </c>
      <c r="F158" s="21" t="s">
        <v>545</v>
      </c>
    </row>
    <row r="159" ht="58.5" customHeight="1">
      <c r="B159" s="21">
        <v>151.0</v>
      </c>
      <c r="C159" s="21" t="s">
        <v>546</v>
      </c>
      <c r="D159" s="21" t="s">
        <v>175</v>
      </c>
      <c r="E159" s="21" t="s">
        <v>547</v>
      </c>
      <c r="F159" s="21" t="s">
        <v>548</v>
      </c>
    </row>
    <row r="160" ht="58.5" customHeight="1">
      <c r="B160" s="21">
        <v>152.0</v>
      </c>
      <c r="C160" s="21" t="s">
        <v>549</v>
      </c>
      <c r="D160" s="21" t="s">
        <v>175</v>
      </c>
      <c r="E160" s="21" t="s">
        <v>550</v>
      </c>
      <c r="F160" s="21" t="s">
        <v>551</v>
      </c>
    </row>
    <row r="161" ht="58.5" customHeight="1">
      <c r="B161" s="21">
        <v>153.0</v>
      </c>
      <c r="C161" s="21" t="s">
        <v>552</v>
      </c>
      <c r="D161" s="21" t="s">
        <v>175</v>
      </c>
      <c r="E161" s="21" t="s">
        <v>553</v>
      </c>
      <c r="F161" s="21" t="s">
        <v>554</v>
      </c>
    </row>
    <row r="162" ht="58.5" customHeight="1">
      <c r="B162" s="21">
        <v>154.0</v>
      </c>
      <c r="C162" s="21" t="s">
        <v>555</v>
      </c>
      <c r="D162" s="21" t="s">
        <v>175</v>
      </c>
      <c r="E162" s="21" t="s">
        <v>556</v>
      </c>
      <c r="F162" s="21" t="s">
        <v>557</v>
      </c>
    </row>
    <row r="163" ht="58.5" customHeight="1">
      <c r="B163" s="21">
        <v>155.0</v>
      </c>
      <c r="C163" s="21" t="s">
        <v>558</v>
      </c>
      <c r="D163" s="21" t="s">
        <v>171</v>
      </c>
      <c r="E163" s="21" t="s">
        <v>559</v>
      </c>
      <c r="F163" s="21" t="s">
        <v>560</v>
      </c>
    </row>
    <row r="164" ht="58.5" customHeight="1">
      <c r="B164" s="21">
        <v>156.0</v>
      </c>
      <c r="C164" s="21" t="s">
        <v>561</v>
      </c>
      <c r="D164" s="21" t="s">
        <v>171</v>
      </c>
      <c r="E164" s="21" t="s">
        <v>562</v>
      </c>
      <c r="F164" s="21" t="s">
        <v>563</v>
      </c>
    </row>
    <row r="165" ht="58.5" customHeight="1">
      <c r="B165" s="21">
        <v>157.0</v>
      </c>
      <c r="C165" s="21" t="s">
        <v>564</v>
      </c>
      <c r="D165" s="21" t="s">
        <v>171</v>
      </c>
      <c r="E165" s="21" t="s">
        <v>565</v>
      </c>
      <c r="F165" s="21" t="s">
        <v>566</v>
      </c>
    </row>
    <row r="166" ht="58.5" customHeight="1">
      <c r="B166" s="21">
        <v>158.0</v>
      </c>
      <c r="C166" s="21" t="s">
        <v>567</v>
      </c>
      <c r="D166" s="21" t="s">
        <v>171</v>
      </c>
      <c r="E166" s="21" t="s">
        <v>568</v>
      </c>
      <c r="F166" s="21" t="s">
        <v>569</v>
      </c>
    </row>
    <row r="167" ht="58.5" customHeight="1">
      <c r="B167" s="21">
        <v>159.0</v>
      </c>
      <c r="C167" s="21" t="s">
        <v>570</v>
      </c>
      <c r="D167" s="21" t="s">
        <v>186</v>
      </c>
      <c r="E167" s="21" t="s">
        <v>571</v>
      </c>
      <c r="F167" s="21" t="s">
        <v>572</v>
      </c>
    </row>
    <row r="168" ht="58.5" customHeight="1">
      <c r="B168" s="21">
        <v>160.0</v>
      </c>
      <c r="C168" s="21" t="s">
        <v>573</v>
      </c>
      <c r="D168" s="21" t="s">
        <v>186</v>
      </c>
      <c r="E168" s="21" t="s">
        <v>574</v>
      </c>
      <c r="F168" s="21" t="s">
        <v>575</v>
      </c>
    </row>
    <row r="169" ht="58.5" customHeight="1">
      <c r="B169" s="21">
        <v>161.0</v>
      </c>
      <c r="C169" s="21" t="s">
        <v>576</v>
      </c>
      <c r="D169" s="21" t="s">
        <v>186</v>
      </c>
      <c r="E169" s="21" t="s">
        <v>577</v>
      </c>
      <c r="F169" s="21" t="s">
        <v>578</v>
      </c>
    </row>
    <row r="170" ht="58.5" customHeight="1">
      <c r="B170" s="21">
        <v>162.0</v>
      </c>
      <c r="C170" s="21" t="s">
        <v>579</v>
      </c>
      <c r="D170" s="21" t="s">
        <v>186</v>
      </c>
      <c r="E170" s="21" t="s">
        <v>580</v>
      </c>
      <c r="F170" s="21" t="s">
        <v>581</v>
      </c>
    </row>
    <row r="171" ht="58.5" customHeight="1">
      <c r="B171" s="21">
        <v>163.0</v>
      </c>
      <c r="C171" s="21" t="s">
        <v>582</v>
      </c>
      <c r="D171" s="21" t="s">
        <v>186</v>
      </c>
      <c r="E171" s="21" t="s">
        <v>583</v>
      </c>
      <c r="F171" s="21" t="s">
        <v>584</v>
      </c>
    </row>
    <row r="172" ht="58.5" customHeight="1">
      <c r="B172" s="21">
        <v>164.0</v>
      </c>
      <c r="C172" s="21" t="s">
        <v>585</v>
      </c>
      <c r="D172" s="21" t="s">
        <v>186</v>
      </c>
      <c r="E172" s="21" t="s">
        <v>586</v>
      </c>
      <c r="F172" s="21" t="s">
        <v>587</v>
      </c>
    </row>
    <row r="173" ht="58.5" customHeight="1">
      <c r="B173" s="21">
        <v>165.0</v>
      </c>
      <c r="C173" s="21" t="s">
        <v>588</v>
      </c>
      <c r="D173" s="21" t="s">
        <v>317</v>
      </c>
      <c r="E173" s="21" t="s">
        <v>589</v>
      </c>
      <c r="F173" s="21" t="s">
        <v>590</v>
      </c>
    </row>
    <row r="174" ht="58.5" customHeight="1">
      <c r="B174" s="21">
        <v>166.0</v>
      </c>
      <c r="C174" s="21" t="s">
        <v>591</v>
      </c>
      <c r="D174" s="21" t="s">
        <v>317</v>
      </c>
      <c r="E174" s="21" t="s">
        <v>592</v>
      </c>
      <c r="F174" s="21" t="s">
        <v>593</v>
      </c>
    </row>
    <row r="175" ht="58.5" customHeight="1">
      <c r="B175" s="21">
        <v>167.0</v>
      </c>
      <c r="C175" s="21" t="s">
        <v>594</v>
      </c>
      <c r="D175" s="21" t="s">
        <v>317</v>
      </c>
      <c r="E175" s="21" t="s">
        <v>595</v>
      </c>
      <c r="F175" s="21" t="s">
        <v>596</v>
      </c>
    </row>
    <row r="176" ht="58.5" customHeight="1">
      <c r="B176" s="21">
        <v>168.0</v>
      </c>
      <c r="C176" s="21" t="s">
        <v>597</v>
      </c>
      <c r="D176" s="21" t="s">
        <v>317</v>
      </c>
      <c r="E176" s="21" t="s">
        <v>598</v>
      </c>
      <c r="F176" s="21" t="s">
        <v>599</v>
      </c>
    </row>
    <row r="177" ht="58.5" customHeight="1">
      <c r="B177" s="21">
        <v>169.0</v>
      </c>
      <c r="C177" s="21" t="s">
        <v>600</v>
      </c>
      <c r="D177" s="21" t="s">
        <v>317</v>
      </c>
      <c r="E177" s="21" t="s">
        <v>601</v>
      </c>
      <c r="F177" s="21" t="s">
        <v>602</v>
      </c>
    </row>
    <row r="178" ht="58.5" customHeight="1">
      <c r="B178" s="21">
        <v>170.0</v>
      </c>
      <c r="C178" s="21" t="s">
        <v>603</v>
      </c>
      <c r="D178" s="21" t="s">
        <v>317</v>
      </c>
      <c r="E178" s="21" t="s">
        <v>604</v>
      </c>
      <c r="F178" s="21" t="s">
        <v>605</v>
      </c>
    </row>
    <row r="179" ht="58.5" customHeight="1">
      <c r="B179" s="21">
        <v>171.0</v>
      </c>
      <c r="C179" s="21" t="s">
        <v>606</v>
      </c>
      <c r="D179" s="21" t="s">
        <v>317</v>
      </c>
      <c r="E179" s="21" t="s">
        <v>607</v>
      </c>
      <c r="F179" s="21" t="s">
        <v>608</v>
      </c>
    </row>
    <row r="180" ht="58.5" customHeight="1">
      <c r="B180" s="21">
        <v>172.0</v>
      </c>
      <c r="C180" s="21" t="s">
        <v>609</v>
      </c>
      <c r="D180" s="21" t="s">
        <v>317</v>
      </c>
      <c r="E180" s="21" t="s">
        <v>610</v>
      </c>
      <c r="F180" s="21" t="s">
        <v>611</v>
      </c>
    </row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3:C3"/>
    <mergeCell ref="D3:F3"/>
    <mergeCell ref="B4:C4"/>
    <mergeCell ref="D4:F4"/>
    <mergeCell ref="B5:C5"/>
    <mergeCell ref="D5:F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/>
    <col customWidth="1" min="8" max="8" width="7.0"/>
    <col customWidth="1" min="9" max="9" width="9.38"/>
    <col customWidth="1" min="10" max="10" width="10.63"/>
    <col customWidth="1" min="11" max="11" width="7.0"/>
    <col customWidth="1" min="12" max="12" width="9.38"/>
    <col customWidth="1" min="13" max="13" width="10.63"/>
    <col customWidth="1" min="14" max="14" width="7.0"/>
    <col customWidth="1" min="15" max="15" width="28.63"/>
    <col customWidth="1" min="16" max="16" width="10.13"/>
    <col customWidth="1" min="17" max="17" width="8.13"/>
    <col customWidth="1" min="18" max="18" width="7.63"/>
    <col customWidth="1" min="19" max="26" width="8.63"/>
  </cols>
  <sheetData>
    <row r="2">
      <c r="A2" s="3" t="s">
        <v>3</v>
      </c>
      <c r="B2" s="7" t="s">
        <v>5</v>
      </c>
      <c r="C2" s="8"/>
      <c r="D2" s="8"/>
      <c r="E2" s="6"/>
      <c r="R2" s="12" t="s">
        <v>8</v>
      </c>
    </row>
    <row r="3" ht="45.0" customHeight="1">
      <c r="A3" s="3" t="s">
        <v>11</v>
      </c>
      <c r="B3" s="7" t="s">
        <v>12</v>
      </c>
      <c r="C3" s="8"/>
      <c r="D3" s="8"/>
      <c r="E3" s="6"/>
      <c r="R3" s="18" t="s">
        <v>17</v>
      </c>
    </row>
    <row r="4" ht="22.5" customHeight="1">
      <c r="A4" s="3" t="s">
        <v>23</v>
      </c>
      <c r="B4" s="7">
        <f>COUNTA(A12:A22)</f>
        <v>11</v>
      </c>
      <c r="C4" s="8"/>
      <c r="D4" s="8"/>
      <c r="E4" s="6"/>
      <c r="R4" s="27" t="s">
        <v>62</v>
      </c>
    </row>
    <row r="5">
      <c r="A5" s="28" t="s">
        <v>71</v>
      </c>
      <c r="B5" s="28" t="s">
        <v>8</v>
      </c>
      <c r="C5" s="28" t="s">
        <v>17</v>
      </c>
      <c r="D5" s="28" t="s">
        <v>62</v>
      </c>
      <c r="E5" s="28" t="s">
        <v>77</v>
      </c>
      <c r="R5" s="31" t="s">
        <v>77</v>
      </c>
    </row>
    <row r="6">
      <c r="A6" s="29" t="s">
        <v>91</v>
      </c>
      <c r="B6" s="29">
        <f>COUNTIF(F12:F22,"Passed")+COUNTIF(F12:F22,"Pass")</f>
        <v>0</v>
      </c>
      <c r="C6" s="29">
        <f>COUNTIF(F12:F22,"Failed")+COUNTIF(F12:F22,"Fail")</f>
        <v>0</v>
      </c>
      <c r="D6" s="29">
        <f>COUNTIF(F12:F22,"Not Run")+COUNTIF(F12:F22,"Blocked")+COUNTIF(F12:F22,"Pending")+COUNTBLANK(F12:F22)</f>
        <v>11</v>
      </c>
      <c r="E6" s="29">
        <f>COUNTIF(F12:F22,"N/A")</f>
        <v>0</v>
      </c>
    </row>
    <row r="7">
      <c r="A7" s="29" t="s">
        <v>130</v>
      </c>
      <c r="B7" s="29">
        <f>COUNTIF(I12:I22,"Passed")+COUNTIF(I12:I22,"Pass")</f>
        <v>0</v>
      </c>
      <c r="C7" s="29">
        <f>COUNTIF(I12:I22,"Failed")+COUNTIF(I12:I22,"Fail")</f>
        <v>0</v>
      </c>
      <c r="D7" s="29">
        <f>COUNTIF(I12:I22,"Not Run")+COUNTIF(I12:I22,"Blocked")+COUNTIF(I12:I22,"Pending")</f>
        <v>0</v>
      </c>
      <c r="E7" s="29">
        <f>COUNTIF(I12:I22,"N/A")</f>
        <v>0</v>
      </c>
    </row>
    <row r="8">
      <c r="A8" s="29" t="s">
        <v>153</v>
      </c>
      <c r="B8" s="29">
        <f>COUNTIF(L12:L22,"Passed")+COUNTIF(L12:L22,"Pass")</f>
        <v>0</v>
      </c>
      <c r="C8" s="29">
        <f>COUNTIF(L12:L22,"Failed")+COUNTIF(L12:L22,"Fail")</f>
        <v>0</v>
      </c>
      <c r="D8" s="29">
        <f>COUNTIF(L12:L22,"Not Run")+COUNTIF(L12:L22,"Blocked")+COUNTIF(L12:L22,"Pending")</f>
        <v>0</v>
      </c>
      <c r="E8" s="29">
        <f>COUNTIF(L12:L22,"N/A")</f>
        <v>0</v>
      </c>
    </row>
    <row r="10" ht="30.0" customHeight="1">
      <c r="A10" s="33" t="s">
        <v>193</v>
      </c>
      <c r="B10" s="33" t="s">
        <v>198</v>
      </c>
      <c r="C10" s="33" t="s">
        <v>199</v>
      </c>
      <c r="D10" s="33" t="s">
        <v>201</v>
      </c>
      <c r="E10" s="33" t="s">
        <v>205</v>
      </c>
      <c r="F10" s="33" t="s">
        <v>91</v>
      </c>
      <c r="G10" s="33" t="s">
        <v>207</v>
      </c>
      <c r="H10" s="33" t="s">
        <v>208</v>
      </c>
      <c r="I10" s="33" t="s">
        <v>130</v>
      </c>
      <c r="J10" s="33" t="s">
        <v>207</v>
      </c>
      <c r="K10" s="33" t="s">
        <v>208</v>
      </c>
      <c r="L10" s="33" t="s">
        <v>153</v>
      </c>
      <c r="M10" s="33" t="s">
        <v>207</v>
      </c>
      <c r="N10" s="33" t="s">
        <v>208</v>
      </c>
      <c r="O10" s="33" t="s">
        <v>214</v>
      </c>
    </row>
    <row r="11" ht="24.75" customHeight="1">
      <c r="A11" s="34" t="s">
        <v>217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</row>
    <row r="12" ht="99.75" customHeight="1">
      <c r="A12" s="21" t="s">
        <v>223</v>
      </c>
      <c r="B12" s="21" t="s">
        <v>224</v>
      </c>
      <c r="C12" s="21" t="s">
        <v>226</v>
      </c>
      <c r="D12" s="21" t="s">
        <v>228</v>
      </c>
      <c r="E12" s="21" t="s">
        <v>34</v>
      </c>
      <c r="F12" s="21" t="s">
        <v>231</v>
      </c>
      <c r="G12" s="21"/>
      <c r="H12" s="21"/>
      <c r="I12" s="21"/>
      <c r="J12" s="21"/>
      <c r="K12" s="21"/>
      <c r="L12" s="21"/>
      <c r="M12" s="21"/>
      <c r="N12" s="21"/>
      <c r="O12" s="21" t="s">
        <v>237</v>
      </c>
    </row>
    <row r="13" ht="99.75" customHeight="1">
      <c r="A13" s="21" t="s">
        <v>240</v>
      </c>
      <c r="B13" s="21" t="s">
        <v>241</v>
      </c>
      <c r="C13" s="21" t="s">
        <v>243</v>
      </c>
      <c r="D13" s="21" t="s">
        <v>246</v>
      </c>
      <c r="E13" s="21" t="s">
        <v>34</v>
      </c>
      <c r="F13" s="21" t="s">
        <v>231</v>
      </c>
      <c r="G13" s="21"/>
      <c r="H13" s="21"/>
      <c r="I13" s="21"/>
      <c r="J13" s="21"/>
      <c r="K13" s="21"/>
      <c r="L13" s="21"/>
      <c r="M13" s="21"/>
      <c r="N13" s="21"/>
      <c r="O13" s="21" t="s">
        <v>255</v>
      </c>
    </row>
    <row r="14" ht="99.75" customHeight="1">
      <c r="A14" s="21" t="s">
        <v>258</v>
      </c>
      <c r="B14" s="21" t="s">
        <v>260</v>
      </c>
      <c r="C14" s="21" t="s">
        <v>262</v>
      </c>
      <c r="D14" s="21" t="s">
        <v>263</v>
      </c>
      <c r="E14" s="21" t="s">
        <v>34</v>
      </c>
      <c r="F14" s="21" t="s">
        <v>231</v>
      </c>
      <c r="G14" s="21"/>
      <c r="H14" s="21"/>
      <c r="I14" s="21"/>
      <c r="J14" s="21"/>
      <c r="K14" s="21"/>
      <c r="L14" s="21"/>
      <c r="M14" s="21"/>
      <c r="N14" s="21"/>
      <c r="O14" s="21" t="s">
        <v>270</v>
      </c>
    </row>
    <row r="15" ht="99.75" customHeight="1">
      <c r="A15" s="21" t="s">
        <v>272</v>
      </c>
      <c r="B15" s="21" t="s">
        <v>273</v>
      </c>
      <c r="C15" s="21" t="s">
        <v>274</v>
      </c>
      <c r="D15" s="21" t="s">
        <v>276</v>
      </c>
      <c r="E15" s="21" t="s">
        <v>34</v>
      </c>
      <c r="F15" s="21" t="s">
        <v>231</v>
      </c>
      <c r="G15" s="21"/>
      <c r="H15" s="21"/>
      <c r="I15" s="21"/>
      <c r="J15" s="21"/>
      <c r="K15" s="21"/>
      <c r="L15" s="21"/>
      <c r="M15" s="21"/>
      <c r="N15" s="21"/>
      <c r="O15" s="21" t="s">
        <v>282</v>
      </c>
    </row>
    <row r="16" ht="99.75" customHeight="1">
      <c r="A16" s="21" t="s">
        <v>284</v>
      </c>
      <c r="B16" s="21" t="s">
        <v>286</v>
      </c>
      <c r="C16" s="21" t="s">
        <v>288</v>
      </c>
      <c r="D16" s="21" t="s">
        <v>289</v>
      </c>
      <c r="E16" s="21" t="s">
        <v>34</v>
      </c>
      <c r="F16" s="21" t="s">
        <v>231</v>
      </c>
      <c r="G16" s="21"/>
      <c r="H16" s="21"/>
      <c r="I16" s="21"/>
      <c r="J16" s="21"/>
      <c r="K16" s="21"/>
      <c r="L16" s="21"/>
      <c r="M16" s="21"/>
      <c r="N16" s="21"/>
      <c r="O16" s="21" t="s">
        <v>298</v>
      </c>
    </row>
    <row r="17" ht="99.75" customHeight="1">
      <c r="A17" s="21" t="s">
        <v>300</v>
      </c>
      <c r="B17" s="21" t="s">
        <v>303</v>
      </c>
      <c r="C17" s="21" t="s">
        <v>305</v>
      </c>
      <c r="D17" s="21" t="s">
        <v>307</v>
      </c>
      <c r="E17" s="21" t="s">
        <v>34</v>
      </c>
      <c r="F17" s="21" t="s">
        <v>231</v>
      </c>
      <c r="G17" s="21"/>
      <c r="H17" s="21"/>
      <c r="I17" s="21"/>
      <c r="J17" s="21"/>
      <c r="K17" s="21"/>
      <c r="L17" s="21"/>
      <c r="M17" s="21"/>
      <c r="N17" s="21"/>
      <c r="O17" s="21" t="s">
        <v>314</v>
      </c>
    </row>
    <row r="18" ht="99.75" customHeight="1">
      <c r="A18" s="21" t="s">
        <v>315</v>
      </c>
      <c r="B18" s="21" t="s">
        <v>318</v>
      </c>
      <c r="C18" s="21" t="s">
        <v>321</v>
      </c>
      <c r="D18" s="21" t="s">
        <v>323</v>
      </c>
      <c r="E18" s="21" t="s">
        <v>34</v>
      </c>
      <c r="F18" s="21" t="s">
        <v>231</v>
      </c>
      <c r="G18" s="21"/>
      <c r="H18" s="21"/>
      <c r="I18" s="21"/>
      <c r="J18" s="21"/>
      <c r="K18" s="21"/>
      <c r="L18" s="21"/>
      <c r="M18" s="21"/>
      <c r="N18" s="21"/>
      <c r="O18" s="21" t="s">
        <v>330</v>
      </c>
    </row>
    <row r="19" ht="99.75" customHeight="1">
      <c r="A19" s="21" t="s">
        <v>332</v>
      </c>
      <c r="B19" s="21" t="s">
        <v>334</v>
      </c>
      <c r="C19" s="21" t="s">
        <v>336</v>
      </c>
      <c r="D19" s="21" t="s">
        <v>338</v>
      </c>
      <c r="E19" s="21" t="s">
        <v>34</v>
      </c>
      <c r="F19" s="21" t="s">
        <v>231</v>
      </c>
      <c r="G19" s="21"/>
      <c r="H19" s="21"/>
      <c r="I19" s="21"/>
      <c r="J19" s="21"/>
      <c r="K19" s="21"/>
      <c r="L19" s="21"/>
      <c r="M19" s="21"/>
      <c r="N19" s="21"/>
      <c r="O19" s="21" t="s">
        <v>345</v>
      </c>
    </row>
    <row r="20" ht="99.75" customHeight="1">
      <c r="A20" s="21" t="s">
        <v>347</v>
      </c>
      <c r="B20" s="21" t="s">
        <v>349</v>
      </c>
      <c r="C20" s="21" t="s">
        <v>351</v>
      </c>
      <c r="D20" s="21" t="s">
        <v>353</v>
      </c>
      <c r="E20" s="21" t="s">
        <v>34</v>
      </c>
      <c r="F20" s="21" t="s">
        <v>231</v>
      </c>
      <c r="G20" s="21"/>
      <c r="H20" s="21"/>
      <c r="I20" s="21"/>
      <c r="J20" s="21"/>
      <c r="K20" s="21"/>
      <c r="L20" s="21"/>
      <c r="M20" s="21"/>
      <c r="N20" s="21"/>
      <c r="O20" s="21" t="s">
        <v>364</v>
      </c>
    </row>
    <row r="21" ht="99.75" customHeight="1">
      <c r="A21" s="21" t="s">
        <v>366</v>
      </c>
      <c r="B21" s="21" t="s">
        <v>367</v>
      </c>
      <c r="C21" s="21" t="s">
        <v>369</v>
      </c>
      <c r="D21" s="21" t="s">
        <v>371</v>
      </c>
      <c r="E21" s="21" t="s">
        <v>372</v>
      </c>
      <c r="F21" s="21" t="s">
        <v>231</v>
      </c>
      <c r="G21" s="21"/>
      <c r="H21" s="21"/>
      <c r="I21" s="21"/>
      <c r="J21" s="21"/>
      <c r="K21" s="21"/>
      <c r="L21" s="21"/>
      <c r="M21" s="21"/>
      <c r="N21" s="21"/>
      <c r="O21" s="21" t="s">
        <v>379</v>
      </c>
    </row>
    <row r="22" ht="99.75" customHeight="1">
      <c r="A22" s="21" t="s">
        <v>381</v>
      </c>
      <c r="B22" s="21" t="s">
        <v>382</v>
      </c>
      <c r="C22" s="21" t="s">
        <v>385</v>
      </c>
      <c r="D22" s="21" t="s">
        <v>386</v>
      </c>
      <c r="E22" s="21" t="s">
        <v>388</v>
      </c>
      <c r="F22" s="21" t="s">
        <v>231</v>
      </c>
      <c r="G22" s="21"/>
      <c r="H22" s="21"/>
      <c r="I22" s="21"/>
      <c r="J22" s="21"/>
      <c r="K22" s="21"/>
      <c r="L22" s="21"/>
      <c r="M22" s="21"/>
      <c r="N22" s="21"/>
      <c r="O22" s="21" t="s">
        <v>395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conditionalFormatting sqref="F12:F22">
    <cfRule type="expression" dxfId="0" priority="1">
      <formula>F12="Passed"</formula>
    </cfRule>
  </conditionalFormatting>
  <conditionalFormatting sqref="F12:F22">
    <cfRule type="expression" dxfId="1" priority="2">
      <formula>F12="Failed"</formula>
    </cfRule>
  </conditionalFormatting>
  <conditionalFormatting sqref="I12:I22">
    <cfRule type="expression" dxfId="0" priority="3">
      <formula>I12="Passed"</formula>
    </cfRule>
  </conditionalFormatting>
  <conditionalFormatting sqref="I12:I22">
    <cfRule type="expression" dxfId="1" priority="4">
      <formula>I12="Failed"</formula>
    </cfRule>
  </conditionalFormatting>
  <conditionalFormatting sqref="L12:L22">
    <cfRule type="expression" dxfId="0" priority="5">
      <formula>L12="Passed"</formula>
    </cfRule>
  </conditionalFormatting>
  <conditionalFormatting sqref="L12:L22">
    <cfRule type="expression" dxfId="1" priority="6">
      <formula>L12="Failed"</formula>
    </cfRule>
  </conditionalFormatting>
  <dataValidations>
    <dataValidation type="list" allowBlank="1" sqref="F12:F22 I12:I22 L12:L22">
      <formula1>"Not Run,Blocked,Passed,Failed,Pending,N/A"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/>
    <col customWidth="1" min="8" max="8" width="7.0"/>
    <col customWidth="1" min="9" max="9" width="9.38"/>
    <col customWidth="1" min="10" max="10" width="10.63"/>
    <col customWidth="1" min="11" max="11" width="7.0"/>
    <col customWidth="1" min="12" max="12" width="9.38"/>
    <col customWidth="1" min="13" max="13" width="10.63"/>
    <col customWidth="1" min="14" max="14" width="7.0"/>
    <col customWidth="1" min="15" max="15" width="28.63"/>
    <col customWidth="1" min="16" max="16" width="10.13"/>
    <col customWidth="1" min="17" max="17" width="8.13"/>
    <col customWidth="1" min="18" max="18" width="7.63"/>
    <col customWidth="1" min="19" max="26" width="8.63"/>
  </cols>
  <sheetData>
    <row r="2">
      <c r="A2" s="3" t="s">
        <v>3</v>
      </c>
      <c r="B2" s="7" t="s">
        <v>46</v>
      </c>
      <c r="C2" s="8"/>
      <c r="D2" s="8"/>
      <c r="E2" s="6"/>
      <c r="R2" s="12" t="s">
        <v>8</v>
      </c>
    </row>
    <row r="3" ht="45.0" customHeight="1">
      <c r="A3" s="3" t="s">
        <v>11</v>
      </c>
      <c r="B3" s="7" t="s">
        <v>513</v>
      </c>
      <c r="C3" s="8"/>
      <c r="D3" s="8"/>
      <c r="E3" s="6"/>
      <c r="R3" s="18" t="s">
        <v>17</v>
      </c>
    </row>
    <row r="4" ht="22.5" customHeight="1">
      <c r="A4" s="3" t="s">
        <v>23</v>
      </c>
      <c r="B4" s="7">
        <f>COUNTA(A12:A14)</f>
        <v>3</v>
      </c>
      <c r="C4" s="8"/>
      <c r="D4" s="8"/>
      <c r="E4" s="6"/>
      <c r="R4" s="27" t="s">
        <v>62</v>
      </c>
    </row>
    <row r="5">
      <c r="A5" s="28" t="s">
        <v>71</v>
      </c>
      <c r="B5" s="28" t="s">
        <v>8</v>
      </c>
      <c r="C5" s="28" t="s">
        <v>17</v>
      </c>
      <c r="D5" s="28" t="s">
        <v>62</v>
      </c>
      <c r="E5" s="28" t="s">
        <v>77</v>
      </c>
      <c r="R5" s="31" t="s">
        <v>77</v>
      </c>
    </row>
    <row r="6">
      <c r="A6" s="29" t="s">
        <v>91</v>
      </c>
      <c r="B6" s="29">
        <f>COUNTIF(F12:F14,"Passed")+COUNTIF(F12:F14,"Pass")</f>
        <v>0</v>
      </c>
      <c r="C6" s="29">
        <f>COUNTIF(F12:F14,"Failed")+COUNTIF(F12:F14,"Fail")</f>
        <v>0</v>
      </c>
      <c r="D6" s="29">
        <f>COUNTIF(F12:F14,"Not Run")+COUNTIF(F12:F14,"Blocked")+COUNTIF(F12:F14,"Pending")+COUNTBLANK(F12:F14)</f>
        <v>3</v>
      </c>
      <c r="E6" s="29">
        <f>COUNTIF(F12:F14,"N/A")</f>
        <v>0</v>
      </c>
    </row>
    <row r="7">
      <c r="A7" s="29" t="s">
        <v>130</v>
      </c>
      <c r="B7" s="29">
        <f>COUNTIF(I12:I14,"Passed")+COUNTIF(I12:I14,"Pass")</f>
        <v>0</v>
      </c>
      <c r="C7" s="29">
        <f>COUNTIF(I12:I14,"Failed")+COUNTIF(I12:I14,"Fail")</f>
        <v>0</v>
      </c>
      <c r="D7" s="29">
        <f>COUNTIF(I12:I14,"Not Run")+COUNTIF(I12:I14,"Blocked")+COUNTIF(I12:I14,"Pending")</f>
        <v>0</v>
      </c>
      <c r="E7" s="29">
        <f>COUNTIF(I12:I14,"N/A")</f>
        <v>0</v>
      </c>
    </row>
    <row r="8">
      <c r="A8" s="29" t="s">
        <v>153</v>
      </c>
      <c r="B8" s="29">
        <f>COUNTIF(L12:L14,"Passed")+COUNTIF(L12:L14,"Pass")</f>
        <v>0</v>
      </c>
      <c r="C8" s="29">
        <f>COUNTIF(L12:L14,"Failed")+COUNTIF(L12:L14,"Fail")</f>
        <v>0</v>
      </c>
      <c r="D8" s="29">
        <f>COUNTIF(L12:L14,"Not Run")+COUNTIF(L12:L14,"Blocked")+COUNTIF(L12:L14,"Pending")</f>
        <v>0</v>
      </c>
      <c r="E8" s="29">
        <f>COUNTIF(L12:L14,"N/A")</f>
        <v>0</v>
      </c>
    </row>
    <row r="10" ht="30.0" customHeight="1">
      <c r="A10" s="33" t="s">
        <v>193</v>
      </c>
      <c r="B10" s="33" t="s">
        <v>198</v>
      </c>
      <c r="C10" s="33" t="s">
        <v>199</v>
      </c>
      <c r="D10" s="33" t="s">
        <v>201</v>
      </c>
      <c r="E10" s="33" t="s">
        <v>205</v>
      </c>
      <c r="F10" s="33" t="s">
        <v>91</v>
      </c>
      <c r="G10" s="33" t="s">
        <v>207</v>
      </c>
      <c r="H10" s="33" t="s">
        <v>208</v>
      </c>
      <c r="I10" s="33" t="s">
        <v>130</v>
      </c>
      <c r="J10" s="33" t="s">
        <v>207</v>
      </c>
      <c r="K10" s="33" t="s">
        <v>208</v>
      </c>
      <c r="L10" s="33" t="s">
        <v>153</v>
      </c>
      <c r="M10" s="33" t="s">
        <v>207</v>
      </c>
      <c r="N10" s="33" t="s">
        <v>208</v>
      </c>
      <c r="O10" s="33" t="s">
        <v>214</v>
      </c>
    </row>
    <row r="11" ht="24.75" customHeight="1">
      <c r="A11" s="34" t="s">
        <v>613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</row>
    <row r="12" ht="99.75" customHeight="1">
      <c r="A12" s="21" t="s">
        <v>615</v>
      </c>
      <c r="B12" s="21" t="s">
        <v>616</v>
      </c>
      <c r="C12" s="21" t="s">
        <v>617</v>
      </c>
      <c r="D12" s="21" t="s">
        <v>618</v>
      </c>
      <c r="E12" s="21" t="s">
        <v>49</v>
      </c>
      <c r="F12" s="21" t="s">
        <v>231</v>
      </c>
      <c r="G12" s="21"/>
      <c r="H12" s="21"/>
      <c r="I12" s="21"/>
      <c r="J12" s="21"/>
      <c r="K12" s="21"/>
      <c r="L12" s="21"/>
      <c r="M12" s="21"/>
      <c r="N12" s="21"/>
      <c r="O12" s="21" t="s">
        <v>621</v>
      </c>
    </row>
    <row r="13" ht="99.75" customHeight="1">
      <c r="A13" s="21" t="s">
        <v>622</v>
      </c>
      <c r="B13" s="21" t="s">
        <v>623</v>
      </c>
      <c r="C13" s="21" t="s">
        <v>624</v>
      </c>
      <c r="D13" s="21" t="s">
        <v>625</v>
      </c>
      <c r="E13" s="21" t="s">
        <v>49</v>
      </c>
      <c r="F13" s="21" t="s">
        <v>231</v>
      </c>
      <c r="G13" s="21"/>
      <c r="H13" s="21"/>
      <c r="I13" s="21"/>
      <c r="J13" s="21"/>
      <c r="K13" s="21"/>
      <c r="L13" s="21"/>
      <c r="M13" s="21"/>
      <c r="N13" s="21"/>
      <c r="O13" s="21" t="s">
        <v>626</v>
      </c>
    </row>
    <row r="14" ht="99.75" customHeight="1">
      <c r="A14" s="21" t="s">
        <v>627</v>
      </c>
      <c r="B14" s="21" t="s">
        <v>628</v>
      </c>
      <c r="C14" s="21" t="s">
        <v>629</v>
      </c>
      <c r="D14" s="21" t="s">
        <v>630</v>
      </c>
      <c r="E14" s="21" t="s">
        <v>49</v>
      </c>
      <c r="F14" s="21" t="s">
        <v>231</v>
      </c>
      <c r="G14" s="21"/>
      <c r="H14" s="21"/>
      <c r="I14" s="21"/>
      <c r="J14" s="21"/>
      <c r="K14" s="21"/>
      <c r="L14" s="21"/>
      <c r="M14" s="21"/>
      <c r="N14" s="21"/>
      <c r="O14" s="21" t="s">
        <v>631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conditionalFormatting sqref="F12:F14">
    <cfRule type="expression" dxfId="0" priority="1">
      <formula>F12="Passed"</formula>
    </cfRule>
  </conditionalFormatting>
  <conditionalFormatting sqref="F12:F14">
    <cfRule type="expression" dxfId="1" priority="2">
      <formula>F12="Failed"</formula>
    </cfRule>
  </conditionalFormatting>
  <conditionalFormatting sqref="I12:I14">
    <cfRule type="expression" dxfId="0" priority="3">
      <formula>I12="Passed"</formula>
    </cfRule>
  </conditionalFormatting>
  <conditionalFormatting sqref="I12:I14">
    <cfRule type="expression" dxfId="1" priority="4">
      <formula>I12="Failed"</formula>
    </cfRule>
  </conditionalFormatting>
  <conditionalFormatting sqref="L12:L14">
    <cfRule type="expression" dxfId="0" priority="5">
      <formula>L12="Passed"</formula>
    </cfRule>
  </conditionalFormatting>
  <conditionalFormatting sqref="L12:L14">
    <cfRule type="expression" dxfId="1" priority="6">
      <formula>L12="Failed"</formula>
    </cfRule>
  </conditionalFormatting>
  <dataValidations>
    <dataValidation type="list" allowBlank="1" sqref="F12:F14 I12:I14 L12:L14">
      <formula1>"Not Run,Blocked,Passed,Failed,Pending,N/A"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/>
    <col customWidth="1" min="8" max="8" width="7.0"/>
    <col customWidth="1" min="9" max="9" width="9.38"/>
    <col customWidth="1" min="10" max="10" width="10.63"/>
    <col customWidth="1" min="11" max="11" width="7.0"/>
    <col customWidth="1" min="12" max="12" width="9.38"/>
    <col customWidth="1" min="13" max="13" width="10.63"/>
    <col customWidth="1" min="14" max="14" width="7.0"/>
    <col customWidth="1" min="15" max="15" width="28.63"/>
    <col customWidth="1" min="16" max="16" width="10.13"/>
    <col customWidth="1" min="17" max="17" width="8.13"/>
    <col customWidth="1" min="18" max="18" width="7.63"/>
    <col customWidth="1" min="19" max="26" width="8.63"/>
  </cols>
  <sheetData>
    <row r="2">
      <c r="A2" s="3" t="s">
        <v>3</v>
      </c>
      <c r="B2" s="7" t="s">
        <v>52</v>
      </c>
      <c r="C2" s="8"/>
      <c r="D2" s="8"/>
      <c r="E2" s="6"/>
      <c r="R2" s="12" t="s">
        <v>8</v>
      </c>
    </row>
    <row r="3" ht="45.0" customHeight="1">
      <c r="A3" s="3" t="s">
        <v>11</v>
      </c>
      <c r="B3" s="7" t="s">
        <v>632</v>
      </c>
      <c r="C3" s="8"/>
      <c r="D3" s="8"/>
      <c r="E3" s="6"/>
      <c r="R3" s="18" t="s">
        <v>17</v>
      </c>
    </row>
    <row r="4" ht="22.5" customHeight="1">
      <c r="A4" s="3" t="s">
        <v>23</v>
      </c>
      <c r="B4" s="7">
        <f>COUNTA(A12:A19)</f>
        <v>8</v>
      </c>
      <c r="C4" s="8"/>
      <c r="D4" s="8"/>
      <c r="E4" s="6"/>
      <c r="R4" s="27" t="s">
        <v>62</v>
      </c>
    </row>
    <row r="5">
      <c r="A5" s="28" t="s">
        <v>71</v>
      </c>
      <c r="B5" s="28" t="s">
        <v>8</v>
      </c>
      <c r="C5" s="28" t="s">
        <v>17</v>
      </c>
      <c r="D5" s="28" t="s">
        <v>62</v>
      </c>
      <c r="E5" s="28" t="s">
        <v>77</v>
      </c>
      <c r="R5" s="31" t="s">
        <v>77</v>
      </c>
    </row>
    <row r="6">
      <c r="A6" s="29" t="s">
        <v>91</v>
      </c>
      <c r="B6" s="29">
        <f>COUNTIF(F12:F19,"Passed")+COUNTIF(F12:F19,"Pass")</f>
        <v>0</v>
      </c>
      <c r="C6" s="29">
        <f>COUNTIF(F12:F19,"Failed")+COUNTIF(F12:F19,"Fail")</f>
        <v>0</v>
      </c>
      <c r="D6" s="29">
        <f>COUNTIF(F12:F19,"Not Run")+COUNTIF(F12:F19,"Blocked")+COUNTIF(F12:F19,"Pending")+COUNTBLANK(F12:F19)</f>
        <v>8</v>
      </c>
      <c r="E6" s="29">
        <f>COUNTIF(F12:F19,"N/A")</f>
        <v>0</v>
      </c>
    </row>
    <row r="7">
      <c r="A7" s="29" t="s">
        <v>130</v>
      </c>
      <c r="B7" s="29">
        <f>COUNTIF(I12:I19,"Passed")+COUNTIF(I12:I19,"Pass")</f>
        <v>0</v>
      </c>
      <c r="C7" s="29">
        <f>COUNTIF(I12:I19,"Failed")+COUNTIF(I12:I19,"Fail")</f>
        <v>0</v>
      </c>
      <c r="D7" s="29">
        <f>COUNTIF(I12:I19,"Not Run")+COUNTIF(I12:I19,"Blocked")+COUNTIF(I12:I19,"Pending")</f>
        <v>0</v>
      </c>
      <c r="E7" s="29">
        <f>COUNTIF(I12:I19,"N/A")</f>
        <v>0</v>
      </c>
    </row>
    <row r="8">
      <c r="A8" s="29" t="s">
        <v>153</v>
      </c>
      <c r="B8" s="29">
        <f>COUNTIF(L12:L19,"Passed")+COUNTIF(L12:L19,"Pass")</f>
        <v>0</v>
      </c>
      <c r="C8" s="29">
        <f>COUNTIF(L12:L19,"Failed")+COUNTIF(L12:L19,"Fail")</f>
        <v>0</v>
      </c>
      <c r="D8" s="29">
        <f>COUNTIF(L12:L19,"Not Run")+COUNTIF(L12:L19,"Blocked")+COUNTIF(L12:L19,"Pending")</f>
        <v>0</v>
      </c>
      <c r="E8" s="29">
        <f>COUNTIF(L12:L19,"N/A")</f>
        <v>0</v>
      </c>
    </row>
    <row r="10" ht="30.0" customHeight="1">
      <c r="A10" s="33" t="s">
        <v>193</v>
      </c>
      <c r="B10" s="33" t="s">
        <v>198</v>
      </c>
      <c r="C10" s="33" t="s">
        <v>199</v>
      </c>
      <c r="D10" s="33" t="s">
        <v>201</v>
      </c>
      <c r="E10" s="33" t="s">
        <v>205</v>
      </c>
      <c r="F10" s="33" t="s">
        <v>91</v>
      </c>
      <c r="G10" s="33" t="s">
        <v>207</v>
      </c>
      <c r="H10" s="33" t="s">
        <v>208</v>
      </c>
      <c r="I10" s="33" t="s">
        <v>130</v>
      </c>
      <c r="J10" s="33" t="s">
        <v>207</v>
      </c>
      <c r="K10" s="33" t="s">
        <v>208</v>
      </c>
      <c r="L10" s="33" t="s">
        <v>153</v>
      </c>
      <c r="M10" s="33" t="s">
        <v>207</v>
      </c>
      <c r="N10" s="33" t="s">
        <v>208</v>
      </c>
      <c r="O10" s="33" t="s">
        <v>214</v>
      </c>
    </row>
    <row r="11" ht="24.75" customHeight="1">
      <c r="A11" s="34" t="s">
        <v>634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</row>
    <row r="12" ht="99.75" customHeight="1">
      <c r="A12" s="21" t="s">
        <v>635</v>
      </c>
      <c r="B12" s="21" t="s">
        <v>636</v>
      </c>
      <c r="C12" s="21" t="s">
        <v>637</v>
      </c>
      <c r="D12" s="21" t="s">
        <v>638</v>
      </c>
      <c r="E12" s="21" t="s">
        <v>55</v>
      </c>
      <c r="F12" s="21" t="s">
        <v>231</v>
      </c>
      <c r="G12" s="21"/>
      <c r="H12" s="21"/>
      <c r="I12" s="21"/>
      <c r="J12" s="21"/>
      <c r="K12" s="21"/>
      <c r="L12" s="21"/>
      <c r="M12" s="21"/>
      <c r="N12" s="21"/>
      <c r="O12" s="21" t="s">
        <v>639</v>
      </c>
    </row>
    <row r="13" ht="99.75" customHeight="1">
      <c r="A13" s="21" t="s">
        <v>640</v>
      </c>
      <c r="B13" s="21" t="s">
        <v>641</v>
      </c>
      <c r="C13" s="21" t="s">
        <v>642</v>
      </c>
      <c r="D13" s="21" t="s">
        <v>643</v>
      </c>
      <c r="E13" s="21" t="s">
        <v>55</v>
      </c>
      <c r="F13" s="21" t="s">
        <v>231</v>
      </c>
      <c r="G13" s="21"/>
      <c r="H13" s="21"/>
      <c r="I13" s="21"/>
      <c r="J13" s="21"/>
      <c r="K13" s="21"/>
      <c r="L13" s="21"/>
      <c r="M13" s="21"/>
      <c r="N13" s="21"/>
      <c r="O13" s="21" t="s">
        <v>644</v>
      </c>
    </row>
    <row r="14" ht="99.75" customHeight="1">
      <c r="A14" s="21" t="s">
        <v>645</v>
      </c>
      <c r="B14" s="21" t="s">
        <v>646</v>
      </c>
      <c r="C14" s="21" t="s">
        <v>647</v>
      </c>
      <c r="D14" s="21" t="s">
        <v>648</v>
      </c>
      <c r="E14" s="21" t="s">
        <v>55</v>
      </c>
      <c r="F14" s="21" t="s">
        <v>231</v>
      </c>
      <c r="G14" s="21"/>
      <c r="H14" s="21"/>
      <c r="I14" s="21"/>
      <c r="J14" s="21"/>
      <c r="K14" s="21"/>
      <c r="L14" s="21"/>
      <c r="M14" s="21"/>
      <c r="N14" s="21"/>
      <c r="O14" s="21" t="s">
        <v>651</v>
      </c>
    </row>
    <row r="15" ht="99.75" customHeight="1">
      <c r="A15" s="21" t="s">
        <v>653</v>
      </c>
      <c r="B15" s="21" t="s">
        <v>655</v>
      </c>
      <c r="C15" s="21" t="s">
        <v>657</v>
      </c>
      <c r="D15" s="21" t="s">
        <v>658</v>
      </c>
      <c r="E15" s="21" t="s">
        <v>49</v>
      </c>
      <c r="F15" s="21" t="s">
        <v>231</v>
      </c>
      <c r="G15" s="21"/>
      <c r="H15" s="21"/>
      <c r="I15" s="21"/>
      <c r="J15" s="21"/>
      <c r="K15" s="21"/>
      <c r="L15" s="21"/>
      <c r="M15" s="21"/>
      <c r="N15" s="21"/>
      <c r="O15" s="21" t="s">
        <v>662</v>
      </c>
    </row>
    <row r="16" ht="99.75" customHeight="1">
      <c r="A16" s="21" t="s">
        <v>664</v>
      </c>
      <c r="B16" s="21" t="s">
        <v>666</v>
      </c>
      <c r="C16" s="21" t="s">
        <v>667</v>
      </c>
      <c r="D16" s="21" t="s">
        <v>668</v>
      </c>
      <c r="E16" s="21" t="s">
        <v>49</v>
      </c>
      <c r="F16" s="21" t="s">
        <v>231</v>
      </c>
      <c r="G16" s="21"/>
      <c r="H16" s="21"/>
      <c r="I16" s="21"/>
      <c r="J16" s="21"/>
      <c r="K16" s="21"/>
      <c r="L16" s="21"/>
      <c r="M16" s="21"/>
      <c r="N16" s="21"/>
      <c r="O16" s="21" t="s">
        <v>675</v>
      </c>
    </row>
    <row r="17" ht="99.75" customHeight="1">
      <c r="A17" s="21" t="s">
        <v>676</v>
      </c>
      <c r="B17" s="21" t="s">
        <v>677</v>
      </c>
      <c r="C17" s="21" t="s">
        <v>678</v>
      </c>
      <c r="D17" s="21" t="s">
        <v>679</v>
      </c>
      <c r="E17" s="21" t="s">
        <v>49</v>
      </c>
      <c r="F17" s="21" t="s">
        <v>231</v>
      </c>
      <c r="G17" s="21"/>
      <c r="H17" s="21"/>
      <c r="I17" s="21"/>
      <c r="J17" s="21"/>
      <c r="K17" s="21"/>
      <c r="L17" s="21"/>
      <c r="M17" s="21"/>
      <c r="N17" s="21"/>
      <c r="O17" s="21" t="s">
        <v>680</v>
      </c>
    </row>
    <row r="18" ht="99.75" customHeight="1">
      <c r="A18" s="21" t="s">
        <v>681</v>
      </c>
      <c r="B18" s="21" t="s">
        <v>682</v>
      </c>
      <c r="C18" s="21" t="s">
        <v>683</v>
      </c>
      <c r="D18" s="21" t="s">
        <v>684</v>
      </c>
      <c r="E18" s="21" t="s">
        <v>685</v>
      </c>
      <c r="F18" s="21" t="s">
        <v>231</v>
      </c>
      <c r="G18" s="21"/>
      <c r="H18" s="21"/>
      <c r="I18" s="21"/>
      <c r="J18" s="21"/>
      <c r="K18" s="21"/>
      <c r="L18" s="21"/>
      <c r="M18" s="21"/>
      <c r="N18" s="21"/>
      <c r="O18" s="21" t="s">
        <v>686</v>
      </c>
    </row>
    <row r="19" ht="99.75" customHeight="1">
      <c r="A19" s="21" t="s">
        <v>687</v>
      </c>
      <c r="B19" s="21" t="s">
        <v>688</v>
      </c>
      <c r="C19" s="21" t="s">
        <v>689</v>
      </c>
      <c r="D19" s="21" t="s">
        <v>690</v>
      </c>
      <c r="E19" s="21" t="s">
        <v>691</v>
      </c>
      <c r="F19" s="21" t="s">
        <v>231</v>
      </c>
      <c r="G19" s="21"/>
      <c r="H19" s="21"/>
      <c r="I19" s="21"/>
      <c r="J19" s="21"/>
      <c r="K19" s="21"/>
      <c r="L19" s="21"/>
      <c r="M19" s="21"/>
      <c r="N19" s="21"/>
      <c r="O19" s="21" t="s">
        <v>692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conditionalFormatting sqref="F12:F19">
    <cfRule type="expression" dxfId="0" priority="1">
      <formula>F12="Passed"</formula>
    </cfRule>
  </conditionalFormatting>
  <conditionalFormatting sqref="F12:F19">
    <cfRule type="expression" dxfId="1" priority="2">
      <formula>F12="Failed"</formula>
    </cfRule>
  </conditionalFormatting>
  <conditionalFormatting sqref="I12:I19">
    <cfRule type="expression" dxfId="0" priority="3">
      <formula>I12="Passed"</formula>
    </cfRule>
  </conditionalFormatting>
  <conditionalFormatting sqref="I12:I19">
    <cfRule type="expression" dxfId="1" priority="4">
      <formula>I12="Failed"</formula>
    </cfRule>
  </conditionalFormatting>
  <conditionalFormatting sqref="L12:L19">
    <cfRule type="expression" dxfId="0" priority="5">
      <formula>L12="Passed"</formula>
    </cfRule>
  </conditionalFormatting>
  <conditionalFormatting sqref="L12:L19">
    <cfRule type="expression" dxfId="1" priority="6">
      <formula>L12="Failed"</formula>
    </cfRule>
  </conditionalFormatting>
  <dataValidations>
    <dataValidation type="list" allowBlank="1" sqref="F12:F19 I12:I19 L12:L19">
      <formula1>"Not Run,Blocked,Passed,Failed,Pending,N/A"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/>
    <col customWidth="1" min="8" max="8" width="7.0"/>
    <col customWidth="1" min="9" max="9" width="9.38"/>
    <col customWidth="1" min="10" max="10" width="10.63"/>
    <col customWidth="1" min="11" max="11" width="7.0"/>
    <col customWidth="1" min="12" max="12" width="9.38"/>
    <col customWidth="1" min="13" max="13" width="10.63"/>
    <col customWidth="1" min="14" max="14" width="7.0"/>
    <col customWidth="1" min="15" max="15" width="28.63"/>
    <col customWidth="1" min="16" max="16" width="10.13"/>
    <col customWidth="1" min="17" max="17" width="8.13"/>
    <col customWidth="1" min="18" max="18" width="7.63"/>
    <col customWidth="1" min="19" max="26" width="8.63"/>
  </cols>
  <sheetData>
    <row r="2">
      <c r="A2" s="3" t="s">
        <v>3</v>
      </c>
      <c r="B2" s="7" t="s">
        <v>65</v>
      </c>
      <c r="C2" s="8"/>
      <c r="D2" s="8"/>
      <c r="E2" s="6"/>
      <c r="R2" s="12" t="s">
        <v>8</v>
      </c>
    </row>
    <row r="3" ht="45.0" customHeight="1">
      <c r="A3" s="3" t="s">
        <v>11</v>
      </c>
      <c r="B3" s="7" t="s">
        <v>633</v>
      </c>
      <c r="C3" s="8"/>
      <c r="D3" s="8"/>
      <c r="E3" s="6"/>
      <c r="R3" s="18" t="s">
        <v>17</v>
      </c>
    </row>
    <row r="4" ht="22.5" customHeight="1">
      <c r="A4" s="3" t="s">
        <v>23</v>
      </c>
      <c r="B4" s="7">
        <f>COUNTA(A12:A14)</f>
        <v>3</v>
      </c>
      <c r="C4" s="8"/>
      <c r="D4" s="8"/>
      <c r="E4" s="6"/>
      <c r="R4" s="27" t="s">
        <v>62</v>
      </c>
    </row>
    <row r="5">
      <c r="A5" s="28" t="s">
        <v>71</v>
      </c>
      <c r="B5" s="28" t="s">
        <v>8</v>
      </c>
      <c r="C5" s="28" t="s">
        <v>17</v>
      </c>
      <c r="D5" s="28" t="s">
        <v>62</v>
      </c>
      <c r="E5" s="28" t="s">
        <v>77</v>
      </c>
      <c r="R5" s="31" t="s">
        <v>77</v>
      </c>
    </row>
    <row r="6">
      <c r="A6" s="29" t="s">
        <v>91</v>
      </c>
      <c r="B6" s="29">
        <f>COUNTIF(F12:F14,"Passed")+COUNTIF(F12:F14,"Pass")</f>
        <v>0</v>
      </c>
      <c r="C6" s="29">
        <f>COUNTIF(F12:F14,"Failed")+COUNTIF(F12:F14,"Fail")</f>
        <v>0</v>
      </c>
      <c r="D6" s="29">
        <f>COUNTIF(F12:F14,"Not Run")+COUNTIF(F12:F14,"Blocked")+COUNTIF(F12:F14,"Pending")+COUNTBLANK(F12:F14)</f>
        <v>3</v>
      </c>
      <c r="E6" s="29">
        <f>COUNTIF(F12:F14,"N/A")</f>
        <v>0</v>
      </c>
    </row>
    <row r="7">
      <c r="A7" s="29" t="s">
        <v>130</v>
      </c>
      <c r="B7" s="29">
        <f>COUNTIF(I12:I14,"Passed")+COUNTIF(I12:I14,"Pass")</f>
        <v>0</v>
      </c>
      <c r="C7" s="29">
        <f>COUNTIF(I12:I14,"Failed")+COUNTIF(I12:I14,"Fail")</f>
        <v>0</v>
      </c>
      <c r="D7" s="29">
        <f>COUNTIF(I12:I14,"Not Run")+COUNTIF(I12:I14,"Blocked")+COUNTIF(I12:I14,"Pending")</f>
        <v>0</v>
      </c>
      <c r="E7" s="29">
        <f>COUNTIF(I12:I14,"N/A")</f>
        <v>0</v>
      </c>
    </row>
    <row r="8">
      <c r="A8" s="29" t="s">
        <v>153</v>
      </c>
      <c r="B8" s="29">
        <f>COUNTIF(L12:L14,"Passed")+COUNTIF(L12:L14,"Pass")</f>
        <v>0</v>
      </c>
      <c r="C8" s="29">
        <f>COUNTIF(L12:L14,"Failed")+COUNTIF(L12:L14,"Fail")</f>
        <v>0</v>
      </c>
      <c r="D8" s="29">
        <f>COUNTIF(L12:L14,"Not Run")+COUNTIF(L12:L14,"Blocked")+COUNTIF(L12:L14,"Pending")</f>
        <v>0</v>
      </c>
      <c r="E8" s="29">
        <f>COUNTIF(L12:L14,"N/A")</f>
        <v>0</v>
      </c>
    </row>
    <row r="10" ht="30.0" customHeight="1">
      <c r="A10" s="33" t="s">
        <v>193</v>
      </c>
      <c r="B10" s="33" t="s">
        <v>198</v>
      </c>
      <c r="C10" s="33" t="s">
        <v>199</v>
      </c>
      <c r="D10" s="33" t="s">
        <v>201</v>
      </c>
      <c r="E10" s="33" t="s">
        <v>205</v>
      </c>
      <c r="F10" s="33" t="s">
        <v>91</v>
      </c>
      <c r="G10" s="33" t="s">
        <v>207</v>
      </c>
      <c r="H10" s="33" t="s">
        <v>208</v>
      </c>
      <c r="I10" s="33" t="s">
        <v>130</v>
      </c>
      <c r="J10" s="33" t="s">
        <v>207</v>
      </c>
      <c r="K10" s="33" t="s">
        <v>208</v>
      </c>
      <c r="L10" s="33" t="s">
        <v>153</v>
      </c>
      <c r="M10" s="33" t="s">
        <v>207</v>
      </c>
      <c r="N10" s="33" t="s">
        <v>208</v>
      </c>
      <c r="O10" s="33" t="s">
        <v>214</v>
      </c>
    </row>
    <row r="11" ht="24.75" customHeight="1">
      <c r="A11" s="34" t="s">
        <v>649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</row>
    <row r="12" ht="99.75" customHeight="1">
      <c r="A12" s="21" t="s">
        <v>650</v>
      </c>
      <c r="B12" s="21" t="s">
        <v>652</v>
      </c>
      <c r="C12" s="21" t="s">
        <v>654</v>
      </c>
      <c r="D12" s="21" t="s">
        <v>656</v>
      </c>
      <c r="E12" s="21" t="s">
        <v>49</v>
      </c>
      <c r="F12" s="21" t="s">
        <v>231</v>
      </c>
      <c r="G12" s="21"/>
      <c r="H12" s="21"/>
      <c r="I12" s="21"/>
      <c r="J12" s="21"/>
      <c r="K12" s="21"/>
      <c r="L12" s="21"/>
      <c r="M12" s="21"/>
      <c r="N12" s="21"/>
      <c r="O12" s="21" t="s">
        <v>659</v>
      </c>
    </row>
    <row r="13" ht="99.75" customHeight="1">
      <c r="A13" s="21" t="s">
        <v>660</v>
      </c>
      <c r="B13" s="21" t="s">
        <v>661</v>
      </c>
      <c r="C13" s="21" t="s">
        <v>663</v>
      </c>
      <c r="D13" s="21" t="s">
        <v>665</v>
      </c>
      <c r="E13" s="21" t="s">
        <v>49</v>
      </c>
      <c r="F13" s="21" t="s">
        <v>231</v>
      </c>
      <c r="G13" s="21"/>
      <c r="H13" s="21"/>
      <c r="I13" s="21"/>
      <c r="J13" s="21"/>
      <c r="K13" s="21"/>
      <c r="L13" s="21"/>
      <c r="M13" s="21"/>
      <c r="N13" s="21"/>
      <c r="O13" s="21" t="s">
        <v>669</v>
      </c>
    </row>
    <row r="14" ht="99.75" customHeight="1">
      <c r="A14" s="21" t="s">
        <v>670</v>
      </c>
      <c r="B14" s="21" t="s">
        <v>671</v>
      </c>
      <c r="C14" s="21" t="s">
        <v>672</v>
      </c>
      <c r="D14" s="21" t="s">
        <v>673</v>
      </c>
      <c r="E14" s="21" t="s">
        <v>49</v>
      </c>
      <c r="F14" s="21" t="s">
        <v>231</v>
      </c>
      <c r="G14" s="21"/>
      <c r="H14" s="21"/>
      <c r="I14" s="21"/>
      <c r="J14" s="21"/>
      <c r="K14" s="21"/>
      <c r="L14" s="21"/>
      <c r="M14" s="21"/>
      <c r="N14" s="21"/>
      <c r="O14" s="21" t="s">
        <v>674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conditionalFormatting sqref="F12:F14">
    <cfRule type="expression" dxfId="0" priority="1">
      <formula>F12="Passed"</formula>
    </cfRule>
  </conditionalFormatting>
  <conditionalFormatting sqref="F12:F14">
    <cfRule type="expression" dxfId="1" priority="2">
      <formula>F12="Failed"</formula>
    </cfRule>
  </conditionalFormatting>
  <conditionalFormatting sqref="I12:I14">
    <cfRule type="expression" dxfId="0" priority="3">
      <formula>I12="Passed"</formula>
    </cfRule>
  </conditionalFormatting>
  <conditionalFormatting sqref="I12:I14">
    <cfRule type="expression" dxfId="1" priority="4">
      <formula>I12="Failed"</formula>
    </cfRule>
  </conditionalFormatting>
  <conditionalFormatting sqref="L12:L14">
    <cfRule type="expression" dxfId="0" priority="5">
      <formula>L12="Passed"</formula>
    </cfRule>
  </conditionalFormatting>
  <conditionalFormatting sqref="L12:L14">
    <cfRule type="expression" dxfId="1" priority="6">
      <formula>L12="Failed"</formula>
    </cfRule>
  </conditionalFormatting>
  <dataValidations>
    <dataValidation type="list" allowBlank="1" sqref="F12:F14 I12:I14 L12:L14">
      <formula1>"Not Run,Blocked,Passed,Failed,Pending,N/A"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/>
    <col customWidth="1" min="8" max="8" width="7.0"/>
    <col customWidth="1" min="9" max="9" width="9.38"/>
    <col customWidth="1" min="10" max="10" width="10.63"/>
    <col customWidth="1" min="11" max="11" width="7.0"/>
    <col customWidth="1" min="12" max="12" width="9.38"/>
    <col customWidth="1" min="13" max="13" width="10.63"/>
    <col customWidth="1" min="14" max="14" width="7.0"/>
    <col customWidth="1" min="15" max="15" width="28.63"/>
    <col customWidth="1" min="16" max="16" width="10.13"/>
    <col customWidth="1" min="17" max="17" width="8.13"/>
    <col customWidth="1" min="18" max="18" width="7.63"/>
    <col customWidth="1" min="19" max="26" width="8.63"/>
  </cols>
  <sheetData>
    <row r="2">
      <c r="A2" s="3" t="s">
        <v>3</v>
      </c>
      <c r="B2" s="7" t="s">
        <v>73</v>
      </c>
      <c r="C2" s="8"/>
      <c r="D2" s="8"/>
      <c r="E2" s="6"/>
      <c r="R2" s="12" t="s">
        <v>8</v>
      </c>
    </row>
    <row r="3" ht="45.0" customHeight="1">
      <c r="A3" s="3" t="s">
        <v>11</v>
      </c>
      <c r="B3" s="7" t="s">
        <v>693</v>
      </c>
      <c r="C3" s="8"/>
      <c r="D3" s="8"/>
      <c r="E3" s="6"/>
      <c r="R3" s="18" t="s">
        <v>17</v>
      </c>
    </row>
    <row r="4" ht="22.5" customHeight="1">
      <c r="A4" s="3" t="s">
        <v>23</v>
      </c>
      <c r="B4" s="7">
        <f>COUNTA(A12:A21)</f>
        <v>10</v>
      </c>
      <c r="C4" s="8"/>
      <c r="D4" s="8"/>
      <c r="E4" s="6"/>
      <c r="R4" s="27" t="s">
        <v>62</v>
      </c>
    </row>
    <row r="5">
      <c r="A5" s="28" t="s">
        <v>71</v>
      </c>
      <c r="B5" s="28" t="s">
        <v>8</v>
      </c>
      <c r="C5" s="28" t="s">
        <v>17</v>
      </c>
      <c r="D5" s="28" t="s">
        <v>62</v>
      </c>
      <c r="E5" s="28" t="s">
        <v>77</v>
      </c>
      <c r="R5" s="31" t="s">
        <v>77</v>
      </c>
    </row>
    <row r="6">
      <c r="A6" s="29" t="s">
        <v>91</v>
      </c>
      <c r="B6" s="29">
        <f>COUNTIF(F12:F21,"Passed")+COUNTIF(F12:F21,"Pass")</f>
        <v>0</v>
      </c>
      <c r="C6" s="29">
        <f>COUNTIF(F12:F21,"Failed")+COUNTIF(F12:F21,"Fail")</f>
        <v>0</v>
      </c>
      <c r="D6" s="29">
        <f>COUNTIF(F12:F21,"Not Run")+COUNTIF(F12:F21,"Blocked")+COUNTIF(F12:F21,"Pending")+COUNTBLANK(F12:F21)</f>
        <v>10</v>
      </c>
      <c r="E6" s="29">
        <f>COUNTIF(F12:F21,"N/A")</f>
        <v>0</v>
      </c>
    </row>
    <row r="7">
      <c r="A7" s="29" t="s">
        <v>130</v>
      </c>
      <c r="B7" s="29">
        <f>COUNTIF(I12:I21,"Passed")+COUNTIF(I12:I21,"Pass")</f>
        <v>0</v>
      </c>
      <c r="C7" s="29">
        <f>COUNTIF(I12:I21,"Failed")+COUNTIF(I12:I21,"Fail")</f>
        <v>0</v>
      </c>
      <c r="D7" s="29">
        <f>COUNTIF(I12:I21,"Not Run")+COUNTIF(I12:I21,"Blocked")+COUNTIF(I12:I21,"Pending")</f>
        <v>0</v>
      </c>
      <c r="E7" s="29">
        <f>COUNTIF(I12:I21,"N/A")</f>
        <v>0</v>
      </c>
    </row>
    <row r="8">
      <c r="A8" s="29" t="s">
        <v>153</v>
      </c>
      <c r="B8" s="29">
        <f>COUNTIF(L12:L21,"Passed")+COUNTIF(L12:L21,"Pass")</f>
        <v>0</v>
      </c>
      <c r="C8" s="29">
        <f>COUNTIF(L12:L21,"Failed")+COUNTIF(L12:L21,"Fail")</f>
        <v>0</v>
      </c>
      <c r="D8" s="29">
        <f>COUNTIF(L12:L21,"Not Run")+COUNTIF(L12:L21,"Blocked")+COUNTIF(L12:L21,"Pending")</f>
        <v>0</v>
      </c>
      <c r="E8" s="29">
        <f>COUNTIF(L12:L21,"N/A")</f>
        <v>0</v>
      </c>
    </row>
    <row r="10" ht="30.0" customHeight="1">
      <c r="A10" s="33" t="s">
        <v>193</v>
      </c>
      <c r="B10" s="33" t="s">
        <v>198</v>
      </c>
      <c r="C10" s="33" t="s">
        <v>199</v>
      </c>
      <c r="D10" s="33" t="s">
        <v>201</v>
      </c>
      <c r="E10" s="33" t="s">
        <v>205</v>
      </c>
      <c r="F10" s="33" t="s">
        <v>91</v>
      </c>
      <c r="G10" s="33" t="s">
        <v>207</v>
      </c>
      <c r="H10" s="33" t="s">
        <v>208</v>
      </c>
      <c r="I10" s="33" t="s">
        <v>130</v>
      </c>
      <c r="J10" s="33" t="s">
        <v>207</v>
      </c>
      <c r="K10" s="33" t="s">
        <v>208</v>
      </c>
      <c r="L10" s="33" t="s">
        <v>153</v>
      </c>
      <c r="M10" s="33" t="s">
        <v>207</v>
      </c>
      <c r="N10" s="33" t="s">
        <v>208</v>
      </c>
      <c r="O10" s="33" t="s">
        <v>214</v>
      </c>
    </row>
    <row r="11" ht="24.75" customHeight="1">
      <c r="A11" s="34" t="s">
        <v>694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</row>
    <row r="12" ht="99.75" customHeight="1">
      <c r="A12" s="21" t="s">
        <v>695</v>
      </c>
      <c r="B12" s="21" t="s">
        <v>696</v>
      </c>
      <c r="C12" s="21" t="s">
        <v>697</v>
      </c>
      <c r="D12" s="21" t="s">
        <v>698</v>
      </c>
      <c r="E12" s="21" t="s">
        <v>49</v>
      </c>
      <c r="F12" s="21" t="s">
        <v>231</v>
      </c>
      <c r="G12" s="21"/>
      <c r="H12" s="21"/>
      <c r="I12" s="21"/>
      <c r="J12" s="21"/>
      <c r="K12" s="21"/>
      <c r="L12" s="21"/>
      <c r="M12" s="21"/>
      <c r="N12" s="21"/>
      <c r="O12" s="21" t="s">
        <v>699</v>
      </c>
    </row>
    <row r="13" ht="99.75" customHeight="1">
      <c r="A13" s="21" t="s">
        <v>700</v>
      </c>
      <c r="B13" s="21" t="s">
        <v>701</v>
      </c>
      <c r="C13" s="21" t="s">
        <v>702</v>
      </c>
      <c r="D13" s="21" t="s">
        <v>703</v>
      </c>
      <c r="E13" s="21" t="s">
        <v>49</v>
      </c>
      <c r="F13" s="21" t="s">
        <v>231</v>
      </c>
      <c r="G13" s="21"/>
      <c r="H13" s="21"/>
      <c r="I13" s="21"/>
      <c r="J13" s="21"/>
      <c r="K13" s="21"/>
      <c r="L13" s="21"/>
      <c r="M13" s="21"/>
      <c r="N13" s="21"/>
      <c r="O13" s="21" t="s">
        <v>704</v>
      </c>
    </row>
    <row r="14" ht="99.75" customHeight="1">
      <c r="A14" s="21" t="s">
        <v>705</v>
      </c>
      <c r="B14" s="21" t="s">
        <v>706</v>
      </c>
      <c r="C14" s="21" t="s">
        <v>707</v>
      </c>
      <c r="D14" s="21" t="s">
        <v>708</v>
      </c>
      <c r="E14" s="21" t="s">
        <v>49</v>
      </c>
      <c r="F14" s="21" t="s">
        <v>231</v>
      </c>
      <c r="G14" s="21"/>
      <c r="H14" s="21"/>
      <c r="I14" s="21"/>
      <c r="J14" s="21"/>
      <c r="K14" s="21"/>
      <c r="L14" s="21"/>
      <c r="M14" s="21"/>
      <c r="N14" s="21"/>
      <c r="O14" s="21" t="s">
        <v>710</v>
      </c>
    </row>
    <row r="15" ht="99.75" customHeight="1">
      <c r="A15" s="21" t="s">
        <v>711</v>
      </c>
      <c r="B15" s="21" t="s">
        <v>712</v>
      </c>
      <c r="C15" s="21" t="s">
        <v>713</v>
      </c>
      <c r="D15" s="21" t="s">
        <v>714</v>
      </c>
      <c r="E15" s="21" t="s">
        <v>715</v>
      </c>
      <c r="F15" s="21" t="s">
        <v>231</v>
      </c>
      <c r="G15" s="21"/>
      <c r="H15" s="21"/>
      <c r="I15" s="21"/>
      <c r="J15" s="21"/>
      <c r="K15" s="21"/>
      <c r="L15" s="21"/>
      <c r="M15" s="21"/>
      <c r="N15" s="21"/>
      <c r="O15" s="21" t="s">
        <v>716</v>
      </c>
    </row>
    <row r="16" ht="99.75" customHeight="1">
      <c r="A16" s="21" t="s">
        <v>717</v>
      </c>
      <c r="B16" s="21" t="s">
        <v>718</v>
      </c>
      <c r="C16" s="21" t="s">
        <v>719</v>
      </c>
      <c r="D16" s="21" t="s">
        <v>720</v>
      </c>
      <c r="E16" s="21" t="s">
        <v>49</v>
      </c>
      <c r="F16" s="21" t="s">
        <v>231</v>
      </c>
      <c r="G16" s="21"/>
      <c r="H16" s="21"/>
      <c r="I16" s="21"/>
      <c r="J16" s="21"/>
      <c r="K16" s="21"/>
      <c r="L16" s="21"/>
      <c r="M16" s="21"/>
      <c r="N16" s="21"/>
      <c r="O16" s="21" t="s">
        <v>721</v>
      </c>
    </row>
    <row r="17" ht="99.75" customHeight="1">
      <c r="A17" s="21" t="s">
        <v>722</v>
      </c>
      <c r="B17" s="21" t="s">
        <v>723</v>
      </c>
      <c r="C17" s="21" t="s">
        <v>724</v>
      </c>
      <c r="D17" s="21" t="s">
        <v>725</v>
      </c>
      <c r="E17" s="21" t="s">
        <v>49</v>
      </c>
      <c r="F17" s="21" t="s">
        <v>231</v>
      </c>
      <c r="G17" s="21"/>
      <c r="H17" s="21"/>
      <c r="I17" s="21"/>
      <c r="J17" s="21"/>
      <c r="K17" s="21"/>
      <c r="L17" s="21"/>
      <c r="M17" s="21"/>
      <c r="N17" s="21"/>
      <c r="O17" s="21" t="s">
        <v>726</v>
      </c>
    </row>
    <row r="18" ht="99.75" customHeight="1">
      <c r="A18" s="21" t="s">
        <v>727</v>
      </c>
      <c r="B18" s="21" t="s">
        <v>728</v>
      </c>
      <c r="C18" s="21" t="s">
        <v>729</v>
      </c>
      <c r="D18" s="21" t="s">
        <v>730</v>
      </c>
      <c r="E18" s="21" t="s">
        <v>86</v>
      </c>
      <c r="F18" s="21" t="s">
        <v>231</v>
      </c>
      <c r="G18" s="21"/>
      <c r="H18" s="21"/>
      <c r="I18" s="21"/>
      <c r="J18" s="21"/>
      <c r="K18" s="21"/>
      <c r="L18" s="21"/>
      <c r="M18" s="21"/>
      <c r="N18" s="21"/>
      <c r="O18" s="21" t="s">
        <v>731</v>
      </c>
    </row>
    <row r="19" ht="99.75" customHeight="1">
      <c r="A19" s="21" t="s">
        <v>732</v>
      </c>
      <c r="B19" s="21" t="s">
        <v>733</v>
      </c>
      <c r="C19" s="21" t="s">
        <v>734</v>
      </c>
      <c r="D19" s="21" t="s">
        <v>735</v>
      </c>
      <c r="E19" s="21" t="s">
        <v>86</v>
      </c>
      <c r="F19" s="21" t="s">
        <v>231</v>
      </c>
      <c r="G19" s="21"/>
      <c r="H19" s="21"/>
      <c r="I19" s="21"/>
      <c r="J19" s="21"/>
      <c r="K19" s="21"/>
      <c r="L19" s="21"/>
      <c r="M19" s="21"/>
      <c r="N19" s="21"/>
      <c r="O19" s="21" t="s">
        <v>736</v>
      </c>
    </row>
    <row r="20" ht="99.75" customHeight="1">
      <c r="A20" s="21" t="s">
        <v>737</v>
      </c>
      <c r="B20" s="21" t="s">
        <v>738</v>
      </c>
      <c r="C20" s="21" t="s">
        <v>739</v>
      </c>
      <c r="D20" s="21" t="s">
        <v>740</v>
      </c>
      <c r="E20" s="21" t="s">
        <v>86</v>
      </c>
      <c r="F20" s="21" t="s">
        <v>231</v>
      </c>
      <c r="G20" s="21"/>
      <c r="H20" s="21"/>
      <c r="I20" s="21"/>
      <c r="J20" s="21"/>
      <c r="K20" s="21"/>
      <c r="L20" s="21"/>
      <c r="M20" s="21"/>
      <c r="N20" s="21"/>
      <c r="O20" s="21" t="s">
        <v>741</v>
      </c>
    </row>
    <row r="21" ht="99.75" customHeight="1">
      <c r="A21" s="21" t="s">
        <v>742</v>
      </c>
      <c r="B21" s="21" t="s">
        <v>743</v>
      </c>
      <c r="C21" s="21" t="s">
        <v>744</v>
      </c>
      <c r="D21" s="21" t="s">
        <v>745</v>
      </c>
      <c r="E21" s="21" t="s">
        <v>746</v>
      </c>
      <c r="F21" s="21" t="s">
        <v>231</v>
      </c>
      <c r="G21" s="21"/>
      <c r="H21" s="21"/>
      <c r="I21" s="21"/>
      <c r="J21" s="21"/>
      <c r="K21" s="21"/>
      <c r="L21" s="21"/>
      <c r="M21" s="21"/>
      <c r="N21" s="21"/>
      <c r="O21" s="21" t="s">
        <v>747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conditionalFormatting sqref="F12:F21">
    <cfRule type="expression" dxfId="0" priority="1">
      <formula>F12="Passed"</formula>
    </cfRule>
  </conditionalFormatting>
  <conditionalFormatting sqref="F12:F21">
    <cfRule type="expression" dxfId="1" priority="2">
      <formula>F12="Failed"</formula>
    </cfRule>
  </conditionalFormatting>
  <conditionalFormatting sqref="I12:I21">
    <cfRule type="expression" dxfId="0" priority="3">
      <formula>I12="Passed"</formula>
    </cfRule>
  </conditionalFormatting>
  <conditionalFormatting sqref="I12:I21">
    <cfRule type="expression" dxfId="1" priority="4">
      <formula>I12="Failed"</formula>
    </cfRule>
  </conditionalFormatting>
  <conditionalFormatting sqref="L12:L21">
    <cfRule type="expression" dxfId="0" priority="5">
      <formula>L12="Passed"</formula>
    </cfRule>
  </conditionalFormatting>
  <conditionalFormatting sqref="L12:L21">
    <cfRule type="expression" dxfId="1" priority="6">
      <formula>L12="Failed"</formula>
    </cfRule>
  </conditionalFormatting>
  <dataValidations>
    <dataValidation type="list" allowBlank="1" sqref="F12:F21 I12:I21 L12:L21">
      <formula1>"Not Run,Blocked,Passed,Failed,Pending,N/A"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/>
    <col customWidth="1" min="8" max="8" width="7.0"/>
    <col customWidth="1" min="9" max="9" width="9.38"/>
    <col customWidth="1" min="10" max="10" width="10.63"/>
    <col customWidth="1" min="11" max="11" width="7.0"/>
    <col customWidth="1" min="12" max="12" width="9.38"/>
    <col customWidth="1" min="13" max="13" width="10.63"/>
    <col customWidth="1" min="14" max="14" width="7.0"/>
    <col customWidth="1" min="15" max="15" width="28.63"/>
    <col customWidth="1" min="16" max="16" width="10.13"/>
    <col customWidth="1" min="17" max="17" width="8.13"/>
    <col customWidth="1" min="18" max="18" width="7.63"/>
    <col customWidth="1" min="19" max="26" width="8.63"/>
  </cols>
  <sheetData>
    <row r="2">
      <c r="A2" s="3" t="s">
        <v>3</v>
      </c>
      <c r="B2" s="7" t="s">
        <v>88</v>
      </c>
      <c r="C2" s="8"/>
      <c r="D2" s="8"/>
      <c r="E2" s="6"/>
      <c r="R2" s="12" t="s">
        <v>8</v>
      </c>
    </row>
    <row r="3" ht="45.0" customHeight="1">
      <c r="A3" s="3" t="s">
        <v>11</v>
      </c>
      <c r="B3" s="7" t="s">
        <v>709</v>
      </c>
      <c r="C3" s="8"/>
      <c r="D3" s="8"/>
      <c r="E3" s="6"/>
      <c r="R3" s="18" t="s">
        <v>17</v>
      </c>
    </row>
    <row r="4" ht="22.5" customHeight="1">
      <c r="A4" s="3" t="s">
        <v>23</v>
      </c>
      <c r="B4" s="7">
        <f>COUNTA(A12:A15)</f>
        <v>4</v>
      </c>
      <c r="C4" s="8"/>
      <c r="D4" s="8"/>
      <c r="E4" s="6"/>
      <c r="R4" s="27" t="s">
        <v>62</v>
      </c>
    </row>
    <row r="5">
      <c r="A5" s="28" t="s">
        <v>71</v>
      </c>
      <c r="B5" s="28" t="s">
        <v>8</v>
      </c>
      <c r="C5" s="28" t="s">
        <v>17</v>
      </c>
      <c r="D5" s="28" t="s">
        <v>62</v>
      </c>
      <c r="E5" s="28" t="s">
        <v>77</v>
      </c>
      <c r="R5" s="31" t="s">
        <v>77</v>
      </c>
    </row>
    <row r="6">
      <c r="A6" s="29" t="s">
        <v>91</v>
      </c>
      <c r="B6" s="29">
        <f>COUNTIF(F12:F15,"Passed")+COUNTIF(F12:F15,"Pass")</f>
        <v>0</v>
      </c>
      <c r="C6" s="29">
        <f>COUNTIF(F12:F15,"Failed")+COUNTIF(F12:F15,"Fail")</f>
        <v>0</v>
      </c>
      <c r="D6" s="29">
        <f>COUNTIF(F12:F15,"Not Run")+COUNTIF(F12:F15,"Blocked")+COUNTIF(F12:F15,"Pending")+COUNTBLANK(F12:F15)</f>
        <v>4</v>
      </c>
      <c r="E6" s="29">
        <f>COUNTIF(F12:F15,"N/A")</f>
        <v>0</v>
      </c>
    </row>
    <row r="7">
      <c r="A7" s="29" t="s">
        <v>130</v>
      </c>
      <c r="B7" s="29">
        <f>COUNTIF(I12:I15,"Passed")+COUNTIF(I12:I15,"Pass")</f>
        <v>0</v>
      </c>
      <c r="C7" s="29">
        <f>COUNTIF(I12:I15,"Failed")+COUNTIF(I12:I15,"Fail")</f>
        <v>0</v>
      </c>
      <c r="D7" s="29">
        <f>COUNTIF(I12:I15,"Not Run")+COUNTIF(I12:I15,"Blocked")+COUNTIF(I12:I15,"Pending")</f>
        <v>0</v>
      </c>
      <c r="E7" s="29">
        <f>COUNTIF(I12:I15,"N/A")</f>
        <v>0</v>
      </c>
    </row>
    <row r="8">
      <c r="A8" s="29" t="s">
        <v>153</v>
      </c>
      <c r="B8" s="29">
        <f>COUNTIF(L12:L15,"Passed")+COUNTIF(L12:L15,"Pass")</f>
        <v>0</v>
      </c>
      <c r="C8" s="29">
        <f>COUNTIF(L12:L15,"Failed")+COUNTIF(L12:L15,"Fail")</f>
        <v>0</v>
      </c>
      <c r="D8" s="29">
        <f>COUNTIF(L12:L15,"Not Run")+COUNTIF(L12:L15,"Blocked")+COUNTIF(L12:L15,"Pending")</f>
        <v>0</v>
      </c>
      <c r="E8" s="29">
        <f>COUNTIF(L12:L15,"N/A")</f>
        <v>0</v>
      </c>
    </row>
    <row r="10" ht="30.0" customHeight="1">
      <c r="A10" s="33" t="s">
        <v>193</v>
      </c>
      <c r="B10" s="33" t="s">
        <v>198</v>
      </c>
      <c r="C10" s="33" t="s">
        <v>199</v>
      </c>
      <c r="D10" s="33" t="s">
        <v>201</v>
      </c>
      <c r="E10" s="33" t="s">
        <v>205</v>
      </c>
      <c r="F10" s="33" t="s">
        <v>91</v>
      </c>
      <c r="G10" s="33" t="s">
        <v>207</v>
      </c>
      <c r="H10" s="33" t="s">
        <v>208</v>
      </c>
      <c r="I10" s="33" t="s">
        <v>130</v>
      </c>
      <c r="J10" s="33" t="s">
        <v>207</v>
      </c>
      <c r="K10" s="33" t="s">
        <v>208</v>
      </c>
      <c r="L10" s="33" t="s">
        <v>153</v>
      </c>
      <c r="M10" s="33" t="s">
        <v>207</v>
      </c>
      <c r="N10" s="33" t="s">
        <v>208</v>
      </c>
      <c r="O10" s="33" t="s">
        <v>214</v>
      </c>
    </row>
    <row r="11" ht="24.75" customHeight="1">
      <c r="A11" s="34" t="s">
        <v>748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</row>
    <row r="12" ht="99.75" customHeight="1">
      <c r="A12" s="21" t="s">
        <v>749</v>
      </c>
      <c r="B12" s="21" t="s">
        <v>750</v>
      </c>
      <c r="C12" s="21" t="s">
        <v>751</v>
      </c>
      <c r="D12" s="21" t="s">
        <v>752</v>
      </c>
      <c r="E12" s="21" t="s">
        <v>753</v>
      </c>
      <c r="F12" s="21" t="s">
        <v>231</v>
      </c>
      <c r="G12" s="21"/>
      <c r="H12" s="21"/>
      <c r="I12" s="21"/>
      <c r="J12" s="21"/>
      <c r="K12" s="21"/>
      <c r="L12" s="21"/>
      <c r="M12" s="21"/>
      <c r="N12" s="21"/>
      <c r="O12" s="21" t="s">
        <v>754</v>
      </c>
    </row>
    <row r="13" ht="99.75" customHeight="1">
      <c r="A13" s="21" t="s">
        <v>756</v>
      </c>
      <c r="B13" s="21" t="s">
        <v>757</v>
      </c>
      <c r="C13" s="21" t="s">
        <v>758</v>
      </c>
      <c r="D13" s="21" t="s">
        <v>759</v>
      </c>
      <c r="E13" s="21" t="s">
        <v>753</v>
      </c>
      <c r="F13" s="21" t="s">
        <v>231</v>
      </c>
      <c r="G13" s="21"/>
      <c r="H13" s="21"/>
      <c r="I13" s="21"/>
      <c r="J13" s="21"/>
      <c r="K13" s="21"/>
      <c r="L13" s="21"/>
      <c r="M13" s="21"/>
      <c r="N13" s="21"/>
      <c r="O13" s="21" t="s">
        <v>760</v>
      </c>
    </row>
    <row r="14" ht="99.75" customHeight="1">
      <c r="A14" s="21" t="s">
        <v>761</v>
      </c>
      <c r="B14" s="21" t="s">
        <v>762</v>
      </c>
      <c r="C14" s="21" t="s">
        <v>763</v>
      </c>
      <c r="D14" s="21" t="s">
        <v>764</v>
      </c>
      <c r="E14" s="21" t="s">
        <v>753</v>
      </c>
      <c r="F14" s="21" t="s">
        <v>231</v>
      </c>
      <c r="G14" s="21"/>
      <c r="H14" s="21"/>
      <c r="I14" s="21"/>
      <c r="J14" s="21"/>
      <c r="K14" s="21"/>
      <c r="L14" s="21"/>
      <c r="M14" s="21"/>
      <c r="N14" s="21"/>
      <c r="O14" s="21" t="s">
        <v>765</v>
      </c>
    </row>
    <row r="15" ht="99.75" customHeight="1">
      <c r="A15" s="21" t="s">
        <v>766</v>
      </c>
      <c r="B15" s="21" t="s">
        <v>767</v>
      </c>
      <c r="C15" s="21" t="s">
        <v>768</v>
      </c>
      <c r="D15" s="21" t="s">
        <v>769</v>
      </c>
      <c r="E15" s="21" t="s">
        <v>753</v>
      </c>
      <c r="F15" s="21" t="s">
        <v>231</v>
      </c>
      <c r="G15" s="21"/>
      <c r="H15" s="21"/>
      <c r="I15" s="21"/>
      <c r="J15" s="21"/>
      <c r="K15" s="21"/>
      <c r="L15" s="21"/>
      <c r="M15" s="21"/>
      <c r="N15" s="21"/>
      <c r="O15" s="21" t="s">
        <v>770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conditionalFormatting sqref="F12:F15">
    <cfRule type="expression" dxfId="0" priority="1">
      <formula>F12="Passed"</formula>
    </cfRule>
  </conditionalFormatting>
  <conditionalFormatting sqref="F12:F15">
    <cfRule type="expression" dxfId="1" priority="2">
      <formula>F12="Failed"</formula>
    </cfRule>
  </conditionalFormatting>
  <conditionalFormatting sqref="I12:I15">
    <cfRule type="expression" dxfId="0" priority="3">
      <formula>I12="Passed"</formula>
    </cfRule>
  </conditionalFormatting>
  <conditionalFormatting sqref="I12:I15">
    <cfRule type="expression" dxfId="1" priority="4">
      <formula>I12="Failed"</formula>
    </cfRule>
  </conditionalFormatting>
  <conditionalFormatting sqref="L12:L15">
    <cfRule type="expression" dxfId="0" priority="5">
      <formula>L12="Passed"</formula>
    </cfRule>
  </conditionalFormatting>
  <conditionalFormatting sqref="L12:L15">
    <cfRule type="expression" dxfId="1" priority="6">
      <formula>L12="Failed"</formula>
    </cfRule>
  </conditionalFormatting>
  <dataValidations>
    <dataValidation type="list" allowBlank="1" sqref="F12:F15 I12:I15 L12:L15">
      <formula1>"Not Run,Blocked,Passed,Failed,Pending,N/A"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/>
    <col customWidth="1" min="8" max="8" width="7.0"/>
    <col customWidth="1" min="9" max="9" width="9.38"/>
    <col customWidth="1" min="10" max="10" width="10.63"/>
    <col customWidth="1" min="11" max="11" width="7.0"/>
    <col customWidth="1" min="12" max="12" width="9.38"/>
    <col customWidth="1" min="13" max="13" width="10.63"/>
    <col customWidth="1" min="14" max="14" width="7.0"/>
    <col customWidth="1" min="15" max="15" width="28.63"/>
    <col customWidth="1" min="16" max="16" width="10.13"/>
    <col customWidth="1" min="17" max="17" width="8.13"/>
    <col customWidth="1" min="18" max="18" width="7.63"/>
    <col customWidth="1" min="19" max="26" width="8.63"/>
  </cols>
  <sheetData>
    <row r="2">
      <c r="A2" s="3" t="s">
        <v>3</v>
      </c>
      <c r="B2" s="7" t="s">
        <v>94</v>
      </c>
      <c r="C2" s="8"/>
      <c r="D2" s="8"/>
      <c r="E2" s="6"/>
      <c r="R2" s="12" t="s">
        <v>8</v>
      </c>
    </row>
    <row r="3" ht="45.0" customHeight="1">
      <c r="A3" s="3" t="s">
        <v>11</v>
      </c>
      <c r="B3" s="7" t="s">
        <v>755</v>
      </c>
      <c r="C3" s="8"/>
      <c r="D3" s="8"/>
      <c r="E3" s="6"/>
      <c r="R3" s="18" t="s">
        <v>17</v>
      </c>
    </row>
    <row r="4" ht="22.5" customHeight="1">
      <c r="A4" s="3" t="s">
        <v>23</v>
      </c>
      <c r="B4" s="7">
        <f>COUNTA(A12:A20)</f>
        <v>9</v>
      </c>
      <c r="C4" s="8"/>
      <c r="D4" s="8"/>
      <c r="E4" s="6"/>
      <c r="R4" s="27" t="s">
        <v>62</v>
      </c>
    </row>
    <row r="5">
      <c r="A5" s="28" t="s">
        <v>71</v>
      </c>
      <c r="B5" s="28" t="s">
        <v>8</v>
      </c>
      <c r="C5" s="28" t="s">
        <v>17</v>
      </c>
      <c r="D5" s="28" t="s">
        <v>62</v>
      </c>
      <c r="E5" s="28" t="s">
        <v>77</v>
      </c>
      <c r="R5" s="31" t="s">
        <v>77</v>
      </c>
    </row>
    <row r="6">
      <c r="A6" s="29" t="s">
        <v>91</v>
      </c>
      <c r="B6" s="29">
        <f>COUNTIF(F12:F20,"Passed")+COUNTIF(F12:F20,"Pass")</f>
        <v>0</v>
      </c>
      <c r="C6" s="29">
        <f>COUNTIF(F12:F20,"Failed")+COUNTIF(F12:F20,"Fail")</f>
        <v>0</v>
      </c>
      <c r="D6" s="29">
        <f>COUNTIF(F12:F20,"Not Run")+COUNTIF(F12:F20,"Blocked")+COUNTIF(F12:F20,"Pending")+COUNTBLANK(F12:F20)</f>
        <v>9</v>
      </c>
      <c r="E6" s="29">
        <f>COUNTIF(F12:F20,"N/A")</f>
        <v>0</v>
      </c>
    </row>
    <row r="7">
      <c r="A7" s="29" t="s">
        <v>130</v>
      </c>
      <c r="B7" s="29">
        <f>COUNTIF(I12:I20,"Passed")+COUNTIF(I12:I20,"Pass")</f>
        <v>0</v>
      </c>
      <c r="C7" s="29">
        <f>COUNTIF(I12:I20,"Failed")+COUNTIF(I12:I20,"Fail")</f>
        <v>0</v>
      </c>
      <c r="D7" s="29">
        <f>COUNTIF(I12:I20,"Not Run")+COUNTIF(I12:I20,"Blocked")+COUNTIF(I12:I20,"Pending")</f>
        <v>0</v>
      </c>
      <c r="E7" s="29">
        <f>COUNTIF(I12:I20,"N/A")</f>
        <v>0</v>
      </c>
    </row>
    <row r="8">
      <c r="A8" s="29" t="s">
        <v>153</v>
      </c>
      <c r="B8" s="29">
        <f>COUNTIF(L12:L20,"Passed")+COUNTIF(L12:L20,"Pass")</f>
        <v>0</v>
      </c>
      <c r="C8" s="29">
        <f>COUNTIF(L12:L20,"Failed")+COUNTIF(L12:L20,"Fail")</f>
        <v>0</v>
      </c>
      <c r="D8" s="29">
        <f>COUNTIF(L12:L20,"Not Run")+COUNTIF(L12:L20,"Blocked")+COUNTIF(L12:L20,"Pending")</f>
        <v>0</v>
      </c>
      <c r="E8" s="29">
        <f>COUNTIF(L12:L20,"N/A")</f>
        <v>0</v>
      </c>
    </row>
    <row r="10" ht="30.0" customHeight="1">
      <c r="A10" s="33" t="s">
        <v>193</v>
      </c>
      <c r="B10" s="33" t="s">
        <v>198</v>
      </c>
      <c r="C10" s="33" t="s">
        <v>199</v>
      </c>
      <c r="D10" s="33" t="s">
        <v>201</v>
      </c>
      <c r="E10" s="33" t="s">
        <v>205</v>
      </c>
      <c r="F10" s="33" t="s">
        <v>91</v>
      </c>
      <c r="G10" s="33" t="s">
        <v>207</v>
      </c>
      <c r="H10" s="33" t="s">
        <v>208</v>
      </c>
      <c r="I10" s="33" t="s">
        <v>130</v>
      </c>
      <c r="J10" s="33" t="s">
        <v>207</v>
      </c>
      <c r="K10" s="33" t="s">
        <v>208</v>
      </c>
      <c r="L10" s="33" t="s">
        <v>153</v>
      </c>
      <c r="M10" s="33" t="s">
        <v>207</v>
      </c>
      <c r="N10" s="33" t="s">
        <v>208</v>
      </c>
      <c r="O10" s="33" t="s">
        <v>214</v>
      </c>
    </row>
    <row r="11" ht="24.75" customHeight="1">
      <c r="A11" s="34" t="s">
        <v>771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</row>
    <row r="12" ht="99.75" customHeight="1">
      <c r="A12" s="21" t="s">
        <v>773</v>
      </c>
      <c r="B12" s="21" t="s">
        <v>774</v>
      </c>
      <c r="C12" s="21" t="s">
        <v>775</v>
      </c>
      <c r="D12" s="21" t="s">
        <v>776</v>
      </c>
      <c r="E12" s="21" t="s">
        <v>777</v>
      </c>
      <c r="F12" s="21" t="s">
        <v>231</v>
      </c>
      <c r="G12" s="21"/>
      <c r="H12" s="21"/>
      <c r="I12" s="21"/>
      <c r="J12" s="21"/>
      <c r="K12" s="21"/>
      <c r="L12" s="21"/>
      <c r="M12" s="21"/>
      <c r="N12" s="21"/>
      <c r="O12" s="21" t="s">
        <v>778</v>
      </c>
    </row>
    <row r="13" ht="99.75" customHeight="1">
      <c r="A13" s="21" t="s">
        <v>779</v>
      </c>
      <c r="B13" s="21" t="s">
        <v>780</v>
      </c>
      <c r="C13" s="21" t="s">
        <v>781</v>
      </c>
      <c r="D13" s="21" t="s">
        <v>782</v>
      </c>
      <c r="E13" s="21" t="s">
        <v>97</v>
      </c>
      <c r="F13" s="21" t="s">
        <v>231</v>
      </c>
      <c r="G13" s="21"/>
      <c r="H13" s="21"/>
      <c r="I13" s="21"/>
      <c r="J13" s="21"/>
      <c r="K13" s="21"/>
      <c r="L13" s="21"/>
      <c r="M13" s="21"/>
      <c r="N13" s="21"/>
      <c r="O13" s="21" t="s">
        <v>783</v>
      </c>
    </row>
    <row r="14" ht="99.75" customHeight="1">
      <c r="A14" s="21" t="s">
        <v>784</v>
      </c>
      <c r="B14" s="21" t="s">
        <v>785</v>
      </c>
      <c r="C14" s="21" t="s">
        <v>786</v>
      </c>
      <c r="D14" s="21" t="s">
        <v>787</v>
      </c>
      <c r="E14" s="21" t="s">
        <v>97</v>
      </c>
      <c r="F14" s="21" t="s">
        <v>231</v>
      </c>
      <c r="G14" s="21"/>
      <c r="H14" s="21"/>
      <c r="I14" s="21"/>
      <c r="J14" s="21"/>
      <c r="K14" s="21"/>
      <c r="L14" s="21"/>
      <c r="M14" s="21"/>
      <c r="N14" s="21"/>
      <c r="O14" s="21" t="s">
        <v>788</v>
      </c>
    </row>
    <row r="15" ht="99.75" customHeight="1">
      <c r="A15" s="21" t="s">
        <v>789</v>
      </c>
      <c r="B15" s="21" t="s">
        <v>790</v>
      </c>
      <c r="C15" s="21" t="s">
        <v>791</v>
      </c>
      <c r="D15" s="21" t="s">
        <v>792</v>
      </c>
      <c r="E15" s="21" t="s">
        <v>793</v>
      </c>
      <c r="F15" s="21" t="s">
        <v>231</v>
      </c>
      <c r="G15" s="21"/>
      <c r="H15" s="21"/>
      <c r="I15" s="21"/>
      <c r="J15" s="21"/>
      <c r="K15" s="21"/>
      <c r="L15" s="21"/>
      <c r="M15" s="21"/>
      <c r="N15" s="21"/>
      <c r="O15" s="21" t="s">
        <v>794</v>
      </c>
    </row>
    <row r="16" ht="99.75" customHeight="1">
      <c r="A16" s="21" t="s">
        <v>795</v>
      </c>
      <c r="B16" s="21" t="s">
        <v>796</v>
      </c>
      <c r="C16" s="21" t="s">
        <v>797</v>
      </c>
      <c r="D16" s="21" t="s">
        <v>798</v>
      </c>
      <c r="E16" s="21" t="s">
        <v>799</v>
      </c>
      <c r="F16" s="21" t="s">
        <v>231</v>
      </c>
      <c r="G16" s="21"/>
      <c r="H16" s="21"/>
      <c r="I16" s="21"/>
      <c r="J16" s="21"/>
      <c r="K16" s="21"/>
      <c r="L16" s="21"/>
      <c r="M16" s="21"/>
      <c r="N16" s="21"/>
      <c r="O16" s="21" t="s">
        <v>800</v>
      </c>
    </row>
    <row r="17" ht="99.75" customHeight="1">
      <c r="A17" s="21" t="s">
        <v>801</v>
      </c>
      <c r="B17" s="21" t="s">
        <v>802</v>
      </c>
      <c r="C17" s="21" t="s">
        <v>803</v>
      </c>
      <c r="D17" s="21" t="s">
        <v>804</v>
      </c>
      <c r="E17" s="21" t="s">
        <v>805</v>
      </c>
      <c r="F17" s="21" t="s">
        <v>231</v>
      </c>
      <c r="G17" s="21"/>
      <c r="H17" s="21"/>
      <c r="I17" s="21"/>
      <c r="J17" s="21"/>
      <c r="K17" s="21"/>
      <c r="L17" s="21"/>
      <c r="M17" s="21"/>
      <c r="N17" s="21"/>
      <c r="O17" s="21" t="s">
        <v>806</v>
      </c>
    </row>
    <row r="18" ht="99.75" customHeight="1">
      <c r="A18" s="21" t="s">
        <v>807</v>
      </c>
      <c r="B18" s="21" t="s">
        <v>808</v>
      </c>
      <c r="C18" s="21" t="s">
        <v>809</v>
      </c>
      <c r="D18" s="21" t="s">
        <v>810</v>
      </c>
      <c r="E18" s="21" t="s">
        <v>811</v>
      </c>
      <c r="F18" s="21" t="s">
        <v>231</v>
      </c>
      <c r="G18" s="21"/>
      <c r="H18" s="21"/>
      <c r="I18" s="21"/>
      <c r="J18" s="21"/>
      <c r="K18" s="21"/>
      <c r="L18" s="21"/>
      <c r="M18" s="21"/>
      <c r="N18" s="21"/>
      <c r="O18" s="21" t="s">
        <v>812</v>
      </c>
    </row>
    <row r="19" ht="99.75" customHeight="1">
      <c r="A19" s="21" t="s">
        <v>813</v>
      </c>
      <c r="B19" s="21" t="s">
        <v>814</v>
      </c>
      <c r="C19" s="21" t="s">
        <v>815</v>
      </c>
      <c r="D19" s="21" t="s">
        <v>816</v>
      </c>
      <c r="E19" s="21" t="s">
        <v>817</v>
      </c>
      <c r="F19" s="21" t="s">
        <v>231</v>
      </c>
      <c r="G19" s="21"/>
      <c r="H19" s="21"/>
      <c r="I19" s="21"/>
      <c r="J19" s="21"/>
      <c r="K19" s="21"/>
      <c r="L19" s="21"/>
      <c r="M19" s="21"/>
      <c r="N19" s="21"/>
      <c r="O19" s="21" t="s">
        <v>818</v>
      </c>
    </row>
    <row r="20" ht="99.75" customHeight="1">
      <c r="A20" s="21" t="s">
        <v>819</v>
      </c>
      <c r="B20" s="21" t="s">
        <v>820</v>
      </c>
      <c r="C20" s="21" t="s">
        <v>821</v>
      </c>
      <c r="D20" s="21" t="s">
        <v>822</v>
      </c>
      <c r="E20" s="21" t="s">
        <v>823</v>
      </c>
      <c r="F20" s="21" t="s">
        <v>231</v>
      </c>
      <c r="G20" s="21"/>
      <c r="H20" s="21"/>
      <c r="I20" s="21"/>
      <c r="J20" s="21"/>
      <c r="K20" s="21"/>
      <c r="L20" s="21"/>
      <c r="M20" s="21"/>
      <c r="N20" s="21"/>
      <c r="O20" s="21" t="s">
        <v>825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conditionalFormatting sqref="F12:F20">
    <cfRule type="expression" dxfId="0" priority="1">
      <formula>F12="Passed"</formula>
    </cfRule>
  </conditionalFormatting>
  <conditionalFormatting sqref="F12:F20">
    <cfRule type="expression" dxfId="1" priority="2">
      <formula>F12="Failed"</formula>
    </cfRule>
  </conditionalFormatting>
  <conditionalFormatting sqref="I12:I20">
    <cfRule type="expression" dxfId="0" priority="3">
      <formula>I12="Passed"</formula>
    </cfRule>
  </conditionalFormatting>
  <conditionalFormatting sqref="I12:I20">
    <cfRule type="expression" dxfId="1" priority="4">
      <formula>I12="Failed"</formula>
    </cfRule>
  </conditionalFormatting>
  <conditionalFormatting sqref="L12:L20">
    <cfRule type="expression" dxfId="0" priority="5">
      <formula>L12="Passed"</formula>
    </cfRule>
  </conditionalFormatting>
  <conditionalFormatting sqref="L12:L20">
    <cfRule type="expression" dxfId="1" priority="6">
      <formula>L12="Failed"</formula>
    </cfRule>
  </conditionalFormatting>
  <dataValidations>
    <dataValidation type="list" allowBlank="1" sqref="F12:F20 I12:I20 L12:L20">
      <formula1>"Not Run,Blocked,Passed,Failed,Pending,N/A"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/>
    <col customWidth="1" min="8" max="8" width="7.0"/>
    <col customWidth="1" min="9" max="9" width="9.38"/>
    <col customWidth="1" min="10" max="10" width="10.63"/>
    <col customWidth="1" min="11" max="11" width="7.0"/>
    <col customWidth="1" min="12" max="12" width="9.38"/>
    <col customWidth="1" min="13" max="13" width="10.63"/>
    <col customWidth="1" min="14" max="14" width="7.0"/>
    <col customWidth="1" min="15" max="15" width="28.63"/>
    <col customWidth="1" min="16" max="16" width="10.13"/>
    <col customWidth="1" min="17" max="17" width="8.13"/>
    <col customWidth="1" min="18" max="18" width="7.63"/>
    <col customWidth="1" min="19" max="26" width="8.63"/>
  </cols>
  <sheetData>
    <row r="2">
      <c r="A2" s="3" t="s">
        <v>3</v>
      </c>
      <c r="B2" s="7" t="s">
        <v>102</v>
      </c>
      <c r="C2" s="8"/>
      <c r="D2" s="8"/>
      <c r="E2" s="6"/>
      <c r="R2" s="12" t="s">
        <v>8</v>
      </c>
    </row>
    <row r="3" ht="45.0" customHeight="1">
      <c r="A3" s="3" t="s">
        <v>11</v>
      </c>
      <c r="B3" s="7" t="s">
        <v>772</v>
      </c>
      <c r="C3" s="8"/>
      <c r="D3" s="8"/>
      <c r="E3" s="6"/>
      <c r="R3" s="18" t="s">
        <v>17</v>
      </c>
    </row>
    <row r="4" ht="22.5" customHeight="1">
      <c r="A4" s="3" t="s">
        <v>23</v>
      </c>
      <c r="B4" s="7">
        <f>COUNTA(A12:A31)</f>
        <v>20</v>
      </c>
      <c r="C4" s="8"/>
      <c r="D4" s="8"/>
      <c r="E4" s="6"/>
      <c r="R4" s="27" t="s">
        <v>62</v>
      </c>
    </row>
    <row r="5">
      <c r="A5" s="28" t="s">
        <v>71</v>
      </c>
      <c r="B5" s="28" t="s">
        <v>8</v>
      </c>
      <c r="C5" s="28" t="s">
        <v>17</v>
      </c>
      <c r="D5" s="28" t="s">
        <v>62</v>
      </c>
      <c r="E5" s="28" t="s">
        <v>77</v>
      </c>
      <c r="R5" s="31" t="s">
        <v>77</v>
      </c>
    </row>
    <row r="6">
      <c r="A6" s="29" t="s">
        <v>91</v>
      </c>
      <c r="B6" s="29">
        <f>COUNTIF(F12:F31,"Passed")+COUNTIF(F12:F31,"Pass")</f>
        <v>0</v>
      </c>
      <c r="C6" s="29">
        <f>COUNTIF(F12:F31,"Failed")+COUNTIF(F12:F31,"Fail")</f>
        <v>0</v>
      </c>
      <c r="D6" s="29">
        <f>COUNTIF(F12:F31,"Not Run")+COUNTIF(F12:F31,"Blocked")+COUNTIF(F12:F31,"Pending")+COUNTBLANK(F12:F31)</f>
        <v>20</v>
      </c>
      <c r="E6" s="29">
        <f>COUNTIF(F12:F31,"N/A")</f>
        <v>0</v>
      </c>
    </row>
    <row r="7">
      <c r="A7" s="29" t="s">
        <v>130</v>
      </c>
      <c r="B7" s="29">
        <f>COUNTIF(I12:I31,"Passed")+COUNTIF(I12:I31,"Pass")</f>
        <v>0</v>
      </c>
      <c r="C7" s="29">
        <f>COUNTIF(I12:I31,"Failed")+COUNTIF(I12:I31,"Fail")</f>
        <v>0</v>
      </c>
      <c r="D7" s="29">
        <f>COUNTIF(I12:I31,"Not Run")+COUNTIF(I12:I31,"Blocked")+COUNTIF(I12:I31,"Pending")</f>
        <v>0</v>
      </c>
      <c r="E7" s="29">
        <f>COUNTIF(I12:I31,"N/A")</f>
        <v>0</v>
      </c>
    </row>
    <row r="8">
      <c r="A8" s="29" t="s">
        <v>153</v>
      </c>
      <c r="B8" s="29">
        <f>COUNTIF(L12:L31,"Passed")+COUNTIF(L12:L31,"Pass")</f>
        <v>0</v>
      </c>
      <c r="C8" s="29">
        <f>COUNTIF(L12:L31,"Failed")+COUNTIF(L12:L31,"Fail")</f>
        <v>0</v>
      </c>
      <c r="D8" s="29">
        <f>COUNTIF(L12:L31,"Not Run")+COUNTIF(L12:L31,"Blocked")+COUNTIF(L12:L31,"Pending")</f>
        <v>0</v>
      </c>
      <c r="E8" s="29">
        <f>COUNTIF(L12:L31,"N/A")</f>
        <v>0</v>
      </c>
    </row>
    <row r="10" ht="30.0" customHeight="1">
      <c r="A10" s="33" t="s">
        <v>193</v>
      </c>
      <c r="B10" s="33" t="s">
        <v>198</v>
      </c>
      <c r="C10" s="33" t="s">
        <v>199</v>
      </c>
      <c r="D10" s="33" t="s">
        <v>201</v>
      </c>
      <c r="E10" s="33" t="s">
        <v>205</v>
      </c>
      <c r="F10" s="33" t="s">
        <v>91</v>
      </c>
      <c r="G10" s="33" t="s">
        <v>207</v>
      </c>
      <c r="H10" s="33" t="s">
        <v>208</v>
      </c>
      <c r="I10" s="33" t="s">
        <v>130</v>
      </c>
      <c r="J10" s="33" t="s">
        <v>207</v>
      </c>
      <c r="K10" s="33" t="s">
        <v>208</v>
      </c>
      <c r="L10" s="33" t="s">
        <v>153</v>
      </c>
      <c r="M10" s="33" t="s">
        <v>207</v>
      </c>
      <c r="N10" s="33" t="s">
        <v>208</v>
      </c>
      <c r="O10" s="33" t="s">
        <v>214</v>
      </c>
    </row>
    <row r="11" ht="24.75" customHeight="1">
      <c r="A11" s="34" t="s">
        <v>826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</row>
    <row r="12" ht="99.75" customHeight="1">
      <c r="A12" s="21" t="s">
        <v>827</v>
      </c>
      <c r="B12" s="21" t="s">
        <v>828</v>
      </c>
      <c r="C12" s="21" t="s">
        <v>829</v>
      </c>
      <c r="D12" s="21" t="s">
        <v>830</v>
      </c>
      <c r="E12" s="21" t="s">
        <v>100</v>
      </c>
      <c r="F12" s="21" t="s">
        <v>231</v>
      </c>
      <c r="G12" s="21"/>
      <c r="H12" s="21"/>
      <c r="I12" s="21"/>
      <c r="J12" s="21"/>
      <c r="K12" s="21"/>
      <c r="L12" s="21"/>
      <c r="M12" s="21"/>
      <c r="N12" s="21"/>
      <c r="O12" s="21" t="s">
        <v>831</v>
      </c>
    </row>
    <row r="13" ht="99.75" customHeight="1">
      <c r="A13" s="21" t="s">
        <v>832</v>
      </c>
      <c r="B13" s="21" t="s">
        <v>833</v>
      </c>
      <c r="C13" s="21" t="s">
        <v>834</v>
      </c>
      <c r="D13" s="21" t="s">
        <v>835</v>
      </c>
      <c r="E13" s="21" t="s">
        <v>100</v>
      </c>
      <c r="F13" s="21" t="s">
        <v>231</v>
      </c>
      <c r="G13" s="21"/>
      <c r="H13" s="21"/>
      <c r="I13" s="21"/>
      <c r="J13" s="21"/>
      <c r="K13" s="21"/>
      <c r="L13" s="21"/>
      <c r="M13" s="21"/>
      <c r="N13" s="21"/>
      <c r="O13" s="21" t="s">
        <v>836</v>
      </c>
    </row>
    <row r="14" ht="99.75" customHeight="1">
      <c r="A14" s="21" t="s">
        <v>837</v>
      </c>
      <c r="B14" s="21" t="s">
        <v>838</v>
      </c>
      <c r="C14" s="21" t="s">
        <v>839</v>
      </c>
      <c r="D14" s="21" t="s">
        <v>840</v>
      </c>
      <c r="E14" s="21" t="s">
        <v>100</v>
      </c>
      <c r="F14" s="21" t="s">
        <v>231</v>
      </c>
      <c r="G14" s="21"/>
      <c r="H14" s="21"/>
      <c r="I14" s="21"/>
      <c r="J14" s="21"/>
      <c r="K14" s="21"/>
      <c r="L14" s="21"/>
      <c r="M14" s="21"/>
      <c r="N14" s="21"/>
      <c r="O14" s="21" t="s">
        <v>841</v>
      </c>
    </row>
    <row r="15" ht="99.75" customHeight="1">
      <c r="A15" s="21" t="s">
        <v>842</v>
      </c>
      <c r="B15" s="21" t="s">
        <v>843</v>
      </c>
      <c r="C15" s="21" t="s">
        <v>844</v>
      </c>
      <c r="D15" s="21" t="s">
        <v>845</v>
      </c>
      <c r="E15" s="21" t="s">
        <v>100</v>
      </c>
      <c r="F15" s="21" t="s">
        <v>231</v>
      </c>
      <c r="G15" s="21"/>
      <c r="H15" s="21"/>
      <c r="I15" s="21"/>
      <c r="J15" s="21"/>
      <c r="K15" s="21"/>
      <c r="L15" s="21"/>
      <c r="M15" s="21"/>
      <c r="N15" s="21"/>
      <c r="O15" s="21" t="s">
        <v>846</v>
      </c>
    </row>
    <row r="16" ht="99.75" customHeight="1">
      <c r="A16" s="21" t="s">
        <v>847</v>
      </c>
      <c r="B16" s="21" t="s">
        <v>848</v>
      </c>
      <c r="C16" s="21" t="s">
        <v>849</v>
      </c>
      <c r="D16" s="21" t="s">
        <v>850</v>
      </c>
      <c r="E16" s="21" t="s">
        <v>100</v>
      </c>
      <c r="F16" s="21" t="s">
        <v>231</v>
      </c>
      <c r="G16" s="21"/>
      <c r="H16" s="21"/>
      <c r="I16" s="21"/>
      <c r="J16" s="21"/>
      <c r="K16" s="21"/>
      <c r="L16" s="21"/>
      <c r="M16" s="21"/>
      <c r="N16" s="21"/>
      <c r="O16" s="21" t="s">
        <v>851</v>
      </c>
    </row>
    <row r="17" ht="99.75" customHeight="1">
      <c r="A17" s="21" t="s">
        <v>852</v>
      </c>
      <c r="B17" s="21" t="s">
        <v>853</v>
      </c>
      <c r="C17" s="21" t="s">
        <v>854</v>
      </c>
      <c r="D17" s="21" t="s">
        <v>855</v>
      </c>
      <c r="E17" s="21" t="s">
        <v>100</v>
      </c>
      <c r="F17" s="21" t="s">
        <v>231</v>
      </c>
      <c r="G17" s="21"/>
      <c r="H17" s="21"/>
      <c r="I17" s="21"/>
      <c r="J17" s="21"/>
      <c r="K17" s="21"/>
      <c r="L17" s="21"/>
      <c r="M17" s="21"/>
      <c r="N17" s="21"/>
      <c r="O17" s="21" t="s">
        <v>856</v>
      </c>
    </row>
    <row r="18" ht="99.75" customHeight="1">
      <c r="A18" s="21" t="s">
        <v>857</v>
      </c>
      <c r="B18" s="21" t="s">
        <v>858</v>
      </c>
      <c r="C18" s="21" t="s">
        <v>859</v>
      </c>
      <c r="D18" s="21" t="s">
        <v>860</v>
      </c>
      <c r="E18" s="21" t="s">
        <v>108</v>
      </c>
      <c r="F18" s="21" t="s">
        <v>231</v>
      </c>
      <c r="G18" s="21"/>
      <c r="H18" s="21"/>
      <c r="I18" s="21"/>
      <c r="J18" s="21"/>
      <c r="K18" s="21"/>
      <c r="L18" s="21"/>
      <c r="M18" s="21"/>
      <c r="N18" s="21"/>
      <c r="O18" s="21" t="s">
        <v>861</v>
      </c>
    </row>
    <row r="19" ht="99.75" customHeight="1">
      <c r="A19" s="21" t="s">
        <v>862</v>
      </c>
      <c r="B19" s="21" t="s">
        <v>863</v>
      </c>
      <c r="C19" s="21" t="s">
        <v>864</v>
      </c>
      <c r="D19" s="21" t="s">
        <v>865</v>
      </c>
      <c r="E19" s="21" t="s">
        <v>108</v>
      </c>
      <c r="F19" s="21" t="s">
        <v>231</v>
      </c>
      <c r="G19" s="21"/>
      <c r="H19" s="21"/>
      <c r="I19" s="21"/>
      <c r="J19" s="21"/>
      <c r="K19" s="21"/>
      <c r="L19" s="21"/>
      <c r="M19" s="21"/>
      <c r="N19" s="21"/>
      <c r="O19" s="21" t="s">
        <v>867</v>
      </c>
    </row>
    <row r="20" ht="99.75" customHeight="1">
      <c r="A20" s="21" t="s">
        <v>868</v>
      </c>
      <c r="B20" s="21" t="s">
        <v>869</v>
      </c>
      <c r="C20" s="21" t="s">
        <v>871</v>
      </c>
      <c r="D20" s="21" t="s">
        <v>873</v>
      </c>
      <c r="E20" s="21" t="s">
        <v>108</v>
      </c>
      <c r="F20" s="21" t="s">
        <v>231</v>
      </c>
      <c r="G20" s="21"/>
      <c r="H20" s="21"/>
      <c r="I20" s="21"/>
      <c r="J20" s="21"/>
      <c r="K20" s="21"/>
      <c r="L20" s="21"/>
      <c r="M20" s="21"/>
      <c r="N20" s="21"/>
      <c r="O20" s="21" t="s">
        <v>876</v>
      </c>
    </row>
    <row r="21" ht="99.75" customHeight="1">
      <c r="A21" s="21" t="s">
        <v>877</v>
      </c>
      <c r="B21" s="21" t="s">
        <v>878</v>
      </c>
      <c r="C21" s="21" t="s">
        <v>880</v>
      </c>
      <c r="D21" s="21" t="s">
        <v>882</v>
      </c>
      <c r="E21" s="21" t="s">
        <v>111</v>
      </c>
      <c r="F21" s="21" t="s">
        <v>231</v>
      </c>
      <c r="G21" s="21"/>
      <c r="H21" s="21"/>
      <c r="I21" s="21"/>
      <c r="J21" s="21"/>
      <c r="K21" s="21"/>
      <c r="L21" s="21"/>
      <c r="M21" s="21"/>
      <c r="N21" s="21"/>
      <c r="O21" s="21" t="s">
        <v>886</v>
      </c>
    </row>
    <row r="22" ht="99.75" customHeight="1">
      <c r="A22" s="21" t="s">
        <v>887</v>
      </c>
      <c r="B22" s="21" t="s">
        <v>889</v>
      </c>
      <c r="C22" s="21" t="s">
        <v>892</v>
      </c>
      <c r="D22" s="21" t="s">
        <v>893</v>
      </c>
      <c r="E22" s="21" t="s">
        <v>111</v>
      </c>
      <c r="F22" s="21" t="s">
        <v>231</v>
      </c>
      <c r="G22" s="21"/>
      <c r="H22" s="21"/>
      <c r="I22" s="21"/>
      <c r="J22" s="21"/>
      <c r="K22" s="21"/>
      <c r="L22" s="21"/>
      <c r="M22" s="21"/>
      <c r="N22" s="21"/>
      <c r="O22" s="21" t="s">
        <v>896</v>
      </c>
    </row>
    <row r="23" ht="99.75" customHeight="1">
      <c r="A23" s="21" t="s">
        <v>899</v>
      </c>
      <c r="B23" s="21" t="s">
        <v>901</v>
      </c>
      <c r="C23" s="21" t="s">
        <v>904</v>
      </c>
      <c r="D23" s="21" t="s">
        <v>905</v>
      </c>
      <c r="E23" s="21" t="s">
        <v>111</v>
      </c>
      <c r="F23" s="21" t="s">
        <v>231</v>
      </c>
      <c r="G23" s="21"/>
      <c r="H23" s="21"/>
      <c r="I23" s="21"/>
      <c r="J23" s="21"/>
      <c r="K23" s="21"/>
      <c r="L23" s="21"/>
      <c r="M23" s="21"/>
      <c r="N23" s="21"/>
      <c r="O23" s="21" t="s">
        <v>909</v>
      </c>
    </row>
    <row r="24" ht="99.75" customHeight="1">
      <c r="A24" s="21" t="s">
        <v>911</v>
      </c>
      <c r="B24" s="21" t="s">
        <v>913</v>
      </c>
      <c r="C24" s="21" t="s">
        <v>914</v>
      </c>
      <c r="D24" s="21" t="s">
        <v>915</v>
      </c>
      <c r="E24" s="21" t="s">
        <v>114</v>
      </c>
      <c r="F24" s="21" t="s">
        <v>231</v>
      </c>
      <c r="G24" s="21"/>
      <c r="H24" s="21"/>
      <c r="I24" s="21"/>
      <c r="J24" s="21"/>
      <c r="K24" s="21"/>
      <c r="L24" s="21"/>
      <c r="M24" s="21"/>
      <c r="N24" s="21"/>
      <c r="O24" s="21" t="s">
        <v>921</v>
      </c>
    </row>
    <row r="25" ht="99.75" customHeight="1">
      <c r="A25" s="21" t="s">
        <v>922</v>
      </c>
      <c r="B25" s="21" t="s">
        <v>923</v>
      </c>
      <c r="C25" s="21" t="s">
        <v>924</v>
      </c>
      <c r="D25" s="21" t="s">
        <v>925</v>
      </c>
      <c r="E25" s="21" t="s">
        <v>114</v>
      </c>
      <c r="F25" s="21" t="s">
        <v>231</v>
      </c>
      <c r="G25" s="21"/>
      <c r="H25" s="21"/>
      <c r="I25" s="21"/>
      <c r="J25" s="21"/>
      <c r="K25" s="21"/>
      <c r="L25" s="21"/>
      <c r="M25" s="21"/>
      <c r="N25" s="21"/>
      <c r="O25" s="21" t="s">
        <v>931</v>
      </c>
    </row>
    <row r="26" ht="99.75" customHeight="1">
      <c r="A26" s="21" t="s">
        <v>932</v>
      </c>
      <c r="B26" s="21" t="s">
        <v>933</v>
      </c>
      <c r="C26" s="21" t="s">
        <v>934</v>
      </c>
      <c r="D26" s="21" t="s">
        <v>935</v>
      </c>
      <c r="E26" s="21" t="s">
        <v>114</v>
      </c>
      <c r="F26" s="21" t="s">
        <v>231</v>
      </c>
      <c r="G26" s="21"/>
      <c r="H26" s="21"/>
      <c r="I26" s="21"/>
      <c r="J26" s="21"/>
      <c r="K26" s="21"/>
      <c r="L26" s="21"/>
      <c r="M26" s="21"/>
      <c r="N26" s="21"/>
      <c r="O26" s="21" t="s">
        <v>941</v>
      </c>
    </row>
    <row r="27" ht="99.75" customHeight="1">
      <c r="A27" s="21" t="s">
        <v>942</v>
      </c>
      <c r="B27" s="21" t="s">
        <v>943</v>
      </c>
      <c r="C27" s="21" t="s">
        <v>944</v>
      </c>
      <c r="D27" s="21" t="s">
        <v>945</v>
      </c>
      <c r="E27" s="21" t="s">
        <v>946</v>
      </c>
      <c r="F27" s="21" t="s">
        <v>231</v>
      </c>
      <c r="G27" s="21"/>
      <c r="H27" s="21"/>
      <c r="I27" s="21"/>
      <c r="J27" s="21"/>
      <c r="K27" s="21"/>
      <c r="L27" s="21"/>
      <c r="M27" s="21"/>
      <c r="N27" s="21"/>
      <c r="O27" s="21" t="s">
        <v>952</v>
      </c>
    </row>
    <row r="28" ht="99.75" customHeight="1">
      <c r="A28" s="21" t="s">
        <v>953</v>
      </c>
      <c r="B28" s="21" t="s">
        <v>954</v>
      </c>
      <c r="C28" s="21" t="s">
        <v>955</v>
      </c>
      <c r="D28" s="21" t="s">
        <v>956</v>
      </c>
      <c r="E28" s="21" t="s">
        <v>957</v>
      </c>
      <c r="F28" s="21" t="s">
        <v>231</v>
      </c>
      <c r="G28" s="21"/>
      <c r="H28" s="21"/>
      <c r="I28" s="21"/>
      <c r="J28" s="21"/>
      <c r="K28" s="21"/>
      <c r="L28" s="21"/>
      <c r="M28" s="21"/>
      <c r="N28" s="21"/>
      <c r="O28" s="21" t="s">
        <v>962</v>
      </c>
    </row>
    <row r="29" ht="99.75" customHeight="1">
      <c r="A29" s="21" t="s">
        <v>964</v>
      </c>
      <c r="B29" s="21" t="s">
        <v>966</v>
      </c>
      <c r="C29" s="21" t="s">
        <v>967</v>
      </c>
      <c r="D29" s="21" t="s">
        <v>968</v>
      </c>
      <c r="E29" s="21" t="s">
        <v>969</v>
      </c>
      <c r="F29" s="21" t="s">
        <v>231</v>
      </c>
      <c r="G29" s="21"/>
      <c r="H29" s="21"/>
      <c r="I29" s="21"/>
      <c r="J29" s="21"/>
      <c r="K29" s="21"/>
      <c r="L29" s="21"/>
      <c r="M29" s="21"/>
      <c r="N29" s="21"/>
      <c r="O29" s="21" t="s">
        <v>970</v>
      </c>
    </row>
    <row r="30" ht="99.75" customHeight="1">
      <c r="A30" s="21" t="s">
        <v>971</v>
      </c>
      <c r="B30" s="21" t="s">
        <v>972</v>
      </c>
      <c r="C30" s="21" t="s">
        <v>974</v>
      </c>
      <c r="D30" s="21" t="s">
        <v>976</v>
      </c>
      <c r="E30" s="21" t="s">
        <v>978</v>
      </c>
      <c r="F30" s="21" t="s">
        <v>231</v>
      </c>
      <c r="G30" s="21"/>
      <c r="H30" s="21"/>
      <c r="I30" s="21"/>
      <c r="J30" s="21"/>
      <c r="K30" s="21"/>
      <c r="L30" s="21"/>
      <c r="M30" s="21"/>
      <c r="N30" s="21"/>
      <c r="O30" s="21" t="s">
        <v>982</v>
      </c>
    </row>
    <row r="31" ht="99.75" customHeight="1">
      <c r="A31" s="21" t="s">
        <v>984</v>
      </c>
      <c r="B31" s="21" t="s">
        <v>986</v>
      </c>
      <c r="C31" s="21" t="s">
        <v>988</v>
      </c>
      <c r="D31" s="21" t="s">
        <v>990</v>
      </c>
      <c r="E31" s="21" t="s">
        <v>992</v>
      </c>
      <c r="F31" s="21" t="s">
        <v>231</v>
      </c>
      <c r="G31" s="21"/>
      <c r="H31" s="21"/>
      <c r="I31" s="21"/>
      <c r="J31" s="21"/>
      <c r="K31" s="21"/>
      <c r="L31" s="21"/>
      <c r="M31" s="21"/>
      <c r="N31" s="21"/>
      <c r="O31" s="21" t="s">
        <v>994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conditionalFormatting sqref="F12:F31">
    <cfRule type="expression" dxfId="0" priority="1">
      <formula>F12="Passed"</formula>
    </cfRule>
  </conditionalFormatting>
  <conditionalFormatting sqref="F12:F31">
    <cfRule type="expression" dxfId="1" priority="2">
      <formula>F12="Failed"</formula>
    </cfRule>
  </conditionalFormatting>
  <conditionalFormatting sqref="I12:I31">
    <cfRule type="expression" dxfId="0" priority="3">
      <formula>I12="Passed"</formula>
    </cfRule>
  </conditionalFormatting>
  <conditionalFormatting sqref="I12:I31">
    <cfRule type="expression" dxfId="1" priority="4">
      <formula>I12="Failed"</formula>
    </cfRule>
  </conditionalFormatting>
  <conditionalFormatting sqref="L12:L31">
    <cfRule type="expression" dxfId="0" priority="5">
      <formula>L12="Passed"</formula>
    </cfRule>
  </conditionalFormatting>
  <conditionalFormatting sqref="L12:L31">
    <cfRule type="expression" dxfId="1" priority="6">
      <formula>L12="Failed"</formula>
    </cfRule>
  </conditionalFormatting>
  <dataValidations>
    <dataValidation type="list" allowBlank="1" sqref="F12:F31 I12:I31 L12:L31">
      <formula1>"Not Run,Blocked,Passed,Failed,Pending,N/A"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/>
    <col customWidth="1" min="8" max="8" width="7.0"/>
    <col customWidth="1" min="9" max="9" width="9.38"/>
    <col customWidth="1" min="10" max="10" width="10.63"/>
    <col customWidth="1" min="11" max="11" width="7.0"/>
    <col customWidth="1" min="12" max="12" width="9.38"/>
    <col customWidth="1" min="13" max="13" width="10.63"/>
    <col customWidth="1" min="14" max="14" width="7.0"/>
    <col customWidth="1" min="15" max="15" width="28.63"/>
    <col customWidth="1" min="16" max="16" width="10.13"/>
    <col customWidth="1" min="17" max="17" width="8.13"/>
    <col customWidth="1" min="18" max="18" width="7.63"/>
    <col customWidth="1" min="19" max="26" width="8.63"/>
  </cols>
  <sheetData>
    <row r="2">
      <c r="A2" s="3" t="s">
        <v>3</v>
      </c>
      <c r="B2" s="7" t="s">
        <v>116</v>
      </c>
      <c r="C2" s="8"/>
      <c r="D2" s="8"/>
      <c r="E2" s="6"/>
      <c r="R2" s="12" t="s">
        <v>8</v>
      </c>
    </row>
    <row r="3" ht="45.0" customHeight="1">
      <c r="A3" s="3" t="s">
        <v>11</v>
      </c>
      <c r="B3" s="7" t="s">
        <v>824</v>
      </c>
      <c r="C3" s="8"/>
      <c r="D3" s="8"/>
      <c r="E3" s="6"/>
      <c r="R3" s="18" t="s">
        <v>17</v>
      </c>
    </row>
    <row r="4" ht="22.5" customHeight="1">
      <c r="A4" s="3" t="s">
        <v>23</v>
      </c>
      <c r="B4" s="7">
        <f>COUNTA(A12:A27)</f>
        <v>16</v>
      </c>
      <c r="C4" s="8"/>
      <c r="D4" s="8"/>
      <c r="E4" s="6"/>
      <c r="R4" s="27" t="s">
        <v>62</v>
      </c>
    </row>
    <row r="5">
      <c r="A5" s="28" t="s">
        <v>71</v>
      </c>
      <c r="B5" s="28" t="s">
        <v>8</v>
      </c>
      <c r="C5" s="28" t="s">
        <v>17</v>
      </c>
      <c r="D5" s="28" t="s">
        <v>62</v>
      </c>
      <c r="E5" s="28" t="s">
        <v>77</v>
      </c>
      <c r="R5" s="31" t="s">
        <v>77</v>
      </c>
    </row>
    <row r="6">
      <c r="A6" s="29" t="s">
        <v>91</v>
      </c>
      <c r="B6" s="29">
        <f>COUNTIF(F12:F27,"Passed")+COUNTIF(F12:F27,"Pass")</f>
        <v>0</v>
      </c>
      <c r="C6" s="29">
        <f>COUNTIF(F12:F27,"Failed")+COUNTIF(F12:F27,"Fail")</f>
        <v>0</v>
      </c>
      <c r="D6" s="29">
        <f>COUNTIF(F12:F27,"Not Run")+COUNTIF(F12:F27,"Blocked")+COUNTIF(F12:F27,"Pending")+COUNTBLANK(F12:F27)</f>
        <v>16</v>
      </c>
      <c r="E6" s="29">
        <f>COUNTIF(F12:F27,"N/A")</f>
        <v>0</v>
      </c>
    </row>
    <row r="7">
      <c r="A7" s="29" t="s">
        <v>130</v>
      </c>
      <c r="B7" s="29">
        <f>COUNTIF(I12:I27,"Passed")+COUNTIF(I12:I27,"Pass")</f>
        <v>0</v>
      </c>
      <c r="C7" s="29">
        <f>COUNTIF(I12:I27,"Failed")+COUNTIF(I12:I27,"Fail")</f>
        <v>0</v>
      </c>
      <c r="D7" s="29">
        <f>COUNTIF(I12:I27,"Not Run")+COUNTIF(I12:I27,"Blocked")+COUNTIF(I12:I27,"Pending")</f>
        <v>0</v>
      </c>
      <c r="E7" s="29">
        <f>COUNTIF(I12:I27,"N/A")</f>
        <v>0</v>
      </c>
    </row>
    <row r="8">
      <c r="A8" s="29" t="s">
        <v>153</v>
      </c>
      <c r="B8" s="29">
        <f>COUNTIF(L12:L27,"Passed")+COUNTIF(L12:L27,"Pass")</f>
        <v>0</v>
      </c>
      <c r="C8" s="29">
        <f>COUNTIF(L12:L27,"Failed")+COUNTIF(L12:L27,"Fail")</f>
        <v>0</v>
      </c>
      <c r="D8" s="29">
        <f>COUNTIF(L12:L27,"Not Run")+COUNTIF(L12:L27,"Blocked")+COUNTIF(L12:L27,"Pending")</f>
        <v>0</v>
      </c>
      <c r="E8" s="29">
        <f>COUNTIF(L12:L27,"N/A")</f>
        <v>0</v>
      </c>
    </row>
    <row r="10" ht="30.0" customHeight="1">
      <c r="A10" s="33" t="s">
        <v>193</v>
      </c>
      <c r="B10" s="33" t="s">
        <v>198</v>
      </c>
      <c r="C10" s="33" t="s">
        <v>199</v>
      </c>
      <c r="D10" s="33" t="s">
        <v>201</v>
      </c>
      <c r="E10" s="33" t="s">
        <v>205</v>
      </c>
      <c r="F10" s="33" t="s">
        <v>91</v>
      </c>
      <c r="G10" s="33" t="s">
        <v>207</v>
      </c>
      <c r="H10" s="33" t="s">
        <v>208</v>
      </c>
      <c r="I10" s="33" t="s">
        <v>130</v>
      </c>
      <c r="J10" s="33" t="s">
        <v>207</v>
      </c>
      <c r="K10" s="33" t="s">
        <v>208</v>
      </c>
      <c r="L10" s="33" t="s">
        <v>153</v>
      </c>
      <c r="M10" s="33" t="s">
        <v>207</v>
      </c>
      <c r="N10" s="33" t="s">
        <v>208</v>
      </c>
      <c r="O10" s="33" t="s">
        <v>214</v>
      </c>
    </row>
    <row r="11" ht="24.75" customHeight="1">
      <c r="A11" s="34" t="s">
        <v>866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</row>
    <row r="12" ht="99.75" customHeight="1">
      <c r="A12" s="21" t="s">
        <v>870</v>
      </c>
      <c r="B12" s="21" t="s">
        <v>872</v>
      </c>
      <c r="C12" s="21" t="s">
        <v>874</v>
      </c>
      <c r="D12" s="21" t="s">
        <v>875</v>
      </c>
      <c r="E12" s="21" t="s">
        <v>100</v>
      </c>
      <c r="F12" s="21" t="s">
        <v>231</v>
      </c>
      <c r="G12" s="21"/>
      <c r="H12" s="21"/>
      <c r="I12" s="21"/>
      <c r="J12" s="21"/>
      <c r="K12" s="21"/>
      <c r="L12" s="21"/>
      <c r="M12" s="21"/>
      <c r="N12" s="21"/>
      <c r="O12" s="21" t="s">
        <v>879</v>
      </c>
    </row>
    <row r="13" ht="99.75" customHeight="1">
      <c r="A13" s="21" t="s">
        <v>881</v>
      </c>
      <c r="B13" s="21" t="s">
        <v>883</v>
      </c>
      <c r="C13" s="21" t="s">
        <v>884</v>
      </c>
      <c r="D13" s="21" t="s">
        <v>885</v>
      </c>
      <c r="E13" s="21" t="s">
        <v>100</v>
      </c>
      <c r="F13" s="21" t="s">
        <v>231</v>
      </c>
      <c r="G13" s="21"/>
      <c r="H13" s="21"/>
      <c r="I13" s="21"/>
      <c r="J13" s="21"/>
      <c r="K13" s="21"/>
      <c r="L13" s="21"/>
      <c r="M13" s="21"/>
      <c r="N13" s="21"/>
      <c r="O13" s="21" t="s">
        <v>888</v>
      </c>
    </row>
    <row r="14" ht="99.75" customHeight="1">
      <c r="A14" s="21" t="s">
        <v>890</v>
      </c>
      <c r="B14" s="21" t="s">
        <v>891</v>
      </c>
      <c r="C14" s="21" t="s">
        <v>894</v>
      </c>
      <c r="D14" s="21" t="s">
        <v>895</v>
      </c>
      <c r="E14" s="21" t="s">
        <v>100</v>
      </c>
      <c r="F14" s="21" t="s">
        <v>231</v>
      </c>
      <c r="G14" s="21"/>
      <c r="H14" s="21"/>
      <c r="I14" s="21"/>
      <c r="J14" s="21"/>
      <c r="K14" s="21"/>
      <c r="L14" s="21"/>
      <c r="M14" s="21"/>
      <c r="N14" s="21"/>
      <c r="O14" s="21" t="s">
        <v>897</v>
      </c>
    </row>
    <row r="15" ht="99.75" customHeight="1">
      <c r="A15" s="21" t="s">
        <v>898</v>
      </c>
      <c r="B15" s="21" t="s">
        <v>900</v>
      </c>
      <c r="C15" s="21" t="s">
        <v>902</v>
      </c>
      <c r="D15" s="21" t="s">
        <v>903</v>
      </c>
      <c r="E15" s="21" t="s">
        <v>100</v>
      </c>
      <c r="F15" s="21" t="s">
        <v>231</v>
      </c>
      <c r="G15" s="21"/>
      <c r="H15" s="21"/>
      <c r="I15" s="21"/>
      <c r="J15" s="21"/>
      <c r="K15" s="21"/>
      <c r="L15" s="21"/>
      <c r="M15" s="21"/>
      <c r="N15" s="21"/>
      <c r="O15" s="21" t="s">
        <v>906</v>
      </c>
    </row>
    <row r="16" ht="99.75" customHeight="1">
      <c r="A16" s="21" t="s">
        <v>907</v>
      </c>
      <c r="B16" s="21" t="s">
        <v>908</v>
      </c>
      <c r="C16" s="21" t="s">
        <v>910</v>
      </c>
      <c r="D16" s="21" t="s">
        <v>912</v>
      </c>
      <c r="E16" s="21" t="s">
        <v>100</v>
      </c>
      <c r="F16" s="21" t="s">
        <v>231</v>
      </c>
      <c r="G16" s="21"/>
      <c r="H16" s="21"/>
      <c r="I16" s="21"/>
      <c r="J16" s="21"/>
      <c r="K16" s="21"/>
      <c r="L16" s="21"/>
      <c r="M16" s="21"/>
      <c r="N16" s="21"/>
      <c r="O16" s="21" t="s">
        <v>916</v>
      </c>
    </row>
    <row r="17" ht="99.75" customHeight="1">
      <c r="A17" s="21" t="s">
        <v>917</v>
      </c>
      <c r="B17" s="21" t="s">
        <v>918</v>
      </c>
      <c r="C17" s="21" t="s">
        <v>919</v>
      </c>
      <c r="D17" s="21" t="s">
        <v>920</v>
      </c>
      <c r="E17" s="21" t="s">
        <v>100</v>
      </c>
      <c r="F17" s="21" t="s">
        <v>231</v>
      </c>
      <c r="G17" s="21"/>
      <c r="H17" s="21"/>
      <c r="I17" s="21"/>
      <c r="J17" s="21"/>
      <c r="K17" s="21"/>
      <c r="L17" s="21"/>
      <c r="M17" s="21"/>
      <c r="N17" s="21"/>
      <c r="O17" s="21" t="s">
        <v>926</v>
      </c>
    </row>
    <row r="18" ht="99.75" customHeight="1">
      <c r="A18" s="21" t="s">
        <v>927</v>
      </c>
      <c r="B18" s="21" t="s">
        <v>928</v>
      </c>
      <c r="C18" s="21" t="s">
        <v>929</v>
      </c>
      <c r="D18" s="21" t="s">
        <v>930</v>
      </c>
      <c r="E18" s="21" t="s">
        <v>100</v>
      </c>
      <c r="F18" s="21" t="s">
        <v>231</v>
      </c>
      <c r="G18" s="21"/>
      <c r="H18" s="21"/>
      <c r="I18" s="21"/>
      <c r="J18" s="21"/>
      <c r="K18" s="21"/>
      <c r="L18" s="21"/>
      <c r="M18" s="21"/>
      <c r="N18" s="21"/>
      <c r="O18" s="21" t="s">
        <v>936</v>
      </c>
    </row>
    <row r="19" ht="99.75" customHeight="1">
      <c r="A19" s="21" t="s">
        <v>937</v>
      </c>
      <c r="B19" s="21" t="s">
        <v>938</v>
      </c>
      <c r="C19" s="21" t="s">
        <v>939</v>
      </c>
      <c r="D19" s="21" t="s">
        <v>940</v>
      </c>
      <c r="E19" s="21" t="s">
        <v>100</v>
      </c>
      <c r="F19" s="21" t="s">
        <v>231</v>
      </c>
      <c r="G19" s="21"/>
      <c r="H19" s="21"/>
      <c r="I19" s="21"/>
      <c r="J19" s="21"/>
      <c r="K19" s="21"/>
      <c r="L19" s="21"/>
      <c r="M19" s="21"/>
      <c r="N19" s="21"/>
      <c r="O19" s="21" t="s">
        <v>947</v>
      </c>
    </row>
    <row r="20" ht="99.75" customHeight="1">
      <c r="A20" s="21" t="s">
        <v>948</v>
      </c>
      <c r="B20" s="21" t="s">
        <v>949</v>
      </c>
      <c r="C20" s="21" t="s">
        <v>950</v>
      </c>
      <c r="D20" s="21" t="s">
        <v>951</v>
      </c>
      <c r="E20" s="21" t="s">
        <v>100</v>
      </c>
      <c r="F20" s="21" t="s">
        <v>231</v>
      </c>
      <c r="G20" s="21"/>
      <c r="H20" s="21"/>
      <c r="I20" s="21"/>
      <c r="J20" s="21"/>
      <c r="K20" s="21"/>
      <c r="L20" s="21"/>
      <c r="M20" s="21"/>
      <c r="N20" s="21"/>
      <c r="O20" s="21" t="s">
        <v>958</v>
      </c>
    </row>
    <row r="21" ht="99.75" customHeight="1">
      <c r="A21" s="21" t="s">
        <v>959</v>
      </c>
      <c r="B21" s="21" t="s">
        <v>960</v>
      </c>
      <c r="C21" s="21" t="s">
        <v>961</v>
      </c>
      <c r="D21" s="21" t="s">
        <v>963</v>
      </c>
      <c r="E21" s="21" t="s">
        <v>965</v>
      </c>
      <c r="F21" s="21" t="s">
        <v>231</v>
      </c>
      <c r="G21" s="21"/>
      <c r="H21" s="21"/>
      <c r="I21" s="21"/>
      <c r="J21" s="21"/>
      <c r="K21" s="21"/>
      <c r="L21" s="21"/>
      <c r="M21" s="21"/>
      <c r="N21" s="21"/>
      <c r="O21" s="21" t="s">
        <v>973</v>
      </c>
    </row>
    <row r="22" ht="99.75" customHeight="1">
      <c r="A22" s="21" t="s">
        <v>975</v>
      </c>
      <c r="B22" s="21" t="s">
        <v>977</v>
      </c>
      <c r="C22" s="21" t="s">
        <v>979</v>
      </c>
      <c r="D22" s="21" t="s">
        <v>980</v>
      </c>
      <c r="E22" s="21" t="s">
        <v>981</v>
      </c>
      <c r="F22" s="21" t="s">
        <v>231</v>
      </c>
      <c r="G22" s="21"/>
      <c r="H22" s="21"/>
      <c r="I22" s="21"/>
      <c r="J22" s="21"/>
      <c r="K22" s="21"/>
      <c r="L22" s="21"/>
      <c r="M22" s="21"/>
      <c r="N22" s="21"/>
      <c r="O22" s="21" t="s">
        <v>983</v>
      </c>
    </row>
    <row r="23" ht="99.75" customHeight="1">
      <c r="A23" s="21" t="s">
        <v>985</v>
      </c>
      <c r="B23" s="21" t="s">
        <v>987</v>
      </c>
      <c r="C23" s="21" t="s">
        <v>989</v>
      </c>
      <c r="D23" s="21" t="s">
        <v>991</v>
      </c>
      <c r="E23" s="21" t="s">
        <v>993</v>
      </c>
      <c r="F23" s="21" t="s">
        <v>231</v>
      </c>
      <c r="G23" s="21"/>
      <c r="H23" s="21"/>
      <c r="I23" s="21"/>
      <c r="J23" s="21"/>
      <c r="K23" s="21"/>
      <c r="L23" s="21"/>
      <c r="M23" s="21"/>
      <c r="N23" s="21"/>
      <c r="O23" s="21" t="s">
        <v>995</v>
      </c>
    </row>
    <row r="24" ht="99.75" customHeight="1">
      <c r="A24" s="21" t="s">
        <v>996</v>
      </c>
      <c r="B24" s="21" t="s">
        <v>997</v>
      </c>
      <c r="C24" s="21" t="s">
        <v>998</v>
      </c>
      <c r="D24" s="21" t="s">
        <v>999</v>
      </c>
      <c r="E24" s="21" t="s">
        <v>1000</v>
      </c>
      <c r="F24" s="21" t="s">
        <v>231</v>
      </c>
      <c r="G24" s="21"/>
      <c r="H24" s="21"/>
      <c r="I24" s="21"/>
      <c r="J24" s="21"/>
      <c r="K24" s="21"/>
      <c r="L24" s="21"/>
      <c r="M24" s="21"/>
      <c r="N24" s="21"/>
      <c r="O24" s="21" t="s">
        <v>1002</v>
      </c>
    </row>
    <row r="25" ht="99.75" customHeight="1">
      <c r="A25" s="21" t="s">
        <v>1003</v>
      </c>
      <c r="B25" s="21" t="s">
        <v>1004</v>
      </c>
      <c r="C25" s="21" t="s">
        <v>1005</v>
      </c>
      <c r="D25" s="21" t="s">
        <v>1006</v>
      </c>
      <c r="E25" s="21" t="s">
        <v>1007</v>
      </c>
      <c r="F25" s="21" t="s">
        <v>231</v>
      </c>
      <c r="G25" s="21"/>
      <c r="H25" s="21"/>
      <c r="I25" s="21"/>
      <c r="J25" s="21"/>
      <c r="K25" s="21"/>
      <c r="L25" s="21"/>
      <c r="M25" s="21"/>
      <c r="N25" s="21"/>
      <c r="O25" s="21" t="s">
        <v>1008</v>
      </c>
    </row>
    <row r="26" ht="99.75" customHeight="1">
      <c r="A26" s="21" t="s">
        <v>1009</v>
      </c>
      <c r="B26" s="21" t="s">
        <v>1010</v>
      </c>
      <c r="C26" s="21" t="s">
        <v>1011</v>
      </c>
      <c r="D26" s="21" t="s">
        <v>1012</v>
      </c>
      <c r="E26" s="21" t="s">
        <v>1013</v>
      </c>
      <c r="F26" s="21" t="s">
        <v>231</v>
      </c>
      <c r="G26" s="21"/>
      <c r="H26" s="21"/>
      <c r="I26" s="21"/>
      <c r="J26" s="21"/>
      <c r="K26" s="21"/>
      <c r="L26" s="21"/>
      <c r="M26" s="21"/>
      <c r="N26" s="21"/>
      <c r="O26" s="21" t="s">
        <v>1014</v>
      </c>
    </row>
    <row r="27" ht="99.75" customHeight="1">
      <c r="A27" s="21" t="s">
        <v>1015</v>
      </c>
      <c r="B27" s="21" t="s">
        <v>1016</v>
      </c>
      <c r="C27" s="21" t="s">
        <v>1017</v>
      </c>
      <c r="D27" s="21" t="s">
        <v>1018</v>
      </c>
      <c r="E27" s="21" t="s">
        <v>1019</v>
      </c>
      <c r="F27" s="21" t="s">
        <v>231</v>
      </c>
      <c r="G27" s="21"/>
      <c r="H27" s="21"/>
      <c r="I27" s="21"/>
      <c r="J27" s="21"/>
      <c r="K27" s="21"/>
      <c r="L27" s="21"/>
      <c r="M27" s="21"/>
      <c r="N27" s="21"/>
      <c r="O27" s="21" t="s">
        <v>1020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conditionalFormatting sqref="F12:F27">
    <cfRule type="expression" dxfId="0" priority="1">
      <formula>F12="Passed"</formula>
    </cfRule>
  </conditionalFormatting>
  <conditionalFormatting sqref="F12:F27">
    <cfRule type="expression" dxfId="1" priority="2">
      <formula>F12="Failed"</formula>
    </cfRule>
  </conditionalFormatting>
  <conditionalFormatting sqref="I12:I27">
    <cfRule type="expression" dxfId="0" priority="3">
      <formula>I12="Passed"</formula>
    </cfRule>
  </conditionalFormatting>
  <conditionalFormatting sqref="I12:I27">
    <cfRule type="expression" dxfId="1" priority="4">
      <formula>I12="Failed"</formula>
    </cfRule>
  </conditionalFormatting>
  <conditionalFormatting sqref="L12:L27">
    <cfRule type="expression" dxfId="0" priority="5">
      <formula>L12="Passed"</formula>
    </cfRule>
  </conditionalFormatting>
  <conditionalFormatting sqref="L12:L27">
    <cfRule type="expression" dxfId="1" priority="6">
      <formula>L12="Failed"</formula>
    </cfRule>
  </conditionalFormatting>
  <dataValidations>
    <dataValidation type="list" allowBlank="1" sqref="F12:F27 I12:I27 L12:L27">
      <formula1>"Not Run,Blocked,Passed,Failed,Pending,N/A"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/>
    <col customWidth="1" min="8" max="8" width="7.0"/>
    <col customWidth="1" min="9" max="9" width="9.38"/>
    <col customWidth="1" min="10" max="10" width="10.63"/>
    <col customWidth="1" min="11" max="11" width="7.0"/>
    <col customWidth="1" min="12" max="12" width="9.38"/>
    <col customWidth="1" min="13" max="13" width="10.63"/>
    <col customWidth="1" min="14" max="14" width="7.0"/>
    <col customWidth="1" min="15" max="15" width="28.63"/>
    <col customWidth="1" min="16" max="16" width="10.13"/>
    <col customWidth="1" min="17" max="17" width="8.13"/>
    <col customWidth="1" min="18" max="18" width="7.63"/>
    <col customWidth="1" min="19" max="26" width="8.63"/>
  </cols>
  <sheetData>
    <row r="2">
      <c r="A2" s="3" t="s">
        <v>3</v>
      </c>
      <c r="B2" s="7" t="s">
        <v>123</v>
      </c>
      <c r="C2" s="8"/>
      <c r="D2" s="8"/>
      <c r="E2" s="6"/>
      <c r="R2" s="12" t="s">
        <v>8</v>
      </c>
    </row>
    <row r="3" ht="45.0" customHeight="1">
      <c r="A3" s="3" t="s">
        <v>11</v>
      </c>
      <c r="B3" s="7" t="s">
        <v>1001</v>
      </c>
      <c r="C3" s="8"/>
      <c r="D3" s="8"/>
      <c r="E3" s="6"/>
      <c r="R3" s="18" t="s">
        <v>17</v>
      </c>
    </row>
    <row r="4" ht="22.5" customHeight="1">
      <c r="A4" s="3" t="s">
        <v>23</v>
      </c>
      <c r="B4" s="7">
        <f>COUNTA(A12:A40)</f>
        <v>29</v>
      </c>
      <c r="C4" s="8"/>
      <c r="D4" s="8"/>
      <c r="E4" s="6"/>
      <c r="R4" s="27" t="s">
        <v>62</v>
      </c>
    </row>
    <row r="5">
      <c r="A5" s="28" t="s">
        <v>71</v>
      </c>
      <c r="B5" s="28" t="s">
        <v>8</v>
      </c>
      <c r="C5" s="28" t="s">
        <v>17</v>
      </c>
      <c r="D5" s="28" t="s">
        <v>62</v>
      </c>
      <c r="E5" s="28" t="s">
        <v>77</v>
      </c>
      <c r="R5" s="31" t="s">
        <v>77</v>
      </c>
    </row>
    <row r="6">
      <c r="A6" s="29" t="s">
        <v>91</v>
      </c>
      <c r="B6" s="29">
        <f>COUNTIF(F12:F40,"Passed")+COUNTIF(F12:F40,"Pass")</f>
        <v>0</v>
      </c>
      <c r="C6" s="29">
        <f>COUNTIF(F12:F40,"Failed")+COUNTIF(F12:F40,"Fail")</f>
        <v>0</v>
      </c>
      <c r="D6" s="29">
        <f>COUNTIF(F12:F40,"Not Run")+COUNTIF(F12:F40,"Blocked")+COUNTIF(F12:F40,"Pending")+COUNTBLANK(F12:F40)</f>
        <v>29</v>
      </c>
      <c r="E6" s="29">
        <f>COUNTIF(F12:F40,"N/A")</f>
        <v>0</v>
      </c>
    </row>
    <row r="7">
      <c r="A7" s="29" t="s">
        <v>130</v>
      </c>
      <c r="B7" s="29">
        <f>COUNTIF(I12:I40,"Passed")+COUNTIF(I12:I40,"Pass")</f>
        <v>0</v>
      </c>
      <c r="C7" s="29">
        <f>COUNTIF(I12:I40,"Failed")+COUNTIF(I12:I40,"Fail")</f>
        <v>0</v>
      </c>
      <c r="D7" s="29">
        <f>COUNTIF(I12:I40,"Not Run")+COUNTIF(I12:I40,"Blocked")+COUNTIF(I12:I40,"Pending")</f>
        <v>0</v>
      </c>
      <c r="E7" s="29">
        <f>COUNTIF(I12:I40,"N/A")</f>
        <v>0</v>
      </c>
    </row>
    <row r="8">
      <c r="A8" s="29" t="s">
        <v>153</v>
      </c>
      <c r="B8" s="29">
        <f>COUNTIF(L12:L40,"Passed")+COUNTIF(L12:L40,"Pass")</f>
        <v>0</v>
      </c>
      <c r="C8" s="29">
        <f>COUNTIF(L12:L40,"Failed")+COUNTIF(L12:L40,"Fail")</f>
        <v>0</v>
      </c>
      <c r="D8" s="29">
        <f>COUNTIF(L12:L40,"Not Run")+COUNTIF(L12:L40,"Blocked")+COUNTIF(L12:L40,"Pending")</f>
        <v>0</v>
      </c>
      <c r="E8" s="29">
        <f>COUNTIF(L12:L40,"N/A")</f>
        <v>0</v>
      </c>
    </row>
    <row r="10" ht="30.0" customHeight="1">
      <c r="A10" s="33" t="s">
        <v>193</v>
      </c>
      <c r="B10" s="33" t="s">
        <v>198</v>
      </c>
      <c r="C10" s="33" t="s">
        <v>199</v>
      </c>
      <c r="D10" s="33" t="s">
        <v>201</v>
      </c>
      <c r="E10" s="33" t="s">
        <v>205</v>
      </c>
      <c r="F10" s="33" t="s">
        <v>91</v>
      </c>
      <c r="G10" s="33" t="s">
        <v>207</v>
      </c>
      <c r="H10" s="33" t="s">
        <v>208</v>
      </c>
      <c r="I10" s="33" t="s">
        <v>130</v>
      </c>
      <c r="J10" s="33" t="s">
        <v>207</v>
      </c>
      <c r="K10" s="33" t="s">
        <v>208</v>
      </c>
      <c r="L10" s="33" t="s">
        <v>153</v>
      </c>
      <c r="M10" s="33" t="s">
        <v>207</v>
      </c>
      <c r="N10" s="33" t="s">
        <v>208</v>
      </c>
      <c r="O10" s="33" t="s">
        <v>214</v>
      </c>
    </row>
    <row r="11" ht="24.75" customHeight="1">
      <c r="A11" s="34" t="s">
        <v>1021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</row>
    <row r="12" ht="99.75" customHeight="1">
      <c r="A12" s="21" t="s">
        <v>1022</v>
      </c>
      <c r="B12" s="21" t="s">
        <v>1023</v>
      </c>
      <c r="C12" s="21" t="s">
        <v>1024</v>
      </c>
      <c r="D12" s="21" t="s">
        <v>1025</v>
      </c>
      <c r="E12" s="21" t="s">
        <v>125</v>
      </c>
      <c r="F12" s="21" t="s">
        <v>231</v>
      </c>
      <c r="G12" s="21"/>
      <c r="H12" s="21"/>
      <c r="I12" s="21"/>
      <c r="J12" s="21"/>
      <c r="K12" s="21"/>
      <c r="L12" s="21"/>
      <c r="M12" s="21"/>
      <c r="N12" s="21"/>
      <c r="O12" s="21" t="s">
        <v>1026</v>
      </c>
    </row>
    <row r="13" ht="99.75" customHeight="1">
      <c r="A13" s="21" t="s">
        <v>1027</v>
      </c>
      <c r="B13" s="21" t="s">
        <v>1028</v>
      </c>
      <c r="C13" s="21" t="s">
        <v>1029</v>
      </c>
      <c r="D13" s="21" t="s">
        <v>1030</v>
      </c>
      <c r="E13" s="21" t="s">
        <v>125</v>
      </c>
      <c r="F13" s="21" t="s">
        <v>231</v>
      </c>
      <c r="G13" s="21"/>
      <c r="H13" s="21"/>
      <c r="I13" s="21"/>
      <c r="J13" s="21"/>
      <c r="K13" s="21"/>
      <c r="L13" s="21"/>
      <c r="M13" s="21"/>
      <c r="N13" s="21"/>
      <c r="O13" s="21" t="s">
        <v>1031</v>
      </c>
    </row>
    <row r="14" ht="99.75" customHeight="1">
      <c r="A14" s="21" t="s">
        <v>1032</v>
      </c>
      <c r="B14" s="21" t="s">
        <v>1033</v>
      </c>
      <c r="C14" s="21" t="s">
        <v>1034</v>
      </c>
      <c r="D14" s="21" t="s">
        <v>1035</v>
      </c>
      <c r="E14" s="21" t="s">
        <v>125</v>
      </c>
      <c r="F14" s="21" t="s">
        <v>231</v>
      </c>
      <c r="G14" s="21"/>
      <c r="H14" s="21"/>
      <c r="I14" s="21"/>
      <c r="J14" s="21"/>
      <c r="K14" s="21"/>
      <c r="L14" s="21"/>
      <c r="M14" s="21"/>
      <c r="N14" s="21"/>
      <c r="O14" s="21" t="s">
        <v>1036</v>
      </c>
    </row>
    <row r="15" ht="99.75" customHeight="1">
      <c r="A15" s="21" t="s">
        <v>1037</v>
      </c>
      <c r="B15" s="21" t="s">
        <v>1038</v>
      </c>
      <c r="C15" s="21" t="s">
        <v>1039</v>
      </c>
      <c r="D15" s="21" t="s">
        <v>1040</v>
      </c>
      <c r="E15" s="21" t="s">
        <v>128</v>
      </c>
      <c r="F15" s="21" t="s">
        <v>231</v>
      </c>
      <c r="G15" s="21"/>
      <c r="H15" s="21"/>
      <c r="I15" s="21"/>
      <c r="J15" s="21"/>
      <c r="K15" s="21"/>
      <c r="L15" s="21"/>
      <c r="M15" s="21"/>
      <c r="N15" s="21"/>
      <c r="O15" s="21" t="s">
        <v>1041</v>
      </c>
    </row>
    <row r="16" ht="99.75" customHeight="1">
      <c r="A16" s="21" t="s">
        <v>1042</v>
      </c>
      <c r="B16" s="21" t="s">
        <v>1043</v>
      </c>
      <c r="C16" s="21" t="s">
        <v>1044</v>
      </c>
      <c r="D16" s="21" t="s">
        <v>1045</v>
      </c>
      <c r="E16" s="21" t="s">
        <v>128</v>
      </c>
      <c r="F16" s="21" t="s">
        <v>231</v>
      </c>
      <c r="G16" s="21"/>
      <c r="H16" s="21"/>
      <c r="I16" s="21"/>
      <c r="J16" s="21"/>
      <c r="K16" s="21"/>
      <c r="L16" s="21"/>
      <c r="M16" s="21"/>
      <c r="N16" s="21"/>
      <c r="O16" s="21" t="s">
        <v>1046</v>
      </c>
    </row>
    <row r="17" ht="99.75" customHeight="1">
      <c r="A17" s="21" t="s">
        <v>1047</v>
      </c>
      <c r="B17" s="21" t="s">
        <v>1048</v>
      </c>
      <c r="C17" s="21" t="s">
        <v>1049</v>
      </c>
      <c r="D17" s="21" t="s">
        <v>1050</v>
      </c>
      <c r="E17" s="21" t="s">
        <v>128</v>
      </c>
      <c r="F17" s="21" t="s">
        <v>231</v>
      </c>
      <c r="G17" s="21"/>
      <c r="H17" s="21"/>
      <c r="I17" s="21"/>
      <c r="J17" s="21"/>
      <c r="K17" s="21"/>
      <c r="L17" s="21"/>
      <c r="M17" s="21"/>
      <c r="N17" s="21"/>
      <c r="O17" s="21" t="s">
        <v>1051</v>
      </c>
    </row>
    <row r="18" ht="99.75" customHeight="1">
      <c r="A18" s="21" t="s">
        <v>1052</v>
      </c>
      <c r="B18" s="21" t="s">
        <v>1053</v>
      </c>
      <c r="C18" s="21" t="s">
        <v>1054</v>
      </c>
      <c r="D18" s="21" t="s">
        <v>1055</v>
      </c>
      <c r="E18" s="21" t="s">
        <v>128</v>
      </c>
      <c r="F18" s="21" t="s">
        <v>231</v>
      </c>
      <c r="G18" s="21"/>
      <c r="H18" s="21"/>
      <c r="I18" s="21"/>
      <c r="J18" s="21"/>
      <c r="K18" s="21"/>
      <c r="L18" s="21"/>
      <c r="M18" s="21"/>
      <c r="N18" s="21"/>
      <c r="O18" s="21" t="s">
        <v>1056</v>
      </c>
    </row>
    <row r="19" ht="99.75" customHeight="1">
      <c r="A19" s="21" t="s">
        <v>1057</v>
      </c>
      <c r="B19" s="21" t="s">
        <v>1058</v>
      </c>
      <c r="C19" s="21" t="s">
        <v>1059</v>
      </c>
      <c r="D19" s="21" t="s">
        <v>1060</v>
      </c>
      <c r="E19" s="21" t="s">
        <v>128</v>
      </c>
      <c r="F19" s="21" t="s">
        <v>231</v>
      </c>
      <c r="G19" s="21"/>
      <c r="H19" s="21"/>
      <c r="I19" s="21"/>
      <c r="J19" s="21"/>
      <c r="K19" s="21"/>
      <c r="L19" s="21"/>
      <c r="M19" s="21"/>
      <c r="N19" s="21"/>
      <c r="O19" s="21" t="s">
        <v>1061</v>
      </c>
    </row>
    <row r="20" ht="99.75" customHeight="1">
      <c r="A20" s="21" t="s">
        <v>1062</v>
      </c>
      <c r="B20" s="21" t="s">
        <v>1063</v>
      </c>
      <c r="C20" s="21" t="s">
        <v>1064</v>
      </c>
      <c r="D20" s="21" t="s">
        <v>1065</v>
      </c>
      <c r="E20" s="21" t="s">
        <v>128</v>
      </c>
      <c r="F20" s="21" t="s">
        <v>231</v>
      </c>
      <c r="G20" s="21"/>
      <c r="H20" s="21"/>
      <c r="I20" s="21"/>
      <c r="J20" s="21"/>
      <c r="K20" s="21"/>
      <c r="L20" s="21"/>
      <c r="M20" s="21"/>
      <c r="N20" s="21"/>
      <c r="O20" s="21" t="s">
        <v>1066</v>
      </c>
    </row>
    <row r="21" ht="99.75" customHeight="1">
      <c r="A21" s="21" t="s">
        <v>1067</v>
      </c>
      <c r="B21" s="21" t="s">
        <v>1068</v>
      </c>
      <c r="C21" s="21" t="s">
        <v>1069</v>
      </c>
      <c r="D21" s="21" t="s">
        <v>1070</v>
      </c>
      <c r="E21" s="21" t="s">
        <v>128</v>
      </c>
      <c r="F21" s="21" t="s">
        <v>231</v>
      </c>
      <c r="G21" s="21"/>
      <c r="H21" s="21"/>
      <c r="I21" s="21"/>
      <c r="J21" s="21"/>
      <c r="K21" s="21"/>
      <c r="L21" s="21"/>
      <c r="M21" s="21"/>
      <c r="N21" s="21"/>
      <c r="O21" s="21" t="s">
        <v>1071</v>
      </c>
    </row>
    <row r="22" ht="99.75" customHeight="1">
      <c r="A22" s="21" t="s">
        <v>1072</v>
      </c>
      <c r="B22" s="21" t="s">
        <v>1073</v>
      </c>
      <c r="C22" s="21" t="s">
        <v>1074</v>
      </c>
      <c r="D22" s="21" t="s">
        <v>1075</v>
      </c>
      <c r="E22" s="21" t="s">
        <v>128</v>
      </c>
      <c r="F22" s="21" t="s">
        <v>231</v>
      </c>
      <c r="G22" s="21"/>
      <c r="H22" s="21"/>
      <c r="I22" s="21"/>
      <c r="J22" s="21"/>
      <c r="K22" s="21"/>
      <c r="L22" s="21"/>
      <c r="M22" s="21"/>
      <c r="N22" s="21"/>
      <c r="O22" s="21" t="s">
        <v>1076</v>
      </c>
    </row>
    <row r="23" ht="99.75" customHeight="1">
      <c r="A23" s="21" t="s">
        <v>1077</v>
      </c>
      <c r="B23" s="21" t="s">
        <v>1078</v>
      </c>
      <c r="C23" s="21" t="s">
        <v>1079</v>
      </c>
      <c r="D23" s="21" t="s">
        <v>1080</v>
      </c>
      <c r="E23" s="21" t="s">
        <v>128</v>
      </c>
      <c r="F23" s="21" t="s">
        <v>231</v>
      </c>
      <c r="G23" s="21"/>
      <c r="H23" s="21"/>
      <c r="I23" s="21"/>
      <c r="J23" s="21"/>
      <c r="K23" s="21"/>
      <c r="L23" s="21"/>
      <c r="M23" s="21"/>
      <c r="N23" s="21"/>
      <c r="O23" s="21" t="s">
        <v>1081</v>
      </c>
    </row>
    <row r="24" ht="99.75" customHeight="1">
      <c r="A24" s="21" t="s">
        <v>1082</v>
      </c>
      <c r="B24" s="21" t="s">
        <v>1083</v>
      </c>
      <c r="C24" s="21" t="s">
        <v>1084</v>
      </c>
      <c r="D24" s="21" t="s">
        <v>1085</v>
      </c>
      <c r="E24" s="21" t="s">
        <v>1086</v>
      </c>
      <c r="F24" s="21" t="s">
        <v>231</v>
      </c>
      <c r="G24" s="21"/>
      <c r="H24" s="21"/>
      <c r="I24" s="21"/>
      <c r="J24" s="21"/>
      <c r="K24" s="21"/>
      <c r="L24" s="21"/>
      <c r="M24" s="21"/>
      <c r="N24" s="21"/>
      <c r="O24" s="21" t="s">
        <v>1088</v>
      </c>
    </row>
    <row r="25" ht="99.75" customHeight="1">
      <c r="A25" s="21" t="s">
        <v>1089</v>
      </c>
      <c r="B25" s="21" t="s">
        <v>1090</v>
      </c>
      <c r="C25" s="21" t="s">
        <v>1091</v>
      </c>
      <c r="D25" s="21" t="s">
        <v>1092</v>
      </c>
      <c r="E25" s="21" t="s">
        <v>1093</v>
      </c>
      <c r="F25" s="21" t="s">
        <v>231</v>
      </c>
      <c r="G25" s="21"/>
      <c r="H25" s="21"/>
      <c r="I25" s="21"/>
      <c r="J25" s="21"/>
      <c r="K25" s="21"/>
      <c r="L25" s="21"/>
      <c r="M25" s="21"/>
      <c r="N25" s="21"/>
      <c r="O25" s="21" t="s">
        <v>1094</v>
      </c>
    </row>
    <row r="26" ht="99.75" customHeight="1">
      <c r="A26" s="21" t="s">
        <v>1095</v>
      </c>
      <c r="B26" s="21" t="s">
        <v>1096</v>
      </c>
      <c r="C26" s="21" t="s">
        <v>1097</v>
      </c>
      <c r="D26" s="21" t="s">
        <v>1098</v>
      </c>
      <c r="E26" s="21" t="s">
        <v>1099</v>
      </c>
      <c r="F26" s="21" t="s">
        <v>231</v>
      </c>
      <c r="G26" s="21"/>
      <c r="H26" s="21"/>
      <c r="I26" s="21"/>
      <c r="J26" s="21"/>
      <c r="K26" s="21"/>
      <c r="L26" s="21"/>
      <c r="M26" s="21"/>
      <c r="N26" s="21"/>
      <c r="O26" s="21" t="s">
        <v>1100</v>
      </c>
    </row>
    <row r="27" ht="99.75" customHeight="1">
      <c r="A27" s="21" t="s">
        <v>1101</v>
      </c>
      <c r="B27" s="21" t="s">
        <v>1102</v>
      </c>
      <c r="C27" s="21" t="s">
        <v>1103</v>
      </c>
      <c r="D27" s="21" t="s">
        <v>1104</v>
      </c>
      <c r="E27" s="21" t="s">
        <v>1105</v>
      </c>
      <c r="F27" s="21" t="s">
        <v>231</v>
      </c>
      <c r="G27" s="21"/>
      <c r="H27" s="21"/>
      <c r="I27" s="21"/>
      <c r="J27" s="21"/>
      <c r="K27" s="21"/>
      <c r="L27" s="21"/>
      <c r="M27" s="21"/>
      <c r="N27" s="21"/>
      <c r="O27" s="21" t="s">
        <v>1106</v>
      </c>
    </row>
    <row r="28" ht="99.75" customHeight="1">
      <c r="A28" s="21" t="s">
        <v>1107</v>
      </c>
      <c r="B28" s="21" t="s">
        <v>1108</v>
      </c>
      <c r="C28" s="21" t="s">
        <v>1109</v>
      </c>
      <c r="D28" s="21" t="s">
        <v>1110</v>
      </c>
      <c r="E28" s="21" t="s">
        <v>1111</v>
      </c>
      <c r="F28" s="21" t="s">
        <v>231</v>
      </c>
      <c r="G28" s="21"/>
      <c r="H28" s="21"/>
      <c r="I28" s="21"/>
      <c r="J28" s="21"/>
      <c r="K28" s="21"/>
      <c r="L28" s="21"/>
      <c r="M28" s="21"/>
      <c r="N28" s="21"/>
      <c r="O28" s="21" t="s">
        <v>1112</v>
      </c>
    </row>
    <row r="29" ht="99.75" customHeight="1">
      <c r="A29" s="21" t="s">
        <v>1113</v>
      </c>
      <c r="B29" s="21" t="s">
        <v>1114</v>
      </c>
      <c r="C29" s="21" t="s">
        <v>1115</v>
      </c>
      <c r="D29" s="21" t="s">
        <v>1116</v>
      </c>
      <c r="E29" s="21" t="s">
        <v>1117</v>
      </c>
      <c r="F29" s="21" t="s">
        <v>231</v>
      </c>
      <c r="G29" s="21"/>
      <c r="H29" s="21"/>
      <c r="I29" s="21"/>
      <c r="J29" s="21"/>
      <c r="K29" s="21"/>
      <c r="L29" s="21"/>
      <c r="M29" s="21"/>
      <c r="N29" s="21"/>
      <c r="O29" s="21" t="s">
        <v>1118</v>
      </c>
    </row>
    <row r="30" ht="99.75" customHeight="1">
      <c r="A30" s="21" t="s">
        <v>1119</v>
      </c>
      <c r="B30" s="21" t="s">
        <v>1120</v>
      </c>
      <c r="C30" s="21" t="s">
        <v>1121</v>
      </c>
      <c r="D30" s="21" t="s">
        <v>1122</v>
      </c>
      <c r="E30" s="21" t="s">
        <v>1123</v>
      </c>
      <c r="F30" s="21" t="s">
        <v>231</v>
      </c>
      <c r="G30" s="21"/>
      <c r="H30" s="21"/>
      <c r="I30" s="21"/>
      <c r="J30" s="21"/>
      <c r="K30" s="21"/>
      <c r="L30" s="21"/>
      <c r="M30" s="21"/>
      <c r="N30" s="21"/>
      <c r="O30" s="21" t="s">
        <v>1124</v>
      </c>
    </row>
    <row r="31" ht="99.75" customHeight="1">
      <c r="A31" s="21" t="s">
        <v>1125</v>
      </c>
      <c r="B31" s="21" t="s">
        <v>1126</v>
      </c>
      <c r="C31" s="21" t="s">
        <v>1127</v>
      </c>
      <c r="D31" s="21" t="s">
        <v>1128</v>
      </c>
      <c r="E31" s="21" t="s">
        <v>1129</v>
      </c>
      <c r="F31" s="21" t="s">
        <v>231</v>
      </c>
      <c r="G31" s="21"/>
      <c r="H31" s="21"/>
      <c r="I31" s="21"/>
      <c r="J31" s="21"/>
      <c r="K31" s="21"/>
      <c r="L31" s="21"/>
      <c r="M31" s="21"/>
      <c r="N31" s="21"/>
      <c r="O31" s="21" t="s">
        <v>1130</v>
      </c>
    </row>
    <row r="32" ht="99.75" customHeight="1">
      <c r="A32" s="21" t="s">
        <v>1131</v>
      </c>
      <c r="B32" s="21" t="s">
        <v>1132</v>
      </c>
      <c r="C32" s="21" t="s">
        <v>1133</v>
      </c>
      <c r="D32" s="21" t="s">
        <v>1134</v>
      </c>
      <c r="E32" s="21" t="s">
        <v>1135</v>
      </c>
      <c r="F32" s="21" t="s">
        <v>231</v>
      </c>
      <c r="G32" s="21"/>
      <c r="H32" s="21"/>
      <c r="I32" s="21"/>
      <c r="J32" s="21"/>
      <c r="K32" s="21"/>
      <c r="L32" s="21"/>
      <c r="M32" s="21"/>
      <c r="N32" s="21"/>
      <c r="O32" s="21" t="s">
        <v>1136</v>
      </c>
    </row>
    <row r="33" ht="99.75" customHeight="1">
      <c r="A33" s="21" t="s">
        <v>1137</v>
      </c>
      <c r="B33" s="21" t="s">
        <v>1138</v>
      </c>
      <c r="C33" s="21" t="s">
        <v>1139</v>
      </c>
      <c r="D33" s="21" t="s">
        <v>1140</v>
      </c>
      <c r="E33" s="21" t="s">
        <v>1141</v>
      </c>
      <c r="F33" s="21" t="s">
        <v>231</v>
      </c>
      <c r="G33" s="21"/>
      <c r="H33" s="21"/>
      <c r="I33" s="21"/>
      <c r="J33" s="21"/>
      <c r="K33" s="21"/>
      <c r="L33" s="21"/>
      <c r="M33" s="21"/>
      <c r="N33" s="21"/>
      <c r="O33" s="21" t="s">
        <v>1142</v>
      </c>
    </row>
    <row r="34" ht="99.75" customHeight="1">
      <c r="A34" s="21" t="s">
        <v>1143</v>
      </c>
      <c r="B34" s="21" t="s">
        <v>1144</v>
      </c>
      <c r="C34" s="21" t="s">
        <v>1145</v>
      </c>
      <c r="D34" s="21" t="s">
        <v>1146</v>
      </c>
      <c r="E34" s="21" t="s">
        <v>1147</v>
      </c>
      <c r="F34" s="21" t="s">
        <v>231</v>
      </c>
      <c r="G34" s="21"/>
      <c r="H34" s="21"/>
      <c r="I34" s="21"/>
      <c r="J34" s="21"/>
      <c r="K34" s="21"/>
      <c r="L34" s="21"/>
      <c r="M34" s="21"/>
      <c r="N34" s="21"/>
      <c r="O34" s="21" t="s">
        <v>1148</v>
      </c>
    </row>
    <row r="35" ht="99.75" customHeight="1">
      <c r="A35" s="21" t="s">
        <v>1149</v>
      </c>
      <c r="B35" s="21" t="s">
        <v>1150</v>
      </c>
      <c r="C35" s="21" t="s">
        <v>1151</v>
      </c>
      <c r="D35" s="21" t="s">
        <v>1152</v>
      </c>
      <c r="E35" s="21" t="s">
        <v>1153</v>
      </c>
      <c r="F35" s="21" t="s">
        <v>231</v>
      </c>
      <c r="G35" s="21"/>
      <c r="H35" s="21"/>
      <c r="I35" s="21"/>
      <c r="J35" s="21"/>
      <c r="K35" s="21"/>
      <c r="L35" s="21"/>
      <c r="M35" s="21"/>
      <c r="N35" s="21"/>
      <c r="O35" s="21" t="s">
        <v>1154</v>
      </c>
    </row>
    <row r="36" ht="99.75" customHeight="1">
      <c r="A36" s="21" t="s">
        <v>1155</v>
      </c>
      <c r="B36" s="21" t="s">
        <v>1156</v>
      </c>
      <c r="C36" s="21" t="s">
        <v>1157</v>
      </c>
      <c r="D36" s="21" t="s">
        <v>1158</v>
      </c>
      <c r="E36" s="21" t="s">
        <v>1159</v>
      </c>
      <c r="F36" s="21" t="s">
        <v>231</v>
      </c>
      <c r="G36" s="21"/>
      <c r="H36" s="21"/>
      <c r="I36" s="21"/>
      <c r="J36" s="21"/>
      <c r="K36" s="21"/>
      <c r="L36" s="21"/>
      <c r="M36" s="21"/>
      <c r="N36" s="21"/>
      <c r="O36" s="21" t="s">
        <v>1160</v>
      </c>
    </row>
    <row r="37" ht="99.75" customHeight="1">
      <c r="A37" s="21" t="s">
        <v>1161</v>
      </c>
      <c r="B37" s="21" t="s">
        <v>1162</v>
      </c>
      <c r="C37" s="21" t="s">
        <v>1163</v>
      </c>
      <c r="D37" s="21" t="s">
        <v>1164</v>
      </c>
      <c r="E37" s="21" t="s">
        <v>1166</v>
      </c>
      <c r="F37" s="21" t="s">
        <v>231</v>
      </c>
      <c r="G37" s="21"/>
      <c r="H37" s="21"/>
      <c r="I37" s="21"/>
      <c r="J37" s="21"/>
      <c r="K37" s="21"/>
      <c r="L37" s="21"/>
      <c r="M37" s="21"/>
      <c r="N37" s="21"/>
      <c r="O37" s="21" t="s">
        <v>1167</v>
      </c>
    </row>
    <row r="38" ht="99.75" customHeight="1">
      <c r="A38" s="21" t="s">
        <v>1168</v>
      </c>
      <c r="B38" s="21" t="s">
        <v>1169</v>
      </c>
      <c r="C38" s="21" t="s">
        <v>1170</v>
      </c>
      <c r="D38" s="21" t="s">
        <v>1171</v>
      </c>
      <c r="E38" s="21" t="s">
        <v>1172</v>
      </c>
      <c r="F38" s="21" t="s">
        <v>231</v>
      </c>
      <c r="G38" s="21"/>
      <c r="H38" s="21"/>
      <c r="I38" s="21"/>
      <c r="J38" s="21"/>
      <c r="K38" s="21"/>
      <c r="L38" s="21"/>
      <c r="M38" s="21"/>
      <c r="N38" s="21"/>
      <c r="O38" s="21" t="s">
        <v>1173</v>
      </c>
    </row>
    <row r="39" ht="99.75" customHeight="1">
      <c r="A39" s="21" t="s">
        <v>1174</v>
      </c>
      <c r="B39" s="21" t="s">
        <v>1175</v>
      </c>
      <c r="C39" s="21" t="s">
        <v>1176</v>
      </c>
      <c r="D39" s="21" t="s">
        <v>1177</v>
      </c>
      <c r="E39" s="21" t="s">
        <v>1178</v>
      </c>
      <c r="F39" s="21" t="s">
        <v>231</v>
      </c>
      <c r="G39" s="21"/>
      <c r="H39" s="21"/>
      <c r="I39" s="21"/>
      <c r="J39" s="21"/>
      <c r="K39" s="21"/>
      <c r="L39" s="21"/>
      <c r="M39" s="21"/>
      <c r="N39" s="21"/>
      <c r="O39" s="21" t="s">
        <v>1180</v>
      </c>
    </row>
    <row r="40" ht="99.75" customHeight="1">
      <c r="A40" s="21" t="s">
        <v>1181</v>
      </c>
      <c r="B40" s="21" t="s">
        <v>1183</v>
      </c>
      <c r="C40" s="21" t="s">
        <v>1185</v>
      </c>
      <c r="D40" s="21" t="s">
        <v>1186</v>
      </c>
      <c r="E40" s="21" t="s">
        <v>1188</v>
      </c>
      <c r="F40" s="21" t="s">
        <v>231</v>
      </c>
      <c r="G40" s="21"/>
      <c r="H40" s="21"/>
      <c r="I40" s="21"/>
      <c r="J40" s="21"/>
      <c r="K40" s="21"/>
      <c r="L40" s="21"/>
      <c r="M40" s="21"/>
      <c r="N40" s="21"/>
      <c r="O40" s="21" t="s">
        <v>1190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conditionalFormatting sqref="F12:F40">
    <cfRule type="expression" dxfId="0" priority="1">
      <formula>F12="Passed"</formula>
    </cfRule>
  </conditionalFormatting>
  <conditionalFormatting sqref="F12:F40">
    <cfRule type="expression" dxfId="1" priority="2">
      <formula>F12="Failed"</formula>
    </cfRule>
  </conditionalFormatting>
  <conditionalFormatting sqref="I12:I40">
    <cfRule type="expression" dxfId="0" priority="3">
      <formula>I12="Passed"</formula>
    </cfRule>
  </conditionalFormatting>
  <conditionalFormatting sqref="I12:I40">
    <cfRule type="expression" dxfId="1" priority="4">
      <formula>I12="Failed"</formula>
    </cfRule>
  </conditionalFormatting>
  <conditionalFormatting sqref="L12:L40">
    <cfRule type="expression" dxfId="0" priority="5">
      <formula>L12="Passed"</formula>
    </cfRule>
  </conditionalFormatting>
  <conditionalFormatting sqref="L12:L40">
    <cfRule type="expression" dxfId="1" priority="6">
      <formula>L12="Failed"</formula>
    </cfRule>
  </conditionalFormatting>
  <dataValidations>
    <dataValidation type="list" allowBlank="1" sqref="F12:F40 I12:I40 L12:L40">
      <formula1>"Not Run,Blocked,Passed,Failed,Pending,N/A"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/>
    <col customWidth="1" min="8" max="8" width="7.0"/>
    <col customWidth="1" min="9" max="9" width="9.38"/>
    <col customWidth="1" min="10" max="10" width="10.63"/>
    <col customWidth="1" min="11" max="11" width="7.0"/>
    <col customWidth="1" min="12" max="12" width="9.38"/>
    <col customWidth="1" min="13" max="13" width="10.63"/>
    <col customWidth="1" min="14" max="14" width="7.0"/>
    <col customWidth="1" min="15" max="15" width="28.63"/>
    <col customWidth="1" min="16" max="16" width="10.13"/>
    <col customWidth="1" min="17" max="17" width="8.13"/>
    <col customWidth="1" min="18" max="18" width="7.63"/>
    <col customWidth="1" min="19" max="26" width="8.63"/>
  </cols>
  <sheetData>
    <row r="2">
      <c r="A2" s="3" t="s">
        <v>3</v>
      </c>
      <c r="B2" s="7" t="s">
        <v>135</v>
      </c>
      <c r="C2" s="8"/>
      <c r="D2" s="8"/>
      <c r="E2" s="6"/>
      <c r="R2" s="12" t="s">
        <v>8</v>
      </c>
    </row>
    <row r="3" ht="45.0" customHeight="1">
      <c r="A3" s="3" t="s">
        <v>11</v>
      </c>
      <c r="B3" s="7" t="s">
        <v>1087</v>
      </c>
      <c r="C3" s="8"/>
      <c r="D3" s="8"/>
      <c r="E3" s="6"/>
      <c r="R3" s="18" t="s">
        <v>17</v>
      </c>
    </row>
    <row r="4" ht="22.5" customHeight="1">
      <c r="A4" s="3" t="s">
        <v>23</v>
      </c>
      <c r="B4" s="7">
        <f>COUNTA(A12:A17)</f>
        <v>6</v>
      </c>
      <c r="C4" s="8"/>
      <c r="D4" s="8"/>
      <c r="E4" s="6"/>
      <c r="R4" s="27" t="s">
        <v>62</v>
      </c>
    </row>
    <row r="5">
      <c r="A5" s="28" t="s">
        <v>71</v>
      </c>
      <c r="B5" s="28" t="s">
        <v>8</v>
      </c>
      <c r="C5" s="28" t="s">
        <v>17</v>
      </c>
      <c r="D5" s="28" t="s">
        <v>62</v>
      </c>
      <c r="E5" s="28" t="s">
        <v>77</v>
      </c>
      <c r="R5" s="31" t="s">
        <v>77</v>
      </c>
    </row>
    <row r="6">
      <c r="A6" s="29" t="s">
        <v>91</v>
      </c>
      <c r="B6" s="29">
        <f>COUNTIF(F12:F17,"Passed")+COUNTIF(F12:F17,"Pass")</f>
        <v>0</v>
      </c>
      <c r="C6" s="29">
        <f>COUNTIF(F12:F17,"Failed")+COUNTIF(F12:F17,"Fail")</f>
        <v>0</v>
      </c>
      <c r="D6" s="29">
        <f>COUNTIF(F12:F17,"Not Run")+COUNTIF(F12:F17,"Blocked")+COUNTIF(F12:F17,"Pending")+COUNTBLANK(F12:F17)</f>
        <v>6</v>
      </c>
      <c r="E6" s="29">
        <f>COUNTIF(F12:F17,"N/A")</f>
        <v>0</v>
      </c>
    </row>
    <row r="7">
      <c r="A7" s="29" t="s">
        <v>130</v>
      </c>
      <c r="B7" s="29">
        <f>COUNTIF(I12:I17,"Passed")+COUNTIF(I12:I17,"Pass")</f>
        <v>0</v>
      </c>
      <c r="C7" s="29">
        <f>COUNTIF(I12:I17,"Failed")+COUNTIF(I12:I17,"Fail")</f>
        <v>0</v>
      </c>
      <c r="D7" s="29">
        <f>COUNTIF(I12:I17,"Not Run")+COUNTIF(I12:I17,"Blocked")+COUNTIF(I12:I17,"Pending")</f>
        <v>0</v>
      </c>
      <c r="E7" s="29">
        <f>COUNTIF(I12:I17,"N/A")</f>
        <v>0</v>
      </c>
    </row>
    <row r="8">
      <c r="A8" s="29" t="s">
        <v>153</v>
      </c>
      <c r="B8" s="29">
        <f>COUNTIF(L12:L17,"Passed")+COUNTIF(L12:L17,"Pass")</f>
        <v>0</v>
      </c>
      <c r="C8" s="29">
        <f>COUNTIF(L12:L17,"Failed")+COUNTIF(L12:L17,"Fail")</f>
        <v>0</v>
      </c>
      <c r="D8" s="29">
        <f>COUNTIF(L12:L17,"Not Run")+COUNTIF(L12:L17,"Blocked")+COUNTIF(L12:L17,"Pending")</f>
        <v>0</v>
      </c>
      <c r="E8" s="29">
        <f>COUNTIF(L12:L17,"N/A")</f>
        <v>0</v>
      </c>
    </row>
    <row r="10" ht="30.0" customHeight="1">
      <c r="A10" s="33" t="s">
        <v>193</v>
      </c>
      <c r="B10" s="33" t="s">
        <v>198</v>
      </c>
      <c r="C10" s="33" t="s">
        <v>199</v>
      </c>
      <c r="D10" s="33" t="s">
        <v>201</v>
      </c>
      <c r="E10" s="33" t="s">
        <v>205</v>
      </c>
      <c r="F10" s="33" t="s">
        <v>91</v>
      </c>
      <c r="G10" s="33" t="s">
        <v>207</v>
      </c>
      <c r="H10" s="33" t="s">
        <v>208</v>
      </c>
      <c r="I10" s="33" t="s">
        <v>130</v>
      </c>
      <c r="J10" s="33" t="s">
        <v>207</v>
      </c>
      <c r="K10" s="33" t="s">
        <v>208</v>
      </c>
      <c r="L10" s="33" t="s">
        <v>153</v>
      </c>
      <c r="M10" s="33" t="s">
        <v>207</v>
      </c>
      <c r="N10" s="33" t="s">
        <v>208</v>
      </c>
      <c r="O10" s="33" t="s">
        <v>214</v>
      </c>
    </row>
    <row r="11" ht="24.75" customHeight="1">
      <c r="A11" s="34" t="s">
        <v>1179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</row>
    <row r="12" ht="99.75" customHeight="1">
      <c r="A12" s="21" t="s">
        <v>1182</v>
      </c>
      <c r="B12" s="21" t="s">
        <v>1184</v>
      </c>
      <c r="C12" s="21" t="s">
        <v>1187</v>
      </c>
      <c r="D12" s="21" t="s">
        <v>1189</v>
      </c>
      <c r="E12" s="21" t="s">
        <v>49</v>
      </c>
      <c r="F12" s="21" t="s">
        <v>231</v>
      </c>
      <c r="G12" s="21"/>
      <c r="H12" s="21"/>
      <c r="I12" s="21"/>
      <c r="J12" s="21"/>
      <c r="K12" s="21"/>
      <c r="L12" s="21"/>
      <c r="M12" s="21"/>
      <c r="N12" s="21"/>
      <c r="O12" s="21" t="s">
        <v>1191</v>
      </c>
    </row>
    <row r="13" ht="99.75" customHeight="1">
      <c r="A13" s="21" t="s">
        <v>1192</v>
      </c>
      <c r="B13" s="21" t="s">
        <v>1193</v>
      </c>
      <c r="C13" s="21" t="s">
        <v>1194</v>
      </c>
      <c r="D13" s="21" t="s">
        <v>1195</v>
      </c>
      <c r="E13" s="21" t="s">
        <v>49</v>
      </c>
      <c r="F13" s="21" t="s">
        <v>231</v>
      </c>
      <c r="G13" s="21"/>
      <c r="H13" s="21"/>
      <c r="I13" s="21"/>
      <c r="J13" s="21"/>
      <c r="K13" s="21"/>
      <c r="L13" s="21"/>
      <c r="M13" s="21"/>
      <c r="N13" s="21"/>
      <c r="O13" s="21" t="s">
        <v>1196</v>
      </c>
    </row>
    <row r="14" ht="99.75" customHeight="1">
      <c r="A14" s="21" t="s">
        <v>1197</v>
      </c>
      <c r="B14" s="21" t="s">
        <v>1198</v>
      </c>
      <c r="C14" s="21" t="s">
        <v>1199</v>
      </c>
      <c r="D14" s="21" t="s">
        <v>1200</v>
      </c>
      <c r="E14" s="21" t="s">
        <v>49</v>
      </c>
      <c r="F14" s="21" t="s">
        <v>231</v>
      </c>
      <c r="G14" s="21"/>
      <c r="H14" s="21"/>
      <c r="I14" s="21"/>
      <c r="J14" s="21"/>
      <c r="K14" s="21"/>
      <c r="L14" s="21"/>
      <c r="M14" s="21"/>
      <c r="N14" s="21"/>
      <c r="O14" s="21" t="s">
        <v>1201</v>
      </c>
    </row>
    <row r="15" ht="99.75" customHeight="1">
      <c r="A15" s="21" t="s">
        <v>1202</v>
      </c>
      <c r="B15" s="21" t="s">
        <v>1203</v>
      </c>
      <c r="C15" s="21" t="s">
        <v>1204</v>
      </c>
      <c r="D15" s="21" t="s">
        <v>1205</v>
      </c>
      <c r="E15" s="21" t="s">
        <v>97</v>
      </c>
      <c r="F15" s="21" t="s">
        <v>231</v>
      </c>
      <c r="G15" s="21"/>
      <c r="H15" s="21"/>
      <c r="I15" s="21"/>
      <c r="J15" s="21"/>
      <c r="K15" s="21"/>
      <c r="L15" s="21"/>
      <c r="M15" s="21"/>
      <c r="N15" s="21"/>
      <c r="O15" s="21" t="s">
        <v>1206</v>
      </c>
    </row>
    <row r="16" ht="99.75" customHeight="1">
      <c r="A16" s="21" t="s">
        <v>1207</v>
      </c>
      <c r="B16" s="21" t="s">
        <v>1208</v>
      </c>
      <c r="C16" s="21" t="s">
        <v>1209</v>
      </c>
      <c r="D16" s="21" t="s">
        <v>1210</v>
      </c>
      <c r="E16" s="21" t="s">
        <v>97</v>
      </c>
      <c r="F16" s="21" t="s">
        <v>231</v>
      </c>
      <c r="G16" s="21"/>
      <c r="H16" s="21"/>
      <c r="I16" s="21"/>
      <c r="J16" s="21"/>
      <c r="K16" s="21"/>
      <c r="L16" s="21"/>
      <c r="M16" s="21"/>
      <c r="N16" s="21"/>
      <c r="O16" s="21" t="s">
        <v>1211</v>
      </c>
    </row>
    <row r="17" ht="99.75" customHeight="1">
      <c r="A17" s="21" t="s">
        <v>1212</v>
      </c>
      <c r="B17" s="21" t="s">
        <v>1213</v>
      </c>
      <c r="C17" s="21" t="s">
        <v>1214</v>
      </c>
      <c r="D17" s="21" t="s">
        <v>1215</v>
      </c>
      <c r="E17" s="21" t="s">
        <v>97</v>
      </c>
      <c r="F17" s="21" t="s">
        <v>231</v>
      </c>
      <c r="G17" s="21"/>
      <c r="H17" s="21"/>
      <c r="I17" s="21"/>
      <c r="J17" s="21"/>
      <c r="K17" s="21"/>
      <c r="L17" s="21"/>
      <c r="M17" s="21"/>
      <c r="N17" s="21"/>
      <c r="O17" s="21" t="s">
        <v>1216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conditionalFormatting sqref="F12:F17">
    <cfRule type="expression" dxfId="0" priority="1">
      <formula>F12="Passed"</formula>
    </cfRule>
  </conditionalFormatting>
  <conditionalFormatting sqref="F12:F17">
    <cfRule type="expression" dxfId="1" priority="2">
      <formula>F12="Failed"</formula>
    </cfRule>
  </conditionalFormatting>
  <conditionalFormatting sqref="I12:I17">
    <cfRule type="expression" dxfId="0" priority="3">
      <formula>I12="Passed"</formula>
    </cfRule>
  </conditionalFormatting>
  <conditionalFormatting sqref="I12:I17">
    <cfRule type="expression" dxfId="1" priority="4">
      <formula>I12="Failed"</formula>
    </cfRule>
  </conditionalFormatting>
  <conditionalFormatting sqref="L12:L17">
    <cfRule type="expression" dxfId="0" priority="5">
      <formula>L12="Passed"</formula>
    </cfRule>
  </conditionalFormatting>
  <conditionalFormatting sqref="L12:L17">
    <cfRule type="expression" dxfId="1" priority="6">
      <formula>L12="Failed"</formula>
    </cfRule>
  </conditionalFormatting>
  <dataValidations>
    <dataValidation type="list" allowBlank="1" sqref="F12:F17 I12:I17 L12:L17">
      <formula1>"Not Run,Blocked,Passed,Failed,Pending,N/A"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/>
    <col customWidth="1" min="8" max="8" width="7.0"/>
    <col customWidth="1" min="9" max="9" width="9.38"/>
    <col customWidth="1" min="10" max="10" width="10.63"/>
    <col customWidth="1" min="11" max="11" width="7.0"/>
    <col customWidth="1" min="12" max="12" width="9.38"/>
    <col customWidth="1" min="13" max="13" width="10.63"/>
    <col customWidth="1" min="14" max="14" width="7.0"/>
    <col customWidth="1" min="15" max="15" width="28.63"/>
    <col customWidth="1" min="16" max="16" width="10.13"/>
    <col customWidth="1" min="17" max="17" width="8.13"/>
    <col customWidth="1" min="18" max="18" width="7.63"/>
    <col customWidth="1" min="19" max="26" width="8.63"/>
  </cols>
  <sheetData>
    <row r="2">
      <c r="A2" s="3" t="s">
        <v>3</v>
      </c>
      <c r="B2" s="7" t="s">
        <v>140</v>
      </c>
      <c r="C2" s="8"/>
      <c r="D2" s="8"/>
      <c r="E2" s="6"/>
      <c r="R2" s="12" t="s">
        <v>8</v>
      </c>
    </row>
    <row r="3" ht="45.0" customHeight="1">
      <c r="A3" s="3" t="s">
        <v>11</v>
      </c>
      <c r="B3" s="7" t="s">
        <v>1165</v>
      </c>
      <c r="C3" s="8"/>
      <c r="D3" s="8"/>
      <c r="E3" s="6"/>
      <c r="R3" s="18" t="s">
        <v>17</v>
      </c>
    </row>
    <row r="4" ht="22.5" customHeight="1">
      <c r="A4" s="3" t="s">
        <v>23</v>
      </c>
      <c r="B4" s="7">
        <f>COUNTA(A12:A14)</f>
        <v>3</v>
      </c>
      <c r="C4" s="8"/>
      <c r="D4" s="8"/>
      <c r="E4" s="6"/>
      <c r="R4" s="27" t="s">
        <v>62</v>
      </c>
    </row>
    <row r="5">
      <c r="A5" s="28" t="s">
        <v>71</v>
      </c>
      <c r="B5" s="28" t="s">
        <v>8</v>
      </c>
      <c r="C5" s="28" t="s">
        <v>17</v>
      </c>
      <c r="D5" s="28" t="s">
        <v>62</v>
      </c>
      <c r="E5" s="28" t="s">
        <v>77</v>
      </c>
      <c r="R5" s="31" t="s">
        <v>77</v>
      </c>
    </row>
    <row r="6">
      <c r="A6" s="29" t="s">
        <v>91</v>
      </c>
      <c r="B6" s="29">
        <f>COUNTIF(F12:F14,"Passed")+COUNTIF(F12:F14,"Pass")</f>
        <v>0</v>
      </c>
      <c r="C6" s="29">
        <f>COUNTIF(F12:F14,"Failed")+COUNTIF(F12:F14,"Fail")</f>
        <v>0</v>
      </c>
      <c r="D6" s="29">
        <f>COUNTIF(F12:F14,"Not Run")+COUNTIF(F12:F14,"Blocked")+COUNTIF(F12:F14,"Pending")+COUNTBLANK(F12:F14)</f>
        <v>3</v>
      </c>
      <c r="E6" s="29">
        <f>COUNTIF(F12:F14,"N/A")</f>
        <v>0</v>
      </c>
    </row>
    <row r="7">
      <c r="A7" s="29" t="s">
        <v>130</v>
      </c>
      <c r="B7" s="29">
        <f>COUNTIF(I12:I14,"Passed")+COUNTIF(I12:I14,"Pass")</f>
        <v>0</v>
      </c>
      <c r="C7" s="29">
        <f>COUNTIF(I12:I14,"Failed")+COUNTIF(I12:I14,"Fail")</f>
        <v>0</v>
      </c>
      <c r="D7" s="29">
        <f>COUNTIF(I12:I14,"Not Run")+COUNTIF(I12:I14,"Blocked")+COUNTIF(I12:I14,"Pending")</f>
        <v>0</v>
      </c>
      <c r="E7" s="29">
        <f>COUNTIF(I12:I14,"N/A")</f>
        <v>0</v>
      </c>
    </row>
    <row r="8">
      <c r="A8" s="29" t="s">
        <v>153</v>
      </c>
      <c r="B8" s="29">
        <f>COUNTIF(L12:L14,"Passed")+COUNTIF(L12:L14,"Pass")</f>
        <v>0</v>
      </c>
      <c r="C8" s="29">
        <f>COUNTIF(L12:L14,"Failed")+COUNTIF(L12:L14,"Fail")</f>
        <v>0</v>
      </c>
      <c r="D8" s="29">
        <f>COUNTIF(L12:L14,"Not Run")+COUNTIF(L12:L14,"Blocked")+COUNTIF(L12:L14,"Pending")</f>
        <v>0</v>
      </c>
      <c r="E8" s="29">
        <f>COUNTIF(L12:L14,"N/A")</f>
        <v>0</v>
      </c>
    </row>
    <row r="10" ht="30.0" customHeight="1">
      <c r="A10" s="33" t="s">
        <v>193</v>
      </c>
      <c r="B10" s="33" t="s">
        <v>198</v>
      </c>
      <c r="C10" s="33" t="s">
        <v>199</v>
      </c>
      <c r="D10" s="33" t="s">
        <v>201</v>
      </c>
      <c r="E10" s="33" t="s">
        <v>205</v>
      </c>
      <c r="F10" s="33" t="s">
        <v>91</v>
      </c>
      <c r="G10" s="33" t="s">
        <v>207</v>
      </c>
      <c r="H10" s="33" t="s">
        <v>208</v>
      </c>
      <c r="I10" s="33" t="s">
        <v>130</v>
      </c>
      <c r="J10" s="33" t="s">
        <v>207</v>
      </c>
      <c r="K10" s="33" t="s">
        <v>208</v>
      </c>
      <c r="L10" s="33" t="s">
        <v>153</v>
      </c>
      <c r="M10" s="33" t="s">
        <v>207</v>
      </c>
      <c r="N10" s="33" t="s">
        <v>208</v>
      </c>
      <c r="O10" s="33" t="s">
        <v>214</v>
      </c>
    </row>
    <row r="11" ht="24.75" customHeight="1">
      <c r="A11" s="34" t="s">
        <v>1217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</row>
    <row r="12" ht="99.75" customHeight="1">
      <c r="A12" s="21" t="s">
        <v>1218</v>
      </c>
      <c r="B12" s="21" t="s">
        <v>1219</v>
      </c>
      <c r="C12" s="21" t="s">
        <v>1220</v>
      </c>
      <c r="D12" s="21" t="s">
        <v>1221</v>
      </c>
      <c r="E12" s="21" t="s">
        <v>142</v>
      </c>
      <c r="F12" s="21" t="s">
        <v>231</v>
      </c>
      <c r="G12" s="21"/>
      <c r="H12" s="21"/>
      <c r="I12" s="21"/>
      <c r="J12" s="21"/>
      <c r="K12" s="21"/>
      <c r="L12" s="21"/>
      <c r="M12" s="21"/>
      <c r="N12" s="21"/>
      <c r="O12" s="21" t="s">
        <v>1222</v>
      </c>
    </row>
    <row r="13" ht="99.75" customHeight="1">
      <c r="A13" s="21" t="s">
        <v>1223</v>
      </c>
      <c r="B13" s="21" t="s">
        <v>1224</v>
      </c>
      <c r="C13" s="21" t="s">
        <v>1225</v>
      </c>
      <c r="D13" s="21" t="s">
        <v>1226</v>
      </c>
      <c r="E13" s="21" t="s">
        <v>142</v>
      </c>
      <c r="F13" s="21" t="s">
        <v>231</v>
      </c>
      <c r="G13" s="21"/>
      <c r="H13" s="21"/>
      <c r="I13" s="21"/>
      <c r="J13" s="21"/>
      <c r="K13" s="21"/>
      <c r="L13" s="21"/>
      <c r="M13" s="21"/>
      <c r="N13" s="21"/>
      <c r="O13" s="21" t="s">
        <v>1227</v>
      </c>
    </row>
    <row r="14" ht="99.75" customHeight="1">
      <c r="A14" s="21" t="s">
        <v>1228</v>
      </c>
      <c r="B14" s="21" t="s">
        <v>1229</v>
      </c>
      <c r="C14" s="21" t="s">
        <v>1230</v>
      </c>
      <c r="D14" s="21" t="s">
        <v>1231</v>
      </c>
      <c r="E14" s="21" t="s">
        <v>142</v>
      </c>
      <c r="F14" s="21" t="s">
        <v>231</v>
      </c>
      <c r="G14" s="21"/>
      <c r="H14" s="21"/>
      <c r="I14" s="21"/>
      <c r="J14" s="21"/>
      <c r="K14" s="21"/>
      <c r="L14" s="21"/>
      <c r="M14" s="21"/>
      <c r="N14" s="21"/>
      <c r="O14" s="21" t="s">
        <v>1233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conditionalFormatting sqref="F12:F14">
    <cfRule type="expression" dxfId="0" priority="1">
      <formula>F12="Passed"</formula>
    </cfRule>
  </conditionalFormatting>
  <conditionalFormatting sqref="F12:F14">
    <cfRule type="expression" dxfId="1" priority="2">
      <formula>F12="Failed"</formula>
    </cfRule>
  </conditionalFormatting>
  <conditionalFormatting sqref="I12:I14">
    <cfRule type="expression" dxfId="0" priority="3">
      <formula>I12="Passed"</formula>
    </cfRule>
  </conditionalFormatting>
  <conditionalFormatting sqref="I12:I14">
    <cfRule type="expression" dxfId="1" priority="4">
      <formula>I12="Failed"</formula>
    </cfRule>
  </conditionalFormatting>
  <conditionalFormatting sqref="L12:L14">
    <cfRule type="expression" dxfId="0" priority="5">
      <formula>L12="Passed"</formula>
    </cfRule>
  </conditionalFormatting>
  <conditionalFormatting sqref="L12:L14">
    <cfRule type="expression" dxfId="1" priority="6">
      <formula>L12="Failed"</formula>
    </cfRule>
  </conditionalFormatting>
  <dataValidations>
    <dataValidation type="list" allowBlank="1" sqref="F12:F14 I12:I14 L12:L14">
      <formula1>"Not Run,Blocked,Passed,Failed,Pending,N/A"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/>
    <col customWidth="1" min="8" max="8" width="7.0"/>
    <col customWidth="1" min="9" max="9" width="9.38"/>
    <col customWidth="1" min="10" max="10" width="10.63"/>
    <col customWidth="1" min="11" max="11" width="7.0"/>
    <col customWidth="1" min="12" max="12" width="9.38"/>
    <col customWidth="1" min="13" max="13" width="10.63"/>
    <col customWidth="1" min="14" max="14" width="7.0"/>
    <col customWidth="1" min="15" max="15" width="28.63"/>
    <col customWidth="1" min="16" max="16" width="10.13"/>
    <col customWidth="1" min="17" max="17" width="8.13"/>
    <col customWidth="1" min="18" max="18" width="7.63"/>
    <col customWidth="1" min="19" max="26" width="8.63"/>
  </cols>
  <sheetData>
    <row r="2">
      <c r="A2" s="3" t="s">
        <v>3</v>
      </c>
      <c r="B2" s="7" t="s">
        <v>144</v>
      </c>
      <c r="C2" s="8"/>
      <c r="D2" s="8"/>
      <c r="E2" s="6"/>
      <c r="R2" s="12" t="s">
        <v>8</v>
      </c>
    </row>
    <row r="3" ht="45.0" customHeight="1">
      <c r="A3" s="3" t="s">
        <v>11</v>
      </c>
      <c r="B3" s="7" t="s">
        <v>1232</v>
      </c>
      <c r="C3" s="8"/>
      <c r="D3" s="8"/>
      <c r="E3" s="6"/>
      <c r="R3" s="18" t="s">
        <v>17</v>
      </c>
    </row>
    <row r="4" ht="22.5" customHeight="1">
      <c r="A4" s="3" t="s">
        <v>23</v>
      </c>
      <c r="B4" s="7">
        <f>COUNTA(A12:A23)</f>
        <v>12</v>
      </c>
      <c r="C4" s="8"/>
      <c r="D4" s="8"/>
      <c r="E4" s="6"/>
      <c r="R4" s="27" t="s">
        <v>62</v>
      </c>
    </row>
    <row r="5">
      <c r="A5" s="28" t="s">
        <v>71</v>
      </c>
      <c r="B5" s="28" t="s">
        <v>8</v>
      </c>
      <c r="C5" s="28" t="s">
        <v>17</v>
      </c>
      <c r="D5" s="28" t="s">
        <v>62</v>
      </c>
      <c r="E5" s="28" t="s">
        <v>77</v>
      </c>
      <c r="R5" s="31" t="s">
        <v>77</v>
      </c>
    </row>
    <row r="6">
      <c r="A6" s="29" t="s">
        <v>91</v>
      </c>
      <c r="B6" s="29">
        <f>COUNTIF(F12:F23,"Passed")+COUNTIF(F12:F23,"Pass")</f>
        <v>0</v>
      </c>
      <c r="C6" s="29">
        <f>COUNTIF(F12:F23,"Failed")+COUNTIF(F12:F23,"Fail")</f>
        <v>0</v>
      </c>
      <c r="D6" s="29">
        <f>COUNTIF(F12:F23,"Not Run")+COUNTIF(F12:F23,"Blocked")+COUNTIF(F12:F23,"Pending")+COUNTBLANK(F12:F23)</f>
        <v>12</v>
      </c>
      <c r="E6" s="29">
        <f>COUNTIF(F12:F23,"N/A")</f>
        <v>0</v>
      </c>
    </row>
    <row r="7">
      <c r="A7" s="29" t="s">
        <v>130</v>
      </c>
      <c r="B7" s="29">
        <f>COUNTIF(I12:I23,"Passed")+COUNTIF(I12:I23,"Pass")</f>
        <v>0</v>
      </c>
      <c r="C7" s="29">
        <f>COUNTIF(I12:I23,"Failed")+COUNTIF(I12:I23,"Fail")</f>
        <v>0</v>
      </c>
      <c r="D7" s="29">
        <f>COUNTIF(I12:I23,"Not Run")+COUNTIF(I12:I23,"Blocked")+COUNTIF(I12:I23,"Pending")</f>
        <v>0</v>
      </c>
      <c r="E7" s="29">
        <f>COUNTIF(I12:I23,"N/A")</f>
        <v>0</v>
      </c>
    </row>
    <row r="8">
      <c r="A8" s="29" t="s">
        <v>153</v>
      </c>
      <c r="B8" s="29">
        <f>COUNTIF(L12:L23,"Passed")+COUNTIF(L12:L23,"Pass")</f>
        <v>0</v>
      </c>
      <c r="C8" s="29">
        <f>COUNTIF(L12:L23,"Failed")+COUNTIF(L12:L23,"Fail")</f>
        <v>0</v>
      </c>
      <c r="D8" s="29">
        <f>COUNTIF(L12:L23,"Not Run")+COUNTIF(L12:L23,"Blocked")+COUNTIF(L12:L23,"Pending")</f>
        <v>0</v>
      </c>
      <c r="E8" s="29">
        <f>COUNTIF(L12:L23,"N/A")</f>
        <v>0</v>
      </c>
    </row>
    <row r="10" ht="30.0" customHeight="1">
      <c r="A10" s="33" t="s">
        <v>193</v>
      </c>
      <c r="B10" s="33" t="s">
        <v>198</v>
      </c>
      <c r="C10" s="33" t="s">
        <v>199</v>
      </c>
      <c r="D10" s="33" t="s">
        <v>201</v>
      </c>
      <c r="E10" s="33" t="s">
        <v>205</v>
      </c>
      <c r="F10" s="33" t="s">
        <v>91</v>
      </c>
      <c r="G10" s="33" t="s">
        <v>207</v>
      </c>
      <c r="H10" s="33" t="s">
        <v>208</v>
      </c>
      <c r="I10" s="33" t="s">
        <v>130</v>
      </c>
      <c r="J10" s="33" t="s">
        <v>207</v>
      </c>
      <c r="K10" s="33" t="s">
        <v>208</v>
      </c>
      <c r="L10" s="33" t="s">
        <v>153</v>
      </c>
      <c r="M10" s="33" t="s">
        <v>207</v>
      </c>
      <c r="N10" s="33" t="s">
        <v>208</v>
      </c>
      <c r="O10" s="33" t="s">
        <v>214</v>
      </c>
    </row>
    <row r="11" ht="24.75" customHeight="1">
      <c r="A11" s="34" t="s">
        <v>1234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</row>
    <row r="12" ht="99.75" customHeight="1">
      <c r="A12" s="21" t="s">
        <v>1235</v>
      </c>
      <c r="B12" s="21" t="s">
        <v>1236</v>
      </c>
      <c r="C12" s="21" t="s">
        <v>1237</v>
      </c>
      <c r="D12" s="21" t="s">
        <v>1238</v>
      </c>
      <c r="E12" s="21" t="s">
        <v>142</v>
      </c>
      <c r="F12" s="21" t="s">
        <v>231</v>
      </c>
      <c r="G12" s="21"/>
      <c r="H12" s="21"/>
      <c r="I12" s="21"/>
      <c r="J12" s="21"/>
      <c r="K12" s="21"/>
      <c r="L12" s="21"/>
      <c r="M12" s="21"/>
      <c r="N12" s="21"/>
      <c r="O12" s="21" t="s">
        <v>1239</v>
      </c>
    </row>
    <row r="13" ht="99.75" customHeight="1">
      <c r="A13" s="21" t="s">
        <v>1240</v>
      </c>
      <c r="B13" s="21" t="s">
        <v>1241</v>
      </c>
      <c r="C13" s="21" t="s">
        <v>1242</v>
      </c>
      <c r="D13" s="21" t="s">
        <v>1243</v>
      </c>
      <c r="E13" s="21" t="s">
        <v>142</v>
      </c>
      <c r="F13" s="21" t="s">
        <v>231</v>
      </c>
      <c r="G13" s="21"/>
      <c r="H13" s="21"/>
      <c r="I13" s="21"/>
      <c r="J13" s="21"/>
      <c r="K13" s="21"/>
      <c r="L13" s="21"/>
      <c r="M13" s="21"/>
      <c r="N13" s="21"/>
      <c r="O13" s="21" t="s">
        <v>1244</v>
      </c>
    </row>
    <row r="14" ht="99.75" customHeight="1">
      <c r="A14" s="21" t="s">
        <v>1245</v>
      </c>
      <c r="B14" s="21" t="s">
        <v>1246</v>
      </c>
      <c r="C14" s="21" t="s">
        <v>1247</v>
      </c>
      <c r="D14" s="21" t="s">
        <v>1248</v>
      </c>
      <c r="E14" s="21" t="s">
        <v>142</v>
      </c>
      <c r="F14" s="21" t="s">
        <v>231</v>
      </c>
      <c r="G14" s="21"/>
      <c r="H14" s="21"/>
      <c r="I14" s="21"/>
      <c r="J14" s="21"/>
      <c r="K14" s="21"/>
      <c r="L14" s="21"/>
      <c r="M14" s="21"/>
      <c r="N14" s="21"/>
      <c r="O14" s="21" t="s">
        <v>1249</v>
      </c>
    </row>
    <row r="15" ht="99.75" customHeight="1">
      <c r="A15" s="21" t="s">
        <v>1250</v>
      </c>
      <c r="B15" s="21" t="s">
        <v>1251</v>
      </c>
      <c r="C15" s="21" t="s">
        <v>1252</v>
      </c>
      <c r="D15" s="21" t="s">
        <v>1253</v>
      </c>
      <c r="E15" s="21" t="s">
        <v>128</v>
      </c>
      <c r="F15" s="21" t="s">
        <v>231</v>
      </c>
      <c r="G15" s="21"/>
      <c r="H15" s="21"/>
      <c r="I15" s="21"/>
      <c r="J15" s="21"/>
      <c r="K15" s="21"/>
      <c r="L15" s="21"/>
      <c r="M15" s="21"/>
      <c r="N15" s="21"/>
      <c r="O15" s="21" t="s">
        <v>1254</v>
      </c>
    </row>
    <row r="16" ht="99.75" customHeight="1">
      <c r="A16" s="21" t="s">
        <v>1255</v>
      </c>
      <c r="B16" s="21" t="s">
        <v>1256</v>
      </c>
      <c r="C16" s="21" t="s">
        <v>1257</v>
      </c>
      <c r="D16" s="21" t="s">
        <v>1258</v>
      </c>
      <c r="E16" s="21" t="s">
        <v>128</v>
      </c>
      <c r="F16" s="21" t="s">
        <v>231</v>
      </c>
      <c r="G16" s="21"/>
      <c r="H16" s="21"/>
      <c r="I16" s="21"/>
      <c r="J16" s="21"/>
      <c r="K16" s="21"/>
      <c r="L16" s="21"/>
      <c r="M16" s="21"/>
      <c r="N16" s="21"/>
      <c r="O16" s="21" t="s">
        <v>1259</v>
      </c>
    </row>
    <row r="17" ht="99.75" customHeight="1">
      <c r="A17" s="21" t="s">
        <v>1260</v>
      </c>
      <c r="B17" s="21" t="s">
        <v>1261</v>
      </c>
      <c r="C17" s="21" t="s">
        <v>1262</v>
      </c>
      <c r="D17" s="21" t="s">
        <v>1263</v>
      </c>
      <c r="E17" s="21" t="s">
        <v>128</v>
      </c>
      <c r="F17" s="21" t="s">
        <v>231</v>
      </c>
      <c r="G17" s="21"/>
      <c r="H17" s="21"/>
      <c r="I17" s="21"/>
      <c r="J17" s="21"/>
      <c r="K17" s="21"/>
      <c r="L17" s="21"/>
      <c r="M17" s="21"/>
      <c r="N17" s="21"/>
      <c r="O17" s="21" t="s">
        <v>1264</v>
      </c>
    </row>
    <row r="18" ht="99.75" customHeight="1">
      <c r="A18" s="21" t="s">
        <v>1265</v>
      </c>
      <c r="B18" s="21" t="s">
        <v>1266</v>
      </c>
      <c r="C18" s="21" t="s">
        <v>1267</v>
      </c>
      <c r="D18" s="21" t="s">
        <v>1268</v>
      </c>
      <c r="E18" s="21" t="s">
        <v>142</v>
      </c>
      <c r="F18" s="21" t="s">
        <v>231</v>
      </c>
      <c r="G18" s="21"/>
      <c r="H18" s="21"/>
      <c r="I18" s="21"/>
      <c r="J18" s="21"/>
      <c r="K18" s="21"/>
      <c r="L18" s="21"/>
      <c r="M18" s="21"/>
      <c r="N18" s="21"/>
      <c r="O18" s="21" t="s">
        <v>1269</v>
      </c>
    </row>
    <row r="19" ht="99.75" customHeight="1">
      <c r="A19" s="21" t="s">
        <v>1270</v>
      </c>
      <c r="B19" s="21" t="s">
        <v>1271</v>
      </c>
      <c r="C19" s="21" t="s">
        <v>1272</v>
      </c>
      <c r="D19" s="21" t="s">
        <v>1273</v>
      </c>
      <c r="E19" s="21" t="s">
        <v>142</v>
      </c>
      <c r="F19" s="21" t="s">
        <v>231</v>
      </c>
      <c r="G19" s="21"/>
      <c r="H19" s="21"/>
      <c r="I19" s="21"/>
      <c r="J19" s="21"/>
      <c r="K19" s="21"/>
      <c r="L19" s="21"/>
      <c r="M19" s="21"/>
      <c r="N19" s="21"/>
      <c r="O19" s="21" t="s">
        <v>1275</v>
      </c>
    </row>
    <row r="20" ht="99.75" customHeight="1">
      <c r="A20" s="21" t="s">
        <v>1276</v>
      </c>
      <c r="B20" s="21" t="s">
        <v>1277</v>
      </c>
      <c r="C20" s="21" t="s">
        <v>1278</v>
      </c>
      <c r="D20" s="21" t="s">
        <v>1279</v>
      </c>
      <c r="E20" s="21" t="s">
        <v>142</v>
      </c>
      <c r="F20" s="21" t="s">
        <v>231</v>
      </c>
      <c r="G20" s="21"/>
      <c r="H20" s="21"/>
      <c r="I20" s="21"/>
      <c r="J20" s="21"/>
      <c r="K20" s="21"/>
      <c r="L20" s="21"/>
      <c r="M20" s="21"/>
      <c r="N20" s="21"/>
      <c r="O20" s="21" t="s">
        <v>1280</v>
      </c>
    </row>
    <row r="21" ht="99.75" customHeight="1">
      <c r="A21" s="21" t="s">
        <v>1281</v>
      </c>
      <c r="B21" s="21" t="s">
        <v>1282</v>
      </c>
      <c r="C21" s="21" t="s">
        <v>1283</v>
      </c>
      <c r="D21" s="21" t="s">
        <v>1284</v>
      </c>
      <c r="E21" s="21" t="s">
        <v>152</v>
      </c>
      <c r="F21" s="21" t="s">
        <v>231</v>
      </c>
      <c r="G21" s="21"/>
      <c r="H21" s="21"/>
      <c r="I21" s="21"/>
      <c r="J21" s="21"/>
      <c r="K21" s="21"/>
      <c r="L21" s="21"/>
      <c r="M21" s="21"/>
      <c r="N21" s="21"/>
      <c r="O21" s="21" t="s">
        <v>1285</v>
      </c>
    </row>
    <row r="22" ht="99.75" customHeight="1">
      <c r="A22" s="21" t="s">
        <v>1286</v>
      </c>
      <c r="B22" s="21" t="s">
        <v>1287</v>
      </c>
      <c r="C22" s="21" t="s">
        <v>1288</v>
      </c>
      <c r="D22" s="21" t="s">
        <v>1289</v>
      </c>
      <c r="E22" s="21" t="s">
        <v>152</v>
      </c>
      <c r="F22" s="21" t="s">
        <v>231</v>
      </c>
      <c r="G22" s="21"/>
      <c r="H22" s="21"/>
      <c r="I22" s="21"/>
      <c r="J22" s="21"/>
      <c r="K22" s="21"/>
      <c r="L22" s="21"/>
      <c r="M22" s="21"/>
      <c r="N22" s="21"/>
      <c r="O22" s="21" t="s">
        <v>1290</v>
      </c>
    </row>
    <row r="23" ht="99.75" customHeight="1">
      <c r="A23" s="21" t="s">
        <v>1291</v>
      </c>
      <c r="B23" s="21" t="s">
        <v>1292</v>
      </c>
      <c r="C23" s="21" t="s">
        <v>1293</v>
      </c>
      <c r="D23" s="21" t="s">
        <v>1294</v>
      </c>
      <c r="E23" s="21" t="s">
        <v>152</v>
      </c>
      <c r="F23" s="21" t="s">
        <v>231</v>
      </c>
      <c r="G23" s="21"/>
      <c r="H23" s="21"/>
      <c r="I23" s="21"/>
      <c r="J23" s="21"/>
      <c r="K23" s="21"/>
      <c r="L23" s="21"/>
      <c r="M23" s="21"/>
      <c r="N23" s="21"/>
      <c r="O23" s="21" t="s">
        <v>1295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conditionalFormatting sqref="F12:F23">
    <cfRule type="expression" dxfId="0" priority="1">
      <formula>F12="Passed"</formula>
    </cfRule>
  </conditionalFormatting>
  <conditionalFormatting sqref="F12:F23">
    <cfRule type="expression" dxfId="1" priority="2">
      <formula>F12="Failed"</formula>
    </cfRule>
  </conditionalFormatting>
  <conditionalFormatting sqref="I12:I23">
    <cfRule type="expression" dxfId="0" priority="3">
      <formula>I12="Passed"</formula>
    </cfRule>
  </conditionalFormatting>
  <conditionalFormatting sqref="I12:I23">
    <cfRule type="expression" dxfId="1" priority="4">
      <formula>I12="Failed"</formula>
    </cfRule>
  </conditionalFormatting>
  <conditionalFormatting sqref="L12:L23">
    <cfRule type="expression" dxfId="0" priority="5">
      <formula>L12="Passed"</formula>
    </cfRule>
  </conditionalFormatting>
  <conditionalFormatting sqref="L12:L23">
    <cfRule type="expression" dxfId="1" priority="6">
      <formula>L12="Failed"</formula>
    </cfRule>
  </conditionalFormatting>
  <dataValidations>
    <dataValidation type="list" allowBlank="1" sqref="F12:F23 I12:I23 L12:L23">
      <formula1>"Not Run,Blocked,Passed,Failed,Pending,N/A"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/>
    <col customWidth="1" min="8" max="8" width="7.0"/>
    <col customWidth="1" min="9" max="9" width="9.38"/>
    <col customWidth="1" min="10" max="10" width="10.63"/>
    <col customWidth="1" min="11" max="11" width="7.0"/>
    <col customWidth="1" min="12" max="12" width="9.38"/>
    <col customWidth="1" min="13" max="13" width="10.63"/>
    <col customWidth="1" min="14" max="14" width="7.0"/>
    <col customWidth="1" min="15" max="15" width="28.63"/>
    <col customWidth="1" min="16" max="16" width="10.13"/>
    <col customWidth="1" min="17" max="17" width="8.13"/>
    <col customWidth="1" min="18" max="18" width="7.63"/>
    <col customWidth="1" min="19" max="26" width="8.63"/>
  </cols>
  <sheetData>
    <row r="2">
      <c r="A2" s="3" t="s">
        <v>3</v>
      </c>
      <c r="B2" s="7" t="s">
        <v>155</v>
      </c>
      <c r="C2" s="8"/>
      <c r="D2" s="8"/>
      <c r="E2" s="6"/>
      <c r="R2" s="12" t="s">
        <v>8</v>
      </c>
    </row>
    <row r="3" ht="45.0" customHeight="1">
      <c r="A3" s="3" t="s">
        <v>11</v>
      </c>
      <c r="B3" s="7" t="s">
        <v>1274</v>
      </c>
      <c r="C3" s="8"/>
      <c r="D3" s="8"/>
      <c r="E3" s="6"/>
      <c r="R3" s="18" t="s">
        <v>17</v>
      </c>
    </row>
    <row r="4" ht="22.5" customHeight="1">
      <c r="A4" s="3" t="s">
        <v>23</v>
      </c>
      <c r="B4" s="7">
        <f>COUNTA(A12:A25)</f>
        <v>14</v>
      </c>
      <c r="C4" s="8"/>
      <c r="D4" s="8"/>
      <c r="E4" s="6"/>
      <c r="R4" s="27" t="s">
        <v>62</v>
      </c>
    </row>
    <row r="5">
      <c r="A5" s="28" t="s">
        <v>71</v>
      </c>
      <c r="B5" s="28" t="s">
        <v>8</v>
      </c>
      <c r="C5" s="28" t="s">
        <v>17</v>
      </c>
      <c r="D5" s="28" t="s">
        <v>62</v>
      </c>
      <c r="E5" s="28" t="s">
        <v>77</v>
      </c>
      <c r="R5" s="31" t="s">
        <v>77</v>
      </c>
    </row>
    <row r="6">
      <c r="A6" s="29" t="s">
        <v>91</v>
      </c>
      <c r="B6" s="29">
        <f>COUNTIF(F12:F25,"Passed")+COUNTIF(F12:F25,"Pass")</f>
        <v>0</v>
      </c>
      <c r="C6" s="29">
        <f>COUNTIF(F12:F25,"Failed")+COUNTIF(F12:F25,"Fail")</f>
        <v>0</v>
      </c>
      <c r="D6" s="29">
        <f>COUNTIF(F12:F25,"Not Run")+COUNTIF(F12:F25,"Blocked")+COUNTIF(F12:F25,"Pending")+COUNTBLANK(F12:F25)</f>
        <v>14</v>
      </c>
      <c r="E6" s="29">
        <f>COUNTIF(F12:F25,"N/A")</f>
        <v>0</v>
      </c>
    </row>
    <row r="7">
      <c r="A7" s="29" t="s">
        <v>130</v>
      </c>
      <c r="B7" s="29">
        <f>COUNTIF(I12:I25,"Passed")+COUNTIF(I12:I25,"Pass")</f>
        <v>0</v>
      </c>
      <c r="C7" s="29">
        <f>COUNTIF(I12:I25,"Failed")+COUNTIF(I12:I25,"Fail")</f>
        <v>0</v>
      </c>
      <c r="D7" s="29">
        <f>COUNTIF(I12:I25,"Not Run")+COUNTIF(I12:I25,"Blocked")+COUNTIF(I12:I25,"Pending")</f>
        <v>0</v>
      </c>
      <c r="E7" s="29">
        <f>COUNTIF(I12:I25,"N/A")</f>
        <v>0</v>
      </c>
    </row>
    <row r="8">
      <c r="A8" s="29" t="s">
        <v>153</v>
      </c>
      <c r="B8" s="29">
        <f>COUNTIF(L12:L25,"Passed")+COUNTIF(L12:L25,"Pass")</f>
        <v>0</v>
      </c>
      <c r="C8" s="29">
        <f>COUNTIF(L12:L25,"Failed")+COUNTIF(L12:L25,"Fail")</f>
        <v>0</v>
      </c>
      <c r="D8" s="29">
        <f>COUNTIF(L12:L25,"Not Run")+COUNTIF(L12:L25,"Blocked")+COUNTIF(L12:L25,"Pending")</f>
        <v>0</v>
      </c>
      <c r="E8" s="29">
        <f>COUNTIF(L12:L25,"N/A")</f>
        <v>0</v>
      </c>
    </row>
    <row r="10" ht="30.0" customHeight="1">
      <c r="A10" s="33" t="s">
        <v>193</v>
      </c>
      <c r="B10" s="33" t="s">
        <v>198</v>
      </c>
      <c r="C10" s="33" t="s">
        <v>199</v>
      </c>
      <c r="D10" s="33" t="s">
        <v>201</v>
      </c>
      <c r="E10" s="33" t="s">
        <v>205</v>
      </c>
      <c r="F10" s="33" t="s">
        <v>91</v>
      </c>
      <c r="G10" s="33" t="s">
        <v>207</v>
      </c>
      <c r="H10" s="33" t="s">
        <v>208</v>
      </c>
      <c r="I10" s="33" t="s">
        <v>130</v>
      </c>
      <c r="J10" s="33" t="s">
        <v>207</v>
      </c>
      <c r="K10" s="33" t="s">
        <v>208</v>
      </c>
      <c r="L10" s="33" t="s">
        <v>153</v>
      </c>
      <c r="M10" s="33" t="s">
        <v>207</v>
      </c>
      <c r="N10" s="33" t="s">
        <v>208</v>
      </c>
      <c r="O10" s="33" t="s">
        <v>214</v>
      </c>
    </row>
    <row r="11" ht="24.75" customHeight="1">
      <c r="A11" s="34" t="s">
        <v>1297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</row>
    <row r="12" ht="99.75" customHeight="1">
      <c r="A12" s="21" t="s">
        <v>1298</v>
      </c>
      <c r="B12" s="21" t="s">
        <v>1299</v>
      </c>
      <c r="C12" s="21" t="s">
        <v>1300</v>
      </c>
      <c r="D12" s="21" t="s">
        <v>1301</v>
      </c>
      <c r="E12" s="21" t="s">
        <v>157</v>
      </c>
      <c r="F12" s="21" t="s">
        <v>231</v>
      </c>
      <c r="G12" s="21"/>
      <c r="H12" s="21"/>
      <c r="I12" s="21"/>
      <c r="J12" s="21"/>
      <c r="K12" s="21"/>
      <c r="L12" s="21"/>
      <c r="M12" s="21"/>
      <c r="N12" s="21"/>
      <c r="O12" s="21" t="s">
        <v>1302</v>
      </c>
    </row>
    <row r="13" ht="99.75" customHeight="1">
      <c r="A13" s="21" t="s">
        <v>1303</v>
      </c>
      <c r="B13" s="21" t="s">
        <v>1304</v>
      </c>
      <c r="C13" s="21" t="s">
        <v>1305</v>
      </c>
      <c r="D13" s="21" t="s">
        <v>1306</v>
      </c>
      <c r="E13" s="21" t="s">
        <v>157</v>
      </c>
      <c r="F13" s="21" t="s">
        <v>231</v>
      </c>
      <c r="G13" s="21"/>
      <c r="H13" s="21"/>
      <c r="I13" s="21"/>
      <c r="J13" s="21"/>
      <c r="K13" s="21"/>
      <c r="L13" s="21"/>
      <c r="M13" s="21"/>
      <c r="N13" s="21"/>
      <c r="O13" s="21" t="s">
        <v>1307</v>
      </c>
    </row>
    <row r="14" ht="99.75" customHeight="1">
      <c r="A14" s="21" t="s">
        <v>1308</v>
      </c>
      <c r="B14" s="21" t="s">
        <v>1309</v>
      </c>
      <c r="C14" s="21" t="s">
        <v>1310</v>
      </c>
      <c r="D14" s="21" t="s">
        <v>1311</v>
      </c>
      <c r="E14" s="21" t="s">
        <v>157</v>
      </c>
      <c r="F14" s="21" t="s">
        <v>231</v>
      </c>
      <c r="G14" s="21"/>
      <c r="H14" s="21"/>
      <c r="I14" s="21"/>
      <c r="J14" s="21"/>
      <c r="K14" s="21"/>
      <c r="L14" s="21"/>
      <c r="M14" s="21"/>
      <c r="N14" s="21"/>
      <c r="O14" s="21" t="s">
        <v>1312</v>
      </c>
    </row>
    <row r="15" ht="99.75" customHeight="1">
      <c r="A15" s="21" t="s">
        <v>1313</v>
      </c>
      <c r="B15" s="21" t="s">
        <v>1314</v>
      </c>
      <c r="C15" s="21" t="s">
        <v>1315</v>
      </c>
      <c r="D15" s="21" t="s">
        <v>1316</v>
      </c>
      <c r="E15" s="21" t="s">
        <v>152</v>
      </c>
      <c r="F15" s="21" t="s">
        <v>231</v>
      </c>
      <c r="G15" s="21"/>
      <c r="H15" s="21"/>
      <c r="I15" s="21"/>
      <c r="J15" s="21"/>
      <c r="K15" s="21"/>
      <c r="L15" s="21"/>
      <c r="M15" s="21"/>
      <c r="N15" s="21"/>
      <c r="O15" s="21" t="s">
        <v>1317</v>
      </c>
    </row>
    <row r="16" ht="99.75" customHeight="1">
      <c r="A16" s="21" t="s">
        <v>1318</v>
      </c>
      <c r="B16" s="21" t="s">
        <v>1319</v>
      </c>
      <c r="C16" s="21" t="s">
        <v>1320</v>
      </c>
      <c r="D16" s="21" t="s">
        <v>1321</v>
      </c>
      <c r="E16" s="21" t="s">
        <v>152</v>
      </c>
      <c r="F16" s="21" t="s">
        <v>231</v>
      </c>
      <c r="G16" s="21"/>
      <c r="H16" s="21"/>
      <c r="I16" s="21"/>
      <c r="J16" s="21"/>
      <c r="K16" s="21"/>
      <c r="L16" s="21"/>
      <c r="M16" s="21"/>
      <c r="N16" s="21"/>
      <c r="O16" s="21" t="s">
        <v>1322</v>
      </c>
    </row>
    <row r="17" ht="99.75" customHeight="1">
      <c r="A17" s="21" t="s">
        <v>1323</v>
      </c>
      <c r="B17" s="21" t="s">
        <v>1324</v>
      </c>
      <c r="C17" s="21" t="s">
        <v>1325</v>
      </c>
      <c r="D17" s="21" t="s">
        <v>1326</v>
      </c>
      <c r="E17" s="21" t="s">
        <v>152</v>
      </c>
      <c r="F17" s="21" t="s">
        <v>231</v>
      </c>
      <c r="G17" s="21"/>
      <c r="H17" s="21"/>
      <c r="I17" s="21"/>
      <c r="J17" s="21"/>
      <c r="K17" s="21"/>
      <c r="L17" s="21"/>
      <c r="M17" s="21"/>
      <c r="N17" s="21"/>
      <c r="O17" s="21" t="s">
        <v>1327</v>
      </c>
    </row>
    <row r="18" ht="99.75" customHeight="1">
      <c r="A18" s="21" t="s">
        <v>1328</v>
      </c>
      <c r="B18" s="21" t="s">
        <v>1329</v>
      </c>
      <c r="C18" s="21" t="s">
        <v>1330</v>
      </c>
      <c r="D18" s="21" t="s">
        <v>1331</v>
      </c>
      <c r="E18" s="21" t="s">
        <v>162</v>
      </c>
      <c r="F18" s="21" t="s">
        <v>231</v>
      </c>
      <c r="G18" s="21"/>
      <c r="H18" s="21"/>
      <c r="I18" s="21"/>
      <c r="J18" s="21"/>
      <c r="K18" s="21"/>
      <c r="L18" s="21"/>
      <c r="M18" s="21"/>
      <c r="N18" s="21"/>
      <c r="O18" s="21" t="s">
        <v>1332</v>
      </c>
    </row>
    <row r="19" ht="99.75" customHeight="1">
      <c r="A19" s="21" t="s">
        <v>1333</v>
      </c>
      <c r="B19" s="21" t="s">
        <v>1334</v>
      </c>
      <c r="C19" s="21" t="s">
        <v>1335</v>
      </c>
      <c r="D19" s="21" t="s">
        <v>1336</v>
      </c>
      <c r="E19" s="21" t="s">
        <v>162</v>
      </c>
      <c r="F19" s="21" t="s">
        <v>231</v>
      </c>
      <c r="G19" s="21"/>
      <c r="H19" s="21"/>
      <c r="I19" s="21"/>
      <c r="J19" s="21"/>
      <c r="K19" s="21"/>
      <c r="L19" s="21"/>
      <c r="M19" s="21"/>
      <c r="N19" s="21"/>
      <c r="O19" s="21" t="s">
        <v>1337</v>
      </c>
    </row>
    <row r="20" ht="99.75" customHeight="1">
      <c r="A20" s="21" t="s">
        <v>1338</v>
      </c>
      <c r="B20" s="21" t="s">
        <v>1339</v>
      </c>
      <c r="C20" s="21" t="s">
        <v>1340</v>
      </c>
      <c r="D20" s="21" t="s">
        <v>1341</v>
      </c>
      <c r="E20" s="21" t="s">
        <v>162</v>
      </c>
      <c r="F20" s="21" t="s">
        <v>231</v>
      </c>
      <c r="G20" s="21"/>
      <c r="H20" s="21"/>
      <c r="I20" s="21"/>
      <c r="J20" s="21"/>
      <c r="K20" s="21"/>
      <c r="L20" s="21"/>
      <c r="M20" s="21"/>
      <c r="N20" s="21"/>
      <c r="O20" s="21" t="s">
        <v>1342</v>
      </c>
    </row>
    <row r="21" ht="99.75" customHeight="1">
      <c r="A21" s="21" t="s">
        <v>1343</v>
      </c>
      <c r="B21" s="21" t="s">
        <v>1344</v>
      </c>
      <c r="C21" s="21" t="s">
        <v>1345</v>
      </c>
      <c r="D21" s="21" t="s">
        <v>1346</v>
      </c>
      <c r="E21" s="21" t="s">
        <v>1347</v>
      </c>
      <c r="F21" s="21" t="s">
        <v>231</v>
      </c>
      <c r="G21" s="21"/>
      <c r="H21" s="21"/>
      <c r="I21" s="21"/>
      <c r="J21" s="21"/>
      <c r="K21" s="21"/>
      <c r="L21" s="21"/>
      <c r="M21" s="21"/>
      <c r="N21" s="21"/>
      <c r="O21" s="21" t="s">
        <v>1348</v>
      </c>
    </row>
    <row r="22" ht="99.75" customHeight="1">
      <c r="A22" s="21" t="s">
        <v>1350</v>
      </c>
      <c r="B22" s="21" t="s">
        <v>1351</v>
      </c>
      <c r="C22" s="21" t="s">
        <v>1352</v>
      </c>
      <c r="D22" s="21" t="s">
        <v>1353</v>
      </c>
      <c r="E22" s="21" t="s">
        <v>1354</v>
      </c>
      <c r="F22" s="21" t="s">
        <v>231</v>
      </c>
      <c r="G22" s="21"/>
      <c r="H22" s="21"/>
      <c r="I22" s="21"/>
      <c r="J22" s="21"/>
      <c r="K22" s="21"/>
      <c r="L22" s="21"/>
      <c r="M22" s="21"/>
      <c r="N22" s="21"/>
      <c r="O22" s="21" t="s">
        <v>1357</v>
      </c>
    </row>
    <row r="23" ht="99.75" customHeight="1">
      <c r="A23" s="21" t="s">
        <v>1358</v>
      </c>
      <c r="B23" s="21" t="s">
        <v>1360</v>
      </c>
      <c r="C23" s="21" t="s">
        <v>1362</v>
      </c>
      <c r="D23" s="21" t="s">
        <v>1363</v>
      </c>
      <c r="E23" s="21" t="s">
        <v>1364</v>
      </c>
      <c r="F23" s="21" t="s">
        <v>231</v>
      </c>
      <c r="G23" s="21"/>
      <c r="H23" s="21"/>
      <c r="I23" s="21"/>
      <c r="J23" s="21"/>
      <c r="K23" s="21"/>
      <c r="L23" s="21"/>
      <c r="M23" s="21"/>
      <c r="N23" s="21"/>
      <c r="O23" s="21" t="s">
        <v>1365</v>
      </c>
    </row>
    <row r="24" ht="99.75" customHeight="1">
      <c r="A24" s="21" t="s">
        <v>1366</v>
      </c>
      <c r="B24" s="21" t="s">
        <v>1367</v>
      </c>
      <c r="C24" s="21" t="s">
        <v>1368</v>
      </c>
      <c r="D24" s="21" t="s">
        <v>1370</v>
      </c>
      <c r="E24" s="21" t="s">
        <v>1372</v>
      </c>
      <c r="F24" s="21" t="s">
        <v>231</v>
      </c>
      <c r="G24" s="21"/>
      <c r="H24" s="21"/>
      <c r="I24" s="21"/>
      <c r="J24" s="21"/>
      <c r="K24" s="21"/>
      <c r="L24" s="21"/>
      <c r="M24" s="21"/>
      <c r="N24" s="21"/>
      <c r="O24" s="21" t="s">
        <v>1378</v>
      </c>
    </row>
    <row r="25" ht="99.75" customHeight="1">
      <c r="A25" s="21" t="s">
        <v>1380</v>
      </c>
      <c r="B25" s="21" t="s">
        <v>1381</v>
      </c>
      <c r="C25" s="21" t="s">
        <v>1383</v>
      </c>
      <c r="D25" s="21" t="s">
        <v>1385</v>
      </c>
      <c r="E25" s="21" t="s">
        <v>1386</v>
      </c>
      <c r="F25" s="21" t="s">
        <v>231</v>
      </c>
      <c r="G25" s="21"/>
      <c r="H25" s="21"/>
      <c r="I25" s="21"/>
      <c r="J25" s="21"/>
      <c r="K25" s="21"/>
      <c r="L25" s="21"/>
      <c r="M25" s="21"/>
      <c r="N25" s="21"/>
      <c r="O25" s="21" t="s">
        <v>1388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conditionalFormatting sqref="F12:F25">
    <cfRule type="expression" dxfId="0" priority="1">
      <formula>F12="Passed"</formula>
    </cfRule>
  </conditionalFormatting>
  <conditionalFormatting sqref="F12:F25">
    <cfRule type="expression" dxfId="1" priority="2">
      <formula>F12="Failed"</formula>
    </cfRule>
  </conditionalFormatting>
  <conditionalFormatting sqref="I12:I25">
    <cfRule type="expression" dxfId="0" priority="3">
      <formula>I12="Passed"</formula>
    </cfRule>
  </conditionalFormatting>
  <conditionalFormatting sqref="I12:I25">
    <cfRule type="expression" dxfId="1" priority="4">
      <formula>I12="Failed"</formula>
    </cfRule>
  </conditionalFormatting>
  <conditionalFormatting sqref="L12:L25">
    <cfRule type="expression" dxfId="0" priority="5">
      <formula>L12="Passed"</formula>
    </cfRule>
  </conditionalFormatting>
  <conditionalFormatting sqref="L12:L25">
    <cfRule type="expression" dxfId="1" priority="6">
      <formula>L12="Failed"</formula>
    </cfRule>
  </conditionalFormatting>
  <dataValidations>
    <dataValidation type="list" allowBlank="1" sqref="F12:F25 I12:I25 L12:L25">
      <formula1>"Not Run,Blocked,Passed,Failed,Pending,N/A"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/>
    <col customWidth="1" min="8" max="8" width="7.0"/>
    <col customWidth="1" min="9" max="9" width="9.38"/>
    <col customWidth="1" min="10" max="10" width="10.63"/>
    <col customWidth="1" min="11" max="11" width="7.0"/>
    <col customWidth="1" min="12" max="12" width="9.38"/>
    <col customWidth="1" min="13" max="13" width="10.63"/>
    <col customWidth="1" min="14" max="14" width="7.0"/>
    <col customWidth="1" min="15" max="15" width="28.63"/>
    <col customWidth="1" min="16" max="16" width="10.13"/>
    <col customWidth="1" min="17" max="17" width="8.13"/>
    <col customWidth="1" min="18" max="18" width="7.63"/>
    <col customWidth="1" min="19" max="26" width="8.63"/>
  </cols>
  <sheetData>
    <row r="2">
      <c r="A2" s="3" t="s">
        <v>3</v>
      </c>
      <c r="B2" s="7" t="s">
        <v>164</v>
      </c>
      <c r="C2" s="8"/>
      <c r="D2" s="8"/>
      <c r="E2" s="6"/>
      <c r="R2" s="12" t="s">
        <v>8</v>
      </c>
    </row>
    <row r="3" ht="45.0" customHeight="1">
      <c r="A3" s="3" t="s">
        <v>11</v>
      </c>
      <c r="B3" s="7" t="s">
        <v>1296</v>
      </c>
      <c r="C3" s="8"/>
      <c r="D3" s="8"/>
      <c r="E3" s="6"/>
      <c r="R3" s="18" t="s">
        <v>17</v>
      </c>
    </row>
    <row r="4" ht="22.5" customHeight="1">
      <c r="A4" s="3" t="s">
        <v>23</v>
      </c>
      <c r="B4" s="7">
        <f>COUNTA(A12:A24)</f>
        <v>13</v>
      </c>
      <c r="C4" s="8"/>
      <c r="D4" s="8"/>
      <c r="E4" s="6"/>
      <c r="R4" s="27" t="s">
        <v>62</v>
      </c>
    </row>
    <row r="5">
      <c r="A5" s="28" t="s">
        <v>71</v>
      </c>
      <c r="B5" s="28" t="s">
        <v>8</v>
      </c>
      <c r="C5" s="28" t="s">
        <v>17</v>
      </c>
      <c r="D5" s="28" t="s">
        <v>62</v>
      </c>
      <c r="E5" s="28" t="s">
        <v>77</v>
      </c>
      <c r="R5" s="31" t="s">
        <v>77</v>
      </c>
    </row>
    <row r="6">
      <c r="A6" s="29" t="s">
        <v>91</v>
      </c>
      <c r="B6" s="29">
        <f>COUNTIF(F12:F24,"Passed")+COUNTIF(F12:F24,"Pass")</f>
        <v>0</v>
      </c>
      <c r="C6" s="29">
        <f>COUNTIF(F12:F24,"Failed")+COUNTIF(F12:F24,"Fail")</f>
        <v>0</v>
      </c>
      <c r="D6" s="29">
        <f>COUNTIF(F12:F24,"Not Run")+COUNTIF(F12:F24,"Blocked")+COUNTIF(F12:F24,"Pending")+COUNTBLANK(F12:F24)</f>
        <v>13</v>
      </c>
      <c r="E6" s="29">
        <f>COUNTIF(F12:F24,"N/A")</f>
        <v>0</v>
      </c>
    </row>
    <row r="7">
      <c r="A7" s="29" t="s">
        <v>130</v>
      </c>
      <c r="B7" s="29">
        <f>COUNTIF(I12:I24,"Passed")+COUNTIF(I12:I24,"Pass")</f>
        <v>0</v>
      </c>
      <c r="C7" s="29">
        <f>COUNTIF(I12:I24,"Failed")+COUNTIF(I12:I24,"Fail")</f>
        <v>0</v>
      </c>
      <c r="D7" s="29">
        <f>COUNTIF(I12:I24,"Not Run")+COUNTIF(I12:I24,"Blocked")+COUNTIF(I12:I24,"Pending")</f>
        <v>0</v>
      </c>
      <c r="E7" s="29">
        <f>COUNTIF(I12:I24,"N/A")</f>
        <v>0</v>
      </c>
    </row>
    <row r="8">
      <c r="A8" s="29" t="s">
        <v>153</v>
      </c>
      <c r="B8" s="29">
        <f>COUNTIF(L12:L24,"Passed")+COUNTIF(L12:L24,"Pass")</f>
        <v>0</v>
      </c>
      <c r="C8" s="29">
        <f>COUNTIF(L12:L24,"Failed")+COUNTIF(L12:L24,"Fail")</f>
        <v>0</v>
      </c>
      <c r="D8" s="29">
        <f>COUNTIF(L12:L24,"Not Run")+COUNTIF(L12:L24,"Blocked")+COUNTIF(L12:L24,"Pending")</f>
        <v>0</v>
      </c>
      <c r="E8" s="29">
        <f>COUNTIF(L12:L24,"N/A")</f>
        <v>0</v>
      </c>
    </row>
    <row r="10" ht="30.0" customHeight="1">
      <c r="A10" s="33" t="s">
        <v>193</v>
      </c>
      <c r="B10" s="33" t="s">
        <v>198</v>
      </c>
      <c r="C10" s="33" t="s">
        <v>199</v>
      </c>
      <c r="D10" s="33" t="s">
        <v>201</v>
      </c>
      <c r="E10" s="33" t="s">
        <v>205</v>
      </c>
      <c r="F10" s="33" t="s">
        <v>91</v>
      </c>
      <c r="G10" s="33" t="s">
        <v>207</v>
      </c>
      <c r="H10" s="33" t="s">
        <v>208</v>
      </c>
      <c r="I10" s="33" t="s">
        <v>130</v>
      </c>
      <c r="J10" s="33" t="s">
        <v>207</v>
      </c>
      <c r="K10" s="33" t="s">
        <v>208</v>
      </c>
      <c r="L10" s="33" t="s">
        <v>153</v>
      </c>
      <c r="M10" s="33" t="s">
        <v>207</v>
      </c>
      <c r="N10" s="33" t="s">
        <v>208</v>
      </c>
      <c r="O10" s="33" t="s">
        <v>214</v>
      </c>
    </row>
    <row r="11" ht="24.75" customHeight="1">
      <c r="A11" s="34" t="s">
        <v>1349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</row>
    <row r="12" ht="99.75" customHeight="1">
      <c r="A12" s="21" t="s">
        <v>1355</v>
      </c>
      <c r="B12" s="21" t="s">
        <v>1356</v>
      </c>
      <c r="C12" s="21" t="s">
        <v>1359</v>
      </c>
      <c r="D12" s="21" t="s">
        <v>1361</v>
      </c>
      <c r="E12" s="21" t="s">
        <v>166</v>
      </c>
      <c r="F12" s="21" t="s">
        <v>231</v>
      </c>
      <c r="G12" s="21"/>
      <c r="H12" s="21"/>
      <c r="I12" s="21"/>
      <c r="J12" s="21"/>
      <c r="K12" s="21"/>
      <c r="L12" s="21"/>
      <c r="M12" s="21"/>
      <c r="N12" s="21"/>
      <c r="O12" s="21" t="s">
        <v>1369</v>
      </c>
    </row>
    <row r="13" ht="99.75" customHeight="1">
      <c r="A13" s="21" t="s">
        <v>1371</v>
      </c>
      <c r="B13" s="21" t="s">
        <v>1373</v>
      </c>
      <c r="C13" s="21" t="s">
        <v>1374</v>
      </c>
      <c r="D13" s="21" t="s">
        <v>1375</v>
      </c>
      <c r="E13" s="21" t="s">
        <v>166</v>
      </c>
      <c r="F13" s="21" t="s">
        <v>231</v>
      </c>
      <c r="G13" s="21"/>
      <c r="H13" s="21"/>
      <c r="I13" s="21"/>
      <c r="J13" s="21"/>
      <c r="K13" s="21"/>
      <c r="L13" s="21"/>
      <c r="M13" s="21"/>
      <c r="N13" s="21"/>
      <c r="O13" s="21" t="s">
        <v>1376</v>
      </c>
    </row>
    <row r="14" ht="99.75" customHeight="1">
      <c r="A14" s="21" t="s">
        <v>1377</v>
      </c>
      <c r="B14" s="21" t="s">
        <v>1379</v>
      </c>
      <c r="C14" s="21" t="s">
        <v>1382</v>
      </c>
      <c r="D14" s="21" t="s">
        <v>1384</v>
      </c>
      <c r="E14" s="21" t="s">
        <v>166</v>
      </c>
      <c r="F14" s="21" t="s">
        <v>231</v>
      </c>
      <c r="G14" s="21"/>
      <c r="H14" s="21"/>
      <c r="I14" s="21"/>
      <c r="J14" s="21"/>
      <c r="K14" s="21"/>
      <c r="L14" s="21"/>
      <c r="M14" s="21"/>
      <c r="N14" s="21"/>
      <c r="O14" s="21" t="s">
        <v>1387</v>
      </c>
    </row>
    <row r="15" ht="99.75" customHeight="1">
      <c r="A15" s="21" t="s">
        <v>1389</v>
      </c>
      <c r="B15" s="21" t="s">
        <v>1390</v>
      </c>
      <c r="C15" s="21" t="s">
        <v>1391</v>
      </c>
      <c r="D15" s="21" t="s">
        <v>1392</v>
      </c>
      <c r="E15" s="21" t="s">
        <v>169</v>
      </c>
      <c r="F15" s="21" t="s">
        <v>231</v>
      </c>
      <c r="G15" s="21"/>
      <c r="H15" s="21"/>
      <c r="I15" s="21"/>
      <c r="J15" s="21"/>
      <c r="K15" s="21"/>
      <c r="L15" s="21"/>
      <c r="M15" s="21"/>
      <c r="N15" s="21"/>
      <c r="O15" s="21" t="s">
        <v>1393</v>
      </c>
    </row>
    <row r="16" ht="99.75" customHeight="1">
      <c r="A16" s="21" t="s">
        <v>1394</v>
      </c>
      <c r="B16" s="21" t="s">
        <v>1395</v>
      </c>
      <c r="C16" s="21" t="s">
        <v>1396</v>
      </c>
      <c r="D16" s="21" t="s">
        <v>1397</v>
      </c>
      <c r="E16" s="21" t="s">
        <v>169</v>
      </c>
      <c r="F16" s="21" t="s">
        <v>231</v>
      </c>
      <c r="G16" s="21"/>
      <c r="H16" s="21"/>
      <c r="I16" s="21"/>
      <c r="J16" s="21"/>
      <c r="K16" s="21"/>
      <c r="L16" s="21"/>
      <c r="M16" s="21"/>
      <c r="N16" s="21"/>
      <c r="O16" s="21" t="s">
        <v>1398</v>
      </c>
    </row>
    <row r="17" ht="99.75" customHeight="1">
      <c r="A17" s="21" t="s">
        <v>1399</v>
      </c>
      <c r="B17" s="21" t="s">
        <v>1400</v>
      </c>
      <c r="C17" s="21" t="s">
        <v>1401</v>
      </c>
      <c r="D17" s="21" t="s">
        <v>1402</v>
      </c>
      <c r="E17" s="21" t="s">
        <v>169</v>
      </c>
      <c r="F17" s="21" t="s">
        <v>231</v>
      </c>
      <c r="G17" s="21"/>
      <c r="H17" s="21"/>
      <c r="I17" s="21"/>
      <c r="J17" s="21"/>
      <c r="K17" s="21"/>
      <c r="L17" s="21"/>
      <c r="M17" s="21"/>
      <c r="N17" s="21"/>
      <c r="O17" s="21" t="s">
        <v>1403</v>
      </c>
    </row>
    <row r="18" ht="99.75" customHeight="1">
      <c r="A18" s="21" t="s">
        <v>1404</v>
      </c>
      <c r="B18" s="21" t="s">
        <v>1405</v>
      </c>
      <c r="C18" s="21" t="s">
        <v>1406</v>
      </c>
      <c r="D18" s="21" t="s">
        <v>1407</v>
      </c>
      <c r="E18" s="21" t="s">
        <v>1408</v>
      </c>
      <c r="F18" s="21" t="s">
        <v>231</v>
      </c>
      <c r="G18" s="21"/>
      <c r="H18" s="21"/>
      <c r="I18" s="21"/>
      <c r="J18" s="21"/>
      <c r="K18" s="21"/>
      <c r="L18" s="21"/>
      <c r="M18" s="21"/>
      <c r="N18" s="21"/>
      <c r="O18" s="21" t="s">
        <v>1409</v>
      </c>
    </row>
    <row r="19" ht="99.75" customHeight="1">
      <c r="A19" s="21" t="s">
        <v>1410</v>
      </c>
      <c r="B19" s="21" t="s">
        <v>1411</v>
      </c>
      <c r="C19" s="21" t="s">
        <v>1412</v>
      </c>
      <c r="D19" s="21" t="s">
        <v>1413</v>
      </c>
      <c r="E19" s="21" t="s">
        <v>1415</v>
      </c>
      <c r="F19" s="21" t="s">
        <v>231</v>
      </c>
      <c r="G19" s="21"/>
      <c r="H19" s="21"/>
      <c r="I19" s="21"/>
      <c r="J19" s="21"/>
      <c r="K19" s="21"/>
      <c r="L19" s="21"/>
      <c r="M19" s="21"/>
      <c r="N19" s="21"/>
      <c r="O19" s="21" t="s">
        <v>1416</v>
      </c>
    </row>
    <row r="20" ht="99.75" customHeight="1">
      <c r="A20" s="21" t="s">
        <v>1417</v>
      </c>
      <c r="B20" s="21" t="s">
        <v>1418</v>
      </c>
      <c r="C20" s="21" t="s">
        <v>1419</v>
      </c>
      <c r="D20" s="21" t="s">
        <v>1420</v>
      </c>
      <c r="E20" s="21" t="s">
        <v>1421</v>
      </c>
      <c r="F20" s="21" t="s">
        <v>231</v>
      </c>
      <c r="G20" s="21"/>
      <c r="H20" s="21"/>
      <c r="I20" s="21"/>
      <c r="J20" s="21"/>
      <c r="K20" s="21"/>
      <c r="L20" s="21"/>
      <c r="M20" s="21"/>
      <c r="N20" s="21"/>
      <c r="O20" s="21" t="s">
        <v>1422</v>
      </c>
    </row>
    <row r="21" ht="99.75" customHeight="1">
      <c r="A21" s="21" t="s">
        <v>1423</v>
      </c>
      <c r="B21" s="21" t="s">
        <v>1424</v>
      </c>
      <c r="C21" s="21" t="s">
        <v>1425</v>
      </c>
      <c r="D21" s="21" t="s">
        <v>1426</v>
      </c>
      <c r="E21" s="21" t="s">
        <v>1427</v>
      </c>
      <c r="F21" s="21" t="s">
        <v>231</v>
      </c>
      <c r="G21" s="21"/>
      <c r="H21" s="21"/>
      <c r="I21" s="21"/>
      <c r="J21" s="21"/>
      <c r="K21" s="21"/>
      <c r="L21" s="21"/>
      <c r="M21" s="21"/>
      <c r="N21" s="21"/>
      <c r="O21" s="21" t="s">
        <v>1428</v>
      </c>
    </row>
    <row r="22" ht="99.75" customHeight="1">
      <c r="A22" s="21" t="s">
        <v>1429</v>
      </c>
      <c r="B22" s="21" t="s">
        <v>1430</v>
      </c>
      <c r="C22" s="21" t="s">
        <v>1431</v>
      </c>
      <c r="D22" s="21" t="s">
        <v>1432</v>
      </c>
      <c r="E22" s="21" t="s">
        <v>1433</v>
      </c>
      <c r="F22" s="21" t="s">
        <v>231</v>
      </c>
      <c r="G22" s="21"/>
      <c r="H22" s="21"/>
      <c r="I22" s="21"/>
      <c r="J22" s="21"/>
      <c r="K22" s="21"/>
      <c r="L22" s="21"/>
      <c r="M22" s="21"/>
      <c r="N22" s="21"/>
      <c r="O22" s="21" t="s">
        <v>1434</v>
      </c>
    </row>
    <row r="23" ht="99.75" customHeight="1">
      <c r="A23" s="21" t="s">
        <v>1435</v>
      </c>
      <c r="B23" s="21" t="s">
        <v>1436</v>
      </c>
      <c r="C23" s="21" t="s">
        <v>1437</v>
      </c>
      <c r="D23" s="21" t="s">
        <v>1438</v>
      </c>
      <c r="E23" s="21" t="s">
        <v>1439</v>
      </c>
      <c r="F23" s="21" t="s">
        <v>231</v>
      </c>
      <c r="G23" s="21"/>
      <c r="H23" s="21"/>
      <c r="I23" s="21"/>
      <c r="J23" s="21"/>
      <c r="K23" s="21"/>
      <c r="L23" s="21"/>
      <c r="M23" s="21"/>
      <c r="N23" s="21"/>
      <c r="O23" s="21" t="s">
        <v>1440</v>
      </c>
    </row>
    <row r="24" ht="99.75" customHeight="1">
      <c r="A24" s="21" t="s">
        <v>1441</v>
      </c>
      <c r="B24" s="21" t="s">
        <v>1442</v>
      </c>
      <c r="C24" s="21" t="s">
        <v>1443</v>
      </c>
      <c r="D24" s="21" t="s">
        <v>1444</v>
      </c>
      <c r="E24" s="21" t="s">
        <v>1445</v>
      </c>
      <c r="F24" s="21" t="s">
        <v>231</v>
      </c>
      <c r="G24" s="21"/>
      <c r="H24" s="21"/>
      <c r="I24" s="21"/>
      <c r="J24" s="21"/>
      <c r="K24" s="21"/>
      <c r="L24" s="21"/>
      <c r="M24" s="21"/>
      <c r="N24" s="21"/>
      <c r="O24" s="21" t="s">
        <v>1446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conditionalFormatting sqref="F12:F24">
    <cfRule type="expression" dxfId="0" priority="1">
      <formula>F12="Passed"</formula>
    </cfRule>
  </conditionalFormatting>
  <conditionalFormatting sqref="F12:F24">
    <cfRule type="expression" dxfId="1" priority="2">
      <formula>F12="Failed"</formula>
    </cfRule>
  </conditionalFormatting>
  <conditionalFormatting sqref="I12:I24">
    <cfRule type="expression" dxfId="0" priority="3">
      <formula>I12="Passed"</formula>
    </cfRule>
  </conditionalFormatting>
  <conditionalFormatting sqref="I12:I24">
    <cfRule type="expression" dxfId="1" priority="4">
      <formula>I12="Failed"</formula>
    </cfRule>
  </conditionalFormatting>
  <conditionalFormatting sqref="L12:L24">
    <cfRule type="expression" dxfId="0" priority="5">
      <formula>L12="Passed"</formula>
    </cfRule>
  </conditionalFormatting>
  <conditionalFormatting sqref="L12:L24">
    <cfRule type="expression" dxfId="1" priority="6">
      <formula>L12="Failed"</formula>
    </cfRule>
  </conditionalFormatting>
  <dataValidations>
    <dataValidation type="list" allowBlank="1" sqref="F12:F24 I12:I24 L12:L24">
      <formula1>"Not Run,Blocked,Passed,Failed,Pending,N/A"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/>
    <col customWidth="1" min="8" max="8" width="7.0"/>
    <col customWidth="1" min="9" max="9" width="9.38"/>
    <col customWidth="1" min="10" max="10" width="10.63"/>
    <col customWidth="1" min="11" max="11" width="7.0"/>
    <col customWidth="1" min="12" max="12" width="9.38"/>
    <col customWidth="1" min="13" max="13" width="10.63"/>
    <col customWidth="1" min="14" max="14" width="7.0"/>
    <col customWidth="1" min="15" max="15" width="28.63"/>
    <col customWidth="1" min="16" max="16" width="10.13"/>
    <col customWidth="1" min="17" max="17" width="8.13"/>
    <col customWidth="1" min="18" max="18" width="7.63"/>
    <col customWidth="1" min="19" max="26" width="8.63"/>
  </cols>
  <sheetData>
    <row r="2">
      <c r="A2" s="3" t="s">
        <v>3</v>
      </c>
      <c r="B2" s="7" t="s">
        <v>171</v>
      </c>
      <c r="C2" s="8"/>
      <c r="D2" s="8"/>
      <c r="E2" s="6"/>
      <c r="R2" s="12" t="s">
        <v>8</v>
      </c>
    </row>
    <row r="3" ht="45.0" customHeight="1">
      <c r="A3" s="3" t="s">
        <v>11</v>
      </c>
      <c r="B3" s="7" t="s">
        <v>1414</v>
      </c>
      <c r="C3" s="8"/>
      <c r="D3" s="8"/>
      <c r="E3" s="6"/>
      <c r="R3" s="18" t="s">
        <v>17</v>
      </c>
    </row>
    <row r="4" ht="22.5" customHeight="1">
      <c r="A4" s="3" t="s">
        <v>23</v>
      </c>
      <c r="B4" s="7">
        <f>COUNTA(A12:A26)</f>
        <v>15</v>
      </c>
      <c r="C4" s="8"/>
      <c r="D4" s="8"/>
      <c r="E4" s="6"/>
      <c r="R4" s="27" t="s">
        <v>62</v>
      </c>
    </row>
    <row r="5">
      <c r="A5" s="28" t="s">
        <v>71</v>
      </c>
      <c r="B5" s="28" t="s">
        <v>8</v>
      </c>
      <c r="C5" s="28" t="s">
        <v>17</v>
      </c>
      <c r="D5" s="28" t="s">
        <v>62</v>
      </c>
      <c r="E5" s="28" t="s">
        <v>77</v>
      </c>
      <c r="R5" s="31" t="s">
        <v>77</v>
      </c>
    </row>
    <row r="6">
      <c r="A6" s="29" t="s">
        <v>91</v>
      </c>
      <c r="B6" s="29">
        <f>COUNTIF(F12:F26,"Passed")+COUNTIF(F12:F26,"Pass")</f>
        <v>0</v>
      </c>
      <c r="C6" s="29">
        <f>COUNTIF(F12:F26,"Failed")+COUNTIF(F12:F26,"Fail")</f>
        <v>0</v>
      </c>
      <c r="D6" s="29">
        <f>COUNTIF(F12:F26,"Not Run")+COUNTIF(F12:F26,"Blocked")+COUNTIF(F12:F26,"Pending")+COUNTBLANK(F12:F26)</f>
        <v>15</v>
      </c>
      <c r="E6" s="29">
        <f>COUNTIF(F12:F26,"N/A")</f>
        <v>0</v>
      </c>
    </row>
    <row r="7">
      <c r="A7" s="29" t="s">
        <v>130</v>
      </c>
      <c r="B7" s="29">
        <f>COUNTIF(I12:I26,"Passed")+COUNTIF(I12:I26,"Pass")</f>
        <v>0</v>
      </c>
      <c r="C7" s="29">
        <f>COUNTIF(I12:I26,"Failed")+COUNTIF(I12:I26,"Fail")</f>
        <v>0</v>
      </c>
      <c r="D7" s="29">
        <f>COUNTIF(I12:I26,"Not Run")+COUNTIF(I12:I26,"Blocked")+COUNTIF(I12:I26,"Pending")</f>
        <v>0</v>
      </c>
      <c r="E7" s="29">
        <f>COUNTIF(I12:I26,"N/A")</f>
        <v>0</v>
      </c>
    </row>
    <row r="8">
      <c r="A8" s="29" t="s">
        <v>153</v>
      </c>
      <c r="B8" s="29">
        <f>COUNTIF(L12:L26,"Passed")+COUNTIF(L12:L26,"Pass")</f>
        <v>0</v>
      </c>
      <c r="C8" s="29">
        <f>COUNTIF(L12:L26,"Failed")+COUNTIF(L12:L26,"Fail")</f>
        <v>0</v>
      </c>
      <c r="D8" s="29">
        <f>COUNTIF(L12:L26,"Not Run")+COUNTIF(L12:L26,"Blocked")+COUNTIF(L12:L26,"Pending")</f>
        <v>0</v>
      </c>
      <c r="E8" s="29">
        <f>COUNTIF(L12:L26,"N/A")</f>
        <v>0</v>
      </c>
    </row>
    <row r="10" ht="30.0" customHeight="1">
      <c r="A10" s="33" t="s">
        <v>193</v>
      </c>
      <c r="B10" s="33" t="s">
        <v>198</v>
      </c>
      <c r="C10" s="33" t="s">
        <v>199</v>
      </c>
      <c r="D10" s="33" t="s">
        <v>201</v>
      </c>
      <c r="E10" s="33" t="s">
        <v>205</v>
      </c>
      <c r="F10" s="33" t="s">
        <v>91</v>
      </c>
      <c r="G10" s="33" t="s">
        <v>207</v>
      </c>
      <c r="H10" s="33" t="s">
        <v>208</v>
      </c>
      <c r="I10" s="33" t="s">
        <v>130</v>
      </c>
      <c r="J10" s="33" t="s">
        <v>207</v>
      </c>
      <c r="K10" s="33" t="s">
        <v>208</v>
      </c>
      <c r="L10" s="33" t="s">
        <v>153</v>
      </c>
      <c r="M10" s="33" t="s">
        <v>207</v>
      </c>
      <c r="N10" s="33" t="s">
        <v>208</v>
      </c>
      <c r="O10" s="33" t="s">
        <v>214</v>
      </c>
    </row>
    <row r="11" ht="24.75" customHeight="1">
      <c r="A11" s="34" t="s">
        <v>1447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</row>
    <row r="12" ht="99.75" customHeight="1">
      <c r="A12" s="21" t="s">
        <v>1449</v>
      </c>
      <c r="B12" s="21" t="s">
        <v>1450</v>
      </c>
      <c r="C12" s="21" t="s">
        <v>1451</v>
      </c>
      <c r="D12" s="21" t="s">
        <v>1452</v>
      </c>
      <c r="E12" s="21" t="s">
        <v>173</v>
      </c>
      <c r="F12" s="21" t="s">
        <v>231</v>
      </c>
      <c r="G12" s="21"/>
      <c r="H12" s="21"/>
      <c r="I12" s="21"/>
      <c r="J12" s="21"/>
      <c r="K12" s="21"/>
      <c r="L12" s="21"/>
      <c r="M12" s="21"/>
      <c r="N12" s="21"/>
      <c r="O12" s="21" t="s">
        <v>1453</v>
      </c>
    </row>
    <row r="13" ht="99.75" customHeight="1">
      <c r="A13" s="21" t="s">
        <v>1454</v>
      </c>
      <c r="B13" s="21" t="s">
        <v>1455</v>
      </c>
      <c r="C13" s="21" t="s">
        <v>1456</v>
      </c>
      <c r="D13" s="21" t="s">
        <v>1457</v>
      </c>
      <c r="E13" s="21" t="s">
        <v>173</v>
      </c>
      <c r="F13" s="21" t="s">
        <v>231</v>
      </c>
      <c r="G13" s="21"/>
      <c r="H13" s="21"/>
      <c r="I13" s="21"/>
      <c r="J13" s="21"/>
      <c r="K13" s="21"/>
      <c r="L13" s="21"/>
      <c r="M13" s="21"/>
      <c r="N13" s="21"/>
      <c r="O13" s="21" t="s">
        <v>1458</v>
      </c>
    </row>
    <row r="14" ht="99.75" customHeight="1">
      <c r="A14" s="21" t="s">
        <v>1459</v>
      </c>
      <c r="B14" s="21" t="s">
        <v>1460</v>
      </c>
      <c r="C14" s="21" t="s">
        <v>1461</v>
      </c>
      <c r="D14" s="21" t="s">
        <v>1462</v>
      </c>
      <c r="E14" s="21" t="s">
        <v>173</v>
      </c>
      <c r="F14" s="21" t="s">
        <v>231</v>
      </c>
      <c r="G14" s="21"/>
      <c r="H14" s="21"/>
      <c r="I14" s="21"/>
      <c r="J14" s="21"/>
      <c r="K14" s="21"/>
      <c r="L14" s="21"/>
      <c r="M14" s="21"/>
      <c r="N14" s="21"/>
      <c r="O14" s="21" t="s">
        <v>1463</v>
      </c>
    </row>
    <row r="15" ht="99.75" customHeight="1">
      <c r="A15" s="21" t="s">
        <v>1464</v>
      </c>
      <c r="B15" s="21" t="s">
        <v>1465</v>
      </c>
      <c r="C15" s="21" t="s">
        <v>1466</v>
      </c>
      <c r="D15" s="21" t="s">
        <v>1467</v>
      </c>
      <c r="E15" s="21" t="s">
        <v>108</v>
      </c>
      <c r="F15" s="21" t="s">
        <v>231</v>
      </c>
      <c r="G15" s="21"/>
      <c r="H15" s="21"/>
      <c r="I15" s="21"/>
      <c r="J15" s="21"/>
      <c r="K15" s="21"/>
      <c r="L15" s="21"/>
      <c r="M15" s="21"/>
      <c r="N15" s="21"/>
      <c r="O15" s="21" t="s">
        <v>1468</v>
      </c>
    </row>
    <row r="16" ht="99.75" customHeight="1">
      <c r="A16" s="21" t="s">
        <v>1469</v>
      </c>
      <c r="B16" s="21" t="s">
        <v>1470</v>
      </c>
      <c r="C16" s="21" t="s">
        <v>1471</v>
      </c>
      <c r="D16" s="21" t="s">
        <v>1472</v>
      </c>
      <c r="E16" s="21" t="s">
        <v>108</v>
      </c>
      <c r="F16" s="21" t="s">
        <v>231</v>
      </c>
      <c r="G16" s="21"/>
      <c r="H16" s="21"/>
      <c r="I16" s="21"/>
      <c r="J16" s="21"/>
      <c r="K16" s="21"/>
      <c r="L16" s="21"/>
      <c r="M16" s="21"/>
      <c r="N16" s="21"/>
      <c r="O16" s="21" t="s">
        <v>1473</v>
      </c>
    </row>
    <row r="17" ht="99.75" customHeight="1">
      <c r="A17" s="21" t="s">
        <v>1474</v>
      </c>
      <c r="B17" s="21" t="s">
        <v>1475</v>
      </c>
      <c r="C17" s="21" t="s">
        <v>1476</v>
      </c>
      <c r="D17" s="21" t="s">
        <v>1477</v>
      </c>
      <c r="E17" s="21" t="s">
        <v>108</v>
      </c>
      <c r="F17" s="21" t="s">
        <v>231</v>
      </c>
      <c r="G17" s="21"/>
      <c r="H17" s="21"/>
      <c r="I17" s="21"/>
      <c r="J17" s="21"/>
      <c r="K17" s="21"/>
      <c r="L17" s="21"/>
      <c r="M17" s="21"/>
      <c r="N17" s="21"/>
      <c r="O17" s="21" t="s">
        <v>1478</v>
      </c>
    </row>
    <row r="18" ht="99.75" customHeight="1">
      <c r="A18" s="21" t="s">
        <v>1479</v>
      </c>
      <c r="B18" s="21" t="s">
        <v>1480</v>
      </c>
      <c r="C18" s="21" t="s">
        <v>1481</v>
      </c>
      <c r="D18" s="21" t="s">
        <v>1482</v>
      </c>
      <c r="E18" s="21" t="s">
        <v>108</v>
      </c>
      <c r="F18" s="21" t="s">
        <v>231</v>
      </c>
      <c r="G18" s="21"/>
      <c r="H18" s="21"/>
      <c r="I18" s="21"/>
      <c r="J18" s="21"/>
      <c r="K18" s="21"/>
      <c r="L18" s="21"/>
      <c r="M18" s="21"/>
      <c r="N18" s="21"/>
      <c r="O18" s="21" t="s">
        <v>1483</v>
      </c>
    </row>
    <row r="19" ht="99.75" customHeight="1">
      <c r="A19" s="21" t="s">
        <v>1484</v>
      </c>
      <c r="B19" s="21" t="s">
        <v>1485</v>
      </c>
      <c r="C19" s="21" t="s">
        <v>1486</v>
      </c>
      <c r="D19" s="21" t="s">
        <v>1487</v>
      </c>
      <c r="E19" s="21" t="s">
        <v>108</v>
      </c>
      <c r="F19" s="21" t="s">
        <v>231</v>
      </c>
      <c r="G19" s="21"/>
      <c r="H19" s="21"/>
      <c r="I19" s="21"/>
      <c r="J19" s="21"/>
      <c r="K19" s="21"/>
      <c r="L19" s="21"/>
      <c r="M19" s="21"/>
      <c r="N19" s="21"/>
      <c r="O19" s="21" t="s">
        <v>1488</v>
      </c>
    </row>
    <row r="20" ht="99.75" customHeight="1">
      <c r="A20" s="21" t="s">
        <v>1489</v>
      </c>
      <c r="B20" s="21" t="s">
        <v>1490</v>
      </c>
      <c r="C20" s="21" t="s">
        <v>1491</v>
      </c>
      <c r="D20" s="21" t="s">
        <v>1492</v>
      </c>
      <c r="E20" s="21" t="s">
        <v>108</v>
      </c>
      <c r="F20" s="21" t="s">
        <v>231</v>
      </c>
      <c r="G20" s="21"/>
      <c r="H20" s="21"/>
      <c r="I20" s="21"/>
      <c r="J20" s="21"/>
      <c r="K20" s="21"/>
      <c r="L20" s="21"/>
      <c r="M20" s="21"/>
      <c r="N20" s="21"/>
      <c r="O20" s="21" t="s">
        <v>1493</v>
      </c>
    </row>
    <row r="21" ht="99.75" customHeight="1">
      <c r="A21" s="21" t="s">
        <v>1494</v>
      </c>
      <c r="B21" s="21" t="s">
        <v>1495</v>
      </c>
      <c r="C21" s="21" t="s">
        <v>1496</v>
      </c>
      <c r="D21" s="21" t="s">
        <v>1497</v>
      </c>
      <c r="E21" s="21" t="s">
        <v>1498</v>
      </c>
      <c r="F21" s="21" t="s">
        <v>231</v>
      </c>
      <c r="G21" s="21"/>
      <c r="H21" s="21"/>
      <c r="I21" s="21"/>
      <c r="J21" s="21"/>
      <c r="K21" s="21"/>
      <c r="L21" s="21"/>
      <c r="M21" s="21"/>
      <c r="N21" s="21"/>
      <c r="O21" s="21" t="s">
        <v>1499</v>
      </c>
    </row>
    <row r="22" ht="99.75" customHeight="1">
      <c r="A22" s="21" t="s">
        <v>1500</v>
      </c>
      <c r="B22" s="21" t="s">
        <v>1501</v>
      </c>
      <c r="C22" s="21" t="s">
        <v>1502</v>
      </c>
      <c r="D22" s="21" t="s">
        <v>1503</v>
      </c>
      <c r="E22" s="21" t="s">
        <v>1504</v>
      </c>
      <c r="F22" s="21" t="s">
        <v>231</v>
      </c>
      <c r="G22" s="21"/>
      <c r="H22" s="21"/>
      <c r="I22" s="21"/>
      <c r="J22" s="21"/>
      <c r="K22" s="21"/>
      <c r="L22" s="21"/>
      <c r="M22" s="21"/>
      <c r="N22" s="21"/>
      <c r="O22" s="21" t="s">
        <v>1505</v>
      </c>
    </row>
    <row r="23" ht="99.75" customHeight="1">
      <c r="A23" s="21" t="s">
        <v>1506</v>
      </c>
      <c r="B23" s="21" t="s">
        <v>1507</v>
      </c>
      <c r="C23" s="21" t="s">
        <v>1508</v>
      </c>
      <c r="D23" s="21" t="s">
        <v>1509</v>
      </c>
      <c r="E23" s="21" t="s">
        <v>1510</v>
      </c>
      <c r="F23" s="21" t="s">
        <v>231</v>
      </c>
      <c r="G23" s="21"/>
      <c r="H23" s="21"/>
      <c r="I23" s="21"/>
      <c r="J23" s="21"/>
      <c r="K23" s="21"/>
      <c r="L23" s="21"/>
      <c r="M23" s="21"/>
      <c r="N23" s="21"/>
      <c r="O23" s="21" t="s">
        <v>1511</v>
      </c>
    </row>
    <row r="24" ht="99.75" customHeight="1">
      <c r="A24" s="21" t="s">
        <v>1512</v>
      </c>
      <c r="B24" s="21" t="s">
        <v>1513</v>
      </c>
      <c r="C24" s="21" t="s">
        <v>1514</v>
      </c>
      <c r="D24" s="21" t="s">
        <v>1515</v>
      </c>
      <c r="E24" s="21" t="s">
        <v>1516</v>
      </c>
      <c r="F24" s="21" t="s">
        <v>231</v>
      </c>
      <c r="G24" s="21"/>
      <c r="H24" s="21"/>
      <c r="I24" s="21"/>
      <c r="J24" s="21"/>
      <c r="K24" s="21"/>
      <c r="L24" s="21"/>
      <c r="M24" s="21"/>
      <c r="N24" s="21"/>
      <c r="O24" s="21" t="s">
        <v>1517</v>
      </c>
    </row>
    <row r="25" ht="99.75" customHeight="1">
      <c r="A25" s="21" t="s">
        <v>1519</v>
      </c>
      <c r="B25" s="21" t="s">
        <v>1520</v>
      </c>
      <c r="C25" s="21" t="s">
        <v>1521</v>
      </c>
      <c r="D25" s="21" t="s">
        <v>1522</v>
      </c>
      <c r="E25" s="21" t="s">
        <v>1523</v>
      </c>
      <c r="F25" s="21" t="s">
        <v>231</v>
      </c>
      <c r="G25" s="21"/>
      <c r="H25" s="21"/>
      <c r="I25" s="21"/>
      <c r="J25" s="21"/>
      <c r="K25" s="21"/>
      <c r="L25" s="21"/>
      <c r="M25" s="21"/>
      <c r="N25" s="21"/>
      <c r="O25" s="21" t="s">
        <v>1527</v>
      </c>
    </row>
    <row r="26" ht="99.75" customHeight="1">
      <c r="A26" s="21" t="s">
        <v>1529</v>
      </c>
      <c r="B26" s="21" t="s">
        <v>1530</v>
      </c>
      <c r="C26" s="21" t="s">
        <v>1531</v>
      </c>
      <c r="D26" s="21" t="s">
        <v>1532</v>
      </c>
      <c r="E26" s="21" t="s">
        <v>1533</v>
      </c>
      <c r="F26" s="21" t="s">
        <v>231</v>
      </c>
      <c r="G26" s="21"/>
      <c r="H26" s="21"/>
      <c r="I26" s="21"/>
      <c r="J26" s="21"/>
      <c r="K26" s="21"/>
      <c r="L26" s="21"/>
      <c r="M26" s="21"/>
      <c r="N26" s="21"/>
      <c r="O26" s="21" t="s">
        <v>1534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conditionalFormatting sqref="F12:F26">
    <cfRule type="expression" dxfId="0" priority="1">
      <formula>F12="Passed"</formula>
    </cfRule>
  </conditionalFormatting>
  <conditionalFormatting sqref="F12:F26">
    <cfRule type="expression" dxfId="1" priority="2">
      <formula>F12="Failed"</formula>
    </cfRule>
  </conditionalFormatting>
  <conditionalFormatting sqref="I12:I26">
    <cfRule type="expression" dxfId="0" priority="3">
      <formula>I12="Passed"</formula>
    </cfRule>
  </conditionalFormatting>
  <conditionalFormatting sqref="I12:I26">
    <cfRule type="expression" dxfId="1" priority="4">
      <formula>I12="Failed"</formula>
    </cfRule>
  </conditionalFormatting>
  <conditionalFormatting sqref="L12:L26">
    <cfRule type="expression" dxfId="0" priority="5">
      <formula>L12="Passed"</formula>
    </cfRule>
  </conditionalFormatting>
  <conditionalFormatting sqref="L12:L26">
    <cfRule type="expression" dxfId="1" priority="6">
      <formula>L12="Failed"</formula>
    </cfRule>
  </conditionalFormatting>
  <dataValidations>
    <dataValidation type="list" allowBlank="1" sqref="F12:F26 I12:I26 L12:L26">
      <formula1>"Not Run,Blocked,Passed,Failed,Pending,N/A"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/>
    <col customWidth="1" min="8" max="8" width="7.0"/>
    <col customWidth="1" min="9" max="9" width="9.38"/>
    <col customWidth="1" min="10" max="10" width="10.63"/>
    <col customWidth="1" min="11" max="11" width="7.0"/>
    <col customWidth="1" min="12" max="12" width="9.38"/>
    <col customWidth="1" min="13" max="13" width="10.63"/>
    <col customWidth="1" min="14" max="14" width="7.0"/>
    <col customWidth="1" min="15" max="15" width="28.63"/>
    <col customWidth="1" min="16" max="16" width="10.13"/>
    <col customWidth="1" min="17" max="17" width="8.13"/>
    <col customWidth="1" min="18" max="18" width="7.63"/>
    <col customWidth="1" min="19" max="26" width="8.63"/>
  </cols>
  <sheetData>
    <row r="2">
      <c r="A2" s="3" t="s">
        <v>3</v>
      </c>
      <c r="B2" s="7" t="s">
        <v>175</v>
      </c>
      <c r="C2" s="8"/>
      <c r="D2" s="8"/>
      <c r="E2" s="6"/>
      <c r="R2" s="12" t="s">
        <v>8</v>
      </c>
    </row>
    <row r="3" ht="45.0" customHeight="1">
      <c r="A3" s="3" t="s">
        <v>11</v>
      </c>
      <c r="B3" s="7" t="s">
        <v>1448</v>
      </c>
      <c r="C3" s="8"/>
      <c r="D3" s="8"/>
      <c r="E3" s="6"/>
      <c r="R3" s="18" t="s">
        <v>17</v>
      </c>
    </row>
    <row r="4" ht="22.5" customHeight="1">
      <c r="A4" s="3" t="s">
        <v>23</v>
      </c>
      <c r="B4" s="7">
        <f>COUNTA(A12:A25)</f>
        <v>14</v>
      </c>
      <c r="C4" s="8"/>
      <c r="D4" s="8"/>
      <c r="E4" s="6"/>
      <c r="R4" s="27" t="s">
        <v>62</v>
      </c>
    </row>
    <row r="5">
      <c r="A5" s="28" t="s">
        <v>71</v>
      </c>
      <c r="B5" s="28" t="s">
        <v>8</v>
      </c>
      <c r="C5" s="28" t="s">
        <v>17</v>
      </c>
      <c r="D5" s="28" t="s">
        <v>62</v>
      </c>
      <c r="E5" s="28" t="s">
        <v>77</v>
      </c>
      <c r="R5" s="31" t="s">
        <v>77</v>
      </c>
    </row>
    <row r="6">
      <c r="A6" s="29" t="s">
        <v>91</v>
      </c>
      <c r="B6" s="29">
        <f>COUNTIF(F12:F25,"Passed")+COUNTIF(F12:F25,"Pass")</f>
        <v>0</v>
      </c>
      <c r="C6" s="29">
        <f>COUNTIF(F12:F25,"Failed")+COUNTIF(F12:F25,"Fail")</f>
        <v>0</v>
      </c>
      <c r="D6" s="29">
        <f>COUNTIF(F12:F25,"Not Run")+COUNTIF(F12:F25,"Blocked")+COUNTIF(F12:F25,"Pending")+COUNTBLANK(F12:F25)</f>
        <v>14</v>
      </c>
      <c r="E6" s="29">
        <f>COUNTIF(F12:F25,"N/A")</f>
        <v>0</v>
      </c>
    </row>
    <row r="7">
      <c r="A7" s="29" t="s">
        <v>130</v>
      </c>
      <c r="B7" s="29">
        <f>COUNTIF(I12:I25,"Passed")+COUNTIF(I12:I25,"Pass")</f>
        <v>0</v>
      </c>
      <c r="C7" s="29">
        <f>COUNTIF(I12:I25,"Failed")+COUNTIF(I12:I25,"Fail")</f>
        <v>0</v>
      </c>
      <c r="D7" s="29">
        <f>COUNTIF(I12:I25,"Not Run")+COUNTIF(I12:I25,"Blocked")+COUNTIF(I12:I25,"Pending")</f>
        <v>0</v>
      </c>
      <c r="E7" s="29">
        <f>COUNTIF(I12:I25,"N/A")</f>
        <v>0</v>
      </c>
    </row>
    <row r="8">
      <c r="A8" s="29" t="s">
        <v>153</v>
      </c>
      <c r="B8" s="29">
        <f>COUNTIF(L12:L25,"Passed")+COUNTIF(L12:L25,"Pass")</f>
        <v>0</v>
      </c>
      <c r="C8" s="29">
        <f>COUNTIF(L12:L25,"Failed")+COUNTIF(L12:L25,"Fail")</f>
        <v>0</v>
      </c>
      <c r="D8" s="29">
        <f>COUNTIF(L12:L25,"Not Run")+COUNTIF(L12:L25,"Blocked")+COUNTIF(L12:L25,"Pending")</f>
        <v>0</v>
      </c>
      <c r="E8" s="29">
        <f>COUNTIF(L12:L25,"N/A")</f>
        <v>0</v>
      </c>
    </row>
    <row r="10" ht="30.0" customHeight="1">
      <c r="A10" s="33" t="s">
        <v>193</v>
      </c>
      <c r="B10" s="33" t="s">
        <v>198</v>
      </c>
      <c r="C10" s="33" t="s">
        <v>199</v>
      </c>
      <c r="D10" s="33" t="s">
        <v>201</v>
      </c>
      <c r="E10" s="33" t="s">
        <v>205</v>
      </c>
      <c r="F10" s="33" t="s">
        <v>91</v>
      </c>
      <c r="G10" s="33" t="s">
        <v>207</v>
      </c>
      <c r="H10" s="33" t="s">
        <v>208</v>
      </c>
      <c r="I10" s="33" t="s">
        <v>130</v>
      </c>
      <c r="J10" s="33" t="s">
        <v>207</v>
      </c>
      <c r="K10" s="33" t="s">
        <v>208</v>
      </c>
      <c r="L10" s="33" t="s">
        <v>153</v>
      </c>
      <c r="M10" s="33" t="s">
        <v>207</v>
      </c>
      <c r="N10" s="33" t="s">
        <v>208</v>
      </c>
      <c r="O10" s="33" t="s">
        <v>214</v>
      </c>
    </row>
    <row r="11" ht="24.75" customHeight="1">
      <c r="A11" s="34" t="s">
        <v>1518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</row>
    <row r="12" ht="99.75" customHeight="1">
      <c r="A12" s="21" t="s">
        <v>1524</v>
      </c>
      <c r="B12" s="21" t="s">
        <v>1525</v>
      </c>
      <c r="C12" s="21" t="s">
        <v>1526</v>
      </c>
      <c r="D12" s="21" t="s">
        <v>1528</v>
      </c>
      <c r="E12" s="21" t="s">
        <v>177</v>
      </c>
      <c r="F12" s="21" t="s">
        <v>231</v>
      </c>
      <c r="G12" s="21"/>
      <c r="H12" s="21"/>
      <c r="I12" s="21"/>
      <c r="J12" s="21"/>
      <c r="K12" s="21"/>
      <c r="L12" s="21"/>
      <c r="M12" s="21"/>
      <c r="N12" s="21"/>
      <c r="O12" s="21" t="s">
        <v>1535</v>
      </c>
    </row>
    <row r="13" ht="99.75" customHeight="1">
      <c r="A13" s="21" t="s">
        <v>1536</v>
      </c>
      <c r="B13" s="21" t="s">
        <v>1537</v>
      </c>
      <c r="C13" s="21" t="s">
        <v>1538</v>
      </c>
      <c r="D13" s="21" t="s">
        <v>1539</v>
      </c>
      <c r="E13" s="21" t="s">
        <v>177</v>
      </c>
      <c r="F13" s="21" t="s">
        <v>231</v>
      </c>
      <c r="G13" s="21"/>
      <c r="H13" s="21"/>
      <c r="I13" s="21"/>
      <c r="J13" s="21"/>
      <c r="K13" s="21"/>
      <c r="L13" s="21"/>
      <c r="M13" s="21"/>
      <c r="N13" s="21"/>
      <c r="O13" s="21" t="s">
        <v>1540</v>
      </c>
    </row>
    <row r="14" ht="99.75" customHeight="1">
      <c r="A14" s="21" t="s">
        <v>1541</v>
      </c>
      <c r="B14" s="21" t="s">
        <v>1542</v>
      </c>
      <c r="C14" s="21" t="s">
        <v>1543</v>
      </c>
      <c r="D14" s="21" t="s">
        <v>1544</v>
      </c>
      <c r="E14" s="21" t="s">
        <v>177</v>
      </c>
      <c r="F14" s="21" t="s">
        <v>231</v>
      </c>
      <c r="G14" s="21"/>
      <c r="H14" s="21"/>
      <c r="I14" s="21"/>
      <c r="J14" s="21"/>
      <c r="K14" s="21"/>
      <c r="L14" s="21"/>
      <c r="M14" s="21"/>
      <c r="N14" s="21"/>
      <c r="O14" s="21" t="s">
        <v>1545</v>
      </c>
    </row>
    <row r="15" ht="99.75" customHeight="1">
      <c r="A15" s="21" t="s">
        <v>1546</v>
      </c>
      <c r="B15" s="21" t="s">
        <v>1547</v>
      </c>
      <c r="C15" s="21" t="s">
        <v>1548</v>
      </c>
      <c r="D15" s="21" t="s">
        <v>1549</v>
      </c>
      <c r="E15" s="21" t="s">
        <v>180</v>
      </c>
      <c r="F15" s="21" t="s">
        <v>231</v>
      </c>
      <c r="G15" s="21"/>
      <c r="H15" s="21"/>
      <c r="I15" s="21"/>
      <c r="J15" s="21"/>
      <c r="K15" s="21"/>
      <c r="L15" s="21"/>
      <c r="M15" s="21"/>
      <c r="N15" s="21"/>
      <c r="O15" s="21" t="s">
        <v>1550</v>
      </c>
    </row>
    <row r="16" ht="99.75" customHeight="1">
      <c r="A16" s="21" t="s">
        <v>1551</v>
      </c>
      <c r="B16" s="21" t="s">
        <v>1552</v>
      </c>
      <c r="C16" s="21" t="s">
        <v>1553</v>
      </c>
      <c r="D16" s="21" t="s">
        <v>1554</v>
      </c>
      <c r="E16" s="21" t="s">
        <v>180</v>
      </c>
      <c r="F16" s="21" t="s">
        <v>231</v>
      </c>
      <c r="G16" s="21"/>
      <c r="H16" s="21"/>
      <c r="I16" s="21"/>
      <c r="J16" s="21"/>
      <c r="K16" s="21"/>
      <c r="L16" s="21"/>
      <c r="M16" s="21"/>
      <c r="N16" s="21"/>
      <c r="O16" s="21" t="s">
        <v>1555</v>
      </c>
    </row>
    <row r="17" ht="99.75" customHeight="1">
      <c r="A17" s="21" t="s">
        <v>1556</v>
      </c>
      <c r="B17" s="21" t="s">
        <v>1557</v>
      </c>
      <c r="C17" s="21" t="s">
        <v>1558</v>
      </c>
      <c r="D17" s="21" t="s">
        <v>1559</v>
      </c>
      <c r="E17" s="21" t="s">
        <v>180</v>
      </c>
      <c r="F17" s="21" t="s">
        <v>231</v>
      </c>
      <c r="G17" s="21"/>
      <c r="H17" s="21"/>
      <c r="I17" s="21"/>
      <c r="J17" s="21"/>
      <c r="K17" s="21"/>
      <c r="L17" s="21"/>
      <c r="M17" s="21"/>
      <c r="N17" s="21"/>
      <c r="O17" s="21" t="s">
        <v>1560</v>
      </c>
    </row>
    <row r="18" ht="99.75" customHeight="1">
      <c r="A18" s="21" t="s">
        <v>1561</v>
      </c>
      <c r="B18" s="21" t="s">
        <v>1562</v>
      </c>
      <c r="C18" s="21" t="s">
        <v>1563</v>
      </c>
      <c r="D18" s="21" t="s">
        <v>1564</v>
      </c>
      <c r="E18" s="21" t="s">
        <v>1565</v>
      </c>
      <c r="F18" s="21" t="s">
        <v>231</v>
      </c>
      <c r="G18" s="21"/>
      <c r="H18" s="21"/>
      <c r="I18" s="21"/>
      <c r="J18" s="21"/>
      <c r="K18" s="21"/>
      <c r="L18" s="21"/>
      <c r="M18" s="21"/>
      <c r="N18" s="21"/>
      <c r="O18" s="21" t="s">
        <v>1566</v>
      </c>
    </row>
    <row r="19" ht="99.75" customHeight="1">
      <c r="A19" s="21" t="s">
        <v>1567</v>
      </c>
      <c r="B19" s="21" t="s">
        <v>1568</v>
      </c>
      <c r="C19" s="21" t="s">
        <v>1569</v>
      </c>
      <c r="D19" s="21" t="s">
        <v>1570</v>
      </c>
      <c r="E19" s="21" t="s">
        <v>1571</v>
      </c>
      <c r="F19" s="21" t="s">
        <v>231</v>
      </c>
      <c r="G19" s="21"/>
      <c r="H19" s="21"/>
      <c r="I19" s="21"/>
      <c r="J19" s="21"/>
      <c r="K19" s="21"/>
      <c r="L19" s="21"/>
      <c r="M19" s="21"/>
      <c r="N19" s="21"/>
      <c r="O19" s="21" t="s">
        <v>1572</v>
      </c>
    </row>
    <row r="20" ht="99.75" customHeight="1">
      <c r="A20" s="21" t="s">
        <v>1573</v>
      </c>
      <c r="B20" s="21" t="s">
        <v>1574</v>
      </c>
      <c r="C20" s="21" t="s">
        <v>1575</v>
      </c>
      <c r="D20" s="21" t="s">
        <v>1576</v>
      </c>
      <c r="E20" s="21" t="s">
        <v>1577</v>
      </c>
      <c r="F20" s="21" t="s">
        <v>231</v>
      </c>
      <c r="G20" s="21"/>
      <c r="H20" s="21"/>
      <c r="I20" s="21"/>
      <c r="J20" s="21"/>
      <c r="K20" s="21"/>
      <c r="L20" s="21"/>
      <c r="M20" s="21"/>
      <c r="N20" s="21"/>
      <c r="O20" s="21" t="s">
        <v>1578</v>
      </c>
    </row>
    <row r="21" ht="99.75" customHeight="1">
      <c r="A21" s="21" t="s">
        <v>1579</v>
      </c>
      <c r="B21" s="21" t="s">
        <v>1580</v>
      </c>
      <c r="C21" s="21" t="s">
        <v>1581</v>
      </c>
      <c r="D21" s="21" t="s">
        <v>1582</v>
      </c>
      <c r="E21" s="21" t="s">
        <v>1583</v>
      </c>
      <c r="F21" s="21" t="s">
        <v>231</v>
      </c>
      <c r="G21" s="21"/>
      <c r="H21" s="21"/>
      <c r="I21" s="21"/>
      <c r="J21" s="21"/>
      <c r="K21" s="21"/>
      <c r="L21" s="21"/>
      <c r="M21" s="21"/>
      <c r="N21" s="21"/>
      <c r="O21" s="21" t="s">
        <v>1584</v>
      </c>
    </row>
    <row r="22" ht="99.75" customHeight="1">
      <c r="A22" s="21" t="s">
        <v>1585</v>
      </c>
      <c r="B22" s="21" t="s">
        <v>1586</v>
      </c>
      <c r="C22" s="21" t="s">
        <v>1587</v>
      </c>
      <c r="D22" s="21" t="s">
        <v>1588</v>
      </c>
      <c r="E22" s="21" t="s">
        <v>1589</v>
      </c>
      <c r="F22" s="21" t="s">
        <v>231</v>
      </c>
      <c r="G22" s="21"/>
      <c r="H22" s="21"/>
      <c r="I22" s="21"/>
      <c r="J22" s="21"/>
      <c r="K22" s="21"/>
      <c r="L22" s="21"/>
      <c r="M22" s="21"/>
      <c r="N22" s="21"/>
      <c r="O22" s="21" t="s">
        <v>1590</v>
      </c>
    </row>
    <row r="23" ht="99.75" customHeight="1">
      <c r="A23" s="21" t="s">
        <v>1591</v>
      </c>
      <c r="B23" s="21" t="s">
        <v>1592</v>
      </c>
      <c r="C23" s="21" t="s">
        <v>1593</v>
      </c>
      <c r="D23" s="21" t="s">
        <v>1594</v>
      </c>
      <c r="E23" s="21" t="s">
        <v>1596</v>
      </c>
      <c r="F23" s="21" t="s">
        <v>231</v>
      </c>
      <c r="G23" s="21"/>
      <c r="H23" s="21"/>
      <c r="I23" s="21"/>
      <c r="J23" s="21"/>
      <c r="K23" s="21"/>
      <c r="L23" s="21"/>
      <c r="M23" s="21"/>
      <c r="N23" s="21"/>
      <c r="O23" s="21" t="s">
        <v>1597</v>
      </c>
    </row>
    <row r="24" ht="99.75" customHeight="1">
      <c r="A24" s="21" t="s">
        <v>1598</v>
      </c>
      <c r="B24" s="21" t="s">
        <v>1599</v>
      </c>
      <c r="C24" s="21" t="s">
        <v>1600</v>
      </c>
      <c r="D24" s="21" t="s">
        <v>1601</v>
      </c>
      <c r="E24" s="21" t="s">
        <v>1602</v>
      </c>
      <c r="F24" s="21" t="s">
        <v>231</v>
      </c>
      <c r="G24" s="21"/>
      <c r="H24" s="21"/>
      <c r="I24" s="21"/>
      <c r="J24" s="21"/>
      <c r="K24" s="21"/>
      <c r="L24" s="21"/>
      <c r="M24" s="21"/>
      <c r="N24" s="21"/>
      <c r="O24" s="21" t="s">
        <v>1603</v>
      </c>
    </row>
    <row r="25" ht="99.75" customHeight="1">
      <c r="A25" s="21" t="s">
        <v>1604</v>
      </c>
      <c r="B25" s="21" t="s">
        <v>1605</v>
      </c>
      <c r="C25" s="21" t="s">
        <v>1606</v>
      </c>
      <c r="D25" s="21" t="s">
        <v>1607</v>
      </c>
      <c r="E25" s="21" t="s">
        <v>1608</v>
      </c>
      <c r="F25" s="21" t="s">
        <v>231</v>
      </c>
      <c r="G25" s="21"/>
      <c r="H25" s="21"/>
      <c r="I25" s="21"/>
      <c r="J25" s="21"/>
      <c r="K25" s="21"/>
      <c r="L25" s="21"/>
      <c r="M25" s="21"/>
      <c r="N25" s="21"/>
      <c r="O25" s="21" t="s">
        <v>1609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conditionalFormatting sqref="F12:F25">
    <cfRule type="expression" dxfId="0" priority="1">
      <formula>F12="Passed"</formula>
    </cfRule>
  </conditionalFormatting>
  <conditionalFormatting sqref="F12:F25">
    <cfRule type="expression" dxfId="1" priority="2">
      <formula>F12="Failed"</formula>
    </cfRule>
  </conditionalFormatting>
  <conditionalFormatting sqref="I12:I25">
    <cfRule type="expression" dxfId="0" priority="3">
      <formula>I12="Passed"</formula>
    </cfRule>
  </conditionalFormatting>
  <conditionalFormatting sqref="I12:I25">
    <cfRule type="expression" dxfId="1" priority="4">
      <formula>I12="Failed"</formula>
    </cfRule>
  </conditionalFormatting>
  <conditionalFormatting sqref="L12:L25">
    <cfRule type="expression" dxfId="0" priority="5">
      <formula>L12="Passed"</formula>
    </cfRule>
  </conditionalFormatting>
  <conditionalFormatting sqref="L12:L25">
    <cfRule type="expression" dxfId="1" priority="6">
      <formula>L12="Failed"</formula>
    </cfRule>
  </conditionalFormatting>
  <dataValidations>
    <dataValidation type="list" allowBlank="1" sqref="F12:F25 I12:I25 L12:L25">
      <formula1>"Not Run,Blocked,Passed,Failed,Pending,N/A"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/>
    <col customWidth="1" min="8" max="8" width="7.0"/>
    <col customWidth="1" min="9" max="9" width="9.38"/>
    <col customWidth="1" min="10" max="10" width="10.63"/>
    <col customWidth="1" min="11" max="11" width="7.0"/>
    <col customWidth="1" min="12" max="12" width="9.38"/>
    <col customWidth="1" min="13" max="13" width="10.63"/>
    <col customWidth="1" min="14" max="14" width="7.0"/>
    <col customWidth="1" min="15" max="15" width="28.63"/>
    <col customWidth="1" min="16" max="16" width="10.13"/>
    <col customWidth="1" min="17" max="17" width="8.13"/>
    <col customWidth="1" min="18" max="18" width="7.63"/>
    <col customWidth="1" min="19" max="26" width="8.63"/>
  </cols>
  <sheetData>
    <row r="2">
      <c r="A2" s="3" t="s">
        <v>3</v>
      </c>
      <c r="B2" s="7" t="s">
        <v>186</v>
      </c>
      <c r="C2" s="8"/>
      <c r="D2" s="8"/>
      <c r="E2" s="6"/>
      <c r="R2" s="12" t="s">
        <v>8</v>
      </c>
    </row>
    <row r="3" ht="45.0" customHeight="1">
      <c r="A3" s="3" t="s">
        <v>11</v>
      </c>
      <c r="B3" s="7" t="s">
        <v>1595</v>
      </c>
      <c r="C3" s="8"/>
      <c r="D3" s="8"/>
      <c r="E3" s="6"/>
      <c r="R3" s="18" t="s">
        <v>17</v>
      </c>
    </row>
    <row r="4" ht="22.5" customHeight="1">
      <c r="A4" s="3" t="s">
        <v>23</v>
      </c>
      <c r="B4" s="7">
        <f>COUNTA(A12:A26)</f>
        <v>15</v>
      </c>
      <c r="C4" s="8"/>
      <c r="D4" s="8"/>
      <c r="E4" s="6"/>
      <c r="R4" s="27" t="s">
        <v>62</v>
      </c>
    </row>
    <row r="5">
      <c r="A5" s="28" t="s">
        <v>71</v>
      </c>
      <c r="B5" s="28" t="s">
        <v>8</v>
      </c>
      <c r="C5" s="28" t="s">
        <v>17</v>
      </c>
      <c r="D5" s="28" t="s">
        <v>62</v>
      </c>
      <c r="E5" s="28" t="s">
        <v>77</v>
      </c>
      <c r="R5" s="31" t="s">
        <v>77</v>
      </c>
    </row>
    <row r="6">
      <c r="A6" s="29" t="s">
        <v>91</v>
      </c>
      <c r="B6" s="29">
        <f>COUNTIF(F12:F26,"Passed")+COUNTIF(F12:F26,"Pass")</f>
        <v>0</v>
      </c>
      <c r="C6" s="29">
        <f>COUNTIF(F12:F26,"Failed")+COUNTIF(F12:F26,"Fail")</f>
        <v>0</v>
      </c>
      <c r="D6" s="29">
        <f>COUNTIF(F12:F26,"Not Run")+COUNTIF(F12:F26,"Blocked")+COUNTIF(F12:F26,"Pending")+COUNTBLANK(F12:F26)</f>
        <v>15</v>
      </c>
      <c r="E6" s="29">
        <f>COUNTIF(F12:F26,"N/A")</f>
        <v>0</v>
      </c>
    </row>
    <row r="7">
      <c r="A7" s="29" t="s">
        <v>130</v>
      </c>
      <c r="B7" s="29">
        <f>COUNTIF(I12:I26,"Passed")+COUNTIF(I12:I26,"Pass")</f>
        <v>0</v>
      </c>
      <c r="C7" s="29">
        <f>COUNTIF(I12:I26,"Failed")+COUNTIF(I12:I26,"Fail")</f>
        <v>0</v>
      </c>
      <c r="D7" s="29">
        <f>COUNTIF(I12:I26,"Not Run")+COUNTIF(I12:I26,"Blocked")+COUNTIF(I12:I26,"Pending")</f>
        <v>0</v>
      </c>
      <c r="E7" s="29">
        <f>COUNTIF(I12:I26,"N/A")</f>
        <v>0</v>
      </c>
    </row>
    <row r="8">
      <c r="A8" s="29" t="s">
        <v>153</v>
      </c>
      <c r="B8" s="29">
        <f>COUNTIF(L12:L26,"Passed")+COUNTIF(L12:L26,"Pass")</f>
        <v>0</v>
      </c>
      <c r="C8" s="29">
        <f>COUNTIF(L12:L26,"Failed")+COUNTIF(L12:L26,"Fail")</f>
        <v>0</v>
      </c>
      <c r="D8" s="29">
        <f>COUNTIF(L12:L26,"Not Run")+COUNTIF(L12:L26,"Blocked")+COUNTIF(L12:L26,"Pending")</f>
        <v>0</v>
      </c>
      <c r="E8" s="29">
        <f>COUNTIF(L12:L26,"N/A")</f>
        <v>0</v>
      </c>
    </row>
    <row r="10" ht="30.0" customHeight="1">
      <c r="A10" s="33" t="s">
        <v>193</v>
      </c>
      <c r="B10" s="33" t="s">
        <v>198</v>
      </c>
      <c r="C10" s="33" t="s">
        <v>199</v>
      </c>
      <c r="D10" s="33" t="s">
        <v>201</v>
      </c>
      <c r="E10" s="33" t="s">
        <v>205</v>
      </c>
      <c r="F10" s="33" t="s">
        <v>91</v>
      </c>
      <c r="G10" s="33" t="s">
        <v>207</v>
      </c>
      <c r="H10" s="33" t="s">
        <v>208</v>
      </c>
      <c r="I10" s="33" t="s">
        <v>130</v>
      </c>
      <c r="J10" s="33" t="s">
        <v>207</v>
      </c>
      <c r="K10" s="33" t="s">
        <v>208</v>
      </c>
      <c r="L10" s="33" t="s">
        <v>153</v>
      </c>
      <c r="M10" s="33" t="s">
        <v>207</v>
      </c>
      <c r="N10" s="33" t="s">
        <v>208</v>
      </c>
      <c r="O10" s="33" t="s">
        <v>214</v>
      </c>
    </row>
    <row r="11" ht="24.75" customHeight="1">
      <c r="A11" s="34" t="s">
        <v>1611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</row>
    <row r="12" ht="99.75" customHeight="1">
      <c r="A12" s="21" t="s">
        <v>1612</v>
      </c>
      <c r="B12" s="21" t="s">
        <v>1613</v>
      </c>
      <c r="C12" s="21" t="s">
        <v>1614</v>
      </c>
      <c r="D12" s="21" t="s">
        <v>1615</v>
      </c>
      <c r="E12" s="21" t="s">
        <v>128</v>
      </c>
      <c r="F12" s="21" t="s">
        <v>231</v>
      </c>
      <c r="G12" s="21"/>
      <c r="H12" s="21"/>
      <c r="I12" s="21"/>
      <c r="J12" s="21"/>
      <c r="K12" s="21"/>
      <c r="L12" s="21"/>
      <c r="M12" s="21"/>
      <c r="N12" s="21"/>
      <c r="O12" s="21" t="s">
        <v>1616</v>
      </c>
    </row>
    <row r="13" ht="99.75" customHeight="1">
      <c r="A13" s="21" t="s">
        <v>1617</v>
      </c>
      <c r="B13" s="21" t="s">
        <v>1618</v>
      </c>
      <c r="C13" s="21" t="s">
        <v>1619</v>
      </c>
      <c r="D13" s="21" t="s">
        <v>1620</v>
      </c>
      <c r="E13" s="21" t="s">
        <v>128</v>
      </c>
      <c r="F13" s="21" t="s">
        <v>231</v>
      </c>
      <c r="G13" s="21"/>
      <c r="H13" s="21"/>
      <c r="I13" s="21"/>
      <c r="J13" s="21"/>
      <c r="K13" s="21"/>
      <c r="L13" s="21"/>
      <c r="M13" s="21"/>
      <c r="N13" s="21"/>
      <c r="O13" s="21" t="s">
        <v>1621</v>
      </c>
    </row>
    <row r="14" ht="99.75" customHeight="1">
      <c r="A14" s="21" t="s">
        <v>1622</v>
      </c>
      <c r="B14" s="21" t="s">
        <v>1623</v>
      </c>
      <c r="C14" s="21" t="s">
        <v>1624</v>
      </c>
      <c r="D14" s="21" t="s">
        <v>1625</v>
      </c>
      <c r="E14" s="21" t="s">
        <v>1626</v>
      </c>
      <c r="F14" s="21" t="s">
        <v>231</v>
      </c>
      <c r="G14" s="21"/>
      <c r="H14" s="21"/>
      <c r="I14" s="21"/>
      <c r="J14" s="21"/>
      <c r="K14" s="21"/>
      <c r="L14" s="21"/>
      <c r="M14" s="21"/>
      <c r="N14" s="21"/>
      <c r="O14" s="21" t="s">
        <v>1627</v>
      </c>
    </row>
    <row r="15" ht="99.75" customHeight="1">
      <c r="A15" s="21" t="s">
        <v>1628</v>
      </c>
      <c r="B15" s="21" t="s">
        <v>1629</v>
      </c>
      <c r="C15" s="21" t="s">
        <v>1630</v>
      </c>
      <c r="D15" s="21" t="s">
        <v>1631</v>
      </c>
      <c r="E15" s="21" t="s">
        <v>190</v>
      </c>
      <c r="F15" s="21" t="s">
        <v>231</v>
      </c>
      <c r="G15" s="21"/>
      <c r="H15" s="21"/>
      <c r="I15" s="21"/>
      <c r="J15" s="21"/>
      <c r="K15" s="21"/>
      <c r="L15" s="21"/>
      <c r="M15" s="21"/>
      <c r="N15" s="21"/>
      <c r="O15" s="21" t="s">
        <v>1632</v>
      </c>
    </row>
    <row r="16" ht="99.75" customHeight="1">
      <c r="A16" s="21" t="s">
        <v>1633</v>
      </c>
      <c r="B16" s="21" t="s">
        <v>1634</v>
      </c>
      <c r="C16" s="21" t="s">
        <v>1635</v>
      </c>
      <c r="D16" s="21" t="s">
        <v>1636</v>
      </c>
      <c r="E16" s="21" t="s">
        <v>190</v>
      </c>
      <c r="F16" s="21" t="s">
        <v>231</v>
      </c>
      <c r="G16" s="21"/>
      <c r="H16" s="21"/>
      <c r="I16" s="21"/>
      <c r="J16" s="21"/>
      <c r="K16" s="21"/>
      <c r="L16" s="21"/>
      <c r="M16" s="21"/>
      <c r="N16" s="21"/>
      <c r="O16" s="21" t="s">
        <v>1637</v>
      </c>
    </row>
    <row r="17" ht="99.75" customHeight="1">
      <c r="A17" s="21" t="s">
        <v>1638</v>
      </c>
      <c r="B17" s="21" t="s">
        <v>1639</v>
      </c>
      <c r="C17" s="21" t="s">
        <v>1640</v>
      </c>
      <c r="D17" s="21" t="s">
        <v>1641</v>
      </c>
      <c r="E17" s="21" t="s">
        <v>190</v>
      </c>
      <c r="F17" s="21" t="s">
        <v>231</v>
      </c>
      <c r="G17" s="21"/>
      <c r="H17" s="21"/>
      <c r="I17" s="21"/>
      <c r="J17" s="21"/>
      <c r="K17" s="21"/>
      <c r="L17" s="21"/>
      <c r="M17" s="21"/>
      <c r="N17" s="21"/>
      <c r="O17" s="21" t="s">
        <v>1642</v>
      </c>
    </row>
    <row r="18" ht="99.75" customHeight="1">
      <c r="A18" s="21" t="s">
        <v>1643</v>
      </c>
      <c r="B18" s="21" t="s">
        <v>1644</v>
      </c>
      <c r="C18" s="21" t="s">
        <v>1645</v>
      </c>
      <c r="D18" s="21" t="s">
        <v>1646</v>
      </c>
      <c r="E18" s="21" t="s">
        <v>49</v>
      </c>
      <c r="F18" s="21" t="s">
        <v>231</v>
      </c>
      <c r="G18" s="21"/>
      <c r="H18" s="21"/>
      <c r="I18" s="21"/>
      <c r="J18" s="21"/>
      <c r="K18" s="21"/>
      <c r="L18" s="21"/>
      <c r="M18" s="21"/>
      <c r="N18" s="21"/>
      <c r="O18" s="21" t="s">
        <v>1647</v>
      </c>
    </row>
    <row r="19" ht="99.75" customHeight="1">
      <c r="A19" s="21" t="s">
        <v>1648</v>
      </c>
      <c r="B19" s="21" t="s">
        <v>1649</v>
      </c>
      <c r="C19" s="21" t="s">
        <v>1650</v>
      </c>
      <c r="D19" s="21" t="s">
        <v>1651</v>
      </c>
      <c r="E19" s="21" t="s">
        <v>49</v>
      </c>
      <c r="F19" s="21" t="s">
        <v>231</v>
      </c>
      <c r="G19" s="21"/>
      <c r="H19" s="21"/>
      <c r="I19" s="21"/>
      <c r="J19" s="21"/>
      <c r="K19" s="21"/>
      <c r="L19" s="21"/>
      <c r="M19" s="21"/>
      <c r="N19" s="21"/>
      <c r="O19" s="21" t="s">
        <v>1652</v>
      </c>
    </row>
    <row r="20" ht="99.75" customHeight="1">
      <c r="A20" s="21" t="s">
        <v>1653</v>
      </c>
      <c r="B20" s="21" t="s">
        <v>1654</v>
      </c>
      <c r="C20" s="21" t="s">
        <v>1655</v>
      </c>
      <c r="D20" s="21" t="s">
        <v>1656</v>
      </c>
      <c r="E20" s="21" t="s">
        <v>49</v>
      </c>
      <c r="F20" s="21" t="s">
        <v>231</v>
      </c>
      <c r="G20" s="21"/>
      <c r="H20" s="21"/>
      <c r="I20" s="21"/>
      <c r="J20" s="21"/>
      <c r="K20" s="21"/>
      <c r="L20" s="21"/>
      <c r="M20" s="21"/>
      <c r="N20" s="21"/>
      <c r="O20" s="21" t="s">
        <v>1657</v>
      </c>
    </row>
    <row r="21" ht="99.75" customHeight="1">
      <c r="A21" s="21" t="s">
        <v>1658</v>
      </c>
      <c r="B21" s="21" t="s">
        <v>1659</v>
      </c>
      <c r="C21" s="21" t="s">
        <v>1660</v>
      </c>
      <c r="D21" s="21" t="s">
        <v>1661</v>
      </c>
      <c r="E21" s="21" t="s">
        <v>1662</v>
      </c>
      <c r="F21" s="21" t="s">
        <v>231</v>
      </c>
      <c r="G21" s="21"/>
      <c r="H21" s="21"/>
      <c r="I21" s="21"/>
      <c r="J21" s="21"/>
      <c r="K21" s="21"/>
      <c r="L21" s="21"/>
      <c r="M21" s="21"/>
      <c r="N21" s="21"/>
      <c r="O21" s="21" t="s">
        <v>1663</v>
      </c>
    </row>
    <row r="22" ht="99.75" customHeight="1">
      <c r="A22" s="21" t="s">
        <v>1664</v>
      </c>
      <c r="B22" s="21" t="s">
        <v>1665</v>
      </c>
      <c r="C22" s="21" t="s">
        <v>1666</v>
      </c>
      <c r="D22" s="21" t="s">
        <v>1667</v>
      </c>
      <c r="E22" s="21" t="s">
        <v>1668</v>
      </c>
      <c r="F22" s="21" t="s">
        <v>231</v>
      </c>
      <c r="G22" s="21"/>
      <c r="H22" s="21"/>
      <c r="I22" s="21"/>
      <c r="J22" s="21"/>
      <c r="K22" s="21"/>
      <c r="L22" s="21"/>
      <c r="M22" s="21"/>
      <c r="N22" s="21"/>
      <c r="O22" s="21" t="s">
        <v>1670</v>
      </c>
    </row>
    <row r="23" ht="99.75" customHeight="1">
      <c r="A23" s="21" t="s">
        <v>1671</v>
      </c>
      <c r="B23" s="21" t="s">
        <v>1672</v>
      </c>
      <c r="C23" s="21" t="s">
        <v>1673</v>
      </c>
      <c r="D23" s="21" t="s">
        <v>1674</v>
      </c>
      <c r="E23" s="21" t="s">
        <v>1675</v>
      </c>
      <c r="F23" s="21" t="s">
        <v>231</v>
      </c>
      <c r="G23" s="21"/>
      <c r="H23" s="21"/>
      <c r="I23" s="21"/>
      <c r="J23" s="21"/>
      <c r="K23" s="21"/>
      <c r="L23" s="21"/>
      <c r="M23" s="21"/>
      <c r="N23" s="21"/>
      <c r="O23" s="21" t="s">
        <v>1678</v>
      </c>
    </row>
    <row r="24" ht="99.75" customHeight="1">
      <c r="A24" s="21" t="s">
        <v>1679</v>
      </c>
      <c r="B24" s="21" t="s">
        <v>1681</v>
      </c>
      <c r="C24" s="21" t="s">
        <v>1683</v>
      </c>
      <c r="D24" s="21" t="s">
        <v>1684</v>
      </c>
      <c r="E24" s="21" t="s">
        <v>1685</v>
      </c>
      <c r="F24" s="21" t="s">
        <v>231</v>
      </c>
      <c r="G24" s="21"/>
      <c r="H24" s="21"/>
      <c r="I24" s="21"/>
      <c r="J24" s="21"/>
      <c r="K24" s="21"/>
      <c r="L24" s="21"/>
      <c r="M24" s="21"/>
      <c r="N24" s="21"/>
      <c r="O24" s="21" t="s">
        <v>1686</v>
      </c>
    </row>
    <row r="25" ht="99.75" customHeight="1">
      <c r="A25" s="21" t="s">
        <v>1687</v>
      </c>
      <c r="B25" s="21" t="s">
        <v>1689</v>
      </c>
      <c r="C25" s="21" t="s">
        <v>1691</v>
      </c>
      <c r="D25" s="21" t="s">
        <v>1692</v>
      </c>
      <c r="E25" s="21" t="s">
        <v>1694</v>
      </c>
      <c r="F25" s="21" t="s">
        <v>231</v>
      </c>
      <c r="G25" s="21"/>
      <c r="H25" s="21"/>
      <c r="I25" s="21"/>
      <c r="J25" s="21"/>
      <c r="K25" s="21"/>
      <c r="L25" s="21"/>
      <c r="M25" s="21"/>
      <c r="N25" s="21"/>
      <c r="O25" s="21" t="s">
        <v>1697</v>
      </c>
    </row>
    <row r="26" ht="99.75" customHeight="1">
      <c r="A26" s="21" t="s">
        <v>1698</v>
      </c>
      <c r="B26" s="21" t="s">
        <v>1699</v>
      </c>
      <c r="C26" s="21" t="s">
        <v>1700</v>
      </c>
      <c r="D26" s="21" t="s">
        <v>1702</v>
      </c>
      <c r="E26" s="21" t="s">
        <v>1704</v>
      </c>
      <c r="F26" s="21" t="s">
        <v>231</v>
      </c>
      <c r="G26" s="21"/>
      <c r="H26" s="21"/>
      <c r="I26" s="21"/>
      <c r="J26" s="21"/>
      <c r="K26" s="21"/>
      <c r="L26" s="21"/>
      <c r="M26" s="21"/>
      <c r="N26" s="21"/>
      <c r="O26" s="21" t="s">
        <v>1709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conditionalFormatting sqref="F12:F26">
    <cfRule type="expression" dxfId="0" priority="1">
      <formula>F12="Passed"</formula>
    </cfRule>
  </conditionalFormatting>
  <conditionalFormatting sqref="F12:F26">
    <cfRule type="expression" dxfId="1" priority="2">
      <formula>F12="Failed"</formula>
    </cfRule>
  </conditionalFormatting>
  <conditionalFormatting sqref="I12:I26">
    <cfRule type="expression" dxfId="0" priority="3">
      <formula>I12="Passed"</formula>
    </cfRule>
  </conditionalFormatting>
  <conditionalFormatting sqref="I12:I26">
    <cfRule type="expression" dxfId="1" priority="4">
      <formula>I12="Failed"</formula>
    </cfRule>
  </conditionalFormatting>
  <conditionalFormatting sqref="L12:L26">
    <cfRule type="expression" dxfId="0" priority="5">
      <formula>L12="Passed"</formula>
    </cfRule>
  </conditionalFormatting>
  <conditionalFormatting sqref="L12:L26">
    <cfRule type="expression" dxfId="1" priority="6">
      <formula>L12="Failed"</formula>
    </cfRule>
  </conditionalFormatting>
  <dataValidations>
    <dataValidation type="list" allowBlank="1" sqref="F12:F26 I12:I26 L12:L26">
      <formula1>"Not Run,Blocked,Passed,Failed,Pending,N/A"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/>
    <col customWidth="1" min="8" max="8" width="7.0"/>
    <col customWidth="1" min="9" max="9" width="9.38"/>
    <col customWidth="1" min="10" max="10" width="10.63"/>
    <col customWidth="1" min="11" max="11" width="7.0"/>
    <col customWidth="1" min="12" max="12" width="9.38"/>
    <col customWidth="1" min="13" max="13" width="10.63"/>
    <col customWidth="1" min="14" max="14" width="7.0"/>
    <col customWidth="1" min="15" max="15" width="28.63"/>
    <col customWidth="1" min="16" max="16" width="10.13"/>
    <col customWidth="1" min="17" max="17" width="8.13"/>
    <col customWidth="1" min="18" max="18" width="7.63"/>
    <col customWidth="1" min="19" max="26" width="8.63"/>
  </cols>
  <sheetData>
    <row r="2">
      <c r="A2" s="3" t="s">
        <v>3</v>
      </c>
      <c r="B2" s="7" t="s">
        <v>195</v>
      </c>
      <c r="C2" s="8"/>
      <c r="D2" s="8"/>
      <c r="E2" s="6"/>
      <c r="R2" s="12" t="s">
        <v>8</v>
      </c>
    </row>
    <row r="3" ht="45.0" customHeight="1">
      <c r="A3" s="3" t="s">
        <v>11</v>
      </c>
      <c r="B3" s="7" t="s">
        <v>1610</v>
      </c>
      <c r="C3" s="8"/>
      <c r="D3" s="8"/>
      <c r="E3" s="6"/>
      <c r="R3" s="18" t="s">
        <v>17</v>
      </c>
    </row>
    <row r="4" ht="22.5" customHeight="1">
      <c r="A4" s="3" t="s">
        <v>23</v>
      </c>
      <c r="B4" s="7">
        <f>COUNTA(A12:A14)</f>
        <v>3</v>
      </c>
      <c r="C4" s="8"/>
      <c r="D4" s="8"/>
      <c r="E4" s="6"/>
      <c r="R4" s="27" t="s">
        <v>62</v>
      </c>
    </row>
    <row r="5">
      <c r="A5" s="28" t="s">
        <v>71</v>
      </c>
      <c r="B5" s="28" t="s">
        <v>8</v>
      </c>
      <c r="C5" s="28" t="s">
        <v>17</v>
      </c>
      <c r="D5" s="28" t="s">
        <v>62</v>
      </c>
      <c r="E5" s="28" t="s">
        <v>77</v>
      </c>
      <c r="R5" s="31" t="s">
        <v>77</v>
      </c>
    </row>
    <row r="6">
      <c r="A6" s="29" t="s">
        <v>91</v>
      </c>
      <c r="B6" s="29">
        <f>COUNTIF(F12:F14,"Passed")+COUNTIF(F12:F14,"Pass")</f>
        <v>0</v>
      </c>
      <c r="C6" s="29">
        <f>COUNTIF(F12:F14,"Failed")+COUNTIF(F12:F14,"Fail")</f>
        <v>0</v>
      </c>
      <c r="D6" s="29">
        <f>COUNTIF(F12:F14,"Not Run")+COUNTIF(F12:F14,"Blocked")+COUNTIF(F12:F14,"Pending")+COUNTBLANK(F12:F14)</f>
        <v>3</v>
      </c>
      <c r="E6" s="29">
        <f>COUNTIF(F12:F14,"N/A")</f>
        <v>0</v>
      </c>
    </row>
    <row r="7">
      <c r="A7" s="29" t="s">
        <v>130</v>
      </c>
      <c r="B7" s="29">
        <f>COUNTIF(I12:I14,"Passed")+COUNTIF(I12:I14,"Pass")</f>
        <v>0</v>
      </c>
      <c r="C7" s="29">
        <f>COUNTIF(I12:I14,"Failed")+COUNTIF(I12:I14,"Fail")</f>
        <v>0</v>
      </c>
      <c r="D7" s="29">
        <f>COUNTIF(I12:I14,"Not Run")+COUNTIF(I12:I14,"Blocked")+COUNTIF(I12:I14,"Pending")</f>
        <v>0</v>
      </c>
      <c r="E7" s="29">
        <f>COUNTIF(I12:I14,"N/A")</f>
        <v>0</v>
      </c>
    </row>
    <row r="8">
      <c r="A8" s="29" t="s">
        <v>153</v>
      </c>
      <c r="B8" s="29">
        <f>COUNTIF(L12:L14,"Passed")+COUNTIF(L12:L14,"Pass")</f>
        <v>0</v>
      </c>
      <c r="C8" s="29">
        <f>COUNTIF(L12:L14,"Failed")+COUNTIF(L12:L14,"Fail")</f>
        <v>0</v>
      </c>
      <c r="D8" s="29">
        <f>COUNTIF(L12:L14,"Not Run")+COUNTIF(L12:L14,"Blocked")+COUNTIF(L12:L14,"Pending")</f>
        <v>0</v>
      </c>
      <c r="E8" s="29">
        <f>COUNTIF(L12:L14,"N/A")</f>
        <v>0</v>
      </c>
    </row>
    <row r="10" ht="30.0" customHeight="1">
      <c r="A10" s="33" t="s">
        <v>193</v>
      </c>
      <c r="B10" s="33" t="s">
        <v>198</v>
      </c>
      <c r="C10" s="33" t="s">
        <v>199</v>
      </c>
      <c r="D10" s="33" t="s">
        <v>201</v>
      </c>
      <c r="E10" s="33" t="s">
        <v>205</v>
      </c>
      <c r="F10" s="33" t="s">
        <v>91</v>
      </c>
      <c r="G10" s="33" t="s">
        <v>207</v>
      </c>
      <c r="H10" s="33" t="s">
        <v>208</v>
      </c>
      <c r="I10" s="33" t="s">
        <v>130</v>
      </c>
      <c r="J10" s="33" t="s">
        <v>207</v>
      </c>
      <c r="K10" s="33" t="s">
        <v>208</v>
      </c>
      <c r="L10" s="33" t="s">
        <v>153</v>
      </c>
      <c r="M10" s="33" t="s">
        <v>207</v>
      </c>
      <c r="N10" s="33" t="s">
        <v>208</v>
      </c>
      <c r="O10" s="33" t="s">
        <v>214</v>
      </c>
    </row>
    <row r="11" ht="24.75" customHeight="1">
      <c r="A11" s="34" t="s">
        <v>1669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</row>
    <row r="12" ht="99.75" customHeight="1">
      <c r="A12" s="21" t="s">
        <v>1676</v>
      </c>
      <c r="B12" s="21" t="s">
        <v>1677</v>
      </c>
      <c r="C12" s="21" t="s">
        <v>1680</v>
      </c>
      <c r="D12" s="21" t="s">
        <v>1682</v>
      </c>
      <c r="E12" s="21" t="s">
        <v>197</v>
      </c>
      <c r="F12" s="21" t="s">
        <v>231</v>
      </c>
      <c r="G12" s="21"/>
      <c r="H12" s="21"/>
      <c r="I12" s="21"/>
      <c r="J12" s="21"/>
      <c r="K12" s="21"/>
      <c r="L12" s="21"/>
      <c r="M12" s="21"/>
      <c r="N12" s="21"/>
      <c r="O12" s="21" t="s">
        <v>1688</v>
      </c>
    </row>
    <row r="13" ht="99.75" customHeight="1">
      <c r="A13" s="21" t="s">
        <v>1690</v>
      </c>
      <c r="B13" s="21" t="s">
        <v>1693</v>
      </c>
      <c r="C13" s="21" t="s">
        <v>1695</v>
      </c>
      <c r="D13" s="21" t="s">
        <v>1696</v>
      </c>
      <c r="E13" s="21" t="s">
        <v>197</v>
      </c>
      <c r="F13" s="21" t="s">
        <v>231</v>
      </c>
      <c r="G13" s="21"/>
      <c r="H13" s="21"/>
      <c r="I13" s="21"/>
      <c r="J13" s="21"/>
      <c r="K13" s="21"/>
      <c r="L13" s="21"/>
      <c r="M13" s="21"/>
      <c r="N13" s="21"/>
      <c r="O13" s="21" t="s">
        <v>1701</v>
      </c>
    </row>
    <row r="14" ht="99.75" customHeight="1">
      <c r="A14" s="21" t="s">
        <v>1703</v>
      </c>
      <c r="B14" s="21" t="s">
        <v>1705</v>
      </c>
      <c r="C14" s="21" t="s">
        <v>1706</v>
      </c>
      <c r="D14" s="21" t="s">
        <v>1707</v>
      </c>
      <c r="E14" s="21" t="s">
        <v>197</v>
      </c>
      <c r="F14" s="21" t="s">
        <v>231</v>
      </c>
      <c r="G14" s="21"/>
      <c r="H14" s="21"/>
      <c r="I14" s="21"/>
      <c r="J14" s="21"/>
      <c r="K14" s="21"/>
      <c r="L14" s="21"/>
      <c r="M14" s="21"/>
      <c r="N14" s="21"/>
      <c r="O14" s="21" t="s">
        <v>1710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conditionalFormatting sqref="F12:F14">
    <cfRule type="expression" dxfId="0" priority="1">
      <formula>F12="Passed"</formula>
    </cfRule>
  </conditionalFormatting>
  <conditionalFormatting sqref="F12:F14">
    <cfRule type="expression" dxfId="1" priority="2">
      <formula>F12="Failed"</formula>
    </cfRule>
  </conditionalFormatting>
  <conditionalFormatting sqref="I12:I14">
    <cfRule type="expression" dxfId="0" priority="3">
      <formula>I12="Passed"</formula>
    </cfRule>
  </conditionalFormatting>
  <conditionalFormatting sqref="I12:I14">
    <cfRule type="expression" dxfId="1" priority="4">
      <formula>I12="Failed"</formula>
    </cfRule>
  </conditionalFormatting>
  <conditionalFormatting sqref="L12:L14">
    <cfRule type="expression" dxfId="0" priority="5">
      <formula>L12="Passed"</formula>
    </cfRule>
  </conditionalFormatting>
  <conditionalFormatting sqref="L12:L14">
    <cfRule type="expression" dxfId="1" priority="6">
      <formula>L12="Failed"</formula>
    </cfRule>
  </conditionalFormatting>
  <dataValidations>
    <dataValidation type="list" allowBlank="1" sqref="F12:F14 I12:I14 L12:L14">
      <formula1>"Not Run,Blocked,Passed,Failed,Pending,N/A"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/>
    <col customWidth="1" min="8" max="8" width="7.0"/>
    <col customWidth="1" min="9" max="9" width="9.38"/>
    <col customWidth="1" min="10" max="10" width="10.63"/>
    <col customWidth="1" min="11" max="11" width="7.0"/>
    <col customWidth="1" min="12" max="12" width="9.38"/>
    <col customWidth="1" min="13" max="13" width="10.63"/>
    <col customWidth="1" min="14" max="14" width="7.0"/>
    <col customWidth="1" min="15" max="15" width="28.63"/>
    <col customWidth="1" min="16" max="16" width="10.13"/>
    <col customWidth="1" min="17" max="17" width="8.13"/>
    <col customWidth="1" min="18" max="18" width="7.63"/>
    <col customWidth="1" min="19" max="26" width="8.63"/>
  </cols>
  <sheetData>
    <row r="2">
      <c r="A2" s="3" t="s">
        <v>3</v>
      </c>
      <c r="B2" s="7" t="s">
        <v>202</v>
      </c>
      <c r="C2" s="8"/>
      <c r="D2" s="8"/>
      <c r="E2" s="6"/>
      <c r="R2" s="12" t="s">
        <v>8</v>
      </c>
    </row>
    <row r="3" ht="45.0" customHeight="1">
      <c r="A3" s="3" t="s">
        <v>11</v>
      </c>
      <c r="B3" s="7" t="s">
        <v>1708</v>
      </c>
      <c r="C3" s="8"/>
      <c r="D3" s="8"/>
      <c r="E3" s="6"/>
      <c r="R3" s="18" t="s">
        <v>17</v>
      </c>
    </row>
    <row r="4" ht="22.5" customHeight="1">
      <c r="A4" s="3" t="s">
        <v>23</v>
      </c>
      <c r="B4" s="7">
        <f>COUNTA(A12:A17)</f>
        <v>6</v>
      </c>
      <c r="C4" s="8"/>
      <c r="D4" s="8"/>
      <c r="E4" s="6"/>
      <c r="R4" s="27" t="s">
        <v>62</v>
      </c>
    </row>
    <row r="5">
      <c r="A5" s="28" t="s">
        <v>71</v>
      </c>
      <c r="B5" s="28" t="s">
        <v>8</v>
      </c>
      <c r="C5" s="28" t="s">
        <v>17</v>
      </c>
      <c r="D5" s="28" t="s">
        <v>62</v>
      </c>
      <c r="E5" s="28" t="s">
        <v>77</v>
      </c>
      <c r="R5" s="31" t="s">
        <v>77</v>
      </c>
    </row>
    <row r="6">
      <c r="A6" s="29" t="s">
        <v>91</v>
      </c>
      <c r="B6" s="29">
        <f>COUNTIF(F12:F17,"Passed")+COUNTIF(F12:F17,"Pass")</f>
        <v>0</v>
      </c>
      <c r="C6" s="29">
        <f>COUNTIF(F12:F17,"Failed")+COUNTIF(F12:F17,"Fail")</f>
        <v>0</v>
      </c>
      <c r="D6" s="29">
        <f>COUNTIF(F12:F17,"Not Run")+COUNTIF(F12:F17,"Blocked")+COUNTIF(F12:F17,"Pending")+COUNTBLANK(F12:F17)</f>
        <v>6</v>
      </c>
      <c r="E6" s="29">
        <f>COUNTIF(F12:F17,"N/A")</f>
        <v>0</v>
      </c>
    </row>
    <row r="7">
      <c r="A7" s="29" t="s">
        <v>130</v>
      </c>
      <c r="B7" s="29">
        <f>COUNTIF(I12:I17,"Passed")+COUNTIF(I12:I17,"Pass")</f>
        <v>0</v>
      </c>
      <c r="C7" s="29">
        <f>COUNTIF(I12:I17,"Failed")+COUNTIF(I12:I17,"Fail")</f>
        <v>0</v>
      </c>
      <c r="D7" s="29">
        <f>COUNTIF(I12:I17,"Not Run")+COUNTIF(I12:I17,"Blocked")+COUNTIF(I12:I17,"Pending")</f>
        <v>0</v>
      </c>
      <c r="E7" s="29">
        <f>COUNTIF(I12:I17,"N/A")</f>
        <v>0</v>
      </c>
    </row>
    <row r="8">
      <c r="A8" s="29" t="s">
        <v>153</v>
      </c>
      <c r="B8" s="29">
        <f>COUNTIF(L12:L17,"Passed")+COUNTIF(L12:L17,"Pass")</f>
        <v>0</v>
      </c>
      <c r="C8" s="29">
        <f>COUNTIF(L12:L17,"Failed")+COUNTIF(L12:L17,"Fail")</f>
        <v>0</v>
      </c>
      <c r="D8" s="29">
        <f>COUNTIF(L12:L17,"Not Run")+COUNTIF(L12:L17,"Blocked")+COUNTIF(L12:L17,"Pending")</f>
        <v>0</v>
      </c>
      <c r="E8" s="29">
        <f>COUNTIF(L12:L17,"N/A")</f>
        <v>0</v>
      </c>
    </row>
    <row r="10" ht="30.0" customHeight="1">
      <c r="A10" s="33" t="s">
        <v>193</v>
      </c>
      <c r="B10" s="33" t="s">
        <v>198</v>
      </c>
      <c r="C10" s="33" t="s">
        <v>199</v>
      </c>
      <c r="D10" s="33" t="s">
        <v>201</v>
      </c>
      <c r="E10" s="33" t="s">
        <v>205</v>
      </c>
      <c r="F10" s="33" t="s">
        <v>91</v>
      </c>
      <c r="G10" s="33" t="s">
        <v>207</v>
      </c>
      <c r="H10" s="33" t="s">
        <v>208</v>
      </c>
      <c r="I10" s="33" t="s">
        <v>130</v>
      </c>
      <c r="J10" s="33" t="s">
        <v>207</v>
      </c>
      <c r="K10" s="33" t="s">
        <v>208</v>
      </c>
      <c r="L10" s="33" t="s">
        <v>153</v>
      </c>
      <c r="M10" s="33" t="s">
        <v>207</v>
      </c>
      <c r="N10" s="33" t="s">
        <v>208</v>
      </c>
      <c r="O10" s="33" t="s">
        <v>214</v>
      </c>
    </row>
    <row r="11" ht="24.75" customHeight="1">
      <c r="A11" s="34" t="s">
        <v>1712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</row>
    <row r="12" ht="99.75" customHeight="1">
      <c r="A12" s="21" t="s">
        <v>1713</v>
      </c>
      <c r="B12" s="21" t="s">
        <v>1714</v>
      </c>
      <c r="C12" s="21" t="s">
        <v>1715</v>
      </c>
      <c r="D12" s="21" t="s">
        <v>1716</v>
      </c>
      <c r="E12" s="21" t="s">
        <v>204</v>
      </c>
      <c r="F12" s="21" t="s">
        <v>231</v>
      </c>
      <c r="G12" s="21"/>
      <c r="H12" s="21"/>
      <c r="I12" s="21"/>
      <c r="J12" s="21"/>
      <c r="K12" s="21"/>
      <c r="L12" s="21"/>
      <c r="M12" s="21"/>
      <c r="N12" s="21"/>
      <c r="O12" s="21" t="s">
        <v>1717</v>
      </c>
    </row>
    <row r="13" ht="99.75" customHeight="1">
      <c r="A13" s="21" t="s">
        <v>1718</v>
      </c>
      <c r="B13" s="21" t="s">
        <v>1719</v>
      </c>
      <c r="C13" s="21" t="s">
        <v>1720</v>
      </c>
      <c r="D13" s="21" t="s">
        <v>1721</v>
      </c>
      <c r="E13" s="21" t="s">
        <v>204</v>
      </c>
      <c r="F13" s="21" t="s">
        <v>231</v>
      </c>
      <c r="G13" s="21"/>
      <c r="H13" s="21"/>
      <c r="I13" s="21"/>
      <c r="J13" s="21"/>
      <c r="K13" s="21"/>
      <c r="L13" s="21"/>
      <c r="M13" s="21"/>
      <c r="N13" s="21"/>
      <c r="O13" s="21" t="s">
        <v>1722</v>
      </c>
    </row>
    <row r="14" ht="99.75" customHeight="1">
      <c r="A14" s="21" t="s">
        <v>1723</v>
      </c>
      <c r="B14" s="21" t="s">
        <v>1724</v>
      </c>
      <c r="C14" s="21" t="s">
        <v>1725</v>
      </c>
      <c r="D14" s="21" t="s">
        <v>1726</v>
      </c>
      <c r="E14" s="21" t="s">
        <v>204</v>
      </c>
      <c r="F14" s="21" t="s">
        <v>231</v>
      </c>
      <c r="G14" s="21"/>
      <c r="H14" s="21"/>
      <c r="I14" s="21"/>
      <c r="J14" s="21"/>
      <c r="K14" s="21"/>
      <c r="L14" s="21"/>
      <c r="M14" s="21"/>
      <c r="N14" s="21"/>
      <c r="O14" s="21" t="s">
        <v>1727</v>
      </c>
    </row>
    <row r="15" ht="99.75" customHeight="1">
      <c r="A15" s="21" t="s">
        <v>1728</v>
      </c>
      <c r="B15" s="21" t="s">
        <v>1729</v>
      </c>
      <c r="C15" s="21" t="s">
        <v>1730</v>
      </c>
      <c r="D15" s="21" t="s">
        <v>1731</v>
      </c>
      <c r="E15" s="21" t="s">
        <v>210</v>
      </c>
      <c r="F15" s="21" t="s">
        <v>231</v>
      </c>
      <c r="G15" s="21"/>
      <c r="H15" s="21"/>
      <c r="I15" s="21"/>
      <c r="J15" s="21"/>
      <c r="K15" s="21"/>
      <c r="L15" s="21"/>
      <c r="M15" s="21"/>
      <c r="N15" s="21"/>
      <c r="O15" s="21" t="s">
        <v>1732</v>
      </c>
    </row>
    <row r="16" ht="99.75" customHeight="1">
      <c r="A16" s="21" t="s">
        <v>1733</v>
      </c>
      <c r="B16" s="21" t="s">
        <v>1734</v>
      </c>
      <c r="C16" s="21" t="s">
        <v>1735</v>
      </c>
      <c r="D16" s="21" t="s">
        <v>1736</v>
      </c>
      <c r="E16" s="21" t="s">
        <v>210</v>
      </c>
      <c r="F16" s="21" t="s">
        <v>231</v>
      </c>
      <c r="G16" s="21"/>
      <c r="H16" s="21"/>
      <c r="I16" s="21"/>
      <c r="J16" s="21"/>
      <c r="K16" s="21"/>
      <c r="L16" s="21"/>
      <c r="M16" s="21"/>
      <c r="N16" s="21"/>
      <c r="O16" s="21" t="s">
        <v>1737</v>
      </c>
    </row>
    <row r="17" ht="99.75" customHeight="1">
      <c r="A17" s="21" t="s">
        <v>1738</v>
      </c>
      <c r="B17" s="21" t="s">
        <v>1739</v>
      </c>
      <c r="C17" s="21" t="s">
        <v>1740</v>
      </c>
      <c r="D17" s="21" t="s">
        <v>1741</v>
      </c>
      <c r="E17" s="21" t="s">
        <v>210</v>
      </c>
      <c r="F17" s="21" t="s">
        <v>231</v>
      </c>
      <c r="G17" s="21"/>
      <c r="H17" s="21"/>
      <c r="I17" s="21"/>
      <c r="J17" s="21"/>
      <c r="K17" s="21"/>
      <c r="L17" s="21"/>
      <c r="M17" s="21"/>
      <c r="N17" s="21"/>
      <c r="O17" s="21" t="s">
        <v>1742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conditionalFormatting sqref="F12:F17">
    <cfRule type="expression" dxfId="0" priority="1">
      <formula>F12="Passed"</formula>
    </cfRule>
  </conditionalFormatting>
  <conditionalFormatting sqref="F12:F17">
    <cfRule type="expression" dxfId="1" priority="2">
      <formula>F12="Failed"</formula>
    </cfRule>
  </conditionalFormatting>
  <conditionalFormatting sqref="I12:I17">
    <cfRule type="expression" dxfId="0" priority="3">
      <formula>I12="Passed"</formula>
    </cfRule>
  </conditionalFormatting>
  <conditionalFormatting sqref="I12:I17">
    <cfRule type="expression" dxfId="1" priority="4">
      <formula>I12="Failed"</formula>
    </cfRule>
  </conditionalFormatting>
  <conditionalFormatting sqref="L12:L17">
    <cfRule type="expression" dxfId="0" priority="5">
      <formula>L12="Passed"</formula>
    </cfRule>
  </conditionalFormatting>
  <conditionalFormatting sqref="L12:L17">
    <cfRule type="expression" dxfId="1" priority="6">
      <formula>L12="Failed"</formula>
    </cfRule>
  </conditionalFormatting>
  <dataValidations>
    <dataValidation type="list" allowBlank="1" sqref="F12:F17 I12:I17 L12:L17">
      <formula1>"Not Run,Blocked,Passed,Failed,Pending,N/A"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/>
    <col customWidth="1" min="8" max="8" width="7.0"/>
    <col customWidth="1" min="9" max="9" width="9.38"/>
    <col customWidth="1" min="10" max="10" width="10.63"/>
    <col customWidth="1" min="11" max="11" width="7.0"/>
    <col customWidth="1" min="12" max="12" width="9.38"/>
    <col customWidth="1" min="13" max="13" width="10.63"/>
    <col customWidth="1" min="14" max="14" width="7.0"/>
    <col customWidth="1" min="15" max="15" width="28.63"/>
    <col customWidth="1" min="16" max="16" width="10.13"/>
    <col customWidth="1" min="17" max="17" width="8.13"/>
    <col customWidth="1" min="18" max="18" width="7.63"/>
    <col customWidth="1" min="19" max="26" width="8.63"/>
  </cols>
  <sheetData>
    <row r="2">
      <c r="A2" s="3" t="s">
        <v>3</v>
      </c>
      <c r="B2" s="7" t="s">
        <v>212</v>
      </c>
      <c r="C2" s="8"/>
      <c r="D2" s="8"/>
      <c r="E2" s="6"/>
      <c r="R2" s="12" t="s">
        <v>8</v>
      </c>
    </row>
    <row r="3" ht="45.0" customHeight="1">
      <c r="A3" s="3" t="s">
        <v>11</v>
      </c>
      <c r="B3" s="7" t="s">
        <v>1711</v>
      </c>
      <c r="C3" s="8"/>
      <c r="D3" s="8"/>
      <c r="E3" s="6"/>
      <c r="R3" s="18" t="s">
        <v>17</v>
      </c>
    </row>
    <row r="4" ht="22.5" customHeight="1">
      <c r="A4" s="3" t="s">
        <v>23</v>
      </c>
      <c r="B4" s="7">
        <f>COUNTA(A12:A20)</f>
        <v>9</v>
      </c>
      <c r="C4" s="8"/>
      <c r="D4" s="8"/>
      <c r="E4" s="6"/>
      <c r="R4" s="27" t="s">
        <v>62</v>
      </c>
    </row>
    <row r="5">
      <c r="A5" s="28" t="s">
        <v>71</v>
      </c>
      <c r="B5" s="28" t="s">
        <v>8</v>
      </c>
      <c r="C5" s="28" t="s">
        <v>17</v>
      </c>
      <c r="D5" s="28" t="s">
        <v>62</v>
      </c>
      <c r="E5" s="28" t="s">
        <v>77</v>
      </c>
      <c r="R5" s="31" t="s">
        <v>77</v>
      </c>
    </row>
    <row r="6">
      <c r="A6" s="29" t="s">
        <v>91</v>
      </c>
      <c r="B6" s="29">
        <f>COUNTIF(F12:F20,"Passed")+COUNTIF(F12:F20,"Pass")</f>
        <v>0</v>
      </c>
      <c r="C6" s="29">
        <f>COUNTIF(F12:F20,"Failed")+COUNTIF(F12:F20,"Fail")</f>
        <v>0</v>
      </c>
      <c r="D6" s="29">
        <f>COUNTIF(F12:F20,"Not Run")+COUNTIF(F12:F20,"Blocked")+COUNTIF(F12:F20,"Pending")+COUNTBLANK(F12:F20)</f>
        <v>9</v>
      </c>
      <c r="E6" s="29">
        <f>COUNTIF(F12:F20,"N/A")</f>
        <v>0</v>
      </c>
    </row>
    <row r="7">
      <c r="A7" s="29" t="s">
        <v>130</v>
      </c>
      <c r="B7" s="29">
        <f>COUNTIF(I12:I20,"Passed")+COUNTIF(I12:I20,"Pass")</f>
        <v>0</v>
      </c>
      <c r="C7" s="29">
        <f>COUNTIF(I12:I20,"Failed")+COUNTIF(I12:I20,"Fail")</f>
        <v>0</v>
      </c>
      <c r="D7" s="29">
        <f>COUNTIF(I12:I20,"Not Run")+COUNTIF(I12:I20,"Blocked")+COUNTIF(I12:I20,"Pending")</f>
        <v>0</v>
      </c>
      <c r="E7" s="29">
        <f>COUNTIF(I12:I20,"N/A")</f>
        <v>0</v>
      </c>
    </row>
    <row r="8">
      <c r="A8" s="29" t="s">
        <v>153</v>
      </c>
      <c r="B8" s="29">
        <f>COUNTIF(L12:L20,"Passed")+COUNTIF(L12:L20,"Pass")</f>
        <v>0</v>
      </c>
      <c r="C8" s="29">
        <f>COUNTIF(L12:L20,"Failed")+COUNTIF(L12:L20,"Fail")</f>
        <v>0</v>
      </c>
      <c r="D8" s="29">
        <f>COUNTIF(L12:L20,"Not Run")+COUNTIF(L12:L20,"Blocked")+COUNTIF(L12:L20,"Pending")</f>
        <v>0</v>
      </c>
      <c r="E8" s="29">
        <f>COUNTIF(L12:L20,"N/A")</f>
        <v>0</v>
      </c>
    </row>
    <row r="10" ht="30.0" customHeight="1">
      <c r="A10" s="33" t="s">
        <v>193</v>
      </c>
      <c r="B10" s="33" t="s">
        <v>198</v>
      </c>
      <c r="C10" s="33" t="s">
        <v>199</v>
      </c>
      <c r="D10" s="33" t="s">
        <v>201</v>
      </c>
      <c r="E10" s="33" t="s">
        <v>205</v>
      </c>
      <c r="F10" s="33" t="s">
        <v>91</v>
      </c>
      <c r="G10" s="33" t="s">
        <v>207</v>
      </c>
      <c r="H10" s="33" t="s">
        <v>208</v>
      </c>
      <c r="I10" s="33" t="s">
        <v>130</v>
      </c>
      <c r="J10" s="33" t="s">
        <v>207</v>
      </c>
      <c r="K10" s="33" t="s">
        <v>208</v>
      </c>
      <c r="L10" s="33" t="s">
        <v>153</v>
      </c>
      <c r="M10" s="33" t="s">
        <v>207</v>
      </c>
      <c r="N10" s="33" t="s">
        <v>208</v>
      </c>
      <c r="O10" s="33" t="s">
        <v>214</v>
      </c>
    </row>
    <row r="11" ht="24.75" customHeight="1">
      <c r="A11" s="34" t="s">
        <v>1743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</row>
    <row r="12" ht="99.75" customHeight="1">
      <c r="A12" s="21" t="s">
        <v>1744</v>
      </c>
      <c r="B12" s="21" t="s">
        <v>1745</v>
      </c>
      <c r="C12" s="21" t="s">
        <v>1746</v>
      </c>
      <c r="D12" s="21" t="s">
        <v>1747</v>
      </c>
      <c r="E12" s="21" t="s">
        <v>49</v>
      </c>
      <c r="F12" s="21" t="s">
        <v>231</v>
      </c>
      <c r="G12" s="21"/>
      <c r="H12" s="21"/>
      <c r="I12" s="21"/>
      <c r="J12" s="21"/>
      <c r="K12" s="21"/>
      <c r="L12" s="21"/>
      <c r="M12" s="21"/>
      <c r="N12" s="21"/>
      <c r="O12" s="21" t="s">
        <v>1748</v>
      </c>
    </row>
    <row r="13" ht="99.75" customHeight="1">
      <c r="A13" s="21" t="s">
        <v>1749</v>
      </c>
      <c r="B13" s="21" t="s">
        <v>1750</v>
      </c>
      <c r="C13" s="21" t="s">
        <v>1751</v>
      </c>
      <c r="D13" s="21" t="s">
        <v>1752</v>
      </c>
      <c r="E13" s="21" t="s">
        <v>49</v>
      </c>
      <c r="F13" s="21" t="s">
        <v>231</v>
      </c>
      <c r="G13" s="21"/>
      <c r="H13" s="21"/>
      <c r="I13" s="21"/>
      <c r="J13" s="21"/>
      <c r="K13" s="21"/>
      <c r="L13" s="21"/>
      <c r="M13" s="21"/>
      <c r="N13" s="21"/>
      <c r="O13" s="21" t="s">
        <v>1753</v>
      </c>
    </row>
    <row r="14" ht="99.75" customHeight="1">
      <c r="A14" s="21" t="s">
        <v>1754</v>
      </c>
      <c r="B14" s="21" t="s">
        <v>1755</v>
      </c>
      <c r="C14" s="21" t="s">
        <v>1756</v>
      </c>
      <c r="D14" s="21" t="s">
        <v>1757</v>
      </c>
      <c r="E14" s="21" t="s">
        <v>49</v>
      </c>
      <c r="F14" s="21" t="s">
        <v>231</v>
      </c>
      <c r="G14" s="21"/>
      <c r="H14" s="21"/>
      <c r="I14" s="21"/>
      <c r="J14" s="21"/>
      <c r="K14" s="21"/>
      <c r="L14" s="21"/>
      <c r="M14" s="21"/>
      <c r="N14" s="21"/>
      <c r="O14" s="21" t="s">
        <v>1758</v>
      </c>
    </row>
    <row r="15" ht="99.75" customHeight="1">
      <c r="A15" s="21" t="s">
        <v>1759</v>
      </c>
      <c r="B15" s="21" t="s">
        <v>1760</v>
      </c>
      <c r="C15" s="21" t="s">
        <v>1761</v>
      </c>
      <c r="D15" s="21" t="s">
        <v>1762</v>
      </c>
      <c r="E15" s="21" t="s">
        <v>49</v>
      </c>
      <c r="F15" s="21" t="s">
        <v>231</v>
      </c>
      <c r="G15" s="21"/>
      <c r="H15" s="21"/>
      <c r="I15" s="21"/>
      <c r="J15" s="21"/>
      <c r="K15" s="21"/>
      <c r="L15" s="21"/>
      <c r="M15" s="21"/>
      <c r="N15" s="21"/>
      <c r="O15" s="21" t="s">
        <v>1763</v>
      </c>
    </row>
    <row r="16" ht="99.75" customHeight="1">
      <c r="A16" s="21" t="s">
        <v>1764</v>
      </c>
      <c r="B16" s="21" t="s">
        <v>1765</v>
      </c>
      <c r="C16" s="21" t="s">
        <v>1766</v>
      </c>
      <c r="D16" s="21" t="s">
        <v>1767</v>
      </c>
      <c r="E16" s="21" t="s">
        <v>49</v>
      </c>
      <c r="F16" s="21" t="s">
        <v>231</v>
      </c>
      <c r="G16" s="21"/>
      <c r="H16" s="21"/>
      <c r="I16" s="21"/>
      <c r="J16" s="21"/>
      <c r="K16" s="21"/>
      <c r="L16" s="21"/>
      <c r="M16" s="21"/>
      <c r="N16" s="21"/>
      <c r="O16" s="21" t="s">
        <v>1768</v>
      </c>
    </row>
    <row r="17" ht="99.75" customHeight="1">
      <c r="A17" s="21" t="s">
        <v>1769</v>
      </c>
      <c r="B17" s="21" t="s">
        <v>1770</v>
      </c>
      <c r="C17" s="21" t="s">
        <v>1771</v>
      </c>
      <c r="D17" s="21" t="s">
        <v>1772</v>
      </c>
      <c r="E17" s="21" t="s">
        <v>49</v>
      </c>
      <c r="F17" s="21" t="s">
        <v>231</v>
      </c>
      <c r="G17" s="21"/>
      <c r="H17" s="21"/>
      <c r="I17" s="21"/>
      <c r="J17" s="21"/>
      <c r="K17" s="21"/>
      <c r="L17" s="21"/>
      <c r="M17" s="21"/>
      <c r="N17" s="21"/>
      <c r="O17" s="21" t="s">
        <v>1773</v>
      </c>
    </row>
    <row r="18" ht="99.75" customHeight="1">
      <c r="A18" s="21" t="s">
        <v>1774</v>
      </c>
      <c r="B18" s="21" t="s">
        <v>1775</v>
      </c>
      <c r="C18" s="21" t="s">
        <v>1776</v>
      </c>
      <c r="D18" s="21" t="s">
        <v>1777</v>
      </c>
      <c r="E18" s="21" t="s">
        <v>128</v>
      </c>
      <c r="F18" s="21" t="s">
        <v>231</v>
      </c>
      <c r="G18" s="21"/>
      <c r="H18" s="21"/>
      <c r="I18" s="21"/>
      <c r="J18" s="21"/>
      <c r="K18" s="21"/>
      <c r="L18" s="21"/>
      <c r="M18" s="21"/>
      <c r="N18" s="21"/>
      <c r="O18" s="21" t="s">
        <v>1778</v>
      </c>
    </row>
    <row r="19" ht="99.75" customHeight="1">
      <c r="A19" s="21" t="s">
        <v>1779</v>
      </c>
      <c r="B19" s="21" t="s">
        <v>1780</v>
      </c>
      <c r="C19" s="21" t="s">
        <v>1781</v>
      </c>
      <c r="D19" s="21" t="s">
        <v>1782</v>
      </c>
      <c r="E19" s="21" t="s">
        <v>128</v>
      </c>
      <c r="F19" s="21" t="s">
        <v>231</v>
      </c>
      <c r="G19" s="21"/>
      <c r="H19" s="21"/>
      <c r="I19" s="21"/>
      <c r="J19" s="21"/>
      <c r="K19" s="21"/>
      <c r="L19" s="21"/>
      <c r="M19" s="21"/>
      <c r="N19" s="21"/>
      <c r="O19" s="21" t="s">
        <v>1783</v>
      </c>
    </row>
    <row r="20" ht="99.75" customHeight="1">
      <c r="A20" s="21" t="s">
        <v>1784</v>
      </c>
      <c r="B20" s="21" t="s">
        <v>1785</v>
      </c>
      <c r="C20" s="21" t="s">
        <v>1786</v>
      </c>
      <c r="D20" s="21" t="s">
        <v>1787</v>
      </c>
      <c r="E20" s="21" t="s">
        <v>128</v>
      </c>
      <c r="F20" s="21" t="s">
        <v>231</v>
      </c>
      <c r="G20" s="21"/>
      <c r="H20" s="21"/>
      <c r="I20" s="21"/>
      <c r="J20" s="21"/>
      <c r="K20" s="21"/>
      <c r="L20" s="21"/>
      <c r="M20" s="21"/>
      <c r="N20" s="21"/>
      <c r="O20" s="21" t="s">
        <v>1788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conditionalFormatting sqref="F12:F20">
    <cfRule type="expression" dxfId="0" priority="1">
      <formula>F12="Passed"</formula>
    </cfRule>
  </conditionalFormatting>
  <conditionalFormatting sqref="F12:F20">
    <cfRule type="expression" dxfId="1" priority="2">
      <formula>F12="Failed"</formula>
    </cfRule>
  </conditionalFormatting>
  <conditionalFormatting sqref="I12:I20">
    <cfRule type="expression" dxfId="0" priority="3">
      <formula>I12="Passed"</formula>
    </cfRule>
  </conditionalFormatting>
  <conditionalFormatting sqref="I12:I20">
    <cfRule type="expression" dxfId="1" priority="4">
      <formula>I12="Failed"</formula>
    </cfRule>
  </conditionalFormatting>
  <conditionalFormatting sqref="L12:L20">
    <cfRule type="expression" dxfId="0" priority="5">
      <formula>L12="Passed"</formula>
    </cfRule>
  </conditionalFormatting>
  <conditionalFormatting sqref="L12:L20">
    <cfRule type="expression" dxfId="1" priority="6">
      <formula>L12="Failed"</formula>
    </cfRule>
  </conditionalFormatting>
  <dataValidations>
    <dataValidation type="list" allowBlank="1" sqref="F12:F20 I12:I20 L12:L20">
      <formula1>"Not Run,Blocked,Passed,Failed,Pending,N/A"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/>
    <col customWidth="1" min="8" max="8" width="7.0"/>
    <col customWidth="1" min="9" max="9" width="9.38"/>
    <col customWidth="1" min="10" max="10" width="10.63"/>
    <col customWidth="1" min="11" max="11" width="7.0"/>
    <col customWidth="1" min="12" max="12" width="9.38"/>
    <col customWidth="1" min="13" max="13" width="10.63"/>
    <col customWidth="1" min="14" max="14" width="7.0"/>
    <col customWidth="1" min="15" max="15" width="28.63"/>
    <col customWidth="1" min="16" max="16" width="10.13"/>
    <col customWidth="1" min="17" max="17" width="8.13"/>
    <col customWidth="1" min="18" max="18" width="7.63"/>
    <col customWidth="1" min="19" max="26" width="8.63"/>
  </cols>
  <sheetData>
    <row r="2">
      <c r="A2" s="3" t="s">
        <v>3</v>
      </c>
      <c r="B2" s="7" t="s">
        <v>221</v>
      </c>
      <c r="C2" s="8"/>
      <c r="D2" s="8"/>
      <c r="E2" s="6"/>
      <c r="R2" s="12" t="s">
        <v>8</v>
      </c>
    </row>
    <row r="3" ht="45.0" customHeight="1">
      <c r="A3" s="3" t="s">
        <v>11</v>
      </c>
      <c r="B3" s="7" t="s">
        <v>1789</v>
      </c>
      <c r="C3" s="8"/>
      <c r="D3" s="8"/>
      <c r="E3" s="6"/>
      <c r="R3" s="18" t="s">
        <v>17</v>
      </c>
    </row>
    <row r="4" ht="22.5" customHeight="1">
      <c r="A4" s="3" t="s">
        <v>23</v>
      </c>
      <c r="B4" s="7">
        <f>COUNTA(A12:A19)</f>
        <v>8</v>
      </c>
      <c r="C4" s="8"/>
      <c r="D4" s="8"/>
      <c r="E4" s="6"/>
      <c r="R4" s="27" t="s">
        <v>62</v>
      </c>
    </row>
    <row r="5">
      <c r="A5" s="28" t="s">
        <v>71</v>
      </c>
      <c r="B5" s="28" t="s">
        <v>8</v>
      </c>
      <c r="C5" s="28" t="s">
        <v>17</v>
      </c>
      <c r="D5" s="28" t="s">
        <v>62</v>
      </c>
      <c r="E5" s="28" t="s">
        <v>77</v>
      </c>
      <c r="R5" s="31" t="s">
        <v>77</v>
      </c>
    </row>
    <row r="6">
      <c r="A6" s="29" t="s">
        <v>91</v>
      </c>
      <c r="B6" s="29">
        <f>COUNTIF(F12:F19,"Passed")+COUNTIF(F12:F19,"Pass")</f>
        <v>0</v>
      </c>
      <c r="C6" s="29">
        <f>COUNTIF(F12:F19,"Failed")+COUNTIF(F12:F19,"Fail")</f>
        <v>0</v>
      </c>
      <c r="D6" s="29">
        <f>COUNTIF(F12:F19,"Not Run")+COUNTIF(F12:F19,"Blocked")+COUNTIF(F12:F19,"Pending")+COUNTBLANK(F12:F19)</f>
        <v>8</v>
      </c>
      <c r="E6" s="29">
        <f>COUNTIF(F12:F19,"N/A")</f>
        <v>0</v>
      </c>
    </row>
    <row r="7">
      <c r="A7" s="29" t="s">
        <v>130</v>
      </c>
      <c r="B7" s="29">
        <f>COUNTIF(I12:I19,"Passed")+COUNTIF(I12:I19,"Pass")</f>
        <v>0</v>
      </c>
      <c r="C7" s="29">
        <f>COUNTIF(I12:I19,"Failed")+COUNTIF(I12:I19,"Fail")</f>
        <v>0</v>
      </c>
      <c r="D7" s="29">
        <f>COUNTIF(I12:I19,"Not Run")+COUNTIF(I12:I19,"Blocked")+COUNTIF(I12:I19,"Pending")</f>
        <v>0</v>
      </c>
      <c r="E7" s="29">
        <f>COUNTIF(I12:I19,"N/A")</f>
        <v>0</v>
      </c>
    </row>
    <row r="8">
      <c r="A8" s="29" t="s">
        <v>153</v>
      </c>
      <c r="B8" s="29">
        <f>COUNTIF(L12:L19,"Passed")+COUNTIF(L12:L19,"Pass")</f>
        <v>0</v>
      </c>
      <c r="C8" s="29">
        <f>COUNTIF(L12:L19,"Failed")+COUNTIF(L12:L19,"Fail")</f>
        <v>0</v>
      </c>
      <c r="D8" s="29">
        <f>COUNTIF(L12:L19,"Not Run")+COUNTIF(L12:L19,"Blocked")+COUNTIF(L12:L19,"Pending")</f>
        <v>0</v>
      </c>
      <c r="E8" s="29">
        <f>COUNTIF(L12:L19,"N/A")</f>
        <v>0</v>
      </c>
    </row>
    <row r="10" ht="30.0" customHeight="1">
      <c r="A10" s="33" t="s">
        <v>193</v>
      </c>
      <c r="B10" s="33" t="s">
        <v>198</v>
      </c>
      <c r="C10" s="33" t="s">
        <v>199</v>
      </c>
      <c r="D10" s="33" t="s">
        <v>201</v>
      </c>
      <c r="E10" s="33" t="s">
        <v>205</v>
      </c>
      <c r="F10" s="33" t="s">
        <v>91</v>
      </c>
      <c r="G10" s="33" t="s">
        <v>207</v>
      </c>
      <c r="H10" s="33" t="s">
        <v>208</v>
      </c>
      <c r="I10" s="33" t="s">
        <v>130</v>
      </c>
      <c r="J10" s="33" t="s">
        <v>207</v>
      </c>
      <c r="K10" s="33" t="s">
        <v>208</v>
      </c>
      <c r="L10" s="33" t="s">
        <v>153</v>
      </c>
      <c r="M10" s="33" t="s">
        <v>207</v>
      </c>
      <c r="N10" s="33" t="s">
        <v>208</v>
      </c>
      <c r="O10" s="33" t="s">
        <v>214</v>
      </c>
    </row>
    <row r="11" ht="24.75" customHeight="1">
      <c r="A11" s="34" t="s">
        <v>1791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</row>
    <row r="12" ht="99.75" customHeight="1">
      <c r="A12" s="21" t="s">
        <v>1792</v>
      </c>
      <c r="B12" s="21" t="s">
        <v>1793</v>
      </c>
      <c r="C12" s="21" t="s">
        <v>1794</v>
      </c>
      <c r="D12" s="21" t="s">
        <v>1795</v>
      </c>
      <c r="E12" s="21" t="s">
        <v>1796</v>
      </c>
      <c r="F12" s="21" t="s">
        <v>231</v>
      </c>
      <c r="G12" s="21"/>
      <c r="H12" s="21"/>
      <c r="I12" s="21"/>
      <c r="J12" s="21"/>
      <c r="K12" s="21"/>
      <c r="L12" s="21"/>
      <c r="M12" s="21"/>
      <c r="N12" s="21"/>
      <c r="O12" s="21" t="s">
        <v>1798</v>
      </c>
    </row>
    <row r="13" ht="99.75" customHeight="1">
      <c r="A13" s="21" t="s">
        <v>1799</v>
      </c>
      <c r="B13" s="21" t="s">
        <v>1800</v>
      </c>
      <c r="C13" s="21" t="s">
        <v>1801</v>
      </c>
      <c r="D13" s="21" t="s">
        <v>1802</v>
      </c>
      <c r="E13" s="21" t="s">
        <v>1796</v>
      </c>
      <c r="F13" s="21" t="s">
        <v>231</v>
      </c>
      <c r="G13" s="21"/>
      <c r="H13" s="21"/>
      <c r="I13" s="21"/>
      <c r="J13" s="21"/>
      <c r="K13" s="21"/>
      <c r="L13" s="21"/>
      <c r="M13" s="21"/>
      <c r="N13" s="21"/>
      <c r="O13" s="21" t="s">
        <v>1805</v>
      </c>
    </row>
    <row r="14" ht="99.75" customHeight="1">
      <c r="A14" s="21" t="s">
        <v>1808</v>
      </c>
      <c r="B14" s="21" t="s">
        <v>1809</v>
      </c>
      <c r="C14" s="21" t="s">
        <v>1810</v>
      </c>
      <c r="D14" s="21" t="s">
        <v>1811</v>
      </c>
      <c r="E14" s="21" t="s">
        <v>1796</v>
      </c>
      <c r="F14" s="21" t="s">
        <v>231</v>
      </c>
      <c r="G14" s="21"/>
      <c r="H14" s="21"/>
      <c r="I14" s="21"/>
      <c r="J14" s="21"/>
      <c r="K14" s="21"/>
      <c r="L14" s="21"/>
      <c r="M14" s="21"/>
      <c r="N14" s="21"/>
      <c r="O14" s="21" t="s">
        <v>1813</v>
      </c>
    </row>
    <row r="15" ht="99.75" customHeight="1">
      <c r="A15" s="21" t="s">
        <v>1814</v>
      </c>
      <c r="B15" s="21" t="s">
        <v>1816</v>
      </c>
      <c r="C15" s="21" t="s">
        <v>1818</v>
      </c>
      <c r="D15" s="21" t="s">
        <v>1819</v>
      </c>
      <c r="E15" s="21" t="s">
        <v>1796</v>
      </c>
      <c r="F15" s="21" t="s">
        <v>231</v>
      </c>
      <c r="G15" s="21"/>
      <c r="H15" s="21"/>
      <c r="I15" s="21"/>
      <c r="J15" s="21"/>
      <c r="K15" s="21"/>
      <c r="L15" s="21"/>
      <c r="M15" s="21"/>
      <c r="N15" s="21"/>
      <c r="O15" s="21" t="s">
        <v>1822</v>
      </c>
    </row>
    <row r="16" ht="99.75" customHeight="1">
      <c r="A16" s="21" t="s">
        <v>1823</v>
      </c>
      <c r="B16" s="21" t="s">
        <v>1824</v>
      </c>
      <c r="C16" s="21" t="s">
        <v>1825</v>
      </c>
      <c r="D16" s="21" t="s">
        <v>1827</v>
      </c>
      <c r="E16" s="21" t="s">
        <v>1796</v>
      </c>
      <c r="F16" s="21" t="s">
        <v>231</v>
      </c>
      <c r="G16" s="21"/>
      <c r="H16" s="21"/>
      <c r="I16" s="21"/>
      <c r="J16" s="21"/>
      <c r="K16" s="21"/>
      <c r="L16" s="21"/>
      <c r="M16" s="21"/>
      <c r="N16" s="21"/>
      <c r="O16" s="21" t="s">
        <v>1832</v>
      </c>
    </row>
    <row r="17" ht="99.75" customHeight="1">
      <c r="A17" s="21" t="s">
        <v>1833</v>
      </c>
      <c r="B17" s="21" t="s">
        <v>1834</v>
      </c>
      <c r="C17" s="21" t="s">
        <v>1835</v>
      </c>
      <c r="D17" s="21" t="s">
        <v>1836</v>
      </c>
      <c r="E17" s="21" t="s">
        <v>1796</v>
      </c>
      <c r="F17" s="21" t="s">
        <v>231</v>
      </c>
      <c r="G17" s="21"/>
      <c r="H17" s="21"/>
      <c r="I17" s="21"/>
      <c r="J17" s="21"/>
      <c r="K17" s="21"/>
      <c r="L17" s="21"/>
      <c r="M17" s="21"/>
      <c r="N17" s="21"/>
      <c r="O17" s="21" t="s">
        <v>1842</v>
      </c>
    </row>
    <row r="18" ht="99.75" customHeight="1">
      <c r="A18" s="21" t="s">
        <v>1843</v>
      </c>
      <c r="B18" s="21" t="s">
        <v>1844</v>
      </c>
      <c r="C18" s="21" t="s">
        <v>1845</v>
      </c>
      <c r="D18" s="21" t="s">
        <v>1847</v>
      </c>
      <c r="E18" s="21" t="s">
        <v>1796</v>
      </c>
      <c r="F18" s="21" t="s">
        <v>231</v>
      </c>
      <c r="G18" s="21"/>
      <c r="H18" s="21"/>
      <c r="I18" s="21"/>
      <c r="J18" s="21"/>
      <c r="K18" s="21"/>
      <c r="L18" s="21"/>
      <c r="M18" s="21"/>
      <c r="N18" s="21"/>
      <c r="O18" s="21" t="s">
        <v>1852</v>
      </c>
    </row>
    <row r="19" ht="99.75" customHeight="1">
      <c r="A19" s="21" t="s">
        <v>1853</v>
      </c>
      <c r="B19" s="21" t="s">
        <v>1854</v>
      </c>
      <c r="C19" s="21" t="s">
        <v>1855</v>
      </c>
      <c r="D19" s="21" t="s">
        <v>1856</v>
      </c>
      <c r="E19" s="21" t="s">
        <v>1796</v>
      </c>
      <c r="F19" s="21" t="s">
        <v>231</v>
      </c>
      <c r="G19" s="21"/>
      <c r="H19" s="21"/>
      <c r="I19" s="21"/>
      <c r="J19" s="21"/>
      <c r="K19" s="21"/>
      <c r="L19" s="21"/>
      <c r="M19" s="21"/>
      <c r="N19" s="21"/>
      <c r="O19" s="21" t="s">
        <v>1861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conditionalFormatting sqref="F12:F19">
    <cfRule type="expression" dxfId="0" priority="1">
      <formula>F12="Passed"</formula>
    </cfRule>
  </conditionalFormatting>
  <conditionalFormatting sqref="F12:F19">
    <cfRule type="expression" dxfId="1" priority="2">
      <formula>F12="Failed"</formula>
    </cfRule>
  </conditionalFormatting>
  <conditionalFormatting sqref="I12:I19">
    <cfRule type="expression" dxfId="0" priority="3">
      <formula>I12="Passed"</formula>
    </cfRule>
  </conditionalFormatting>
  <conditionalFormatting sqref="I12:I19">
    <cfRule type="expression" dxfId="1" priority="4">
      <formula>I12="Failed"</formula>
    </cfRule>
  </conditionalFormatting>
  <conditionalFormatting sqref="L12:L19">
    <cfRule type="expression" dxfId="0" priority="5">
      <formula>L12="Passed"</formula>
    </cfRule>
  </conditionalFormatting>
  <conditionalFormatting sqref="L12:L19">
    <cfRule type="expression" dxfId="1" priority="6">
      <formula>L12="Failed"</formula>
    </cfRule>
  </conditionalFormatting>
  <dataValidations>
    <dataValidation type="list" allowBlank="1" sqref="F12:F19 I12:I19 L12:L19">
      <formula1>"Not Run,Blocked,Passed,Failed,Pending,N/A"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/>
    <col customWidth="1" min="8" max="8" width="7.0"/>
    <col customWidth="1" min="9" max="9" width="9.38"/>
    <col customWidth="1" min="10" max="10" width="10.63"/>
    <col customWidth="1" min="11" max="11" width="7.0"/>
    <col customWidth="1" min="12" max="12" width="9.38"/>
    <col customWidth="1" min="13" max="13" width="10.63"/>
    <col customWidth="1" min="14" max="14" width="7.0"/>
    <col customWidth="1" min="15" max="15" width="28.63"/>
    <col customWidth="1" min="16" max="16" width="10.13"/>
    <col customWidth="1" min="17" max="17" width="8.13"/>
    <col customWidth="1" min="18" max="18" width="7.63"/>
    <col customWidth="1" min="19" max="26" width="8.63"/>
  </cols>
  <sheetData>
    <row r="2">
      <c r="A2" s="3" t="s">
        <v>3</v>
      </c>
      <c r="B2" s="7" t="s">
        <v>254</v>
      </c>
      <c r="C2" s="8"/>
      <c r="D2" s="8"/>
      <c r="E2" s="6"/>
      <c r="R2" s="12" t="s">
        <v>8</v>
      </c>
    </row>
    <row r="3" ht="45.0" customHeight="1">
      <c r="A3" s="3" t="s">
        <v>11</v>
      </c>
      <c r="B3" s="7" t="s">
        <v>1790</v>
      </c>
      <c r="C3" s="8"/>
      <c r="D3" s="8"/>
      <c r="E3" s="6"/>
      <c r="R3" s="18" t="s">
        <v>17</v>
      </c>
    </row>
    <row r="4" ht="22.5" customHeight="1">
      <c r="A4" s="3" t="s">
        <v>23</v>
      </c>
      <c r="B4" s="7">
        <f>COUNTA(A12:A31)</f>
        <v>20</v>
      </c>
      <c r="C4" s="8"/>
      <c r="D4" s="8"/>
      <c r="E4" s="6"/>
      <c r="R4" s="27" t="s">
        <v>62</v>
      </c>
    </row>
    <row r="5">
      <c r="A5" s="28" t="s">
        <v>71</v>
      </c>
      <c r="B5" s="28" t="s">
        <v>8</v>
      </c>
      <c r="C5" s="28" t="s">
        <v>17</v>
      </c>
      <c r="D5" s="28" t="s">
        <v>62</v>
      </c>
      <c r="E5" s="28" t="s">
        <v>77</v>
      </c>
      <c r="R5" s="31" t="s">
        <v>77</v>
      </c>
    </row>
    <row r="6">
      <c r="A6" s="29" t="s">
        <v>91</v>
      </c>
      <c r="B6" s="29">
        <f>COUNTIF(F12:F31,"Passed")+COUNTIF(F12:F31,"Pass")</f>
        <v>0</v>
      </c>
      <c r="C6" s="29">
        <f>COUNTIF(F12:F31,"Failed")+COUNTIF(F12:F31,"Fail")</f>
        <v>0</v>
      </c>
      <c r="D6" s="29">
        <f>COUNTIF(F12:F31,"Not Run")+COUNTIF(F12:F31,"Blocked")+COUNTIF(F12:F31,"Pending")+COUNTBLANK(F12:F31)</f>
        <v>20</v>
      </c>
      <c r="E6" s="29">
        <f>COUNTIF(F12:F31,"N/A")</f>
        <v>0</v>
      </c>
    </row>
    <row r="7">
      <c r="A7" s="29" t="s">
        <v>130</v>
      </c>
      <c r="B7" s="29">
        <f>COUNTIF(I12:I31,"Passed")+COUNTIF(I12:I31,"Pass")</f>
        <v>0</v>
      </c>
      <c r="C7" s="29">
        <f>COUNTIF(I12:I31,"Failed")+COUNTIF(I12:I31,"Fail")</f>
        <v>0</v>
      </c>
      <c r="D7" s="29">
        <f>COUNTIF(I12:I31,"Not Run")+COUNTIF(I12:I31,"Blocked")+COUNTIF(I12:I31,"Pending")</f>
        <v>0</v>
      </c>
      <c r="E7" s="29">
        <f>COUNTIF(I12:I31,"N/A")</f>
        <v>0</v>
      </c>
    </row>
    <row r="8">
      <c r="A8" s="29" t="s">
        <v>153</v>
      </c>
      <c r="B8" s="29">
        <f>COUNTIF(L12:L31,"Passed")+COUNTIF(L12:L31,"Pass")</f>
        <v>0</v>
      </c>
      <c r="C8" s="29">
        <f>COUNTIF(L12:L31,"Failed")+COUNTIF(L12:L31,"Fail")</f>
        <v>0</v>
      </c>
      <c r="D8" s="29">
        <f>COUNTIF(L12:L31,"Not Run")+COUNTIF(L12:L31,"Blocked")+COUNTIF(L12:L31,"Pending")</f>
        <v>0</v>
      </c>
      <c r="E8" s="29">
        <f>COUNTIF(L12:L31,"N/A")</f>
        <v>0</v>
      </c>
    </row>
    <row r="10" ht="30.0" customHeight="1">
      <c r="A10" s="33" t="s">
        <v>193</v>
      </c>
      <c r="B10" s="33" t="s">
        <v>198</v>
      </c>
      <c r="C10" s="33" t="s">
        <v>199</v>
      </c>
      <c r="D10" s="33" t="s">
        <v>201</v>
      </c>
      <c r="E10" s="33" t="s">
        <v>205</v>
      </c>
      <c r="F10" s="33" t="s">
        <v>91</v>
      </c>
      <c r="G10" s="33" t="s">
        <v>207</v>
      </c>
      <c r="H10" s="33" t="s">
        <v>208</v>
      </c>
      <c r="I10" s="33" t="s">
        <v>130</v>
      </c>
      <c r="J10" s="33" t="s">
        <v>207</v>
      </c>
      <c r="K10" s="33" t="s">
        <v>208</v>
      </c>
      <c r="L10" s="33" t="s">
        <v>153</v>
      </c>
      <c r="M10" s="33" t="s">
        <v>207</v>
      </c>
      <c r="N10" s="33" t="s">
        <v>208</v>
      </c>
      <c r="O10" s="33" t="s">
        <v>214</v>
      </c>
    </row>
    <row r="11" ht="24.75" customHeight="1">
      <c r="A11" s="34" t="s">
        <v>1797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</row>
    <row r="12" ht="99.75" customHeight="1">
      <c r="A12" s="21" t="s">
        <v>1803</v>
      </c>
      <c r="B12" s="21" t="s">
        <v>1804</v>
      </c>
      <c r="C12" s="21" t="s">
        <v>1806</v>
      </c>
      <c r="D12" s="21" t="s">
        <v>1807</v>
      </c>
      <c r="E12" s="21" t="s">
        <v>257</v>
      </c>
      <c r="F12" s="21" t="s">
        <v>231</v>
      </c>
      <c r="G12" s="21"/>
      <c r="H12" s="21"/>
      <c r="I12" s="21"/>
      <c r="J12" s="21"/>
      <c r="K12" s="21"/>
      <c r="L12" s="21"/>
      <c r="M12" s="21"/>
      <c r="N12" s="21"/>
      <c r="O12" s="21" t="s">
        <v>1812</v>
      </c>
    </row>
    <row r="13" ht="99.75" customHeight="1">
      <c r="A13" s="21" t="s">
        <v>1815</v>
      </c>
      <c r="B13" s="21" t="s">
        <v>1817</v>
      </c>
      <c r="C13" s="21" t="s">
        <v>1820</v>
      </c>
      <c r="D13" s="21" t="s">
        <v>1821</v>
      </c>
      <c r="E13" s="21" t="s">
        <v>257</v>
      </c>
      <c r="F13" s="21" t="s">
        <v>231</v>
      </c>
      <c r="G13" s="21"/>
      <c r="H13" s="21"/>
      <c r="I13" s="21"/>
      <c r="J13" s="21"/>
      <c r="K13" s="21"/>
      <c r="L13" s="21"/>
      <c r="M13" s="21"/>
      <c r="N13" s="21"/>
      <c r="O13" s="21" t="s">
        <v>1826</v>
      </c>
    </row>
    <row r="14" ht="99.75" customHeight="1">
      <c r="A14" s="21" t="s">
        <v>1828</v>
      </c>
      <c r="B14" s="21" t="s">
        <v>1829</v>
      </c>
      <c r="C14" s="21" t="s">
        <v>1830</v>
      </c>
      <c r="D14" s="21" t="s">
        <v>1831</v>
      </c>
      <c r="E14" s="21" t="s">
        <v>257</v>
      </c>
      <c r="F14" s="21" t="s">
        <v>231</v>
      </c>
      <c r="G14" s="21"/>
      <c r="H14" s="21"/>
      <c r="I14" s="21"/>
      <c r="J14" s="21"/>
      <c r="K14" s="21"/>
      <c r="L14" s="21"/>
      <c r="M14" s="21"/>
      <c r="N14" s="21"/>
      <c r="O14" s="21" t="s">
        <v>1837</v>
      </c>
    </row>
    <row r="15" ht="99.75" customHeight="1">
      <c r="A15" s="21" t="s">
        <v>1838</v>
      </c>
      <c r="B15" s="21" t="s">
        <v>1839</v>
      </c>
      <c r="C15" s="21" t="s">
        <v>1840</v>
      </c>
      <c r="D15" s="21" t="s">
        <v>1841</v>
      </c>
      <c r="E15" s="21" t="s">
        <v>257</v>
      </c>
      <c r="F15" s="21" t="s">
        <v>231</v>
      </c>
      <c r="G15" s="21"/>
      <c r="H15" s="21"/>
      <c r="I15" s="21"/>
      <c r="J15" s="21"/>
      <c r="K15" s="21"/>
      <c r="L15" s="21"/>
      <c r="M15" s="21"/>
      <c r="N15" s="21"/>
      <c r="O15" s="21" t="s">
        <v>1846</v>
      </c>
    </row>
    <row r="16" ht="99.75" customHeight="1">
      <c r="A16" s="21" t="s">
        <v>1848</v>
      </c>
      <c r="B16" s="21" t="s">
        <v>1849</v>
      </c>
      <c r="C16" s="21" t="s">
        <v>1850</v>
      </c>
      <c r="D16" s="21" t="s">
        <v>1851</v>
      </c>
      <c r="E16" s="21" t="s">
        <v>257</v>
      </c>
      <c r="F16" s="21" t="s">
        <v>231</v>
      </c>
      <c r="G16" s="21"/>
      <c r="H16" s="21"/>
      <c r="I16" s="21"/>
      <c r="J16" s="21"/>
      <c r="K16" s="21"/>
      <c r="L16" s="21"/>
      <c r="M16" s="21"/>
      <c r="N16" s="21"/>
      <c r="O16" s="21" t="s">
        <v>1857</v>
      </c>
    </row>
    <row r="17" ht="99.75" customHeight="1">
      <c r="A17" s="21" t="s">
        <v>1858</v>
      </c>
      <c r="B17" s="21" t="s">
        <v>1859</v>
      </c>
      <c r="C17" s="21" t="s">
        <v>1860</v>
      </c>
      <c r="D17" s="21" t="s">
        <v>1841</v>
      </c>
      <c r="E17" s="21" t="s">
        <v>257</v>
      </c>
      <c r="F17" s="21" t="s">
        <v>231</v>
      </c>
      <c r="G17" s="21"/>
      <c r="H17" s="21"/>
      <c r="I17" s="21"/>
      <c r="J17" s="21"/>
      <c r="K17" s="21"/>
      <c r="L17" s="21"/>
      <c r="M17" s="21"/>
      <c r="N17" s="21"/>
      <c r="O17" s="21" t="s">
        <v>1862</v>
      </c>
    </row>
    <row r="18" ht="99.75" customHeight="1">
      <c r="A18" s="21" t="s">
        <v>1863</v>
      </c>
      <c r="B18" s="21" t="s">
        <v>1864</v>
      </c>
      <c r="C18" s="21" t="s">
        <v>1865</v>
      </c>
      <c r="D18" s="21" t="s">
        <v>1866</v>
      </c>
      <c r="E18" s="21" t="s">
        <v>257</v>
      </c>
      <c r="F18" s="21" t="s">
        <v>231</v>
      </c>
      <c r="G18" s="21"/>
      <c r="H18" s="21"/>
      <c r="I18" s="21"/>
      <c r="J18" s="21"/>
      <c r="K18" s="21"/>
      <c r="L18" s="21"/>
      <c r="M18" s="21"/>
      <c r="N18" s="21"/>
      <c r="O18" s="21" t="s">
        <v>1867</v>
      </c>
    </row>
    <row r="19" ht="99.75" customHeight="1">
      <c r="A19" s="21" t="s">
        <v>1868</v>
      </c>
      <c r="B19" s="21" t="s">
        <v>1869</v>
      </c>
      <c r="C19" s="21" t="s">
        <v>1870</v>
      </c>
      <c r="D19" s="21" t="s">
        <v>1871</v>
      </c>
      <c r="E19" s="21" t="s">
        <v>257</v>
      </c>
      <c r="F19" s="21" t="s">
        <v>231</v>
      </c>
      <c r="G19" s="21"/>
      <c r="H19" s="21"/>
      <c r="I19" s="21"/>
      <c r="J19" s="21"/>
      <c r="K19" s="21"/>
      <c r="L19" s="21"/>
      <c r="M19" s="21"/>
      <c r="N19" s="21"/>
      <c r="O19" s="21" t="s">
        <v>1872</v>
      </c>
    </row>
    <row r="20" ht="99.75" customHeight="1">
      <c r="A20" s="21" t="s">
        <v>1873</v>
      </c>
      <c r="B20" s="21" t="s">
        <v>1874</v>
      </c>
      <c r="C20" s="21" t="s">
        <v>1875</v>
      </c>
      <c r="D20" s="21" t="s">
        <v>1876</v>
      </c>
      <c r="E20" s="21" t="s">
        <v>257</v>
      </c>
      <c r="F20" s="21" t="s">
        <v>231</v>
      </c>
      <c r="G20" s="21"/>
      <c r="H20" s="21"/>
      <c r="I20" s="21"/>
      <c r="J20" s="21"/>
      <c r="K20" s="21"/>
      <c r="L20" s="21"/>
      <c r="M20" s="21"/>
      <c r="N20" s="21"/>
      <c r="O20" s="21" t="s">
        <v>1877</v>
      </c>
    </row>
    <row r="21" ht="99.75" customHeight="1">
      <c r="A21" s="21" t="s">
        <v>1878</v>
      </c>
      <c r="B21" s="21" t="s">
        <v>1879</v>
      </c>
      <c r="C21" s="21" t="s">
        <v>1880</v>
      </c>
      <c r="D21" s="21" t="s">
        <v>1881</v>
      </c>
      <c r="E21" s="21" t="s">
        <v>257</v>
      </c>
      <c r="F21" s="21" t="s">
        <v>231</v>
      </c>
      <c r="G21" s="21"/>
      <c r="H21" s="21"/>
      <c r="I21" s="21"/>
      <c r="J21" s="21"/>
      <c r="K21" s="21"/>
      <c r="L21" s="21"/>
      <c r="M21" s="21"/>
      <c r="N21" s="21"/>
      <c r="O21" s="21" t="s">
        <v>1882</v>
      </c>
    </row>
    <row r="22" ht="99.75" customHeight="1">
      <c r="A22" s="21" t="s">
        <v>1883</v>
      </c>
      <c r="B22" s="21" t="s">
        <v>1884</v>
      </c>
      <c r="C22" s="21" t="s">
        <v>1885</v>
      </c>
      <c r="D22" s="21" t="s">
        <v>1886</v>
      </c>
      <c r="E22" s="21" t="s">
        <v>257</v>
      </c>
      <c r="F22" s="21" t="s">
        <v>231</v>
      </c>
      <c r="G22" s="21"/>
      <c r="H22" s="21"/>
      <c r="I22" s="21"/>
      <c r="J22" s="21"/>
      <c r="K22" s="21"/>
      <c r="L22" s="21"/>
      <c r="M22" s="21"/>
      <c r="N22" s="21"/>
      <c r="O22" s="21" t="s">
        <v>1888</v>
      </c>
    </row>
    <row r="23" ht="99.75" customHeight="1">
      <c r="A23" s="21" t="s">
        <v>1889</v>
      </c>
      <c r="B23" s="21" t="s">
        <v>1890</v>
      </c>
      <c r="C23" s="21" t="s">
        <v>1891</v>
      </c>
      <c r="D23" s="21" t="s">
        <v>1892</v>
      </c>
      <c r="E23" s="21" t="s">
        <v>257</v>
      </c>
      <c r="F23" s="21" t="s">
        <v>231</v>
      </c>
      <c r="G23" s="21"/>
      <c r="H23" s="21"/>
      <c r="I23" s="21"/>
      <c r="J23" s="21"/>
      <c r="K23" s="21"/>
      <c r="L23" s="21"/>
      <c r="M23" s="21"/>
      <c r="N23" s="21"/>
      <c r="O23" s="21" t="s">
        <v>1893</v>
      </c>
    </row>
    <row r="24" ht="99.75" customHeight="1">
      <c r="A24" s="21" t="s">
        <v>1894</v>
      </c>
      <c r="B24" s="21" t="s">
        <v>1895</v>
      </c>
      <c r="C24" s="21" t="s">
        <v>1896</v>
      </c>
      <c r="D24" s="21" t="s">
        <v>1897</v>
      </c>
      <c r="E24" s="21" t="s">
        <v>257</v>
      </c>
      <c r="F24" s="21" t="s">
        <v>231</v>
      </c>
      <c r="G24" s="21"/>
      <c r="H24" s="21"/>
      <c r="I24" s="21"/>
      <c r="J24" s="21"/>
      <c r="K24" s="21"/>
      <c r="L24" s="21"/>
      <c r="M24" s="21"/>
      <c r="N24" s="21"/>
      <c r="O24" s="21" t="s">
        <v>1898</v>
      </c>
    </row>
    <row r="25" ht="99.75" customHeight="1">
      <c r="A25" s="21" t="s">
        <v>1899</v>
      </c>
      <c r="B25" s="21" t="s">
        <v>1900</v>
      </c>
      <c r="C25" s="21" t="s">
        <v>1901</v>
      </c>
      <c r="D25" s="21" t="s">
        <v>1902</v>
      </c>
      <c r="E25" s="21" t="s">
        <v>257</v>
      </c>
      <c r="F25" s="21" t="s">
        <v>231</v>
      </c>
      <c r="G25" s="21"/>
      <c r="H25" s="21"/>
      <c r="I25" s="21"/>
      <c r="J25" s="21"/>
      <c r="K25" s="21"/>
      <c r="L25" s="21"/>
      <c r="M25" s="21"/>
      <c r="N25" s="21"/>
      <c r="O25" s="21" t="s">
        <v>1903</v>
      </c>
    </row>
    <row r="26" ht="99.75" customHeight="1">
      <c r="A26" s="21" t="s">
        <v>1904</v>
      </c>
      <c r="B26" s="21" t="s">
        <v>1905</v>
      </c>
      <c r="C26" s="21" t="s">
        <v>1906</v>
      </c>
      <c r="D26" s="21" t="s">
        <v>1907</v>
      </c>
      <c r="E26" s="21" t="s">
        <v>257</v>
      </c>
      <c r="F26" s="21" t="s">
        <v>231</v>
      </c>
      <c r="G26" s="21"/>
      <c r="H26" s="21"/>
      <c r="I26" s="21"/>
      <c r="J26" s="21"/>
      <c r="K26" s="21"/>
      <c r="L26" s="21"/>
      <c r="M26" s="21"/>
      <c r="N26" s="21"/>
      <c r="O26" s="21" t="s">
        <v>1908</v>
      </c>
    </row>
    <row r="27" ht="99.75" customHeight="1">
      <c r="A27" s="21" t="s">
        <v>1909</v>
      </c>
      <c r="B27" s="21" t="s">
        <v>1910</v>
      </c>
      <c r="C27" s="21" t="s">
        <v>1911</v>
      </c>
      <c r="D27" s="21" t="s">
        <v>1912</v>
      </c>
      <c r="E27" s="21" t="s">
        <v>257</v>
      </c>
      <c r="F27" s="21" t="s">
        <v>231</v>
      </c>
      <c r="G27" s="21"/>
      <c r="H27" s="21"/>
      <c r="I27" s="21"/>
      <c r="J27" s="21"/>
      <c r="K27" s="21"/>
      <c r="L27" s="21"/>
      <c r="M27" s="21"/>
      <c r="N27" s="21"/>
      <c r="O27" s="21" t="s">
        <v>1913</v>
      </c>
    </row>
    <row r="28" ht="99.75" customHeight="1">
      <c r="A28" s="21" t="s">
        <v>1914</v>
      </c>
      <c r="B28" s="21" t="s">
        <v>1915</v>
      </c>
      <c r="C28" s="21" t="s">
        <v>1916</v>
      </c>
      <c r="D28" s="21" t="s">
        <v>1917</v>
      </c>
      <c r="E28" s="21" t="s">
        <v>257</v>
      </c>
      <c r="F28" s="21" t="s">
        <v>231</v>
      </c>
      <c r="G28" s="21"/>
      <c r="H28" s="21"/>
      <c r="I28" s="21"/>
      <c r="J28" s="21"/>
      <c r="K28" s="21"/>
      <c r="L28" s="21"/>
      <c r="M28" s="21"/>
      <c r="N28" s="21"/>
      <c r="O28" s="21" t="s">
        <v>1918</v>
      </c>
    </row>
    <row r="29" ht="99.75" customHeight="1">
      <c r="A29" s="21" t="s">
        <v>1919</v>
      </c>
      <c r="B29" s="21" t="s">
        <v>1920</v>
      </c>
      <c r="C29" s="21" t="s">
        <v>1921</v>
      </c>
      <c r="D29" s="21" t="s">
        <v>1922</v>
      </c>
      <c r="E29" s="21" t="s">
        <v>257</v>
      </c>
      <c r="F29" s="21" t="s">
        <v>231</v>
      </c>
      <c r="G29" s="21"/>
      <c r="H29" s="21"/>
      <c r="I29" s="21"/>
      <c r="J29" s="21"/>
      <c r="K29" s="21"/>
      <c r="L29" s="21"/>
      <c r="M29" s="21"/>
      <c r="N29" s="21"/>
      <c r="O29" s="21" t="s">
        <v>1923</v>
      </c>
    </row>
    <row r="30" ht="99.75" customHeight="1">
      <c r="A30" s="21" t="s">
        <v>1924</v>
      </c>
      <c r="B30" s="21" t="s">
        <v>1925</v>
      </c>
      <c r="C30" s="21" t="s">
        <v>1926</v>
      </c>
      <c r="D30" s="21" t="s">
        <v>1927</v>
      </c>
      <c r="E30" s="21" t="s">
        <v>257</v>
      </c>
      <c r="F30" s="21" t="s">
        <v>231</v>
      </c>
      <c r="G30" s="21"/>
      <c r="H30" s="21"/>
      <c r="I30" s="21"/>
      <c r="J30" s="21"/>
      <c r="K30" s="21"/>
      <c r="L30" s="21"/>
      <c r="M30" s="21"/>
      <c r="N30" s="21"/>
      <c r="O30" s="21" t="s">
        <v>1928</v>
      </c>
    </row>
    <row r="31" ht="99.75" customHeight="1">
      <c r="A31" s="21" t="s">
        <v>1929</v>
      </c>
      <c r="B31" s="21" t="s">
        <v>1930</v>
      </c>
      <c r="C31" s="21" t="s">
        <v>1931</v>
      </c>
      <c r="D31" s="21" t="s">
        <v>1932</v>
      </c>
      <c r="E31" s="21" t="s">
        <v>257</v>
      </c>
      <c r="F31" s="21" t="s">
        <v>231</v>
      </c>
      <c r="G31" s="21"/>
      <c r="H31" s="21"/>
      <c r="I31" s="21"/>
      <c r="J31" s="21"/>
      <c r="K31" s="21"/>
      <c r="L31" s="21"/>
      <c r="M31" s="21"/>
      <c r="N31" s="21"/>
      <c r="O31" s="21" t="s">
        <v>1933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conditionalFormatting sqref="F12:F31">
    <cfRule type="expression" dxfId="0" priority="1">
      <formula>F12="Passed"</formula>
    </cfRule>
  </conditionalFormatting>
  <conditionalFormatting sqref="F12:F31">
    <cfRule type="expression" dxfId="1" priority="2">
      <formula>F12="Failed"</formula>
    </cfRule>
  </conditionalFormatting>
  <conditionalFormatting sqref="I12:I31">
    <cfRule type="expression" dxfId="0" priority="3">
      <formula>I12="Passed"</formula>
    </cfRule>
  </conditionalFormatting>
  <conditionalFormatting sqref="I12:I31">
    <cfRule type="expression" dxfId="1" priority="4">
      <formula>I12="Failed"</formula>
    </cfRule>
  </conditionalFormatting>
  <conditionalFormatting sqref="L12:L31">
    <cfRule type="expression" dxfId="0" priority="5">
      <formula>L12="Passed"</formula>
    </cfRule>
  </conditionalFormatting>
  <conditionalFormatting sqref="L12:L31">
    <cfRule type="expression" dxfId="1" priority="6">
      <formula>L12="Failed"</formula>
    </cfRule>
  </conditionalFormatting>
  <dataValidations>
    <dataValidation type="list" allowBlank="1" sqref="F12:F31 I12:I31 L12:L31">
      <formula1>"Not Run,Blocked,Passed,Failed,Pending,N/A"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/>
    <col customWidth="1" min="8" max="8" width="7.0"/>
    <col customWidth="1" min="9" max="9" width="9.38"/>
    <col customWidth="1" min="10" max="10" width="10.63"/>
    <col customWidth="1" min="11" max="11" width="7.0"/>
    <col customWidth="1" min="12" max="12" width="9.38"/>
    <col customWidth="1" min="13" max="13" width="10.63"/>
    <col customWidth="1" min="14" max="14" width="7.0"/>
    <col customWidth="1" min="15" max="15" width="28.63"/>
    <col customWidth="1" min="16" max="16" width="10.13"/>
    <col customWidth="1" min="17" max="17" width="8.13"/>
    <col customWidth="1" min="18" max="18" width="7.63"/>
    <col customWidth="1" min="19" max="26" width="8.63"/>
  </cols>
  <sheetData>
    <row r="2">
      <c r="A2" s="3" t="s">
        <v>3</v>
      </c>
      <c r="B2" s="7" t="s">
        <v>317</v>
      </c>
      <c r="C2" s="8"/>
      <c r="D2" s="8"/>
      <c r="E2" s="6"/>
      <c r="R2" s="12" t="s">
        <v>8</v>
      </c>
    </row>
    <row r="3" ht="45.0" customHeight="1">
      <c r="A3" s="3" t="s">
        <v>11</v>
      </c>
      <c r="B3" s="7" t="s">
        <v>1887</v>
      </c>
      <c r="C3" s="8"/>
      <c r="D3" s="8"/>
      <c r="E3" s="6"/>
      <c r="R3" s="18" t="s">
        <v>17</v>
      </c>
    </row>
    <row r="4" ht="22.5" customHeight="1">
      <c r="A4" s="3" t="s">
        <v>23</v>
      </c>
      <c r="B4" s="7">
        <f>COUNTA(A12:A31)</f>
        <v>20</v>
      </c>
      <c r="C4" s="8"/>
      <c r="D4" s="8"/>
      <c r="E4" s="6"/>
      <c r="R4" s="27" t="s">
        <v>62</v>
      </c>
    </row>
    <row r="5">
      <c r="A5" s="28" t="s">
        <v>71</v>
      </c>
      <c r="B5" s="28" t="s">
        <v>8</v>
      </c>
      <c r="C5" s="28" t="s">
        <v>17</v>
      </c>
      <c r="D5" s="28" t="s">
        <v>62</v>
      </c>
      <c r="E5" s="28" t="s">
        <v>77</v>
      </c>
      <c r="R5" s="31" t="s">
        <v>77</v>
      </c>
    </row>
    <row r="6">
      <c r="A6" s="29" t="s">
        <v>91</v>
      </c>
      <c r="B6" s="29">
        <f>COUNTIF(F12:F31,"Passed")+COUNTIF(F12:F31,"Pass")</f>
        <v>0</v>
      </c>
      <c r="C6" s="29">
        <f>COUNTIF(F12:F31,"Failed")+COUNTIF(F12:F31,"Fail")</f>
        <v>0</v>
      </c>
      <c r="D6" s="29">
        <f>COUNTIF(F12:F31,"Not Run")+COUNTIF(F12:F31,"Blocked")+COUNTIF(F12:F31,"Pending")+COUNTBLANK(F12:F31)</f>
        <v>20</v>
      </c>
      <c r="E6" s="29">
        <f>COUNTIF(F12:F31,"N/A")</f>
        <v>0</v>
      </c>
    </row>
    <row r="7">
      <c r="A7" s="29" t="s">
        <v>130</v>
      </c>
      <c r="B7" s="29">
        <f>COUNTIF(I12:I31,"Passed")+COUNTIF(I12:I31,"Pass")</f>
        <v>0</v>
      </c>
      <c r="C7" s="29">
        <f>COUNTIF(I12:I31,"Failed")+COUNTIF(I12:I31,"Fail")</f>
        <v>0</v>
      </c>
      <c r="D7" s="29">
        <f>COUNTIF(I12:I31,"Not Run")+COUNTIF(I12:I31,"Blocked")+COUNTIF(I12:I31,"Pending")</f>
        <v>0</v>
      </c>
      <c r="E7" s="29">
        <f>COUNTIF(I12:I31,"N/A")</f>
        <v>0</v>
      </c>
    </row>
    <row r="8">
      <c r="A8" s="29" t="s">
        <v>153</v>
      </c>
      <c r="B8" s="29">
        <f>COUNTIF(L12:L31,"Passed")+COUNTIF(L12:L31,"Pass")</f>
        <v>0</v>
      </c>
      <c r="C8" s="29">
        <f>COUNTIF(L12:L31,"Failed")+COUNTIF(L12:L31,"Fail")</f>
        <v>0</v>
      </c>
      <c r="D8" s="29">
        <f>COUNTIF(L12:L31,"Not Run")+COUNTIF(L12:L31,"Blocked")+COUNTIF(L12:L31,"Pending")</f>
        <v>0</v>
      </c>
      <c r="E8" s="29">
        <f>COUNTIF(L12:L31,"N/A")</f>
        <v>0</v>
      </c>
    </row>
    <row r="10" ht="30.0" customHeight="1">
      <c r="A10" s="33" t="s">
        <v>193</v>
      </c>
      <c r="B10" s="33" t="s">
        <v>198</v>
      </c>
      <c r="C10" s="33" t="s">
        <v>199</v>
      </c>
      <c r="D10" s="33" t="s">
        <v>201</v>
      </c>
      <c r="E10" s="33" t="s">
        <v>205</v>
      </c>
      <c r="F10" s="33" t="s">
        <v>91</v>
      </c>
      <c r="G10" s="33" t="s">
        <v>207</v>
      </c>
      <c r="H10" s="33" t="s">
        <v>208</v>
      </c>
      <c r="I10" s="33" t="s">
        <v>130</v>
      </c>
      <c r="J10" s="33" t="s">
        <v>207</v>
      </c>
      <c r="K10" s="33" t="s">
        <v>208</v>
      </c>
      <c r="L10" s="33" t="s">
        <v>153</v>
      </c>
      <c r="M10" s="33" t="s">
        <v>207</v>
      </c>
      <c r="N10" s="33" t="s">
        <v>208</v>
      </c>
      <c r="O10" s="33" t="s">
        <v>214</v>
      </c>
    </row>
    <row r="11" ht="24.75" customHeight="1">
      <c r="A11" s="34" t="s">
        <v>1934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</row>
    <row r="12" ht="99.75" customHeight="1">
      <c r="A12" s="21" t="s">
        <v>1935</v>
      </c>
      <c r="B12" s="21" t="s">
        <v>1936</v>
      </c>
      <c r="C12" s="21" t="s">
        <v>1937</v>
      </c>
      <c r="D12" s="21" t="s">
        <v>1938</v>
      </c>
      <c r="E12" s="21" t="s">
        <v>320</v>
      </c>
      <c r="F12" s="21" t="s">
        <v>231</v>
      </c>
      <c r="G12" s="21"/>
      <c r="H12" s="21"/>
      <c r="I12" s="21"/>
      <c r="J12" s="21"/>
      <c r="K12" s="21"/>
      <c r="L12" s="21"/>
      <c r="M12" s="21"/>
      <c r="N12" s="21"/>
      <c r="O12" s="21" t="s">
        <v>1939</v>
      </c>
    </row>
    <row r="13" ht="99.75" customHeight="1">
      <c r="A13" s="21" t="s">
        <v>1940</v>
      </c>
      <c r="B13" s="21" t="s">
        <v>1941</v>
      </c>
      <c r="C13" s="21" t="s">
        <v>1942</v>
      </c>
      <c r="D13" s="21" t="s">
        <v>1943</v>
      </c>
      <c r="E13" s="21" t="s">
        <v>320</v>
      </c>
      <c r="F13" s="21" t="s">
        <v>231</v>
      </c>
      <c r="G13" s="21"/>
      <c r="H13" s="21"/>
      <c r="I13" s="21"/>
      <c r="J13" s="21"/>
      <c r="K13" s="21"/>
      <c r="L13" s="21"/>
      <c r="M13" s="21"/>
      <c r="N13" s="21"/>
      <c r="O13" s="21" t="s">
        <v>1944</v>
      </c>
    </row>
    <row r="14" ht="99.75" customHeight="1">
      <c r="A14" s="21" t="s">
        <v>1945</v>
      </c>
      <c r="B14" s="21" t="s">
        <v>1946</v>
      </c>
      <c r="C14" s="21" t="s">
        <v>1947</v>
      </c>
      <c r="D14" s="21" t="s">
        <v>1948</v>
      </c>
      <c r="E14" s="21" t="s">
        <v>320</v>
      </c>
      <c r="F14" s="21" t="s">
        <v>231</v>
      </c>
      <c r="G14" s="21"/>
      <c r="H14" s="21"/>
      <c r="I14" s="21"/>
      <c r="J14" s="21"/>
      <c r="K14" s="21"/>
      <c r="L14" s="21"/>
      <c r="M14" s="21"/>
      <c r="N14" s="21"/>
      <c r="O14" s="21" t="s">
        <v>1949</v>
      </c>
    </row>
    <row r="15" ht="99.75" customHeight="1">
      <c r="A15" s="21" t="s">
        <v>1950</v>
      </c>
      <c r="B15" s="21" t="s">
        <v>1951</v>
      </c>
      <c r="C15" s="21" t="s">
        <v>1952</v>
      </c>
      <c r="D15" s="21" t="s">
        <v>1953</v>
      </c>
      <c r="E15" s="21" t="s">
        <v>320</v>
      </c>
      <c r="F15" s="21" t="s">
        <v>231</v>
      </c>
      <c r="G15" s="21"/>
      <c r="H15" s="21"/>
      <c r="I15" s="21"/>
      <c r="J15" s="21"/>
      <c r="K15" s="21"/>
      <c r="L15" s="21"/>
      <c r="M15" s="21"/>
      <c r="N15" s="21"/>
      <c r="O15" s="21" t="s">
        <v>1954</v>
      </c>
    </row>
    <row r="16" ht="99.75" customHeight="1">
      <c r="A16" s="21" t="s">
        <v>1955</v>
      </c>
      <c r="B16" s="21" t="s">
        <v>1956</v>
      </c>
      <c r="C16" s="21" t="s">
        <v>1957</v>
      </c>
      <c r="D16" s="21" t="s">
        <v>1958</v>
      </c>
      <c r="E16" s="21" t="s">
        <v>320</v>
      </c>
      <c r="F16" s="21" t="s">
        <v>231</v>
      </c>
      <c r="G16" s="21"/>
      <c r="H16" s="21"/>
      <c r="I16" s="21"/>
      <c r="J16" s="21"/>
      <c r="K16" s="21"/>
      <c r="L16" s="21"/>
      <c r="M16" s="21"/>
      <c r="N16" s="21"/>
      <c r="O16" s="21" t="s">
        <v>1959</v>
      </c>
    </row>
    <row r="17" ht="99.75" customHeight="1">
      <c r="A17" s="21" t="s">
        <v>1960</v>
      </c>
      <c r="B17" s="21" t="s">
        <v>1961</v>
      </c>
      <c r="C17" s="21" t="s">
        <v>1962</v>
      </c>
      <c r="D17" s="21" t="s">
        <v>1963</v>
      </c>
      <c r="E17" s="21" t="s">
        <v>320</v>
      </c>
      <c r="F17" s="21" t="s">
        <v>231</v>
      </c>
      <c r="G17" s="21"/>
      <c r="H17" s="21"/>
      <c r="I17" s="21"/>
      <c r="J17" s="21"/>
      <c r="K17" s="21"/>
      <c r="L17" s="21"/>
      <c r="M17" s="21"/>
      <c r="N17" s="21"/>
      <c r="O17" s="21" t="s">
        <v>1964</v>
      </c>
    </row>
    <row r="18" ht="99.75" customHeight="1">
      <c r="A18" s="21" t="s">
        <v>1965</v>
      </c>
      <c r="B18" s="21" t="s">
        <v>1966</v>
      </c>
      <c r="C18" s="21" t="s">
        <v>1967</v>
      </c>
      <c r="D18" s="21" t="s">
        <v>1968</v>
      </c>
      <c r="E18" s="21" t="s">
        <v>320</v>
      </c>
      <c r="F18" s="21" t="s">
        <v>231</v>
      </c>
      <c r="G18" s="21"/>
      <c r="H18" s="21"/>
      <c r="I18" s="21"/>
      <c r="J18" s="21"/>
      <c r="K18" s="21"/>
      <c r="L18" s="21"/>
      <c r="M18" s="21"/>
      <c r="N18" s="21"/>
      <c r="O18" s="21" t="s">
        <v>1969</v>
      </c>
    </row>
    <row r="19" ht="99.75" customHeight="1">
      <c r="A19" s="21" t="s">
        <v>1970</v>
      </c>
      <c r="B19" s="21" t="s">
        <v>1971</v>
      </c>
      <c r="C19" s="21" t="s">
        <v>1972</v>
      </c>
      <c r="D19" s="21" t="s">
        <v>1973</v>
      </c>
      <c r="E19" s="21" t="s">
        <v>320</v>
      </c>
      <c r="F19" s="21" t="s">
        <v>231</v>
      </c>
      <c r="G19" s="21"/>
      <c r="H19" s="21"/>
      <c r="I19" s="21"/>
      <c r="J19" s="21"/>
      <c r="K19" s="21"/>
      <c r="L19" s="21"/>
      <c r="M19" s="21"/>
      <c r="N19" s="21"/>
      <c r="O19" s="21" t="s">
        <v>1974</v>
      </c>
    </row>
    <row r="20" ht="99.75" customHeight="1">
      <c r="A20" s="21" t="s">
        <v>1975</v>
      </c>
      <c r="B20" s="21" t="s">
        <v>1976</v>
      </c>
      <c r="C20" s="21" t="s">
        <v>1977</v>
      </c>
      <c r="D20" s="21" t="s">
        <v>1978</v>
      </c>
      <c r="E20" s="21" t="s">
        <v>320</v>
      </c>
      <c r="F20" s="21" t="s">
        <v>231</v>
      </c>
      <c r="G20" s="21"/>
      <c r="H20" s="21"/>
      <c r="I20" s="21"/>
      <c r="J20" s="21"/>
      <c r="K20" s="21"/>
      <c r="L20" s="21"/>
      <c r="M20" s="21"/>
      <c r="N20" s="21"/>
      <c r="O20" s="21" t="s">
        <v>1979</v>
      </c>
    </row>
    <row r="21" ht="99.75" customHeight="1">
      <c r="A21" s="21" t="s">
        <v>1980</v>
      </c>
      <c r="B21" s="21" t="s">
        <v>1981</v>
      </c>
      <c r="C21" s="21" t="s">
        <v>1982</v>
      </c>
      <c r="D21" s="21" t="s">
        <v>1983</v>
      </c>
      <c r="E21" s="21" t="s">
        <v>320</v>
      </c>
      <c r="F21" s="21" t="s">
        <v>231</v>
      </c>
      <c r="G21" s="21"/>
      <c r="H21" s="21"/>
      <c r="I21" s="21"/>
      <c r="J21" s="21"/>
      <c r="K21" s="21"/>
      <c r="L21" s="21"/>
      <c r="M21" s="21"/>
      <c r="N21" s="21"/>
      <c r="O21" s="21" t="s">
        <v>1984</v>
      </c>
    </row>
    <row r="22" ht="99.75" customHeight="1">
      <c r="A22" s="21" t="s">
        <v>1985</v>
      </c>
      <c r="B22" s="21" t="s">
        <v>1986</v>
      </c>
      <c r="C22" s="21" t="s">
        <v>1987</v>
      </c>
      <c r="D22" s="21" t="s">
        <v>1988</v>
      </c>
      <c r="E22" s="21" t="s">
        <v>320</v>
      </c>
      <c r="F22" s="21" t="s">
        <v>231</v>
      </c>
      <c r="G22" s="21"/>
      <c r="H22" s="21"/>
      <c r="I22" s="21"/>
      <c r="J22" s="21"/>
      <c r="K22" s="21"/>
      <c r="L22" s="21"/>
      <c r="M22" s="21"/>
      <c r="N22" s="21"/>
      <c r="O22" s="21" t="s">
        <v>1989</v>
      </c>
    </row>
    <row r="23" ht="99.75" customHeight="1">
      <c r="A23" s="21" t="s">
        <v>1990</v>
      </c>
      <c r="B23" s="21" t="s">
        <v>1991</v>
      </c>
      <c r="C23" s="21" t="s">
        <v>1992</v>
      </c>
      <c r="D23" s="21" t="s">
        <v>1993</v>
      </c>
      <c r="E23" s="21" t="s">
        <v>320</v>
      </c>
      <c r="F23" s="21" t="s">
        <v>231</v>
      </c>
      <c r="G23" s="21"/>
      <c r="H23" s="21"/>
      <c r="I23" s="21"/>
      <c r="J23" s="21"/>
      <c r="K23" s="21"/>
      <c r="L23" s="21"/>
      <c r="M23" s="21"/>
      <c r="N23" s="21"/>
      <c r="O23" s="21" t="s">
        <v>1994</v>
      </c>
    </row>
    <row r="24" ht="99.75" customHeight="1">
      <c r="A24" s="21" t="s">
        <v>1995</v>
      </c>
      <c r="B24" s="21" t="s">
        <v>1996</v>
      </c>
      <c r="C24" s="21" t="s">
        <v>1997</v>
      </c>
      <c r="D24" s="21" t="s">
        <v>1998</v>
      </c>
      <c r="E24" s="21" t="s">
        <v>1999</v>
      </c>
      <c r="F24" s="21" t="s">
        <v>231</v>
      </c>
      <c r="G24" s="21"/>
      <c r="H24" s="21"/>
      <c r="I24" s="21"/>
      <c r="J24" s="21"/>
      <c r="K24" s="21"/>
      <c r="L24" s="21"/>
      <c r="M24" s="21"/>
      <c r="N24" s="21"/>
      <c r="O24" s="21" t="s">
        <v>2000</v>
      </c>
    </row>
    <row r="25" ht="99.75" customHeight="1">
      <c r="A25" s="21" t="s">
        <v>2001</v>
      </c>
      <c r="B25" s="21" t="s">
        <v>2002</v>
      </c>
      <c r="C25" s="21" t="s">
        <v>2003</v>
      </c>
      <c r="D25" s="21" t="s">
        <v>2004</v>
      </c>
      <c r="E25" s="21" t="s">
        <v>2005</v>
      </c>
      <c r="F25" s="21" t="s">
        <v>231</v>
      </c>
      <c r="G25" s="21"/>
      <c r="H25" s="21"/>
      <c r="I25" s="21"/>
      <c r="J25" s="21"/>
      <c r="K25" s="21"/>
      <c r="L25" s="21"/>
      <c r="M25" s="21"/>
      <c r="N25" s="21"/>
      <c r="O25" s="21" t="s">
        <v>2006</v>
      </c>
    </row>
    <row r="26" ht="99.75" customHeight="1">
      <c r="A26" s="21" t="s">
        <v>2007</v>
      </c>
      <c r="B26" s="21" t="s">
        <v>2008</v>
      </c>
      <c r="C26" s="21" t="s">
        <v>2009</v>
      </c>
      <c r="D26" s="21" t="s">
        <v>2010</v>
      </c>
      <c r="E26" s="21" t="s">
        <v>2011</v>
      </c>
      <c r="F26" s="21" t="s">
        <v>231</v>
      </c>
      <c r="G26" s="21"/>
      <c r="H26" s="21"/>
      <c r="I26" s="21"/>
      <c r="J26" s="21"/>
      <c r="K26" s="21"/>
      <c r="L26" s="21"/>
      <c r="M26" s="21"/>
      <c r="N26" s="21"/>
      <c r="O26" s="21" t="s">
        <v>2012</v>
      </c>
    </row>
    <row r="27" ht="99.75" customHeight="1">
      <c r="A27" s="21" t="s">
        <v>2013</v>
      </c>
      <c r="B27" s="21" t="s">
        <v>2014</v>
      </c>
      <c r="C27" s="21" t="s">
        <v>2015</v>
      </c>
      <c r="D27" s="21" t="s">
        <v>2016</v>
      </c>
      <c r="E27" s="21" t="s">
        <v>2017</v>
      </c>
      <c r="F27" s="21" t="s">
        <v>231</v>
      </c>
      <c r="G27" s="21"/>
      <c r="H27" s="21"/>
      <c r="I27" s="21"/>
      <c r="J27" s="21"/>
      <c r="K27" s="21"/>
      <c r="L27" s="21"/>
      <c r="M27" s="21"/>
      <c r="N27" s="21"/>
      <c r="O27" s="21" t="s">
        <v>2018</v>
      </c>
    </row>
    <row r="28" ht="99.75" customHeight="1">
      <c r="A28" s="21" t="s">
        <v>2019</v>
      </c>
      <c r="B28" s="21" t="s">
        <v>2020</v>
      </c>
      <c r="C28" s="21" t="s">
        <v>2021</v>
      </c>
      <c r="D28" s="21" t="s">
        <v>2022</v>
      </c>
      <c r="E28" s="21" t="s">
        <v>2023</v>
      </c>
      <c r="F28" s="21" t="s">
        <v>231</v>
      </c>
      <c r="G28" s="21"/>
      <c r="H28" s="21"/>
      <c r="I28" s="21"/>
      <c r="J28" s="21"/>
      <c r="K28" s="21"/>
      <c r="L28" s="21"/>
      <c r="M28" s="21"/>
      <c r="N28" s="21"/>
      <c r="O28" s="21" t="s">
        <v>2024</v>
      </c>
    </row>
    <row r="29" ht="99.75" customHeight="1">
      <c r="A29" s="21" t="s">
        <v>2025</v>
      </c>
      <c r="B29" s="21" t="s">
        <v>2026</v>
      </c>
      <c r="C29" s="21" t="s">
        <v>2027</v>
      </c>
      <c r="D29" s="21" t="s">
        <v>2028</v>
      </c>
      <c r="E29" s="21" t="s">
        <v>2029</v>
      </c>
      <c r="F29" s="21" t="s">
        <v>231</v>
      </c>
      <c r="G29" s="21"/>
      <c r="H29" s="21"/>
      <c r="I29" s="21"/>
      <c r="J29" s="21"/>
      <c r="K29" s="21"/>
      <c r="L29" s="21"/>
      <c r="M29" s="21"/>
      <c r="N29" s="21"/>
      <c r="O29" s="21" t="s">
        <v>2030</v>
      </c>
    </row>
    <row r="30" ht="99.75" customHeight="1">
      <c r="A30" s="21" t="s">
        <v>2031</v>
      </c>
      <c r="B30" s="21" t="s">
        <v>2032</v>
      </c>
      <c r="C30" s="21" t="s">
        <v>2033</v>
      </c>
      <c r="D30" s="21" t="s">
        <v>2034</v>
      </c>
      <c r="E30" s="21" t="s">
        <v>2035</v>
      </c>
      <c r="F30" s="21" t="s">
        <v>231</v>
      </c>
      <c r="G30" s="21"/>
      <c r="H30" s="21"/>
      <c r="I30" s="21"/>
      <c r="J30" s="21"/>
      <c r="K30" s="21"/>
      <c r="L30" s="21"/>
      <c r="M30" s="21"/>
      <c r="N30" s="21"/>
      <c r="O30" s="21" t="s">
        <v>2036</v>
      </c>
    </row>
    <row r="31" ht="99.75" customHeight="1">
      <c r="A31" s="21" t="s">
        <v>2037</v>
      </c>
      <c r="B31" s="21" t="s">
        <v>2038</v>
      </c>
      <c r="C31" s="21" t="s">
        <v>2039</v>
      </c>
      <c r="D31" s="21" t="s">
        <v>2040</v>
      </c>
      <c r="E31" s="21" t="s">
        <v>2041</v>
      </c>
      <c r="F31" s="21" t="s">
        <v>231</v>
      </c>
      <c r="G31" s="21"/>
      <c r="H31" s="21"/>
      <c r="I31" s="21"/>
      <c r="J31" s="21"/>
      <c r="K31" s="21"/>
      <c r="L31" s="21"/>
      <c r="M31" s="21"/>
      <c r="N31" s="21"/>
      <c r="O31" s="21" t="s">
        <v>2042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conditionalFormatting sqref="F12:F31">
    <cfRule type="expression" dxfId="0" priority="1">
      <formula>F12="Passed"</formula>
    </cfRule>
  </conditionalFormatting>
  <conditionalFormatting sqref="F12:F31">
    <cfRule type="expression" dxfId="1" priority="2">
      <formula>F12="Failed"</formula>
    </cfRule>
  </conditionalFormatting>
  <conditionalFormatting sqref="I12:I31">
    <cfRule type="expression" dxfId="0" priority="3">
      <formula>I12="Passed"</formula>
    </cfRule>
  </conditionalFormatting>
  <conditionalFormatting sqref="I12:I31">
    <cfRule type="expression" dxfId="1" priority="4">
      <formula>I12="Failed"</formula>
    </cfRule>
  </conditionalFormatting>
  <conditionalFormatting sqref="L12:L31">
    <cfRule type="expression" dxfId="0" priority="5">
      <formula>L12="Passed"</formula>
    </cfRule>
  </conditionalFormatting>
  <conditionalFormatting sqref="L12:L31">
    <cfRule type="expression" dxfId="1" priority="6">
      <formula>L12="Failed"</formula>
    </cfRule>
  </conditionalFormatting>
  <dataValidations>
    <dataValidation type="list" allowBlank="1" sqref="F12:F31 I12:I31 L12:L31">
      <formula1>"Not Run,Blocked,Passed,Failed,Pending,N/A"</formula1>
    </dataValidation>
  </dataValidations>
  <printOptions/>
  <pageMargins bottom="0.75" footer="0.0" header="0.0" left="0.7" right="0.7" top="0.75"/>
  <pageSetup orientation="landscape"/>
  <drawing r:id="rId1"/>
</worksheet>
</file>