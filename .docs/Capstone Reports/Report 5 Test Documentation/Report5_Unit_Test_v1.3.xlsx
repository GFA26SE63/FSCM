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 sheetId="1" r:id="rId4"/>
    <sheet state="visible" name="Cover" sheetId="2" r:id="rId5"/>
    <sheet state="visible" name="Functions" sheetId="3" r:id="rId6"/>
    <sheet state="visible" name="Statistics" sheetId="4" r:id="rId7"/>
    <sheet state="visible" name="Allocation Plan Approval" sheetId="5" r:id="rId8"/>
    <sheet state="visible" name="Refund Service" sheetId="6" r:id="rId9"/>
    <sheet state="visible" name="Allocation Planner" sheetId="7" r:id="rId10"/>
    <sheet state="visible" name="Manual Payment" sheetId="8" r:id="rId11"/>
    <sheet state="visible" name="Inventory Service" sheetId="9" r:id="rId12"/>
    <sheet state="visible" name="QR Label Service" sheetId="10" r:id="rId13"/>
    <sheet state="visible" name="Allocation Run Planning" sheetId="11" r:id="rId14"/>
    <sheet state="visible" name="Allocation Run Result" sheetId="12" r:id="rId15"/>
    <sheet state="visible" name="Warehouse Config" sheetId="13" r:id="rId16"/>
    <sheet state="visible" name="Allocation Trace" sheetId="14" r:id="rId17"/>
    <sheet state="visible" name="Allocation Engine + Benchmark" sheetId="15" r:id="rId18"/>
    <sheet state="visible" name="Shelf Life Discount" sheetId="16" r:id="rId19"/>
    <sheet state="visible" name="Order Service" sheetId="17" r:id="rId20"/>
    <sheet state="visible" name="Promotion Service" sheetId="18" r:id="rId21"/>
    <sheet state="visible" name="Report Service" sheetId="19" r:id="rId22"/>
    <sheet state="visible" name="Retailer Service" sheetId="20" r:id="rId23"/>
    <sheet state="visible" name="Loyalty &amp; Rewards" sheetId="21" r:id="rId24"/>
    <sheet state="visible" name="Delivery ETA + Maps" sheetId="22" r:id="rId25"/>
    <sheet state="visible" name="Delivery Service" sheetId="23" r:id="rId26"/>
    <sheet state="visible" name="Allocation Pricing" sheetId="24" r:id="rId27"/>
    <sheet state="visible" name="Picking Service" sheetId="25" r:id="rId28"/>
    <sheet state="visible" name="Shipment Service" sheetId="26" r:id="rId29"/>
    <sheet state="visible" name="Allocation Reservation" sheetId="27" r:id="rId30"/>
    <sheet state="visible" name="Allocation Run Service" sheetId="28" r:id="rId31"/>
    <sheet state="visible" name="Expiry Sweep &amp; Outbox" sheetId="29" r:id="rId32"/>
    <sheet state="visible" name="Allocation Price Lookup" sheetId="30" r:id="rId33"/>
    <sheet state="visible" name="MB Money and Limits" sheetId="31" r:id="rId34"/>
    <sheet state="visible" name="Allocation Scenarios" sheetId="32" r:id="rId35"/>
    <sheet state="visible" name="Transit Table" sheetId="33" r:id="rId36"/>
    <sheet state="visible" name="MB Business IDs" sheetId="34" r:id="rId37"/>
    <sheet state="visible" name="Payment Service" sheetId="35" r:id="rId38"/>
    <sheet state="visible" name="Run Picking Issue" sheetId="36" r:id="rId39"/>
    <sheet state="visible" name="Identity Service" sheetId="37" r:id="rId40"/>
    <sheet state="visible" name="Offline Snapshot &amp; Queue" sheetId="38" r:id="rId41"/>
    <sheet state="visible" name="Territory Service" sheetId="39" r:id="rId42"/>
    <sheet state="visible" name="Inventory Lifecycle" sheetId="40" r:id="rId43"/>
    <sheet state="visible" name="Inventory Lock" sheetId="41" r:id="rId44"/>
    <sheet state="visible" name="Catalog Service" sheetId="42" r:id="rId45"/>
  </sheets>
  <definedNames>
    <definedName localSheetId="18" name="Z_BE54E0AD_3725_4423_92D7_4F1C045BE1BC_.wvu.Cols">'Apply Job'!$E:$E</definedName>
    <definedName localSheetId="18" name="Z_2C0D9096_8D85_462A_A9B5_0B488ADB4269_.wvu.Cols">'Apply Job'!$E:$E</definedName>
    <definedName localSheetId="18" name="Z_6F1DCD5D_5DAC_4817_BF40_2B66F6F593E6_.wvu.Cols">'Apply Job'!$E:$E</definedName>
    <definedName localSheetId="3" name="Z_2C0D9096_8D85_462A_A9B5_0B488ADB4269_.wvu.PrintArea">Statistics!$A:$I</definedName>
    <definedName localSheetId="3" name="Z_6F1DCD5D_5DAC_4817_BF40_2B66F6F593E6_.wvu.PrintArea">Statistics!$A:$I</definedName>
    <definedName localSheetId="3" name="Z_BE54E0AD_3725_4423_92D7_4F1C045BE1BC_.wvu.PrintArea">Statistics!$A:$I</definedName>
    <definedName name="ACTION">#REF!</definedName>
  </definedNames>
  <calcPr/>
  <extLst>
    <ext uri="GoogleSheetsCustomDataVersion2">
      <go:sheetsCustomData xmlns:go="http://customooxmlschemas.google.com/" r:id="rId46" roundtripDataChecksum="GzaAPLV+DmwJDaz7iAassllkbdr6MURGAlDdrpj3bg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ID#doco.zKn_QZnlcJNYgsjgDkCtYg
tc={fbc7a1de-1959-42ce-9bcf-8c70d4da119b}    (2026-10-28 07:08:48)
[Threaded comment]
 Your version of Excel allows you to read this threaded comment; however, any edits to it will get removed if the file is opened in a newer version of Excel. Learn more: https://go.microsoft.com/fwlink/?linkid=870924
Comment:
	Not mandatory
======
ID#doco.HRPMWSlo78U0wtDqdcwSOw
tc={aa4b066f-e5da-496c-89b0-4ab94f03edfc}    (2026-10-28 07:08:48)
[Threaded comment]
 Your version of Excel allows you to read this threaded comment; however, any edits to it will get removed if the file is opened in a newer version of Excel. Learn more: https://go.microsoft.com/fwlink/?linkid=870924
Comment:
	Not mandatory
======
ID#doco.Bdc6i25fV-YcOKRIo2Zlng
tc={ca69b792-030c-4ed9-9b72-e3b9a2b60e88}    (2026-10-28 07:08:48)
[Threaded comment]
 Your version of Excel allows you to read this threaded comment; however, any edits to it will get removed if the file is opened in a newer version of Excel. Learn more: https://go.microsoft.com/fwlink/?linkid=870924
Comment:
	Not mandatory
======
ID#doco.HXZRQBz26q6HkTNtOiD-KQ
tc={53fcc654-bfc0-448c-9b42-d8cf036e9cb0}    (2026-10-28 07:08:48)
[Threaded comment]
 Your version of Excel allows you to read this threaded comment; however, any edits to it will get removed if the file is opened in a newer version of Excel. Learn more: https://go.microsoft.com/fwlink/?linkid=870924
Comment:
	Not mandatory
======
ID#doco.pJLyWciMevFEbjeQW6eRow
tc={4c9cc32e-0527-4075-a533-240067dbd70a}    (2026-10-28 07:08:48)
[Threaded comment]
 Your version of Excel allows you to read this threaded comment; however, any edits to it will get removed if the file is opened in a newer version of Excel. Learn more: https://go.microsoft.com/fwlink/?linkid=870924
Comment:
	Not mandatory
======
ID#doco.SsJOUFcfQtQhXnDUXvZ0iQ
tc={6e670c09-9b32-4415-81d9-72467bd17dd3}    (2026-10-28 07:08:48)
[Threaded comment]
 Your version of Excel allows you to read this threaded comment; however, any edits to it will get removed if the file is opened in a newer version of Excel. Learn more: https://go.microsoft.com/fwlink/?linkid=870924
Comment:
	Not mandatory</t>
      </text>
    </comment>
  </commentList>
  <extLst>
    <ext uri="GoogleSheetsCustomDataVersion2">
      <go:sheetsCustomData xmlns:go="http://customooxmlschemas.google.com/" r:id="rId1" roundtripDataSignature="AMtx7miDkvDahhaFKYmb7S5P4zxDKxc5Fw=="/>
    </ext>
  </extLst>
</comments>
</file>

<file path=xl/sharedStrings.xml><?xml version="1.0" encoding="utf-8"?>
<sst xmlns="http://schemas.openxmlformats.org/spreadsheetml/2006/main" count="2471" uniqueCount="762">
  <si>
    <t>git</t>
  </si>
  <si>
    <t>1. Overview</t>
  </si>
  <si>
    <t xml:space="preserve"> - In the template, Unit test cases are based on functions. Each sheet presents test cases for one function.</t>
  </si>
  <si>
    <r>
      <rPr>
        <rFont val="Tahoma"/>
        <color theme="1"/>
        <sz val="10.0"/>
      </rPr>
      <t xml:space="preserve"> - </t>
    </r>
    <r>
      <rPr>
        <rFont val="Tahoma"/>
        <b/>
        <color theme="1"/>
        <sz val="10.0"/>
      </rPr>
      <t>Cover</t>
    </r>
    <r>
      <rPr>
        <rFont val="Tahoma"/>
        <color theme="1"/>
        <sz val="10.0"/>
      </rPr>
      <t>: General information of the project and Unit Test cases</t>
    </r>
  </si>
  <si>
    <t>UNIT TEST DOCUMENT</t>
  </si>
  <si>
    <r>
      <rPr>
        <rFont val="Tahoma"/>
        <color theme="1"/>
        <sz val="10.0"/>
      </rPr>
      <t xml:space="preserve"> - </t>
    </r>
    <r>
      <rPr>
        <rFont val="Tahoma"/>
        <b/>
        <color theme="1"/>
        <sz val="10.0"/>
      </rPr>
      <t>FunctionList</t>
    </r>
    <r>
      <rPr>
        <rFont val="Tahoma"/>
        <color theme="1"/>
        <sz val="10.0"/>
      </rPr>
      <t xml:space="preserve">: The list of Classes and Functions in the document. 
     + To control that the number of Unit TC meets customer's requirement or the norm, user should fill value for  
     'Normal number of Test cases/KLOC'. </t>
    </r>
  </si>
  <si>
    <r>
      <rPr>
        <rFont val="Tahoma"/>
        <color theme="1"/>
        <sz val="10.0"/>
      </rPr>
      <t xml:space="preserve">     + Click on Function link to open the related Test cases of the function.  
     </t>
    </r>
    <r>
      <rPr>
        <rFont val="Tahoma"/>
        <i/>
        <color theme="1"/>
        <sz val="10.0"/>
      </rPr>
      <t>Note:</t>
    </r>
    <r>
      <rPr>
        <rFont val="Tahoma"/>
        <color theme="1"/>
        <sz val="10.0"/>
      </rPr>
      <t xml:space="preserve"> You should create new Function sheet before creating the link</t>
    </r>
  </si>
  <si>
    <r>
      <rPr>
        <rFont val="Tahoma"/>
        <color theme="1"/>
        <sz val="10.0"/>
      </rPr>
      <t xml:space="preserve"> - </t>
    </r>
    <r>
      <rPr>
        <rFont val="Tahoma"/>
        <b/>
        <color theme="1"/>
        <sz val="10.0"/>
      </rPr>
      <t>Test Report</t>
    </r>
    <r>
      <rPr>
        <rFont val="Tahoma"/>
        <color theme="1"/>
        <sz val="10.0"/>
      </rPr>
      <t>: provive the overview results of Functions Unit test: Test coverage, Test successful coverage 
    (Summary, for normal/abnormal/boundary cases)</t>
    </r>
  </si>
  <si>
    <t xml:space="preserve">     Note:  Should check the formula of "Sub Total" if you add more functions</t>
  </si>
  <si>
    <t>Project Name</t>
  </si>
  <si>
    <t>FSCM – Short Shelf-Life FMCG Supply Chain Management</t>
  </si>
  <si>
    <t>Creator</t>
  </si>
  <si>
    <t>Tran Ngoc Khiet, Doan Duc Hai</t>
  </si>
  <si>
    <t>2. Content in Test function sheet</t>
  </si>
  <si>
    <t>Project Code</t>
  </si>
  <si>
    <t>FA26SE083</t>
  </si>
  <si>
    <t>2.1 Combination of test cases.</t>
  </si>
  <si>
    <t>Issue Date</t>
  </si>
  <si>
    <t xml:space="preserve"> - To verify that number of Unit TC meets customer's requirement or not. User has to fill number LOC of tested function and fill value of 'Normal number test cases/KLOC' item in FunctionList sheet, which is required by customer or normal value. The number of lacked TC is shown in 'Lack of test cases' item.</t>
  </si>
  <si>
    <t>Document Code</t>
  </si>
  <si>
    <t xml:space="preserve"> - If the number of Unit TC does not meet the requirement, creator should explain the reasons.</t>
  </si>
  <si>
    <t>FA26SE083_Unit Test_v1.3</t>
  </si>
  <si>
    <t>Version</t>
  </si>
  <si>
    <t xml:space="preserve"> - If the number of  'Normal number test cases/KLOC' item in FunctionList sheet is not recorded, the number in 'Lack of test cases' is not calculated.</t>
  </si>
  <si>
    <t>1.3</t>
  </si>
  <si>
    <t xml:space="preserve"> 2.2 Condition and confirmation of Test cases.</t>
  </si>
  <si>
    <t xml:space="preserve"> Each test case is the combination of condition and confirmation.</t>
  </si>
  <si>
    <t>Record of change</t>
  </si>
  <si>
    <t>a. Condition:</t>
  </si>
  <si>
    <t>Effective Date</t>
  </si>
  <si>
    <t>Function List</t>
  </si>
  <si>
    <t xml:space="preserve">        - Condition is combination of precondition and values of inputs.</t>
  </si>
  <si>
    <t>Change Item</t>
  </si>
  <si>
    <t>*A,D,M</t>
  </si>
  <si>
    <t>Change description</t>
  </si>
  <si>
    <t>Reference</t>
  </si>
  <si>
    <t xml:space="preserve">        - Precondition: it is setting condition that must exist before execution of the test case. 
                    Example: file A is precondition for the test case that needs to access file A.</t>
  </si>
  <si>
    <t>Initial FSCM unit test plan (v1.0)</t>
  </si>
  <si>
    <t>A</t>
  </si>
  <si>
    <t>Version 1.0: Initial unit test plan and scope.</t>
  </si>
  <si>
    <t>SRS v1.5; SDD v1.4; FSCM source code</t>
  </si>
  <si>
    <t xml:space="preserve">        - Values of inputs: it includes 3 types of values: normal, boundary and abnormal.</t>
  </si>
  <si>
    <t>27/10/2026</t>
  </si>
  <si>
    <t xml:space="preserve">                . Normal values are values of inputs used mainly and usually to ensure the function works.</t>
  </si>
  <si>
    <t>Adapt example format for FSCM (v1.1)</t>
  </si>
  <si>
    <t>M</t>
  </si>
  <si>
    <t>Version 1.1: 192 source-mapped cases, 38 function sheets.</t>
  </si>
  <si>
    <t>FSCM-Backend / FSCM-Mobile</t>
  </si>
  <si>
    <t xml:space="preserve">                . Boundary values are limited values that contain upper and lower values.</t>
  </si>
  <si>
    <t>Reset pending execution states and rebuild statistics</t>
  </si>
  <si>
    <t>Do not mark test cases Pass/Fail before execution.</t>
  </si>
  <si>
    <t>Example Report5_Unit Test.xlsx</t>
  </si>
  <si>
    <t xml:space="preserve">                . Abnormal values are non-expected values. And normally it processes exception cases.   </t>
  </si>
  <si>
    <t xml:space="preserve"> </t>
  </si>
  <si>
    <t>28/10/2026</t>
  </si>
  <si>
    <t>1.2</t>
  </si>
  <si>
    <t xml:space="preserve">        - For examples:</t>
  </si>
  <si>
    <t>Unit Test v1.2 alignment to SRS/SDD v1.8; 3-file Report 5 package</t>
  </si>
  <si>
    <t>Retain 42 original sheets and 192 planned scenarios; align prepaid/credit, cutoff, MLOR, fixed/% price, manual Send, fulfillment/loyalty, and requirement trace.</t>
  </si>
  <si>
    <t>Test_Documentation v1.2; Unit_Test v1.2; Test_Report v1.2; SRS/SDD v1.8; R5-01..R5-12</t>
  </si>
  <si>
    <t xml:space="preserve">            Input value belongs to 5&lt;= input &lt;=10.</t>
  </si>
  <si>
    <t>Main Flows F1–F5 decisions and executable Unit Test design</t>
  </si>
  <si>
    <t>Apply seven approved decisions (00:00, percentage-only discounts, 1 point/10,000 VND, full receipt, positive pricing, Admin/Operator catalog rights, staff gift completion); refine group promotion, allocation tie-break and financial examples. Preserve 192 planned scenarios, Not Run.</t>
  </si>
  <si>
    <t>Five Main Flows F1–F5; SRS/SDD v1.8; Test Documentation/Test Report v1.3</t>
  </si>
  <si>
    <t xml:space="preserve">Normal number of Test cases/KLOC </t>
  </si>
  <si>
    <t>N/A</t>
  </si>
  <si>
    <t>Test Environment Setup Description</t>
  </si>
  <si>
    <t>FSCM .NET 10/xUnit and Flutter. Main Flows F1–F5 test baseline v1.3; cutoff 00:00 ICT; percentage-only shelf-life discounts; 1 point / 10,000 VND; full actual receipt before Completed. Execution results require evidence.</t>
  </si>
  <si>
    <t>No</t>
  </si>
  <si>
    <t>Requirement
Name</t>
  </si>
  <si>
    <t>Class Name</t>
  </si>
  <si>
    <t>Function Name</t>
  </si>
  <si>
    <t xml:space="preserve"> Function Code(Optional)</t>
  </si>
  <si>
    <t>Sheet Name</t>
  </si>
  <si>
    <t>Description</t>
  </si>
  <si>
    <t>Pre-Condition</t>
  </si>
  <si>
    <t xml:space="preserve">               . 6,7,8,9 are normal values.</t>
  </si>
  <si>
    <t xml:space="preserve">               . 5, 10 are boundary values.</t>
  </si>
  <si>
    <t>Review versioned FEFO–MLOR allocation proposals and approved batch prices; allow only an authorized Administrator to approve the current version or request a reasoned recalculation. Reject stale or repeated conflicting d</t>
  </si>
  <si>
    <t xml:space="preserve">               . -1, 11,... are abnormal values.   </t>
  </si>
  <si>
    <t>AllocationPlanApprovalTests</t>
  </si>
  <si>
    <t>Allocation proposal review, approval and revision</t>
  </si>
  <si>
    <t>F-01</t>
  </si>
  <si>
    <t xml:space="preserve">b. Confirmation: </t>
  </si>
  <si>
    <t>Allocation Plan Approval</t>
  </si>
  <si>
    <t xml:space="preserve">        - It is combination of expected result to check output of each function. 
          If the results are the same with confirmation, the test case is passed, other case it is failed. </t>
  </si>
  <si>
    <t xml:space="preserve">        - Confirmation can include:</t>
  </si>
  <si>
    <t>Review versioned FEFO–MLOR allocation proposals and approved batch prices; allow only an authorized Administrator to approve the current version or request a reasoned recalculation. Reject stale or repeated conflicting decisions and do not reserve stock before approval.</t>
  </si>
  <si>
    <t>Isolated test database/fixtures; authorized actor and required stock/payment state. Execute only with verified evidence. Mapping managed in Test Documentation, Unit Test and Test Report v1.3.</t>
  </si>
  <si>
    <t xml:space="preserve">                + Output result of the function.</t>
  </si>
  <si>
    <t xml:space="preserve">                + Output log messages in log file.</t>
  </si>
  <si>
    <t xml:space="preserve">                + Output screen message...</t>
  </si>
  <si>
    <t>Record and verify manual refunds against approved cancellation or complaint adjustments, limiting each refund to the affected batch’s actual net price. Preserve evidence and require independent Administrator verification</t>
  </si>
  <si>
    <t>RefundServiceTests</t>
  </si>
  <si>
    <t>Manual refund state, evidence and separation of duties</t>
  </si>
  <si>
    <t>c. Type of test cases and result:</t>
  </si>
  <si>
    <t>F-02</t>
  </si>
  <si>
    <t>Refund Service</t>
  </si>
  <si>
    <t xml:space="preserve">        - Type of test case: It includes normal, boundary and abnormal test cases. User selects the type based on the type of input data.</t>
  </si>
  <si>
    <t>Record and verify manual refunds against approved cancellation or complaint adjustments, limiting each refund to the affected batch’s actual net price. Preserve evidence and require independent Administrator verification without applying a second loyalty reversal.</t>
  </si>
  <si>
    <t xml:space="preserve">        - Result: P = Pass, F = Fail; blank = Not Run. O in Condition/Confirm maps a designed input/expected assertion to UTCID; it does NOT mean the test ran or passed.</t>
  </si>
  <si>
    <t>Allocate eligible warehouse batches to orders in server-acceptance priority without replacing batches already given to earlier orders. Support multi-batch fulfillment; if any required line is short, release all tentative</t>
  </si>
  <si>
    <t>AllocationPlannerTests</t>
  </si>
  <si>
    <t>Order priority, multi-batch allocation and whole-order shortfall</t>
  </si>
  <si>
    <t>F-03</t>
  </si>
  <si>
    <t>Allocation Planner</t>
  </si>
  <si>
    <t>Allocate eligible warehouse batches to orders in server-acceptance priority without replacing batches already given to earlier orders. Support multi-batch fulfillment; if any required line is short, release all tentative draws for that order to the shared pool. At equal weighted score use earliest expiry, shortest rout</t>
  </si>
  <si>
    <t xml:space="preserve"> 2.3. Other items:</t>
  </si>
  <si>
    <t>Reject COD as an unsupported payment method. Verify a full prepaid bank transfer only after final-price approval and before dispatch; allow full cash collection for an assigned, delivered deferred order and restrict bank</t>
  </si>
  <si>
    <t xml:space="preserve"> - Function Code: it is ID of the function and updated automatically according to FunctionList sheet.</t>
  </si>
  <si>
    <t>ManualPaymentServiceTests</t>
  </si>
  <si>
    <t>Prepaid transfer, deferred cash collection, actor scope; reject COD</t>
  </si>
  <si>
    <t>F-04</t>
  </si>
  <si>
    <t>Manual Payment</t>
  </si>
  <si>
    <t>Reject COD as an unsupported payment method. Verify a full prepaid bank transfer only after final-price approval and before dispatch; allow full cash collection for an assigned, delivered deferred order and restrict bank-transfer verification to authorized staff. Credit cash collection remains assigned Sales only after</t>
  </si>
  <si>
    <t xml:space="preserve"> - Function Name: it is name  of the function and updated automatically according to FunctionList sheet.</t>
  </si>
  <si>
    <t>Keep warehouse stock unchanged until a goods receipt is approved; then create or merge the appropriate SKU–expiry batch and record one auditable stock movement. Prevent duplicate receipts and reject reuse of an idempoten</t>
  </si>
  <si>
    <t>InventoryServiceTests</t>
  </si>
  <si>
    <t xml:space="preserve"> - Created By: Name of creator.</t>
  </si>
  <si>
    <t>Goods receipt posting and warehouse balances</t>
  </si>
  <si>
    <t>F-05</t>
  </si>
  <si>
    <t>Inventory Service</t>
  </si>
  <si>
    <t xml:space="preserve"> - Executed By: Name of person who executes the unit test</t>
  </si>
  <si>
    <t>Keep warehouse stock unchanged until a goods receipt is approved; then create or merge the appropriate SKU–expiry batch and record one auditable stock movement. Prevent duplicate receipts and reject reuse of an idempotency key with different contents.</t>
  </si>
  <si>
    <t xml:space="preserve"> - Lines of code: Number of Code line of the function.</t>
  </si>
  <si>
    <t xml:space="preserve"> - Test requirement: trace each function to SRS v1.8 section/AC, SDD v1.8 section and R5 change request. Priority is documented in traceability, NOT in Input/scenario, and appears after the case scenario. M/WF/TS codes require BM01 confirmation.</t>
  </si>
  <si>
    <t>Generate and split QR labels only for valid available batch quantities, preserving unique codes, parent–child lineage and warehouse/batch identity. Repeated operations must not create duplicate labels or change stock qua</t>
  </si>
  <si>
    <t>QrLabelServiceTests</t>
  </si>
  <si>
    <t xml:space="preserve"> - Report 5 uses ONLY Test Documentation, Unit Test and Test Report. Execution status/evidence must come from verified CI/manual test records.</t>
  </si>
  <si>
    <t>QR quantity labels, lineage, split and replay</t>
  </si>
  <si>
    <t>F-06</t>
  </si>
  <si>
    <t>QR Label Service</t>
  </si>
  <si>
    <t>Generate and split QR labels only for valid available batch quantities, preserving unique codes, parent–child lineage and warehouse/batch identity. Repeated operations must not create duplicate labels or change stock quantities twice.</t>
  </si>
  <si>
    <t xml:space="preserve">Plan each valid daily allocation-run snapshot once using its frozen settings and eligible orders. Handle missing runs and unreachable warehouse routes predictably; record shortage explanations without reserving physical </t>
  </si>
  <si>
    <t>AllocationRunPlanningTests</t>
  </si>
  <si>
    <t>Daily run orchestration, shared pool, trace records</t>
  </si>
  <si>
    <t>F-07</t>
  </si>
  <si>
    <t>Allocation Run Planning</t>
  </si>
  <si>
    <t>Plan each valid daily allocation-run snapshot once using its frozen settings and eligible orders. Handle missing runs and unreachable warehouse routes predictably; record shortage explanations without reserving physical inventory during planning.</t>
  </si>
  <si>
    <t>Return each order’s approved allocation result by line, warehouse and batch, including final batch prices, shortage or release reasons and allocation state. Short orders remain unfulfilled and must not retain priority wh</t>
  </si>
  <si>
    <t>AllocationRunResultTests</t>
  </si>
  <si>
    <t>Allocation outcome and shortage reporting</t>
  </si>
  <si>
    <t>F-08</t>
  </si>
  <si>
    <t>Allocation Run Result</t>
  </si>
  <si>
    <t>Return each order’s approved allocation result by line, warehouse and batch, including final batch prices, shortage or release reasons and allocation state. Short orders remain unfulfilled and must not retain priority when recreated as new orders.</t>
  </si>
  <si>
    <t>Resolve each retailer line’s minimum life on receipt (MLOR) by SKU rule first, then category rule, then product default. Apply expiry and arrival-time eligibility before any shelf-life discount; discounts must never rela</t>
  </si>
  <si>
    <t>WarehouseConfigurationServiceTests</t>
  </si>
  <si>
    <t>Warehouse master data, service scope and MLOR</t>
  </si>
  <si>
    <t>F-09</t>
  </si>
  <si>
    <t>Warehouse Config</t>
  </si>
  <si>
    <t>UNIT TEST REPORT</t>
  </si>
  <si>
    <t>Resolve each retailer line’s minimum life on receipt (MLOR) by SKU rule first, then category rule, then product default. Apply expiry and arrival-time eligibility before any shelf-life discount; discounts must never relax the effective MLOR.</t>
  </si>
  <si>
    <t>Record the eligibility filters, rejection reasons, weighted scores and selected quantities for every candidate batch and warehouse in an allocation proposal. Preserve the effective MLOR, source versions and scoring setti</t>
  </si>
  <si>
    <t>AllocationTraceServiceTests</t>
  </si>
  <si>
    <t>Line/warehouse candidate filtering and trace evidence</t>
  </si>
  <si>
    <t>F-10</t>
  </si>
  <si>
    <t>Allocation Trace</t>
  </si>
  <si>
    <t>Record the eligibility filters, rejection reasons, weighted scores and selected quantities for every candidate batch and warehouse in an allocation proposal. Preserve the effective MLOR, source versions and scoring settings used by the run.</t>
  </si>
  <si>
    <t>Filter stock by batch availability, expiry, service reach and MLOR, then allocate deterministically under server order priority (score tie: earlier expiry, nearer warehouse, ascending batch code) and whole-order fulfillm</t>
  </si>
  <si>
    <t>AllocationEngineTests</t>
  </si>
  <si>
    <t>FEFO–MLOR scoring and FEFO benchmark</t>
  </si>
  <si>
    <t>F-11</t>
  </si>
  <si>
    <t>Allocation Engine + Benchmark</t>
  </si>
  <si>
    <t>Filter stock by batch availability, expiry, service reach and MLOR, then allocate deterministically under server order priority (score tie: earlier expiry, nearer warehouse, ascending batch code) and whole-order fulfillment rules. Compare Weighted FEFO and Strict FEFO on identical eligible data using complete/short cou</t>
  </si>
  <si>
    <t>Configure shelf-life tiers as percentage discounts only (0% to less than 100%); reject fixed-amount rules and any final rounded unit price &lt;=0. Apply eligible SKU over category tier after MLOR eligibility and ordinary pr</t>
  </si>
  <si>
    <t>ShelfLifeDiscountServiceTests</t>
  </si>
  <si>
    <t>Tier precedence and expiration-window boundaries</t>
  </si>
  <si>
    <t>F-12</t>
  </si>
  <si>
    <t>Shelf Life Discount</t>
  </si>
  <si>
    <t>Configure shelf-life tiers as percentage discounts only (0% to less than 100%); reject fixed-amount rules and any final rounded unit price &lt;=0. Apply eligible SKU over category tier after MLOR eligibility and ordinary promotion, retain immutable per-batch and warehouse pricing with whole-VND rounding.</t>
  </si>
  <si>
    <t>Accept assisted Sales orders only for active retailers within the Sales assignment, validate quantity steps and store the server-accepted order without immediately selecting stock. Enforce unique request keys, server tim</t>
  </si>
  <si>
    <t>OrderServiceTests</t>
  </si>
  <si>
    <t>Capture, scope, offline idempotency and order review</t>
  </si>
  <si>
    <t>F-13</t>
  </si>
  <si>
    <t>Order Service</t>
  </si>
  <si>
    <t>Accept assisted Sales orders only for active retailers within the Sales assignment, validate quantity steps and store the server-accepted order without immediately selecting stock. Enforce unique request keys, server timestamps and authorized review before the daily cutoff.</t>
  </si>
  <si>
    <t>Create scoped promotions, including group SKU threshold measured from the SUM of eligible SKU quantities in the SAME Sales Order (SKU_A 6 + SKU_B 4 meets 10). Apply best ordinary promotion per line with deterministic cod</t>
  </si>
  <si>
    <t>PromotionServiceTests</t>
  </si>
  <si>
    <t>Campaign, batch discount scope and non-stacking</t>
  </si>
  <si>
    <t>F-14</t>
  </si>
  <si>
    <t>Promotion Service</t>
  </si>
  <si>
    <t>Create scoped promotions, including group SKU threshold measured from the SUM of eligible SKU quantities in the SAME Sales Order (SKU_A 6 + SKU_B 4 meets 10). Apply best ordinary promotion per line with deterministic code tie-break. Shelf-life tiers accept percentages &lt;100% only; fixed discount and zero final price are</t>
  </si>
  <si>
    <t xml:space="preserve">Calculate and display recognized sales revenue, rankings and group performance using approved business amounts and the requesting user’s authorized territory. Administrators may view all groups; Sales Managers and Sales </t>
  </si>
  <si>
    <t>Doan Duc Hai</t>
  </si>
  <si>
    <t>ReportServiceTests</t>
  </si>
  <si>
    <t>Role-scoped recognized revenue and leaderboard</t>
  </si>
  <si>
    <t>F-15</t>
  </si>
  <si>
    <t>Report Service</t>
  </si>
  <si>
    <t>Calculate and display recognized sales revenue, rankings and group performance using approved business amounts and the requesting user’s authorized territory. Administrators may view all groups; Sales Managers and Sales must remain restricted to their permitted scope.</t>
  </si>
  <si>
    <t>Declare, assess and approve retailer profiles with required information, duplicate checks and documented decisions. On authorized approval, activate the retailer and assign the permanent business code; rejection or incom</t>
  </si>
  <si>
    <t>RetailerServiceTests</t>
  </si>
  <si>
    <t>Retailer prospect assessment, activation and uniqueness</t>
  </si>
  <si>
    <t>F-16</t>
  </si>
  <si>
    <t>Retailer Service</t>
  </si>
  <si>
    <t>Declare, assess and approve retailer profiles with required information, duplicate checks and documented decisions. On authorized approval, activate the retailer and assign the permanent business code; rejection or incomplete review must preserve the proper state and reason.</t>
  </si>
  <si>
    <t>Reviewer/Approver</t>
  </si>
  <si>
    <t>Award points exactly once at floor(eligible settled net VND / 10,000) only after full physical receipt of all shipment quantities, financial settlement and no unresolved complaint. Do not complete a partially received or</t>
  </si>
  <si>
    <t>LoyaltyServiceTests</t>
  </si>
  <si>
    <t>Loyalty programs and reward eligibility</t>
  </si>
  <si>
    <t>F-17</t>
  </si>
  <si>
    <t>Loyalty &amp; Rewards</t>
  </si>
  <si>
    <t>Award points exactly once at floor(eligible settled net VND / 10,000) only after full physical receipt of all shipment quantities, financial settlement and no unresolved complaint. Do not complete a partially received order by adjustment alone. Allow audited correction and negative balances; staff finalize gift fulfill</t>
  </si>
  <si>
    <t xml:space="preserve">Calculate projected delivery and receipt times from approved allocation, warehouse schedules and versioned route/transit data. Respect Vietnam business-date cutoff and changed locations; unavailable or stale routes must </t>
  </si>
  <si>
    <t>DeliveryEtaServiceTests</t>
  </si>
  <si>
    <t>FA26SE083_Unit Test Report_v1.3</t>
  </si>
  <si>
    <t>Receipt ETA and map distance validation</t>
  </si>
  <si>
    <t>F-18</t>
  </si>
  <si>
    <t>Delivery ETA + Maps</t>
  </si>
  <si>
    <t>Notes</t>
  </si>
  <si>
    <t>Report 5 v1.3 includes exactly Test Documentation, Unit Test and Test Report. 192 planned Unit Test scenarios; Pass/Fail/Executed Date/Evidence remain blank until tested. Business baseline: allocation 00:00 ICT; percentage-only expiry tiers; 1 point/10,000 VND; no gift confirmation step by Retailer.</t>
  </si>
  <si>
    <t>Calculate projected delivery and receipt times from approved allocation, warehouse schedules and versioned route/transit data. Respect Vietnam business-date cutoff and changed locations; unavailable or stale routes must not produce an invented zero-distance ETA.</t>
  </si>
  <si>
    <t xml:space="preserve">Permit dispatch only when every warehouse portion is ready, required prepaid funds are verified and no inventory lock or picking exception remains. Validate actual retailer receipt and discrepancy quantities; incomplete </t>
  </si>
  <si>
    <t>DeliveryServiceTests</t>
  </si>
  <si>
    <t>Dispatch and QR receipt rules across warehouses</t>
  </si>
  <si>
    <t>F-19</t>
  </si>
  <si>
    <t>Delivery Service</t>
  </si>
  <si>
    <t>Function code</t>
  </si>
  <si>
    <t>Passed</t>
  </si>
  <si>
    <t>Failed</t>
  </si>
  <si>
    <t>Untested</t>
  </si>
  <si>
    <t>N</t>
  </si>
  <si>
    <t>B</t>
  </si>
  <si>
    <t>Total Test Cases</t>
  </si>
  <si>
    <t>Permit dispatch only when every warehouse portion is ready, required prepaid funds are verified and no inventory lock or picking exception remains. Validate actual retailer receipt and discrepancy quantities; incomplete receipts must not mark an order Delivered or earn loyalty points.</t>
  </si>
  <si>
    <t>Calculate only percentage-based shelf-life discount on each eligible allocated batch after quantity promotion, never a fixed-amount tier. Reject final net unit prices &lt;=0; preserve batch/warehouse percentage and net-pric</t>
  </si>
  <si>
    <t>AllocationPricingServiceTests</t>
  </si>
  <si>
    <t>Batch-specific shelf-life discounts and price snapshots</t>
  </si>
  <si>
    <t>F-20</t>
  </si>
  <si>
    <t>Allocation Pricing</t>
  </si>
  <si>
    <t>Calculate only percentage-based shelf-life discount on each eligible allocated batch after quantity promotion, never a fixed-amount tier. Reject final net unit prices &lt;=0; preserve batch/warehouse percentage and net-price snapshots for approved quotation, adjustments and refunds.</t>
  </si>
  <si>
    <t>Allow assigned warehouse staff to scan and complete the correct batch and QR picking quantities while preserving allocation-price links. Reject wrong, duplicated or locked scans, and block readiness or dispatch until aut</t>
  </si>
  <si>
    <t>PickingServiceTests</t>
  </si>
  <si>
    <t>QR-based batch picking and readiness</t>
  </si>
  <si>
    <t>F-21</t>
  </si>
  <si>
    <t>Picking Service</t>
  </si>
  <si>
    <t>Allow assigned warehouse staff to scan and complete the correct batch and QR picking quantities while preserving allocation-price links. Reject wrong, duplicated or locked scans, and block readiness or dispatch until authorized picking exceptions are resolved.</t>
  </si>
  <si>
    <t>Create and reconcile one shipment per valid warehouse portion without duplicate effects. Track authorized delivery attempts, retries, failed-delivery resolution and actual receipt totals; never automatically restore issu</t>
  </si>
  <si>
    <t>ShipmentServiceTests</t>
  </si>
  <si>
    <t>Shipment progression, reconciliation and exceptions</t>
  </si>
  <si>
    <t>F-22</t>
  </si>
  <si>
    <t>Shipment Service</t>
  </si>
  <si>
    <t>Create and reconcile one shipment per valid warehouse portion without duplicate effects. Track authorized delivery attempts, retries, failed-delivery resolution and actual receipt totals; never automatically restore issued stock or settle exceptions without an authorized decision.</t>
  </si>
  <si>
    <t>Reserve a batch quantity only when the Administrator approves a current allocation and final-price version. Recheck stock, locks, expiry and optimistic versions atomically; record the reservation once and reject conflict</t>
  </si>
  <si>
    <t>AllocationReservationTests</t>
  </si>
  <si>
    <t>Post-approval reservation and concurrency consistency</t>
  </si>
  <si>
    <t>F-23</t>
  </si>
  <si>
    <t>Allocation Reservation</t>
  </si>
  <si>
    <t>Reserve a batch quantity only when the Administrator approves a current allocation and final-price version. Recheck stock, locks, expiry and optimistic versions atomically; record the reservation once and reject conflicts without partial stock changes.</t>
  </si>
  <si>
    <t>Build one daily allocation run at the 00:00 Asia/Ho_Chi_Minh cutoff from orders both accepted and approved strictly before midnight. Use server acceptance time then order code for priority, handle exact-boundary and year</t>
  </si>
  <si>
    <t>AllocationRunServiceTests</t>
  </si>
  <si>
    <t>Cutoff, daily run uniqueness and immutable snapshots</t>
  </si>
  <si>
    <t>F-24</t>
  </si>
  <si>
    <t>Allocation Run Service</t>
  </si>
  <si>
    <t>Build one daily allocation run at the 00:00 Asia/Ho_Chi_Minh cutoff from orders both accepted and approved strictly before midnight. Use server acceptance time then order code for priority, handle exact-boundary and year-change cases, and ignore the mobile device clock.</t>
  </si>
  <si>
    <t>Detect near-expiry and expired batches through a repeatable scheduled sweep, locking unusable quantities while preserving reserved-stock resolution requirements. Publish expiry events and notifications through an idempot</t>
  </si>
  <si>
    <t>InventoryExpirySweepServiceTests</t>
  </si>
  <si>
    <t>Expiry sweep and notification outbox</t>
  </si>
  <si>
    <t>F-25</t>
  </si>
  <si>
    <t>Expiry Sweep &amp; Outbox</t>
  </si>
  <si>
    <t>Detect near-expiry and expired batches through a repeatable scheduled sweep, locking unusable quantities while preserving reserved-stock resolution requirements. Publish expiry events and notifications through an idempotent outbox without duplicate business effects.</t>
  </si>
  <si>
    <t>Return a version-consistent approved price breakdown for every order line and allocated batch, including discounts, quantities, warehouse portions and rounded totals. Do not treat unapproved versions as final; use the ex</t>
  </si>
  <si>
    <t>AllocationPriceLookupTests</t>
  </si>
  <si>
    <t>Read model for approved allocated line prices</t>
  </si>
  <si>
    <t>F-26</t>
  </si>
  <si>
    <t>Allocation Price Lookup</t>
  </si>
  <si>
    <t>Return a version-consistent approved price breakdown for every order line and allocated batch, including discounts, quantities, warehouse portions and rounded totals. Do not treat unapproved versions as final; use the exact affected batch net price for any refund calculation.</t>
  </si>
  <si>
    <t>Format Vietnamese currency amounts and discounts correctly, parse entered money values safely, and calculate the maximum order quantity as available stock minus buffer rounded down to the configured carton step without b</t>
  </si>
  <si>
    <t>Flutter test</t>
  </si>
  <si>
    <t>Flutter VND formatting and quantity step/buffer</t>
  </si>
  <si>
    <t>F-27</t>
  </si>
  <si>
    <t>MB Money and Limits</t>
  </si>
  <si>
    <t>Format Vietnamese currency amounts and discounts correctly, parse entered money values safely, and calculate the maximum order quantity as available stock minus buffer rounded down to the configured carton step without becoming negative.</t>
  </si>
  <si>
    <t>Validate end-to-end daily allocation business rules for the 00:00 Vietnam cutoff, immutable server priority, all-or-nothing fulfillment and no batch swapping. New orders created after a shortage receive new priority; dis</t>
  </si>
  <si>
    <t>AllocationScenarioTests</t>
  </si>
  <si>
    <t>FEFO/MLOR scenarios, equality, deadline and priority</t>
  </si>
  <si>
    <t>F-28</t>
  </si>
  <si>
    <t>Allocation Scenarios</t>
  </si>
  <si>
    <t>Validate end-to-end daily allocation business rules for the 00:00 Vietnam cutoff, immutable server priority, all-or-nothing fulfillment and no batch swapping. New orders created after a shortage receive new priority; discounted batches must still meet the original effective MLOR.</t>
  </si>
  <si>
    <t>Publish versioned warehouse transit-distance rules with valid non-overlapping bands, costs and effective periods. Resolve the correct historical version and handle exact upper bounds and routes beyond the supported dista</t>
  </si>
  <si>
    <t>TransitTableServiceTests</t>
  </si>
  <si>
    <t>Distance-band intervals and versioned transit rules</t>
  </si>
  <si>
    <t>F-29</t>
  </si>
  <si>
    <t>Transit Table</t>
  </si>
  <si>
    <t>Publish versioned warehouse transit-distance rules with valid non-overlapping bands, costs and effective periods. Resolve the correct historical version and handle exact upper bounds and routes beyond the supported distance consistently.</t>
  </si>
  <si>
    <t>Generate and validate stable FSCM business identifiers for orders, batches, picking documents, offline drafts and QR payloads. Enforce document prefixes, zero padding, field-length constraints, device-code association an</t>
  </si>
  <si>
    <t>Flutter business code formatting and validation</t>
  </si>
  <si>
    <t>F-30</t>
  </si>
  <si>
    <t>MB Business IDs</t>
  </si>
  <si>
    <t>Generate and validate stable FSCM business identifiers for orders, batches, picking documents, offline drafts and QR payloads. Enforce document prefixes, zero padding, field-length constraints, device-code association and invalid-code rejection.</t>
  </si>
  <si>
    <t>Allow a Retailer to select prepaid bank transfer after the approved quotation or deferred payment only with an active approved retailer credit term. Reject COD, verify full prepaid payment before dispatch, start deferred</t>
  </si>
  <si>
    <t>PaymentServiceTests</t>
  </si>
  <si>
    <t>Final price, prepaid/deferred payment and receivable terms; reject COD</t>
  </si>
  <si>
    <t>F-31</t>
  </si>
  <si>
    <t>Payment Service</t>
  </si>
  <si>
    <t>Allow a Retailer to select prepaid bank transfer after the approved quotation or deferred payment only with an active approved retailer credit term. Reject COD, verify full prepaid payment before dispatch, start deferred due dates from full receipt and enforce cash/transfer actor permissions.</t>
  </si>
  <si>
    <t>Issue warehouse picking lists only after a valid approved quotation becomes a Purchase Order through eligible deferred acceptance or fully verified prepaid transfer. Generate one idempotent list per warehouse, preserve a</t>
  </si>
  <si>
    <t>RunPickingIssueTests</t>
  </si>
  <si>
    <t>Create grouped warehouse picking documents after approval</t>
  </si>
  <si>
    <t>F-32</t>
  </si>
  <si>
    <t>Run Picking Issue</t>
  </si>
  <si>
    <t>Issue warehouse picking lists only after a valid approved quotation becomes a Purchase Order through eligible deferred acceptance or fully verified prepaid transfer. Generate one idempotent list per warehouse, preserve allocation prices and do not move stock merely by issuing a list.</t>
  </si>
  <si>
    <t>Authenticate active FSCM accounts, issue scoped access and refresh tokens, enforce failed-login lockout and safe token rotation, and allow Microsoft Entra exchange only for preprovisioned authorized users. Prevent unauth</t>
  </si>
  <si>
    <t>IdentityServiceTests</t>
  </si>
  <si>
    <t>JWT sign-in, scoped access, lockout and token rotation</t>
  </si>
  <si>
    <t>F-33</t>
  </si>
  <si>
    <t>Identity Service</t>
  </si>
  <si>
    <t>Authenticate active FSCM accounts, issue scoped access and refresh tokens, enforce failed-login lockout and safe token rotation, and allow Microsoft Entra exchange only for preprovisioned authorized users. Prevent unauthorized Administrator creation or role promotion.</t>
  </si>
  <si>
    <t>Keep cached offline orders as local drafts until Sales explicitly selects Send; reconnection alone must not submit them. Revalidate current price, MLOR and retailer assignment; require confirmation of changes and use imm</t>
  </si>
  <si>
    <t>MobileSnapshotServiceTests</t>
  </si>
  <si>
    <t>Manual offline Send, server revalidation, idempotency and technical retry</t>
  </si>
  <si>
    <t>F-34</t>
  </si>
  <si>
    <t>Offline Snapshot &amp; Queue</t>
  </si>
  <si>
    <t>Keep cached offline orders as local drafts until Sales explicitly selects Send; reconnection alone must not submit them. Revalidate current price, MLOR and retailer assignment; require confirmation of changes and use immutable idempotency keys for safe technical retries.</t>
  </si>
  <si>
    <t>Maintain regions, Sales groups, member history and retailer coverage with correct active assignments. Restrict orders and queries to the actor’s current territory, including server revalidation when an offline draft is s</t>
  </si>
  <si>
    <t>TerritoryServiceTests</t>
  </si>
  <si>
    <t>Sales-group assignment and data-scope authorization</t>
  </si>
  <si>
    <t>F-35</t>
  </si>
  <si>
    <t>Territory Service</t>
  </si>
  <si>
    <t>Maintain regions, Sales groups, member history and retailer coverage with correct active assignments. Restrict orders and queries to the actor’s current territory, including server revalidation when an offline draft is submitted after an assignment change.</t>
  </si>
  <si>
    <t xml:space="preserve">Maintain consistent batch balances across reservation, picking, dispatch, lock and release transitions. Physical stock decreases only on authorized dispatch, repeated commands remain idempotent and delivery failure does </t>
  </si>
  <si>
    <t>InventoryLifecycleServiceTests</t>
  </si>
  <si>
    <t>Reservation, dispatch issue and release ledger</t>
  </si>
  <si>
    <t>F-36</t>
  </si>
  <si>
    <t>Inventory Lifecycle</t>
  </si>
  <si>
    <t>Maintain consistent batch balances across reservation, picking, dispatch, lock and release transitions. Physical stock decreases only on authorized dispatch, repeated commands remain idempotent and delivery failure does not automatically return stock without approved resolution.</t>
  </si>
  <si>
    <t>Lock damaged, expired or otherwise unusable inventory in the authorized warehouse without exceeding physical quantity or silently altering reserved stock. Record required reasons, evidence and resolution flags, and rejec</t>
  </si>
  <si>
    <t>InventoryLockServiceTests</t>
  </si>
  <si>
    <t>Quality/expiry stock lock and role restrictions</t>
  </si>
  <si>
    <t>F-37</t>
  </si>
  <si>
    <t>Inventory Lock</t>
  </si>
  <si>
    <t>Lock damaged, expired or otherwise unusable inventory in the authorized warehouse without exceeding physical quantity or silently altering reserved stock. Record required reasons, evidence and resolution flags, and reject unauthorized unlocking or exception settlement.</t>
  </si>
  <si>
    <t xml:space="preserve">Authorize both Administrator and Operator to create, price, edit Draft, publish and inactivate SKU records within their scopes; preserve unique SKU, versioned prices and Published immutability. Unauthorized users cannot </t>
  </si>
  <si>
    <t>CatalogServiceTests</t>
  </si>
  <si>
    <t>Category hierarchy and product publish/clone lifecycle</t>
  </si>
  <si>
    <t>F-38</t>
  </si>
  <si>
    <t>Catalog Service</t>
  </si>
  <si>
    <t>Authorize both Administrator and Operator to create, price, edit Draft, publish and inactivate SKU records within their scopes; preserve unique SKU, versioned prices and Published immutability. Unauthorized users cannot edit; replacements create independent Draft versions without stock/history transfer.</t>
  </si>
  <si>
    <t>Function Code</t>
  </si>
  <si>
    <t>Created By</t>
  </si>
  <si>
    <t>Executed By</t>
  </si>
  <si>
    <t>Lines  of code</t>
  </si>
  <si>
    <t>Lack of test cases</t>
  </si>
  <si>
    <t>Test requirement</t>
  </si>
  <si>
    <t>N/A/B</t>
  </si>
  <si>
    <t>UTCID01</t>
  </si>
  <si>
    <t>UTCID02</t>
  </si>
  <si>
    <t>UTCID03</t>
  </si>
  <si>
    <t>UTCID04</t>
  </si>
  <si>
    <t>UTCID05</t>
  </si>
  <si>
    <t>UTCID06</t>
  </si>
  <si>
    <t>Condition</t>
  </si>
  <si>
    <t>Input / scenario</t>
  </si>
  <si>
    <t>Draft plan has no approved final price or stock reservation</t>
  </si>
  <si>
    <t>O</t>
  </si>
  <si>
    <t>Admin approves priced proposal version v2 with current version token</t>
  </si>
  <si>
    <t>Second decision is made on an already approved proposal</t>
  </si>
  <si>
    <t>Admin approves using stale expected proposal version</t>
  </si>
  <si>
    <t>Admin requests recalculation with reason and version v2</t>
  </si>
  <si>
    <t>Recalculation is requested without a reason</t>
  </si>
  <si>
    <t>Confirm</t>
  </si>
  <si>
    <t>Expected result</t>
  </si>
  <si>
    <t>Run is AwaitingApproval; no quotation, PO, reservation or picking list exists</t>
  </si>
  <si>
    <t>One approved price version is recorded; reservation and quotation are consistent</t>
  </si>
  <si>
    <t>Reject incompatible re-decision; no extra reservation or pricing snapshot</t>
  </si>
  <si>
    <t>409 conflict; no stock hold, PO, picking or payment side effects</t>
  </si>
  <si>
    <t>New proposal version is pending; old approved trace retained; no silent price overwrite</t>
  </si>
  <si>
    <t>Validation error; current proposal status and price snapshot unchanged</t>
  </si>
  <si>
    <t>Result</t>
  </si>
  <si>
    <t>Type(N : Normal, A : Abnormal, B : Boundary)</t>
  </si>
  <si>
    <t>Passed/Failed</t>
  </si>
  <si>
    <t>Sub total</t>
  </si>
  <si>
    <t>Executed Date</t>
  </si>
  <si>
    <t>Defect ID</t>
  </si>
  <si>
    <t>Test coverage</t>
  </si>
  <si>
    <t>%</t>
  </si>
  <si>
    <t>Test successful coverage</t>
  </si>
  <si>
    <t>Normal case</t>
  </si>
  <si>
    <t>Abnormal case</t>
  </si>
  <si>
    <t>Boundary case</t>
  </si>
  <si>
    <t>Operator submits bank transfer evidence; independent Administrator verifies</t>
  </si>
  <si>
    <t>Refund concerns 3 damaged units of batch X whose approved net unit price is 85</t>
  </si>
  <si>
    <t>Administrator rejects inadequate refund proof; Operator re-submits supplements</t>
  </si>
  <si>
    <t>User who submitted refund evidence attempts to verify it</t>
  </si>
  <si>
    <t>Allocate eligible warehouse batches to orders in server-acceptance priority without replacing batches already given to earlier orders. Support multi-batch fulfillment; if any required line is short, release all tentative draws for that order to the shared pool. At equal weighted score use earliest expiry, shortest route distance, then ascending batch code; do not swap an earlier order batch for a later order.</t>
  </si>
  <si>
    <t>Two-person authorization; verification cannot debit loyalty again</t>
  </si>
  <si>
    <t>Max approved refund = 255 based on affected batch X net price, not list/average</t>
  </si>
  <si>
    <t>Preserve rejected evidence history; only new verified evidence can complete refund</t>
  </si>
  <si>
    <t>Separation-of-duties 403; no duplicate payment, refund or points reversal</t>
  </si>
  <si>
    <t>Earlier eligible order A needs 10; later order B needs same 10</t>
  </si>
  <si>
    <t>Later order has shorter route or better FEFO score than already fulfilled A</t>
  </si>
  <si>
    <t>First order has two lines; second line cannot be filled</t>
  </si>
  <si>
    <t>Short order releases 10 from SKU-A; later complete order requests 10</t>
  </si>
  <si>
    <t>Order needs 10 split between batches/warehouses 6 + 4</t>
  </si>
  <si>
    <t>A owns its allocated batch; later B cannot take or swap that allocation</t>
  </si>
  <si>
    <t>Never displace A batch; later order is short if pool is insufficient</t>
  </si>
  <si>
    <t>Return all tentative draws for first order; no partial fulfillment</t>
  </si>
  <si>
    <t>Later eligible order can use released pool without inheriting old priority</t>
  </si>
  <si>
    <t>Exactly 10 allocated with trace per batch/warehouse, no duplicate count</t>
  </si>
  <si>
    <t>Reject COD as an unsupported payment method. Verify a full prepaid bank transfer only after final-price approval and before dispatch; allow full cash collection for an assigned, delivered deferred order and restrict bank-transfer verification to authorized staff. Credit cash collection remains assigned Sales only after delivery; transfer verification requires authorized Operator/Administrator.</t>
  </si>
  <si>
    <t>Any actor requests COD for an order at any status</t>
  </si>
  <si>
    <t>Operator verifies full prepaid BANK TRANSFER proof after approved final quote and before dispatch</t>
  </si>
  <si>
    <t>Sales collects CASH for own fully delivered deferred order under valid credit term</t>
  </si>
  <si>
    <t>Sales tries bank-transfer verification or submits partial deferred collection</t>
  </si>
  <si>
    <t>Unsupported COD rejected; payment/PO/dispatch/ledger unchanged</t>
  </si>
  <si>
    <t>Create one verified prepaid payment against approved net price before deadline; replay idempotent</t>
  </si>
  <si>
    <t>Full cash collection is allowed only for assigned Sales; record once with evidence</t>
  </si>
  <si>
    <t>Reject wrong actor or partial amount; Operator/Admin checks bank transfer; no premature settlement</t>
  </si>
  <si>
    <t>Creating receipt keeps inventory unchanged until approval</t>
  </si>
  <si>
    <t>Approval creates business batch and inventory ledger</t>
  </si>
  <si>
    <t>Same warehouse sku and expiry merges into existing batch on approv…</t>
  </si>
  <si>
    <t>Repeated create and approval are idempotent without adding stock t…</t>
  </si>
  <si>
    <t>Reusing idempotency key for changed payload is rejected</t>
  </si>
  <si>
    <t>Creating receipt keeps inventory unchanged until approval.</t>
  </si>
  <si>
    <t>Approval creates business batch and inventory ledger.</t>
  </si>
  <si>
    <t>Same warehouse sku and expiry merges into existing batch on approval.</t>
  </si>
  <si>
    <t>Repeated create and approval are idempotent without adding stock twic…</t>
  </si>
  <si>
    <t>Reusing idempotency key for changed payload is rejected.</t>
  </si>
  <si>
    <t>Generate creates code and is idempotent</t>
  </si>
  <si>
    <t>Generate rejects quantity above unlabelled physical stock</t>
  </si>
  <si>
    <t>Generate counts picked stock but excludes already issued labels</t>
  </si>
  <si>
    <t>Split reduces parent and links child to root</t>
  </si>
  <si>
    <t>Generate creates code and is idempotent.</t>
  </si>
  <si>
    <t>Generate rejects quantity above unlabelled physical stock.</t>
  </si>
  <si>
    <t>Generate counts picked stock but excludes already issued labels.</t>
  </si>
  <si>
    <t>Split reduces parent and links child to root.</t>
  </si>
  <si>
    <t>Scheduler plans same dated run a second time</t>
  </si>
  <si>
    <t>Unknown run ID is requested for planning</t>
  </si>
  <si>
    <t>Route unavailable for all batches at cutoff snapshot</t>
  </si>
  <si>
    <t>All eligible orders share one accepted server-timestamp order</t>
  </si>
  <si>
    <t>Second planning attempt cannot overwrite committed run snapshot or priority</t>
  </si>
  <si>
    <t>Order is complete across warehouse A and B with approved batch prices</t>
  </si>
  <si>
    <t>NotFound, no new run and no writes to stock/trace</t>
  </si>
  <si>
    <t>Complete A and short B appear in one daily run</t>
  </si>
  <si>
    <t>Orders are Short with shortage cause; no stock reserved</t>
  </si>
  <si>
    <t>Order is short and user chooses Create New Order</t>
  </si>
  <si>
    <t>One order line is Released because another line is short</t>
  </si>
  <si>
    <t>One AwaitingApproval proposal; shared tentative pool leaves physical stock unchanged</t>
  </si>
  <si>
    <t>Result aggregates exact chosen quantities and price versions per portion</t>
  </si>
  <si>
    <t>Only A may reserve after approval; B is short and has no held stock</t>
  </si>
  <si>
    <t>New order has new key and server acceptance timestamp; old priority never retained</t>
  </si>
  <si>
    <t>Display Released/Short reason correctly; no partial allocation made permanent</t>
  </si>
  <si>
    <t>Retailer SKU MLOR=70% and parent category MLOR=50%</t>
  </si>
  <si>
    <t>Retailer has no SKU MLOR, category MLOR=60%</t>
  </si>
  <si>
    <t>Discount eligible tier exists for batch whose life at ETA fails effective MLOR</t>
  </si>
  <si>
    <t>No retailer SKU/category rule, product default MLOR=40%</t>
  </si>
  <si>
    <t>Batch does not meet configured SKU MLOR at projected ETA</t>
  </si>
  <si>
    <t>Candidate pool mixes expired, out-of-range and eligible batches</t>
  </si>
  <si>
    <t>Two eligible batches differ in weighted distance/FEFO score</t>
  </si>
  <si>
    <t>Earlier line loses tentative stock because another line is short</t>
  </si>
  <si>
    <t>Resolve SKU 70%; record effective policy and version</t>
  </si>
  <si>
    <t>Resolve category 60%; product default only when neither exists</t>
  </si>
  <si>
    <t>Reject batch first; near-expiry override is future scope, discount cannot relax MLOR</t>
  </si>
  <si>
    <t>Use product default; evaluate at ETA with policy snapshot</t>
  </si>
  <si>
    <t>Trace rejects at eligibility filter with MLOR reason, before discount</t>
  </si>
  <si>
    <t>Trace records consistent stage and deterministic rejection reasons</t>
  </si>
  <si>
    <t>Trace retains winning and losing score components and tie-break reason</t>
  </si>
  <si>
    <t>Trace shows released quantity/reason; no approved reservation exists</t>
  </si>
  <si>
    <t>Filter stock by batch availability, expiry, service reach and MLOR, then allocate deterministically under server order priority (score tie: earlier expiry, nearer warehouse, ascending batch code) and whole-order fulfillment rules. Compare Weighted FEFO and Strict FEFO on identical eligible data using complete/short counts, near-expiry quantity, distance, warehouses used and runtime.</t>
  </si>
  <si>
    <t>UTCID07</t>
  </si>
  <si>
    <t>Eligible and ineligible batches mixed; MLOR, expiry, locks and ETA apply</t>
  </si>
  <si>
    <t>At ETA batch life is one hour below minimum despite discounted price</t>
  </si>
  <si>
    <t>SKU percentage tier and category percentage tier both match the same eligible batch</t>
  </si>
  <si>
    <t>Same eligible pool has near and far warehouses with weighted priorities</t>
  </si>
  <si>
    <t>One batch partly consumed; another order follows in run priority</t>
  </si>
  <si>
    <t>SKU tier absent; category tier 15% matches batch remaining life at pricing moment</t>
  </si>
  <si>
    <t>Fixed-amount discount submitted (12 VND per unit, 7 units); compare unchanged percentage-only tier and state.</t>
  </si>
  <si>
    <t>Percentage tier boundary produces fractional VND; reject fixed tier and rounded zero net unit price.</t>
  </si>
  <si>
    <t>Apply SKU tier once; no stacking and no MLOR relaxation</t>
  </si>
  <si>
    <t>Apply category 15% after batch eligibility, preserve source/version snapshot</t>
  </si>
  <si>
    <t>Reject fixed amount discount configuration; no accepted rule/price record. Valid percentage 12% of 100 VND × 7 units yields total reduction 84 VND, net 616 VND.</t>
  </si>
  <si>
    <t>Use approved currency rounding and upper-exclusive band; net per unit &gt; 0; never waive MLOR</t>
  </si>
  <si>
    <t>Order cannot fill every required line after greedy selection</t>
  </si>
  <si>
    <t>Three candidates have identical weighted scores: first compare expiry; at same expiry compare warehouse distance; at same distance compare batch code.</t>
  </si>
  <si>
    <t>Weighted FEFO and strict FEFO use identical eligible pool, priority and all-or-nothing rule</t>
  </si>
  <si>
    <t>Apply every hard eligibility filter before scoring or discounting</t>
  </si>
  <si>
    <t>Reject batch; no same-day rounding or MLOR override</t>
  </si>
  <si>
    <t>Use documented deterministic weighted score; record total distance</t>
  </si>
  <si>
    <t>Recompute coverage from remaining pool, not original on-hand</t>
  </si>
  <si>
    <t>All-or-nothing; count Short order and release all tentative draws</t>
  </si>
  <si>
    <t>On equal weighted scores, choose earliest expiry; if tied choose nearer warehouse; if still tied choose lexicographically lower batch code; same trace on rerun.</t>
  </si>
  <si>
    <t>Record complete/short orders, near-expiry qty, distance, warehouses/order, runtime for both; do not assert global optimum</t>
  </si>
  <si>
    <t>Create scoped promotions, including group SKU threshold measured from the SUM of eligible SKU quantities in the SAME Sales Order (SKU_A 6 + SKU_B 4 meets 10). Apply best ordinary promotion per line with deterministic code tie-break. Shelf-life tiers accept percentages &lt;100% only; fixed discount and zero final price are rejected.</t>
  </si>
  <si>
    <t>Admin/Operator creates promotion for group SKU_A+SKU_B requiring 10 cartons across eligible lines of one Sales Order.</t>
  </si>
  <si>
    <t>Campaign dates span UTC/Vietnam-day boundary</t>
  </si>
  <si>
    <t>Admin attempts to configure fixed-amount shelf-life tier; valid 20% tier is also submitted.</t>
  </si>
  <si>
    <t>Discount tier validity overlaps another tier in same scope</t>
  </si>
  <si>
    <t>Group promotion has SKU_A=6 and SKU_B=4 in same order (threshold 10), then 20% eligible shelf-life tier on selected batch.</t>
  </si>
  <si>
    <t>Sales sends assigned-retailer order with valid line, no batch chosen</t>
  </si>
  <si>
    <t>Server receives same request key and unchanged payload twice</t>
  </si>
  <si>
    <t>Sales attempts order for retailer outside current territory</t>
  </si>
  <si>
    <t>Operator reviews order BEFORE 00:00, but server accepted it AFTER cutoff</t>
  </si>
  <si>
    <t>Payload edited after conflict, but same completed idempotency key reused</t>
  </si>
  <si>
    <t>Valid group threshold: A6+B4 or A10; reject A6+B3 and A6+foreign SKU4; preserve eligible scope and audit.</t>
  </si>
  <si>
    <t>Compare to authoritative business clock without shifting rule unexpectedly</t>
  </si>
  <si>
    <t>Fixed-amount tier rejected; only percentage tiers &lt;100% accepted; 100% or rounded-to-zero final price rejected.</t>
  </si>
  <si>
    <t>Reject conflicting tier versions; no duplicate application</t>
  </si>
  <si>
    <t>Apply 10% group promotion to 6×100,000 + 4×50,000 = 800,000 VND (net 720,000), then independent % shelf-life discount by eligible batch; one ordinary promotion per line.</t>
  </si>
  <si>
    <t>Create Sales Order PendingReview; not a PO and no inventory reservation</t>
  </si>
  <si>
    <t>One Sales Order and one server timestamp; no duplicated promotion/stock effect</t>
  </si>
  <si>
    <t>Forbidden; no order or accepted timestamp</t>
  </si>
  <si>
    <t>Exclude from current run; next eligible run only</t>
  </si>
  <si>
    <t>Reject key reuse; new intentional submission requires a NEW key</t>
  </si>
  <si>
    <t>Admin sees all reps ranked by recognized revenue desc</t>
  </si>
  <si>
    <t>Sales manager only sees own group members</t>
  </si>
  <si>
    <t>Sales manager cannot query a group they do not belong to</t>
  </si>
  <si>
    <t>Sales with no active group is forbidden</t>
  </si>
  <si>
    <t>Admin sees all reps ranked by recognized revenue desc.</t>
  </si>
  <si>
    <t>Sales manager only sees own group members.</t>
  </si>
  <si>
    <t>Sales manager cannot query a group they do not belong to.</t>
  </si>
  <si>
    <t>Sales with no active group is forbidden.</t>
  </si>
  <si>
    <t>Declaration calculates size and class a and assigns temporary code</t>
  </si>
  <si>
    <t>Approval activates retailer and replaces declaration code</t>
  </si>
  <si>
    <t>Rejection requires reason</t>
  </si>
  <si>
    <t>Approval requires reason</t>
  </si>
  <si>
    <t>Duplicate retailer declaration is rejected</t>
  </si>
  <si>
    <t>Declaration calculates size and class a and assigns temporary code.</t>
  </si>
  <si>
    <t>Approval activates retailer and replaces declaration code.</t>
  </si>
  <si>
    <t>Rejection requires reason.</t>
  </si>
  <si>
    <t>Approval requires reason.</t>
  </si>
  <si>
    <t>Duplicate retailer declaration is rejected.</t>
  </si>
  <si>
    <t>Award points exactly once at floor(eligible settled net VND / 10,000) only after full physical receipt of all shipment quantities, financial settlement and no unresolved complaint. Do not complete a partially received order by adjustment alone. Allow audited correction and negative balances; staff finalize gift fulfillment after documented delivery without mandatory Retailer confirmation.</t>
  </si>
  <si>
    <t>All shipped quantities physically received; payment fully settled; no unresolved complaint; eligible amount 612,000 VND.</t>
  </si>
  <si>
    <t>Order has unresolved complaint OR missing units OR outstanding settlement</t>
  </si>
  <si>
    <t>Authorized adjustment posted after Completed exceeds available loyalty points</t>
  </si>
  <si>
    <t>Retailer requests gift with sufficient available points and stock</t>
  </si>
  <si>
    <t>Gift physically delivered with staff delivery evidence; authorized Operator/Admin finalizes fulfillment (Retailer confirmation is not required).</t>
  </si>
  <si>
    <t>After full physical receipt and payment, award floor(eligible net VND/10,000) points exactly once; e.g., 612,000 VND -&gt; 61 points.</t>
  </si>
  <si>
    <t>No Completed and no points for any missing quantity, even after complaint adjustment or staff settlement.</t>
  </si>
  <si>
    <t>Post linked correction once, allow audited negative balance and prevent duplicate reverse</t>
  </si>
  <si>
    <t>Hold once; on Admin approval consume hold once; reject/cancel releases</t>
  </si>
  <si>
    <t>Authorized Admin/Operator completes after gift delivery evidence; no Retailer confirmation is required; no double point debit.</t>
  </si>
  <si>
    <t>Run approved and picking pending; dispatch slot not yet available</t>
  </si>
  <si>
    <t>Order accepted at/after 00:00 Vietnam local business-date cutoff</t>
  </si>
  <si>
    <t>Order accepted on 31/12 at 23:59:59 ICT; next is Jan 1</t>
  </si>
  <si>
    <t>Distance/transit configuration revised after earlier ETA snapshot</t>
  </si>
  <si>
    <t>Map provider is unavailable and no trusted route is cached</t>
  </si>
  <si>
    <t>ETA includes post-picking slot and transit, not only driving duration</t>
  </si>
  <si>
    <t>ETA uses following eligible run date; never device-local time</t>
  </si>
  <si>
    <t>Business-date conversion retains Asia/Ho_Chi_Minh month/year rollover</t>
  </si>
  <si>
    <t>Use versioned location, distance and transit tables for that snapshot</t>
  </si>
  <si>
    <t>Fail controlled; do not substitute distance=0 or bypass radius</t>
  </si>
  <si>
    <t>All warehouse portions marked Ready but prepaid bank transfer remains unverified</t>
  </si>
  <si>
    <t>All warehouses Ready but a batch is Locked or an unresolved pick exception exists</t>
  </si>
  <si>
    <t>Retailer confirms receipt with received=0 and missing=expected for a shipment</t>
  </si>
  <si>
    <t>Retailer reports received=7 but damaged=8 for expected 10</t>
  </si>
  <si>
    <t>All shipments have receipt confirmations but total actually received is short</t>
  </si>
  <si>
    <t>Eligible near-expiry allocated batch matches approved percentage shelf-life tier</t>
  </si>
  <si>
    <t>Eligible allocated quantity splits 6 units from warehouse A and 4 from warehouse B</t>
  </si>
  <si>
    <t>Plan contains two batches with distinct final net unit prices and shared SKU</t>
  </si>
  <si>
    <t>One batch fails MLOR or expiry check even though discount would be large</t>
  </si>
  <si>
    <t>Reject dispatch: prepaid requires fully verified final amount before dispatch</t>
  </si>
  <si>
    <t>Compute per-batch percent discount after eligibility, preserve effective tier/version</t>
  </si>
  <si>
    <t>Block entire order dispatch until authorized exception decision and stock check</t>
  </si>
  <si>
    <t>Persist discrepancy; no Delivered, no loyalty points and no automatic stock return</t>
  </si>
  <si>
    <t>Percentage-only discount snapshots independently preserved across split warehouse/batch lines.</t>
  </si>
  <si>
    <t>Deduct 84 total on correct net basis; no stacking, round as approved</t>
  </si>
  <si>
    <t>Reject: 0 ≤ damaged ≤ received; no partially committed receipt</t>
  </si>
  <si>
    <t>Do not average batch prices; refund uses exact affected batch net unit price</t>
  </si>
  <si>
    <t>Order remains non-Delivered until authorized settlement; no premature points</t>
  </si>
  <si>
    <t>Reject batch before pricing; discount does not change hard eligibility</t>
  </si>
  <si>
    <t>Keeper scans correct batch QR against assigned warehouse picking gather</t>
  </si>
  <si>
    <t>Keeper scans duplicate or wrong-warehouse/locked QR label</t>
  </si>
  <si>
    <t>Keeper raises shortage/pick exception before line completion</t>
  </si>
  <si>
    <t>Admin resolves picking exception and permits documented recovery</t>
  </si>
  <si>
    <t>All picking quantities complete but separate lock/exception still open</t>
  </si>
  <si>
    <t>Record picked quantity and split mapping without issuing physical stock</t>
  </si>
  <si>
    <t>Shipment records are queried repeatedly after each warehouse has completed its picking</t>
  </si>
  <si>
    <t>Reject scan atomically; preserve gather, reservation and price mapping</t>
  </si>
  <si>
    <t>Block readiness until authorized resolution; preserve audit/evidence</t>
  </si>
  <si>
    <t>Operator retries delivery or reconciliation after a failed attempt</t>
  </si>
  <si>
    <t>One shipment fails and no signed return or stock resolution exists</t>
  </si>
  <si>
    <t>Resume/rework only authorized lines; do not silently substitute batch</t>
  </si>
  <si>
    <t>All shipment receipts confirmed yet one portion is missing units</t>
  </si>
  <si>
    <t>Unauthorised user attempts to settle/close disputed shipment</t>
  </si>
  <si>
    <t>Do not permit dispatch solely from Ready flags</t>
  </si>
  <si>
    <t>Create/reconcile one shipment per valid warehouse portion with stable IDs</t>
  </si>
  <si>
    <t>No duplicate shipment/attempt; authorized state decision, audit, and idempotency</t>
  </si>
  <si>
    <t>No automatic stock credit; retain issued stock and exception for Admin decision</t>
  </si>
  <si>
    <t>Do not mark order Delivered on confirmation count alone; reconcile actual quantities</t>
  </si>
  <si>
    <t>Reject unauthorized action; preserve disputed balance and evidence</t>
  </si>
  <si>
    <t>Administrator approves valid price version and stock remains eligible</t>
  </si>
  <si>
    <t>Successful reservation writes batch and ledger links</t>
  </si>
  <si>
    <t>Approval/reservation call retries same plan version</t>
  </si>
  <si>
    <t>Another transaction consumes stock between planning and approval</t>
  </si>
  <si>
    <t>Batch expires/is locked between planning and reservation</t>
  </si>
  <si>
    <t>Order line split into batches X and Y with distinct net prices</t>
  </si>
  <si>
    <t>Daily sweep visits batch after real expiry timestamp</t>
  </si>
  <si>
    <t>Approved order has two lines with independently rounded split totals</t>
  </si>
  <si>
    <t>Expired batch unreserved/available</t>
  </si>
  <si>
    <t>Refund request identifies damaged qty from batch Y</t>
  </si>
  <si>
    <t>Server accepted 23:59:59 and Operator approved 23:59:59 Asia/Ho_Chi_Minh</t>
  </si>
  <si>
    <t>Expired batch overlaps live reservation</t>
  </si>
  <si>
    <t>Plan version awaits Administrator price approval</t>
  </si>
  <si>
    <t>Near-expiry but still valid batch</t>
  </si>
  <si>
    <t>Outbox delivers same business event twice</t>
  </si>
  <si>
    <t>Either acceptance or approval is exactly 00:00 Vietnam local time</t>
  </si>
  <si>
    <t>Notification send fails transiently</t>
  </si>
  <si>
    <t>Either server acceptance or Operator approval falls after 00:00 cutoff</t>
  </si>
  <si>
    <t>Retry limit exceeded by permanent payload error</t>
  </si>
  <si>
    <t>31 December 23:59:59 transitions to 1 January 00:00 Vietnam local time</t>
  </si>
  <si>
    <t>Mobile device clock is manipulated before Sales manually sends a draft</t>
  </si>
  <si>
    <t>Reserve once after approval; physical on-hand unchanged</t>
  </si>
  <si>
    <t>Each reserved fragment points to approved allocation price snapshot</t>
  </si>
  <si>
    <t>No duplicate reservation or outbox side effect</t>
  </si>
  <si>
    <t>Mark expired once, persist outbox and track business date</t>
  </si>
  <si>
    <t>All-or-nothing conflict; no partial reservation or picking release</t>
  </si>
  <si>
    <t>Lock unusable quantity without changing physical balance</t>
  </si>
  <si>
    <t>Read model returns independent quantity/price snapshot for each batch</t>
  </si>
  <si>
    <t>Reject hold and require authorized recalculation; no stock overdraft</t>
  </si>
  <si>
    <t>Flag for authorized resolution; never silently release order stock</t>
  </si>
  <si>
    <t>Order total equals sum of approved net split amounts, no re-price</t>
  </si>
  <si>
    <t>Refund cap uses Y allocated net price only, not average/list price</t>
  </si>
  <si>
    <t>Only mark near expiry; no false expired lock or sale bypass</t>
  </si>
  <si>
    <t>Do not expose pending version as final or refundable price</t>
  </si>
  <si>
    <t>Consumer deduplicates by event and recipient; no repeated loyalty effect</t>
  </si>
  <si>
    <t>Retry as documented; transaction and business state remain committed</t>
  </si>
  <si>
    <t>Persist Failed, evidence and alert; no duplicate business writes</t>
  </si>
  <si>
    <t>Include in cutoff snapshot; sort by server acceptance time then order code</t>
  </si>
  <si>
    <t>Exclude from prior-day cutoff; include in next eligible run, never keep prior priority</t>
  </si>
  <si>
    <t>Not eligible for the closed run; device time does not override server timestamps</t>
  </si>
  <si>
    <t>Correct date/year split; unique daily run keyed by Vietnam business date</t>
  </si>
  <si>
    <t>Server records real acceptance timestamp; no priority from local device time</t>
  </si>
  <si>
    <t>uses dots as thousands separators and the đ suffix</t>
  </si>
  <si>
    <t>negative amounts and rounding</t>
  </si>
  <si>
    <t>minus shows discounts, zero stays plain</t>
  </si>
  <si>
    <t>millions and billions use a decimal comma</t>
  </si>
  <si>
    <t>ignores separators and symbols</t>
  </si>
  <si>
    <t>available minus buffer, rounded down to a multiple of 10</t>
  </si>
  <si>
    <t>never negative</t>
  </si>
  <si>
    <t>Both acceptance and approval timestamps are strictly before 00:00</t>
  </si>
  <si>
    <t>Approval before cutoff but acceptance at 00:00; reverse case too</t>
  </si>
  <si>
    <t>Later order would be complete only by swapping earlier batch</t>
  </si>
  <si>
    <t>Short order resubmitted as new order after run closes</t>
  </si>
  <si>
    <t>Discount offered on otherwise ineligible MLOR batch</t>
  </si>
  <si>
    <t>uses dots as thousands separators and the đ suffix.</t>
  </si>
  <si>
    <t>negative amounts and rounding.</t>
  </si>
  <si>
    <t>minus shows discounts, zero stays plain.</t>
  </si>
  <si>
    <t>Order enters current eligible run in server acceptance priority</t>
  </si>
  <si>
    <t>Publish stores bands cost and first version</t>
  </si>
  <si>
    <t>millions and billions use a decimal comma.</t>
  </si>
  <si>
    <t>Publish closes the previous version instead of overwriting it</t>
  </si>
  <si>
    <t>ignores separators and symbols.</t>
  </si>
  <si>
    <t>Either late timestamp defers entire order to next run</t>
  </si>
  <si>
    <t>Lookup at a past moment returns the version that was in force</t>
  </si>
  <si>
    <t>available minus buffer, rounded down to a multiple of 10.</t>
  </si>
  <si>
    <t>Lookup treats the band upper bound as exclusive</t>
  </si>
  <si>
    <t>No swapping; earlier order keeps batch, later order is short</t>
  </si>
  <si>
    <t>never negative.</t>
  </si>
  <si>
    <t>New key/timestamp; no retained priority or automatic requeue</t>
  </si>
  <si>
    <t>Reject batch in hard filters; no near-expiry MLOR override</t>
  </si>
  <si>
    <t>Publish stores bands cost and first version.</t>
  </si>
  <si>
    <t>Publish closes the previous version instead of overwriting it.</t>
  </si>
  <si>
    <t>Lookup at a past moment returns the version that was in force.</t>
  </si>
  <si>
    <t>Lookup treats the band upper bound as exclusive.</t>
  </si>
  <si>
    <t>UTCID08</t>
  </si>
  <si>
    <t>UTCID09</t>
  </si>
  <si>
    <t>zero-padded business ids</t>
  </si>
  <si>
    <t>batch, picking list and documents</t>
  </si>
  <si>
    <t>offline order code is paired with the device code</t>
  </si>
  <si>
    <t>rejects values wider than the field</t>
  </si>
  <si>
    <t>accepts well-formed codes</t>
  </si>
  <si>
    <t>rejects malformed codes</t>
  </si>
  <si>
    <t>batchExpiry reads the date out of the batch code</t>
  </si>
  <si>
    <t>orderOfPickingList strips the warehouse letter</t>
  </si>
  <si>
    <t>recognises what a QR can carry</t>
  </si>
  <si>
    <t>zero-padded business ids.</t>
  </si>
  <si>
    <t>batch, picking list and documents.</t>
  </si>
  <si>
    <t>offline order code is paired with the device code.</t>
  </si>
  <si>
    <t>rejects values wider than the field.</t>
  </si>
  <si>
    <t>accepts well-formed codes.</t>
  </si>
  <si>
    <t>rejects malformed codes.</t>
  </si>
  <si>
    <t>batchExpiry reads the date out of the batch code.</t>
  </si>
  <si>
    <t>orderOfPickingList strips the warehouse letter.</t>
  </si>
  <si>
    <t>recognises what a QR can carry.</t>
  </si>
  <si>
    <t>Retailer accepts final-price quotation and chooses prepaid bank transfer</t>
  </si>
  <si>
    <t>Retailer without active approved payment term selects deferred payment</t>
  </si>
  <si>
    <t>Deferred order is actually fully received on date D with approved term 15 days</t>
  </si>
  <si>
    <t>Assigned Sales collects full outstanding CASH on delivered deferred receivable</t>
  </si>
  <si>
    <t>Login issues tokens and includes current scope</t>
  </si>
  <si>
    <t>Wrong role attempts transfer verification or COD request is submitted</t>
  </si>
  <si>
    <t>Login locks account after five failed attempts</t>
  </si>
  <si>
    <t>Refresh rotates the refresh token</t>
  </si>
  <si>
    <t>User management never creates or promotes admin</t>
  </si>
  <si>
    <t>Entra exchange links only preprovisioned entra account and issues…</t>
  </si>
  <si>
    <t>Quote approved but Retailer has NOT accepted / chosen payment</t>
  </si>
  <si>
    <t>Retailer accepts approved quote and authorized credit term is active</t>
  </si>
  <si>
    <t>Prepaid Retailer accepted but transfer not fully verified</t>
  </si>
  <si>
    <t>Same approved PO picking issue request is retried</t>
  </si>
  <si>
    <t>Two warehouses split same product with approved price references</t>
  </si>
  <si>
    <t>Verify full transfer by prepaid deadline, after approved quote and before dispatch</t>
  </si>
  <si>
    <t>Reject deferred, no PO or due-date creation; COD never offered</t>
  </si>
  <si>
    <t>Deferred due = D + 15 calendar days, based on full receipt, not quote/prepaid deadline</t>
  </si>
  <si>
    <t>Login issues tokens and includes current scope.</t>
  </si>
  <si>
    <t>Allow once, audit receipt; Sales cannot verify transfer or choose COD</t>
  </si>
  <si>
    <t>Login locks account after five failed attempts.</t>
  </si>
  <si>
    <t>Refresh rotates the refresh token.</t>
  </si>
  <si>
    <t>User management never creates or promotes admin.</t>
  </si>
  <si>
    <t>Reject forbidden actor/method, no payment side effects</t>
  </si>
  <si>
    <t>Entra exchange links only preprovisioned entra account and issues int…</t>
  </si>
  <si>
    <t>No PO yet; no picking lists released</t>
  </si>
  <si>
    <t>Issue PO and one picking document per warehouse</t>
  </si>
  <si>
    <t>Do not create/issue picking lists until authorized verification</t>
  </si>
  <si>
    <t>Return same picking documents; never duplicate issues</t>
  </si>
  <si>
    <t>Every split references immutable per-batch approved net pricing</t>
  </si>
  <si>
    <t xml:space="preserve">Type (N/B/A)	</t>
  </si>
  <si>
    <t>Pass/Fail (P/F)</t>
  </si>
  <si>
    <t xml:space="preserve">Executed Date	</t>
  </si>
  <si>
    <t>UTCID10</t>
  </si>
  <si>
    <t>Phone reconnects while Sales has one unsent offline draft</t>
  </si>
  <si>
    <t>Sales taps Send with current retailer assignment and unchanged price/MLOR snapshot</t>
  </si>
  <si>
    <t>Base price changes while offline draft is stored</t>
  </si>
  <si>
    <t>Retailer SKU/category MLOR changes while draft is stored</t>
  </si>
  <si>
    <t>Retailer is removed from Sales territory while draft is offline</t>
  </si>
  <si>
    <t>Sales changes a draft payload after a completed submission/rejection</t>
  </si>
  <si>
    <t>Transport times out after manual Send but server has accepted exact payload</t>
  </si>
  <si>
    <t>Two technical retries follow manual Send: attempts 1 and 2</t>
  </si>
  <si>
    <t>Reconnect happens while an unsent draft is pending</t>
  </si>
  <si>
    <t>Server accepted order but response was lost; Sales retries</t>
  </si>
  <si>
    <t>Draft stays queued; no automatic POST until Sales explicitly taps Send</t>
  </si>
  <si>
    <t>Submit one request; server validates before recording acceptance time</t>
  </si>
  <si>
    <t>Prompt Sales to confirm new authoritative price before sending a new submission</t>
  </si>
  <si>
    <t>Require explicit acceptance of changed terms; do not silently reuse cached condition</t>
  </si>
  <si>
    <t>Reject out-of-scope order; no new server order; draft remains visible</t>
  </si>
  <si>
    <t>Use a NEW idempotency key on intentional payload edit; old key replay never changes content</t>
  </si>
  <si>
    <t>Retry same immutable payload with SAME key; exactly one server order</t>
  </si>
  <si>
    <t>Backoff 20 s then 40 s; bounded; never bypass new-condition confirmation</t>
  </si>
  <si>
    <t>Automatic retry cannot bypass explicit Sales Send/confirm</t>
  </si>
  <si>
    <t>Exactly one server order/code; local queue becomes Synced on reconciliation</t>
  </si>
  <si>
    <t>Create region code and attach Sales group</t>
  </si>
  <si>
    <t>Sales was transferred to a different region after draft saved</t>
  </si>
  <si>
    <t>Sales Manager requests group or retailer from other region</t>
  </si>
  <si>
    <t>Retailer assignment changes while offline order waits</t>
  </si>
  <si>
    <t>Normalize code and restrict conflicting active assignments</t>
  </si>
  <si>
    <t>Historical membership retained; current scope used at manual submission</t>
  </si>
  <si>
    <t>Forbidden; no unrelated order/ledger data returned</t>
  </si>
  <si>
    <t>Reject stale scoped order; require refreshed server authorization</t>
  </si>
  <si>
    <t>Admin approved price; reservation is committed</t>
  </si>
  <si>
    <t>Dispatcher tries to issue more than reserved, or there is active lock</t>
  </si>
  <si>
    <t>Same dispatch movement is repeated after success</t>
  </si>
  <si>
    <t>Delivery failure occurs without Admin-approved return transaction</t>
  </si>
  <si>
    <t>Reserved rises, Available falls, OnHand unchanged until dispatch</t>
  </si>
  <si>
    <t>Reject atomically; no negative/phantom quantity</t>
  </si>
  <si>
    <t>One issue ledger transaction; no duplicated on-hand deduction</t>
  </si>
  <si>
    <t>Do not auto-credit inventory or release reservation</t>
  </si>
  <si>
    <t>Warehouse Keeper locks unreserved damaged quantity within own warehouse</t>
  </si>
  <si>
    <t>Lock overlaps stock already reserved for approved PO</t>
  </si>
  <si>
    <t>Lock quantity exceeds physical or violates invariant</t>
  </si>
  <si>
    <t>Sales actor tries to remove lock or settle picking exception</t>
  </si>
  <si>
    <t>Available falls, physical stays; reason/evidence are retained</t>
  </si>
  <si>
    <t>Mark for exception resolution; block dispatch until authorized</t>
  </si>
  <si>
    <t>Reject and keep balance/ledger untouched</t>
  </si>
  <si>
    <t>Forbidden; only designated actor may resolve and audit</t>
  </si>
  <si>
    <t>Published product is locked for edits</t>
  </si>
  <si>
    <t>Publishing replacement inactivates predecessor</t>
  </si>
  <si>
    <t>Clone creates independent draft and copies only allowed master data</t>
  </si>
  <si>
    <t>Clone accepts editable master data without creating replacement li…</t>
  </si>
  <si>
    <t>Clone rejects duplicate sku before saving</t>
  </si>
  <si>
    <t>Published product is locked for edits.</t>
  </si>
  <si>
    <t>Publishing replacement inactivates predecessor.</t>
  </si>
  <si>
    <t>Clone creates independent draft and copies only allowed master data.</t>
  </si>
  <si>
    <t>Clone accepts editable master data without creating replacement linea…</t>
  </si>
  <si>
    <t>Clone rejects duplicate sku before saving.</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</si>
</sst>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mm\-yy"/>
    <numFmt numFmtId="166" formatCode="d.m"/>
    <numFmt numFmtId="167" formatCode="mm/dd"/>
    <numFmt numFmtId="168" formatCode="yyyy-mm-dd"/>
    <numFmt numFmtId="169" formatCode="YYYY-MM-DD"/>
  </numFmts>
  <fonts count="36">
    <font>
      <sz val="11.0"/>
      <color rgb="FF000000"/>
      <name val="MS PGothic"/>
      <scheme val="minor"/>
    </font>
    <font>
      <b/>
      <sz val="18.0"/>
      <color theme="1"/>
      <name val="Tahoma"/>
    </font>
    <font>
      <b/>
      <sz val="11.0"/>
      <color theme="1"/>
      <name val="Tahoma"/>
    </font>
    <font>
      <sz val="10.0"/>
      <color theme="1"/>
      <name val="Tahoma"/>
    </font>
    <font>
      <b/>
      <sz val="12.0"/>
      <color theme="1"/>
      <name val="Tahoma"/>
    </font>
    <font>
      <b/>
      <sz val="14.0"/>
      <color theme="1"/>
      <name val="Tahoma"/>
    </font>
    <font>
      <sz val="11.0"/>
      <color theme="1"/>
      <name val="Tahoma"/>
    </font>
    <font>
      <b/>
      <sz val="26.0"/>
      <color rgb="FFFF0000"/>
      <name val="Tahoma"/>
    </font>
    <font>
      <b/>
      <sz val="20.0"/>
      <color rgb="FF000000"/>
      <name val="Tahoma"/>
    </font>
    <font/>
    <font>
      <b/>
      <sz val="10.0"/>
      <color rgb="FF993300"/>
      <name val="Tahoma"/>
    </font>
    <font>
      <i/>
      <sz val="10.0"/>
      <color rgb="FF008000"/>
      <name val="Tahoma"/>
    </font>
    <font>
      <i/>
      <sz val="10.0"/>
      <color theme="1"/>
      <name val="Tahoma"/>
    </font>
    <font>
      <i/>
      <sz val="11.0"/>
      <color theme="1"/>
      <name val="Tahoma"/>
    </font>
    <font>
      <b/>
      <sz val="10.0"/>
      <color theme="1"/>
      <name val="Tahoma"/>
    </font>
    <font>
      <b/>
      <sz val="10.0"/>
      <color rgb="FFFFFFFF"/>
      <name val="Tahoma"/>
    </font>
    <font>
      <b/>
      <sz val="10.0"/>
      <color rgb="FF000000"/>
      <name val="Tahoma"/>
    </font>
    <font>
      <b/>
      <sz val="10.0"/>
      <color rgb="FFFF0000"/>
      <name val="Tahoma"/>
    </font>
    <font>
      <u/>
      <sz val="10.0"/>
      <color rgb="FF0000FF"/>
      <name val="Tahoma"/>
    </font>
    <font>
      <sz val="10.0"/>
      <color rgb="FF000000"/>
      <name val="Tahoma"/>
    </font>
    <font>
      <u/>
      <sz val="10.0"/>
      <color rgb="FF0000FF"/>
      <name val="Tahoma"/>
    </font>
    <font>
      <sz val="10.0"/>
      <color rgb="FF0000FF"/>
      <name val="Tahoma"/>
    </font>
    <font>
      <sz val="8.0"/>
      <color theme="1"/>
      <name val="Tahoma"/>
    </font>
    <font>
      <b/>
      <sz val="8.0"/>
      <color theme="1"/>
      <name val="Tahoma"/>
    </font>
    <font>
      <i/>
      <sz val="8.0"/>
      <color theme="1"/>
      <name val="Tahoma"/>
    </font>
    <font>
      <b/>
      <sz val="8.0"/>
      <color rgb="FFFFFFFF"/>
      <name val="Tahoma"/>
    </font>
    <font>
      <sz val="8.0"/>
      <color rgb="FFFFFFFF"/>
      <name val="Tahoma"/>
    </font>
    <font>
      <sz val="8.0"/>
      <color theme="1"/>
      <name val="Calibri"/>
    </font>
    <font>
      <sz val="10.0"/>
      <color rgb="FFFFFFFF"/>
      <name val="Tahoma"/>
    </font>
    <font>
      <b/>
      <sz val="11.0"/>
      <color rgb="FFFFFFFF"/>
      <name val="Tahoma"/>
    </font>
    <font>
      <sz val="8.0"/>
      <color rgb="FF008000"/>
      <name val="Tahoma"/>
    </font>
    <font>
      <b/>
      <sz val="8.0"/>
      <color rgb="FF000000"/>
      <name val="Tahoma"/>
    </font>
    <font>
      <sz val="8.0"/>
      <color rgb="FF000000"/>
      <name val="Tahoma"/>
    </font>
    <font>
      <sz val="11.0"/>
      <color theme="1"/>
      <name val="MS PGothic"/>
    </font>
    <font>
      <color theme="1"/>
      <name val="Tahoma"/>
    </font>
    <font>
      <b/>
      <sz val="8.0"/>
      <color theme="1"/>
      <name val="MS PGothic"/>
    </font>
  </fonts>
  <fills count="7">
    <fill>
      <patternFill patternType="none"/>
    </fill>
    <fill>
      <patternFill patternType="lightGray"/>
    </fill>
    <fill>
      <patternFill patternType="solid">
        <fgColor rgb="FFCCFFCC"/>
        <bgColor rgb="FFCCFFCC"/>
      </patternFill>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FF9900"/>
        <bgColor rgb="FFFF9900"/>
      </patternFill>
    </fill>
  </fills>
  <borders count="137">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top/>
    </border>
    <border>
      <left style="hair">
        <color rgb="FF000000"/>
      </left>
      <right style="hair">
        <color rgb="FF000000"/>
      </right>
      <top style="hair">
        <color rgb="FF000000"/>
      </top>
      <bottom style="hair">
        <color rgb="FF000000"/>
      </bottom>
    </border>
    <border>
      <right/>
      <top/>
      <bottom/>
    </border>
    <border>
      <left/>
      <top/>
      <bottom/>
    </border>
    <border>
      <top/>
      <bottom/>
    </border>
    <border>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bottom style="hair">
        <color rgb="FF000000"/>
      </bottom>
    </border>
    <border>
      <left style="hair">
        <color rgb="FF000000"/>
      </left>
      <right style="hair">
        <color rgb="FF000000"/>
      </right>
      <bottom style="hair">
        <color rgb="FF000000"/>
      </bottom>
    </border>
    <border>
      <left style="hair">
        <color rgb="FF000000"/>
      </left>
      <bottom style="hair">
        <color rgb="FF000000"/>
      </bottom>
    </border>
    <border>
      <left style="hair">
        <color rgb="FF000000"/>
      </left>
      <right style="hair">
        <color rgb="FF000000"/>
      </right>
      <top style="hair">
        <color rgb="FF000000"/>
      </top>
      <bottom style="thin">
        <color rgb="FF000000"/>
      </bottom>
    </border>
    <border>
      <left/>
      <right/>
      <bottom/>
    </border>
    <border>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border>
    <border>
      <top style="medium">
        <color rgb="FF000000"/>
      </top>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ttom style="thin">
        <color rgb="FF000000"/>
      </bottom>
    </border>
    <border>
      <left/>
      <right style="medium">
        <color rgb="FF000000"/>
      </right>
      <top/>
      <bottom style="thin">
        <color rgb="FF000000"/>
      </bottom>
    </border>
    <border>
      <right style="medium">
        <color rgb="FF000000"/>
      </right>
      <top style="thin">
        <color rgb="FF000000"/>
      </top>
      <bottom style="thin">
        <color rgb="FF000000"/>
      </bottom>
    </border>
    <border>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double">
        <color rgb="FF000000"/>
      </left>
      <right style="hair">
        <color rgb="FF000000"/>
      </right>
      <top style="double">
        <color rgb="FF000000"/>
      </top>
      <bottom style="medium">
        <color rgb="FFFFFFFF"/>
      </bottom>
    </border>
    <border>
      <left/>
      <right/>
      <top style="double">
        <color rgb="FF000000"/>
      </top>
      <bottom style="medium">
        <color rgb="FFFFFFFF"/>
      </bottom>
    </border>
    <border>
      <left style="double">
        <color rgb="FF000000"/>
      </left>
      <right style="thin">
        <color rgb="FF000000"/>
      </right>
      <top style="medium">
        <color rgb="FFFFFFFF"/>
      </top>
      <bottom/>
    </border>
    <border>
      <left style="thin">
        <color rgb="FF000000"/>
      </left>
      <right/>
      <top/>
      <bottom style="thin">
        <color rgb="FF000000"/>
      </bottom>
    </border>
    <border>
      <left/>
      <right/>
      <top/>
      <bottom style="thin">
        <color rgb="FF000000"/>
      </bottom>
    </border>
    <border>
      <left/>
      <right style="thin">
        <color rgb="FF000000"/>
      </right>
      <top/>
    </border>
    <border>
      <left style="thin">
        <color rgb="FF000000"/>
      </left>
      <right style="thin">
        <color rgb="FF000000"/>
      </right>
      <bottom style="thin">
        <color rgb="FF000000"/>
      </bottom>
    </border>
    <border>
      <left style="double">
        <color rgb="FF000000"/>
      </left>
      <right style="thin">
        <color rgb="FF000000"/>
      </right>
      <bottom/>
    </border>
    <border>
      <left style="thin">
        <color rgb="FF000000"/>
      </left>
      <right/>
      <bottom style="thin">
        <color rgb="FF000000"/>
      </bottom>
    </border>
    <border>
      <left/>
      <top style="thin">
        <color rgb="FF000000"/>
      </top>
    </border>
    <border>
      <top style="thin">
        <color rgb="FF000000"/>
      </top>
    </border>
    <border>
      <left style="double">
        <color rgb="FF000000"/>
      </left>
      <right style="thin">
        <color rgb="FF000000"/>
      </right>
      <top/>
      <bottom/>
    </border>
    <border>
      <left/>
      <bottom style="thin">
        <color rgb="FF000000"/>
      </bottom>
    </border>
    <border>
      <left/>
      <right style="thin">
        <color rgb="FF000000"/>
      </right>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right style="hair">
        <color rgb="FF000000"/>
      </right>
      <top style="hair">
        <color rgb="FF000000"/>
      </top>
      <bottom style="thin">
        <color rgb="FF000000"/>
      </bottom>
    </border>
    <border>
      <left style="double">
        <color rgb="FF000000"/>
      </left>
      <right style="thin">
        <color rgb="FF000000"/>
      </right>
      <top/>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bottom style="thin">
        <color rgb="FF000000"/>
      </bottom>
    </border>
    <border>
      <left/>
      <right/>
      <bottom style="thin">
        <color rgb="FF000000"/>
      </bottom>
    </border>
    <border>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border>
    <border>
      <left style="double">
        <color rgb="FF000000"/>
      </left>
      <right/>
      <top style="double">
        <color rgb="FF000000"/>
      </top>
      <bottom/>
    </border>
    <border>
      <left/>
      <right/>
      <top style="double">
        <color rgb="FF000000"/>
      </top>
      <bottom/>
    </border>
    <border>
      <left/>
      <right/>
      <top style="thin">
        <color rgb="FF000000"/>
      </top>
      <bottom/>
    </border>
    <border>
      <left style="thin">
        <color rgb="FF000000"/>
      </left>
      <top style="medium">
        <color rgb="FF000000"/>
      </top>
    </border>
    <border>
      <top style="medium">
        <color rgb="FF000000"/>
      </top>
    </border>
    <border>
      <right style="thin">
        <color rgb="FF000000"/>
      </right>
      <top style="medium">
        <color rgb="FF000000"/>
      </top>
    </border>
    <border>
      <left style="thin">
        <color rgb="FF000000"/>
      </left>
    </border>
    <border>
      <right style="thin">
        <color rgb="FF000000"/>
      </right>
    </border>
    <border>
      <left style="double">
        <color rgb="FF000000"/>
      </left>
      <right/>
      <top/>
      <bottom/>
    </border>
    <border>
      <left style="double">
        <color rgb="FF000000"/>
      </left>
      <right/>
      <top/>
      <bottom style="double">
        <color rgb="FF000000"/>
      </bottom>
    </border>
    <border>
      <left style="double">
        <color rgb="FF000000"/>
      </left>
      <right style="thin">
        <color rgb="FF000000"/>
      </right>
      <top/>
    </border>
    <border>
      <left style="double">
        <color rgb="FF000000"/>
      </left>
      <right style="thin">
        <color rgb="FF000000"/>
      </right>
    </border>
    <border>
      <right style="medium">
        <color rgb="FF000000"/>
      </right>
      <top/>
      <bottom style="thin">
        <color rgb="FF000000"/>
      </bottom>
    </border>
    <border>
      <right style="medium">
        <color rgb="FF000000"/>
      </right>
      <top style="thin">
        <color rgb="FF000000"/>
      </top>
      <bottom style="medium">
        <color rgb="FF000000"/>
      </bottom>
    </border>
    <border>
      <left/>
      <top style="double">
        <color rgb="FF000000"/>
      </top>
      <bottom style="medium">
        <color rgb="FFFFFFFF"/>
      </bottom>
    </border>
    <border>
      <left/>
      <right/>
    </border>
    <border>
      <right/>
      <top style="thin">
        <color rgb="FF000000"/>
      </top>
      <bottom style="thin">
        <color rgb="FF000000"/>
      </bottom>
    </border>
    <border>
      <left style="thin">
        <color rgb="FF000000"/>
      </left>
      <right/>
      <top style="thin">
        <color rgb="FF000000"/>
      </top>
      <bottom style="double">
        <color rgb="FF000000"/>
      </bottom>
    </border>
    <border>
      <left/>
      <right/>
      <top style="thin">
        <color rgb="FF000000"/>
      </top>
      <bottom style="double">
        <color rgb="FF000000"/>
      </bottom>
    </border>
    <border>
      <left/>
      <right style="thin">
        <color rgb="FF000000"/>
      </right>
      <top style="thin">
        <color rgb="FF000000"/>
      </top>
      <bottom style="double">
        <color rgb="FF000000"/>
      </bottom>
    </border>
    <border>
      <left/>
      <right/>
      <top/>
      <bottom style="double">
        <color rgb="FF000000"/>
      </bottom>
    </border>
    <border>
      <left/>
      <right/>
      <top style="double">
        <color rgb="FF000000"/>
      </top>
    </border>
    <border>
      <left/>
      <right style="double">
        <color rgb="FF000000"/>
      </right>
      <top style="double">
        <color rgb="FF000000"/>
      </top>
      <bottom/>
    </border>
    <border>
      <left/>
      <top style="thin">
        <color rgb="FF000000"/>
      </top>
      <bottom/>
    </border>
    <border>
      <left style="thin">
        <color rgb="FF000000"/>
      </left>
      <right style="double">
        <color rgb="FF000000"/>
      </right>
      <top style="thin">
        <color rgb="FF000000"/>
      </top>
      <bottom style="thin">
        <color rgb="FF000000"/>
      </bottom>
    </border>
    <border>
      <left/>
      <bottom/>
    </border>
    <border>
      <left/>
      <top/>
      <bottom style="double">
        <color rgb="FF000000"/>
      </bottom>
    </border>
    <border>
      <left style="thin">
        <color rgb="FF000000"/>
      </left>
      <right style="double">
        <color rgb="FF000000"/>
      </right>
      <top style="thin">
        <color rgb="FF000000"/>
      </top>
      <bottom style="double">
        <color rgb="FF000000"/>
      </bottom>
    </border>
    <border>
      <left style="thin">
        <color rgb="FF000000"/>
      </left>
      <right style="double">
        <color rgb="FF000000"/>
      </right>
      <bottom style="thin">
        <color rgb="FF000000"/>
      </bottom>
    </border>
    <border>
      <left style="double">
        <color rgb="FF000000"/>
      </left>
      <top/>
      <bottom/>
    </border>
    <border>
      <left style="thin">
        <color rgb="FF000000"/>
      </left>
      <right style="double">
        <color rgb="FF000000"/>
      </right>
      <top style="thin">
        <color rgb="FF000000"/>
      </top>
    </border>
    <border>
      <left style="double">
        <color rgb="FF000000"/>
      </left>
      <bottom/>
    </border>
    <border>
      <left style="thin">
        <color rgb="FF000000"/>
      </left>
      <right style="double">
        <color rgb="FF000000"/>
      </right>
    </border>
    <border>
      <left style="thin">
        <color rgb="FF000000"/>
      </left>
      <right style="double">
        <color rgb="FF000000"/>
      </right>
      <top style="double">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right/>
      <top style="double">
        <color rgb="FF000000"/>
      </top>
      <bottom style="thin">
        <color rgb="FF000000"/>
      </bottom>
    </border>
    <border>
      <left/>
      <right style="double">
        <color rgb="FF000000"/>
      </right>
      <top style="double">
        <color rgb="FF000000"/>
      </top>
      <bottom style="thin">
        <color rgb="FF000000"/>
      </bottom>
    </border>
    <border>
      <left style="thin">
        <color rgb="FF000000"/>
      </left>
      <right/>
      <top style="double">
        <color rgb="FF000000"/>
      </top>
      <bottom style="thin">
        <color rgb="FF000000"/>
      </bottom>
    </border>
    <border>
      <left/>
      <right style="thin">
        <color rgb="FF000000"/>
      </right>
      <top style="double">
        <color rgb="FF000000"/>
      </top>
      <bottom style="thin">
        <color rgb="FF000000"/>
      </bottom>
    </border>
    <border>
      <left style="double">
        <color rgb="FF000000"/>
      </left>
      <top style="double">
        <color rgb="FF000000"/>
      </top>
      <bottom style="thin">
        <color rgb="FF000000"/>
      </bottom>
    </border>
    <border>
      <left style="double">
        <color rgb="FF000000"/>
      </left>
      <top style="thin">
        <color rgb="FF000000"/>
      </top>
      <bottom style="thin">
        <color rgb="FF000000"/>
      </bottom>
    </border>
    <border>
      <left style="double">
        <color rgb="FF000000"/>
      </left>
      <top style="thin">
        <color rgb="FF000000"/>
      </top>
      <bottom style="double">
        <color rgb="FF000000"/>
      </bottom>
    </border>
    <border>
      <left style="thin">
        <color rgb="FF000000"/>
      </left>
      <right style="thin">
        <color rgb="FF000000"/>
      </right>
      <top/>
      <bottom/>
    </border>
    <border>
      <top style="double">
        <color rgb="FF000000"/>
      </top>
    </border>
    <border>
      <left style="double">
        <color rgb="FF000000"/>
      </left>
      <top/>
      <bottom style="double">
        <color rgb="FF000000"/>
      </bottom>
    </border>
    <border>
      <left style="double">
        <color rgb="FF000000"/>
      </left>
      <right style="thin">
        <color rgb="FF000000"/>
      </right>
      <top style="double">
        <color rgb="FF000000"/>
      </top>
      <bottom/>
    </border>
    <border>
      <bottom style="double">
        <color rgb="FF000000"/>
      </bottom>
    </border>
    <border>
      <right style="thin">
        <color rgb="FF000000"/>
      </right>
      <bottom style="double">
        <color rgb="FF000000"/>
      </bottom>
    </border>
    <border>
      <left style="thin">
        <color rgb="FF000000"/>
      </left>
      <right/>
    </border>
    <border>
      <left/>
      <right style="thin">
        <color rgb="FF000000"/>
      </right>
    </border>
  </borders>
  <cellStyleXfs count="1">
    <xf borderId="0" fillId="0" fontId="0" numFmtId="0" applyAlignment="1" applyFont="1"/>
  </cellStyleXfs>
  <cellXfs count="603">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bottom" wrapText="0"/>
    </xf>
    <xf borderId="1" fillId="2" fontId="2" numFmtId="0" xfId="0" applyAlignment="1" applyBorder="1" applyFill="1" applyFont="1">
      <alignment shrinkToFit="0" vertical="center" wrapText="0"/>
    </xf>
    <xf borderId="0" fillId="0" fontId="3" numFmtId="0" xfId="0" applyAlignment="1" applyFont="1">
      <alignment horizontal="left" shrinkToFit="0" vertical="bottom" wrapText="0"/>
    </xf>
    <xf borderId="1" fillId="2" fontId="4" numFmtId="0" xfId="0" applyAlignment="1" applyBorder="1" applyFill="1" applyFont="1">
      <alignment horizontal="left" shrinkToFit="0" vertical="bottom" wrapText="0"/>
    </xf>
    <xf borderId="0" fillId="0" fontId="3" numFmtId="0" xfId="0" applyAlignment="1" applyFont="1">
      <alignment shrinkToFit="0" vertical="bottom" wrapText="0"/>
    </xf>
    <xf borderId="1" fillId="2" fontId="5" numFmtId="0" xfId="0" applyAlignment="1" applyBorder="1" applyFill="1" applyFont="1">
      <alignment shrinkToFit="0" vertical="center" wrapText="0"/>
    </xf>
    <xf borderId="1" fillId="2" fontId="3" numFmtId="0" xfId="0" applyAlignment="1" applyBorder="1" applyFill="1" applyFont="1">
      <alignment horizontal="left" shrinkToFit="0" vertical="bottom" wrapText="0"/>
    </xf>
    <xf borderId="1" fillId="2" fontId="6" numFmtId="0" xfId="0" applyAlignment="1" applyBorder="1" applyFill="1" applyFont="1">
      <alignment shrinkToFit="0" vertical="center" wrapText="0"/>
    </xf>
    <xf borderId="2" fillId="0" fontId="7" numFmtId="0" xfId="0" applyAlignment="1" applyBorder="1" applyFont="1">
      <alignment horizontal="center" shrinkToFit="0" vertical="center" wrapText="0"/>
    </xf>
    <xf borderId="2" fillId="0" fontId="8" numFmtId="0" xfId="0" applyAlignment="1" applyBorder="1" applyFont="1">
      <alignment horizontal="center" shrinkToFit="0" vertical="center" wrapText="0"/>
    </xf>
    <xf borderId="1" fillId="2" fontId="3" numFmtId="0" xfId="0" applyAlignment="1" applyBorder="1" applyFill="1" applyFont="1">
      <alignment horizontal="left" shrinkToFit="0" vertical="bottom" wrapText="1"/>
    </xf>
    <xf borderId="3" fillId="0" fontId="9" numFmtId="0" xfId="0" applyAlignment="1" applyBorder="1" applyFont="1">
      <alignment vertical="center"/>
    </xf>
    <xf borderId="4" fillId="0" fontId="9" numFmtId="0" xfId="0" applyAlignment="1" applyBorder="1" applyFont="1">
      <alignment vertical="center"/>
    </xf>
    <xf borderId="0" fillId="0" fontId="3" numFmtId="0" xfId="0" applyAlignment="1" applyFont="1">
      <alignment horizontal="center" shrinkToFit="0" vertical="center" wrapText="0"/>
    </xf>
    <xf borderId="1" fillId="3" fontId="10" numFmtId="0" xfId="0" applyAlignment="1" applyBorder="1" applyFill="1" applyFont="1">
      <alignment horizontal="left" shrinkToFit="0" vertical="bottom" wrapText="0"/>
    </xf>
    <xf borderId="0" fillId="0" fontId="11" numFmtId="0" xfId="0" applyAlignment="1" applyFont="1">
      <alignment horizontal="left" shrinkToFit="0" vertical="bottom" wrapText="0"/>
    </xf>
    <xf borderId="1" fillId="3" fontId="3" numFmtId="0" xfId="0" applyAlignment="1" applyBorder="1" applyFill="1" applyFont="1">
      <alignment shrinkToFit="0" vertical="bottom" wrapText="0"/>
    </xf>
    <xf borderId="1" fillId="2" fontId="12" numFmtId="0" xfId="0" applyAlignment="1" applyBorder="1" applyFill="1" applyFont="1">
      <alignment horizontal="left" shrinkToFit="0" vertical="bottom" wrapText="0"/>
    </xf>
    <xf borderId="1" fillId="2" fontId="13" numFmtId="0" xfId="0" applyAlignment="1" applyBorder="1" applyFill="1" applyFont="1">
      <alignment shrinkToFit="0" vertical="center" wrapText="0"/>
    </xf>
    <xf borderId="5" fillId="3" fontId="14" numFmtId="0" xfId="0" applyAlignment="1" applyBorder="1" applyFill="1" applyFont="1">
      <alignment horizontal="left" shrinkToFit="0" vertical="bottom" wrapText="0"/>
    </xf>
    <xf borderId="2" fillId="0" fontId="12" numFmtId="0" xfId="0" applyAlignment="1" applyBorder="1" applyFont="1">
      <alignment horizontal="left" shrinkToFit="0" vertical="bottom" wrapText="0"/>
    </xf>
    <xf borderId="4" fillId="0" fontId="12" numFmtId="0" xfId="0" applyAlignment="1" applyBorder="1" applyFont="1">
      <alignment shrinkToFit="0" vertical="bottom" wrapText="0"/>
    </xf>
    <xf borderId="1" fillId="2" fontId="14" numFmtId="0" xfId="0" applyAlignment="1" applyBorder="1" applyFill="1" applyFont="1">
      <alignment horizontal="left" shrinkToFit="0" vertical="bottom" wrapText="0"/>
    </xf>
    <xf borderId="1" fillId="2" fontId="4" numFmtId="0" xfId="0" applyAlignment="1" applyBorder="1" applyFill="1" applyFont="1">
      <alignment shrinkToFit="0" vertical="center" wrapText="0"/>
    </xf>
    <xf borderId="4" fillId="0" fontId="12" numFmtId="164" xfId="0" applyAlignment="1" applyBorder="1" applyFont="1" applyNumberFormat="1">
      <alignment shrinkToFit="0" vertical="bottom" wrapText="0"/>
    </xf>
    <xf borderId="5" fillId="3" fontId="14" numFmtId="0" xfId="0" applyAlignment="1" applyBorder="1" applyFill="1" applyFont="1">
      <alignment shrinkToFit="0" vertical="center" wrapText="0"/>
    </xf>
    <xf borderId="2" fillId="0" fontId="12" numFmtId="0" xfId="0" applyAlignment="1" applyBorder="1" applyFont="1">
      <alignment horizontal="left" shrinkToFit="0" vertical="center" wrapText="0"/>
    </xf>
    <xf borderId="1" fillId="3" fontId="3" numFmtId="1" xfId="0" applyAlignment="1" applyBorder="1" applyFill="1" applyFont="1" applyNumberFormat="1">
      <alignment shrinkToFit="0" vertical="bottom" wrapText="0"/>
    </xf>
    <xf borderId="4" fillId="0" fontId="12" numFmtId="0" xfId="0" applyAlignment="1" applyBorder="1" applyFont="1">
      <alignment horizontal="left" shrinkToFit="0" vertical="bottom" wrapText="0"/>
    </xf>
    <xf borderId="1" fillId="3" fontId="3" numFmtId="0" xfId="0" applyAlignment="1" applyBorder="1" applyFill="1" applyFont="1">
      <alignment horizontal="left" shrinkToFit="0" vertical="bottom" wrapText="0"/>
    </xf>
    <xf borderId="0" fillId="0" fontId="14" numFmtId="0" xfId="0" applyAlignment="1" applyFont="1">
      <alignment shrinkToFit="0" vertical="bottom" wrapText="0"/>
    </xf>
    <xf borderId="1" fillId="3" fontId="3" numFmtId="0" xfId="0" applyAlignment="1" applyBorder="1" applyFill="1" applyFont="1">
      <alignment horizontal="left" shrinkToFit="0" vertical="bottom" wrapText="1"/>
    </xf>
    <xf borderId="0" fillId="0" fontId="10" numFmtId="0" xfId="0" applyAlignment="1" applyFont="1">
      <alignment horizontal="left" shrinkToFit="0" vertical="bottom" wrapText="0"/>
    </xf>
    <xf borderId="0" fillId="0" fontId="14" numFmtId="0" xfId="0" applyAlignment="1" applyFont="1">
      <alignment horizontal="left" shrinkToFit="0" vertical="bottom" wrapText="0"/>
    </xf>
    <xf borderId="5" fillId="4" fontId="15" numFmtId="165" xfId="0" applyAlignment="1" applyBorder="1" applyFill="1" applyFont="1" applyNumberFormat="1">
      <alignment horizontal="center" shrinkToFit="0" vertical="center" wrapText="0"/>
    </xf>
    <xf borderId="1" fillId="3" fontId="8" numFmtId="0" xfId="0" applyAlignment="1" applyBorder="1" applyFill="1" applyFont="1">
      <alignment horizontal="left" shrinkToFit="0" vertical="bottom" wrapText="0"/>
    </xf>
    <xf borderId="5" fillId="4" fontId="15" numFmtId="0" xfId="0" applyAlignment="1" applyBorder="1" applyFill="1" applyFont="1">
      <alignment horizontal="center" shrinkToFit="0" vertical="center" wrapText="0"/>
    </xf>
    <xf borderId="1" fillId="3" fontId="16" numFmtId="0" xfId="0" applyAlignment="1" applyBorder="1" applyFill="1" applyFont="1">
      <alignment horizontal="left" shrinkToFit="0" vertical="bottom" wrapText="0"/>
    </xf>
    <xf borderId="0" fillId="0" fontId="3" numFmtId="0" xfId="0" applyAlignment="1" applyFont="1">
      <alignment shrinkToFit="0" vertical="center" wrapText="0"/>
    </xf>
    <xf borderId="5" fillId="0" fontId="12" numFmtId="164" xfId="0" applyAlignment="1" applyBorder="1" applyFont="1" applyNumberFormat="1">
      <alignment shrinkToFit="0" vertical="top" wrapText="1"/>
    </xf>
    <xf borderId="1" fillId="3" fontId="17" numFmtId="0" xfId="0" applyAlignment="1" applyBorder="1" applyFill="1" applyFont="1">
      <alignment horizontal="left" shrinkToFit="0" vertical="bottom" wrapText="0"/>
    </xf>
    <xf borderId="5" fillId="0" fontId="3" numFmtId="49" xfId="0" applyAlignment="1" applyBorder="1" applyFont="1" applyNumberFormat="1">
      <alignment shrinkToFit="0" vertical="top" wrapText="0"/>
    </xf>
    <xf borderId="5" fillId="0" fontId="3" numFmtId="0" xfId="0" applyAlignment="1" applyBorder="1" applyFont="1">
      <alignment shrinkToFit="0" vertical="top" wrapText="0"/>
    </xf>
    <xf borderId="5" fillId="0" fontId="12" numFmtId="0" xfId="0" applyAlignment="1" applyBorder="1" applyFont="1">
      <alignment shrinkToFit="0" vertical="top" wrapText="1"/>
    </xf>
    <xf borderId="0" fillId="0" fontId="3" numFmtId="0" xfId="0" applyAlignment="1" applyFont="1">
      <alignment shrinkToFit="0" vertical="top" wrapText="0"/>
    </xf>
    <xf borderId="2" fillId="3" fontId="14" numFmtId="1" xfId="0" applyAlignment="1" applyBorder="1" applyFill="1" applyFont="1" applyNumberFormat="1">
      <alignment shrinkToFit="0" vertical="bottom" wrapText="0"/>
    </xf>
    <xf borderId="5" fillId="0" fontId="3" numFmtId="0" xfId="0" applyAlignment="1" applyBorder="1" applyFont="1">
      <alignment horizontal="right" readingOrder="0" shrinkToFit="0" vertical="top" wrapText="0"/>
    </xf>
    <xf borderId="5" fillId="0" fontId="3" numFmtId="0" xfId="0" applyAlignment="1" applyBorder="1" applyFont="1">
      <alignment horizontal="right" shrinkToFit="0" vertical="top" wrapText="0"/>
    </xf>
    <xf borderId="2" fillId="3" fontId="12" numFmtId="0" xfId="0" applyAlignment="1" applyBorder="1" applyFill="1" applyFont="1">
      <alignment horizontal="left" shrinkToFit="0" vertical="bottom" wrapText="0"/>
    </xf>
    <xf borderId="5" fillId="0" fontId="3" numFmtId="0" xfId="0" applyAlignment="1" applyBorder="1" applyFont="1">
      <alignment shrinkToFit="0" vertical="top" wrapText="1"/>
    </xf>
    <xf borderId="2" fillId="3" fontId="14" numFmtId="1" xfId="0" applyAlignment="1" applyBorder="1" applyFill="1" applyFont="1" applyNumberFormat="1">
      <alignment horizontal="left" shrinkToFit="0" vertical="bottom" wrapText="0"/>
    </xf>
    <xf borderId="6" fillId="3" fontId="12" numFmtId="0" xfId="0" applyAlignment="1" applyBorder="1" applyFill="1" applyFont="1">
      <alignment horizontal="left" shrinkToFit="0" vertical="bottom" wrapText="0"/>
    </xf>
    <xf borderId="7" fillId="3" fontId="12" numFmtId="0" xfId="0" applyAlignment="1" applyBorder="1" applyFill="1" applyFont="1">
      <alignment horizontal="left" shrinkToFit="0" vertical="bottom" wrapText="0"/>
    </xf>
    <xf borderId="8" fillId="3" fontId="12" numFmtId="0" xfId="0" applyAlignment="1" applyBorder="1" applyFill="1" applyFont="1">
      <alignment horizontal="left" shrinkToFit="0" vertical="bottom" wrapText="0"/>
    </xf>
    <xf borderId="2" fillId="3" fontId="14" numFmtId="1" xfId="0" applyAlignment="1" applyBorder="1" applyFill="1" applyFont="1" applyNumberFormat="1">
      <alignment shrinkToFit="0" vertical="center" wrapText="1"/>
    </xf>
    <xf borderId="2" fillId="3" fontId="12" numFmtId="0" xfId="0" applyAlignment="1" applyBorder="1" applyFill="1" applyFont="1">
      <alignment horizontal="left" shrinkToFit="0" vertical="top" wrapText="1"/>
    </xf>
    <xf borderId="1" fillId="3" fontId="3" numFmtId="0" xfId="0" applyAlignment="1" applyBorder="1" applyFill="1" applyFont="1">
      <alignment shrinkToFit="0" vertical="bottom" wrapText="1"/>
    </xf>
    <xf borderId="1" fillId="3" fontId="10" numFmtId="1" xfId="0" applyAlignment="1" applyBorder="1" applyFill="1" applyFont="1" applyNumberFormat="1">
      <alignment shrinkToFit="0" vertical="bottom" wrapText="0"/>
    </xf>
    <xf borderId="9" fillId="3" fontId="3" numFmtId="1" xfId="0" applyAlignment="1" applyBorder="1" applyFill="1" applyFont="1" applyNumberFormat="1">
      <alignment shrinkToFit="0" vertical="center" wrapText="0"/>
    </xf>
    <xf borderId="9" fillId="3" fontId="3" numFmtId="0" xfId="0" applyAlignment="1" applyBorder="1" applyFill="1" applyFont="1">
      <alignment horizontal="left" shrinkToFit="0" vertical="center" wrapText="0"/>
    </xf>
    <xf borderId="9" fillId="3" fontId="3" numFmtId="0" xfId="0" applyAlignment="1" applyBorder="1" applyFill="1" applyFont="1">
      <alignment horizontal="left" shrinkToFit="0" vertical="center" wrapText="1"/>
    </xf>
    <xf borderId="1" fillId="3" fontId="3" numFmtId="0" xfId="0" applyAlignment="1" applyBorder="1" applyFill="1" applyFont="1">
      <alignment shrinkToFit="0" vertical="center" wrapText="0"/>
    </xf>
    <xf borderId="10" fillId="5" fontId="15" numFmtId="1" xfId="0" applyAlignment="1" applyBorder="1" applyFill="1" applyFont="1" applyNumberFormat="1">
      <alignment horizontal="center" shrinkToFit="0" vertical="center" wrapText="0"/>
    </xf>
    <xf borderId="10" fillId="5" fontId="15" numFmtId="1" xfId="0" applyAlignment="1" applyBorder="1" applyFill="1" applyFont="1" applyNumberFormat="1">
      <alignment horizontal="center" shrinkToFit="0" vertical="center" wrapText="1"/>
    </xf>
    <xf borderId="10" fillId="5" fontId="15" numFmtId="0" xfId="0" applyAlignment="1" applyBorder="1" applyFill="1" applyFont="1">
      <alignment horizontal="center" shrinkToFit="0" vertical="center" wrapText="0"/>
    </xf>
    <xf borderId="10" fillId="5" fontId="15" numFmtId="0" xfId="0" applyAlignment="1" applyBorder="1" applyFill="1" applyFont="1">
      <alignment horizontal="center" shrinkToFit="0" vertical="center" wrapText="1"/>
    </xf>
    <xf borderId="11" fillId="3" fontId="14" numFmtId="0" xfId="0" applyAlignment="1" applyBorder="1" applyFill="1" applyFont="1">
      <alignment horizontal="center" shrinkToFit="0" vertical="bottom" wrapText="0"/>
    </xf>
    <xf borderId="1" fillId="3" fontId="14" numFmtId="0" xfId="0" applyAlignment="1" applyBorder="1" applyFill="1" applyFont="1">
      <alignment horizontal="center" shrinkToFit="0" vertical="bottom" wrapText="0"/>
    </xf>
    <xf borderId="10" fillId="3" fontId="3" numFmtId="1" xfId="0" applyAlignment="1" applyBorder="1" applyFill="1" applyFont="1" applyNumberFormat="1">
      <alignment horizontal="center" shrinkToFit="0" vertical="center" wrapText="0"/>
    </xf>
    <xf borderId="10" fillId="3" fontId="3" numFmtId="1" xfId="0" applyAlignment="1" applyBorder="1" applyFill="1" applyFont="1" applyNumberFormat="1">
      <alignment shrinkToFit="0" vertical="center" wrapText="0"/>
    </xf>
    <xf borderId="10" fillId="3" fontId="3" numFmtId="49" xfId="0" applyAlignment="1" applyBorder="1" applyFill="1" applyFont="1" applyNumberFormat="1">
      <alignment horizontal="left" shrinkToFit="0" vertical="center" wrapText="0"/>
    </xf>
    <xf borderId="10" fillId="3" fontId="3" numFmtId="49" xfId="0" applyAlignment="1" applyBorder="1" applyFill="1" applyFont="1" applyNumberFormat="1">
      <alignment horizontal="left" shrinkToFit="0" vertical="center" wrapText="1"/>
    </xf>
    <xf borderId="10" fillId="3" fontId="18" numFmtId="0" xfId="0" applyAlignment="1" applyBorder="1" applyFill="1" applyFont="1">
      <alignment horizontal="left" shrinkToFit="0" vertical="center" wrapText="0"/>
    </xf>
    <xf borderId="10" fillId="0" fontId="3" numFmtId="0" xfId="0" applyAlignment="1" applyBorder="1" applyFont="1">
      <alignment vertical="center"/>
    </xf>
    <xf borderId="10" fillId="3" fontId="3" numFmtId="0" xfId="0" applyAlignment="1" applyBorder="1" applyFill="1" applyFont="1">
      <alignment horizontal="left" shrinkToFit="0" vertical="center" wrapText="0"/>
    </xf>
    <xf borderId="11" fillId="3" fontId="3" numFmtId="0" xfId="0" applyAlignment="1" applyBorder="1" applyFill="1" applyFont="1">
      <alignment shrinkToFit="0" vertical="bottom" wrapText="0"/>
    </xf>
    <xf borderId="10" fillId="3" fontId="19" numFmtId="0" xfId="0" applyAlignment="1" applyBorder="1" applyFill="1" applyFont="1">
      <alignment horizontal="left" shrinkToFit="0" vertical="center" wrapText="0"/>
    </xf>
    <xf borderId="12" fillId="3" fontId="8" numFmtId="0" xfId="0" applyAlignment="1" applyBorder="1" applyFill="1" applyFont="1">
      <alignment horizontal="center" shrinkToFit="0" vertical="bottom" wrapText="0"/>
    </xf>
    <xf borderId="13" fillId="0" fontId="9" numFmtId="0" xfId="0" applyAlignment="1" applyBorder="1" applyFont="1">
      <alignment vertical="center"/>
    </xf>
    <xf borderId="10" fillId="3" fontId="3" numFmtId="0" xfId="0" applyAlignment="1" applyBorder="1" applyFill="1" applyFont="1">
      <alignment horizontal="left" shrinkToFit="0" vertical="bottom" wrapText="0"/>
    </xf>
    <xf borderId="1" fillId="3" fontId="14" numFmtId="0" xfId="0" applyAlignment="1" applyBorder="1" applyFill="1" applyFont="1">
      <alignment shrinkToFit="0" vertical="bottom" wrapText="0"/>
    </xf>
    <xf borderId="1" fillId="3" fontId="3" numFmtId="165" xfId="0" applyAlignment="1" applyBorder="1" applyFill="1" applyFont="1" applyNumberFormat="1">
      <alignment shrinkToFit="0" vertical="bottom" wrapText="0"/>
    </xf>
    <xf borderId="5" fillId="3" fontId="14" numFmtId="0" xfId="0" applyAlignment="1" applyBorder="1" applyFill="1" applyFont="1">
      <alignment horizontal="left" shrinkToFit="0" vertical="center" wrapText="0"/>
    </xf>
    <xf borderId="2" fillId="3" fontId="14" numFmtId="0" xfId="0" applyAlignment="1" applyBorder="1" applyFill="1" applyFont="1">
      <alignment horizontal="left" shrinkToFit="0" vertical="bottom" wrapText="0"/>
    </xf>
    <xf borderId="2" fillId="3" fontId="14" numFmtId="0" xfId="0" applyAlignment="1" applyBorder="1" applyFill="1" applyFont="1">
      <alignment horizontal="center" shrinkToFit="0" vertical="bottom" wrapText="0"/>
    </xf>
    <xf borderId="2" fillId="3" fontId="12" numFmtId="14" xfId="0" applyAlignment="1" applyBorder="1" applyFill="1" applyFont="1" applyNumberFormat="1">
      <alignment horizontal="left" shrinkToFit="0" vertical="top" wrapText="0"/>
    </xf>
    <xf borderId="2" fillId="3" fontId="12" numFmtId="0" xfId="0" applyAlignment="1" applyBorder="1" applyFill="1" applyFont="1">
      <alignment shrinkToFit="0" vertical="top" wrapText="0"/>
    </xf>
    <xf borderId="1" fillId="3" fontId="10" numFmtId="0" xfId="0" applyAlignment="1" applyBorder="1" applyFill="1" applyFont="1">
      <alignment shrinkToFit="0" vertical="bottom" wrapText="0"/>
    </xf>
    <xf borderId="1" fillId="3" fontId="11" numFmtId="0" xfId="0" applyAlignment="1" applyBorder="1" applyFill="1" applyFont="1">
      <alignment shrinkToFit="0" vertical="bottom" wrapText="0"/>
    </xf>
    <xf borderId="14" fillId="4" fontId="15" numFmtId="0" xfId="0" applyAlignment="1" applyBorder="1" applyFill="1" applyFont="1">
      <alignment horizontal="center" shrinkToFit="0" vertical="bottom" wrapText="0"/>
    </xf>
    <xf borderId="15" fillId="4" fontId="15" numFmtId="0" xfId="0" applyAlignment="1" applyBorder="1" applyFill="1" applyFont="1">
      <alignment horizontal="center" shrinkToFit="0" vertical="bottom" wrapText="0"/>
    </xf>
    <xf borderId="15" fillId="4" fontId="15" numFmtId="0" xfId="0" applyAlignment="1" applyBorder="1" applyFill="1" applyFont="1">
      <alignment horizontal="center" shrinkToFit="0" vertical="bottom" wrapText="1"/>
    </xf>
    <xf borderId="16" fillId="4" fontId="15" numFmtId="0" xfId="0" applyAlignment="1" applyBorder="1" applyFill="1" applyFont="1">
      <alignment horizontal="center" shrinkToFit="0" vertical="bottom" wrapText="0"/>
    </xf>
    <xf borderId="17" fillId="4" fontId="15" numFmtId="0" xfId="0" applyAlignment="1" applyBorder="1" applyFill="1" applyFont="1">
      <alignment horizontal="center" shrinkToFit="0" vertical="bottom" wrapText="1"/>
    </xf>
    <xf borderId="18" fillId="3" fontId="3" numFmtId="0" xfId="0" applyAlignment="1" applyBorder="1" applyFill="1" applyFont="1">
      <alignment horizontal="center" shrinkToFit="0" vertical="bottom" wrapText="0"/>
    </xf>
    <xf borderId="19" fillId="3" fontId="3" numFmtId="0" xfId="0" applyAlignment="1" applyBorder="1" applyFill="1" applyFont="1">
      <alignment horizontal="center" shrinkToFit="0" vertical="bottom" wrapText="0"/>
    </xf>
    <xf borderId="20" fillId="3" fontId="3" numFmtId="0" xfId="0" applyAlignment="1" applyBorder="1" applyFill="1" applyFont="1">
      <alignment horizontal="center" shrinkToFit="0" vertical="bottom" wrapText="0"/>
    </xf>
    <xf borderId="10" fillId="3" fontId="20" numFmtId="0" xfId="0" applyAlignment="1" applyBorder="1" applyFill="1" applyFont="1">
      <alignment horizontal="left" shrinkToFit="0" vertical="bottom" wrapText="0"/>
    </xf>
    <xf borderId="10" fillId="3" fontId="3" numFmtId="1" xfId="0" applyAlignment="1" applyBorder="1" applyFill="1" applyFont="1" applyNumberFormat="1">
      <alignment shrinkToFit="0" vertical="bottom" wrapText="0"/>
    </xf>
    <xf borderId="10" fillId="3" fontId="21" numFmtId="0" xfId="0" applyAlignment="1" applyBorder="1" applyFill="1" applyFont="1">
      <alignment horizontal="left" shrinkToFit="0" vertical="bottom" wrapText="0"/>
    </xf>
    <xf borderId="21" fillId="3" fontId="3" numFmtId="1" xfId="0" applyAlignment="1" applyBorder="1" applyFill="1" applyFont="1" applyNumberFormat="1">
      <alignment horizontal="center" shrinkToFit="0" vertical="center" wrapText="0"/>
    </xf>
    <xf borderId="21" fillId="3" fontId="3" numFmtId="1" xfId="0" applyAlignment="1" applyBorder="1" applyFill="1" applyFont="1" applyNumberFormat="1">
      <alignment shrinkToFit="0" vertical="bottom" wrapText="0"/>
    </xf>
    <xf borderId="21" fillId="3" fontId="3" numFmtId="0" xfId="0" applyAlignment="1" applyBorder="1" applyFill="1" applyFont="1">
      <alignment horizontal="left" shrinkToFit="0" vertical="bottom" wrapText="0"/>
    </xf>
    <xf borderId="21" fillId="3" fontId="3" numFmtId="0" xfId="0" applyAlignment="1" applyBorder="1" applyFill="1" applyFont="1">
      <alignment horizontal="left" shrinkToFit="0" vertical="bottom" wrapText="1"/>
    </xf>
    <xf borderId="22" fillId="3" fontId="3" numFmtId="1" xfId="0" applyAlignment="1" applyBorder="1" applyFill="1" applyFont="1" applyNumberFormat="1">
      <alignment shrinkToFit="0" vertical="bottom" wrapText="0"/>
    </xf>
    <xf borderId="22" fillId="3" fontId="3" numFmtId="0" xfId="0" applyAlignment="1" applyBorder="1" applyFill="1" applyFont="1">
      <alignment horizontal="left" shrinkToFit="0" vertical="bottom" wrapText="0"/>
    </xf>
    <xf borderId="22" fillId="3" fontId="3" numFmtId="0" xfId="0" applyAlignment="1" applyBorder="1" applyFill="1" applyFont="1">
      <alignment horizontal="left" shrinkToFit="0" vertical="bottom" wrapText="1"/>
    </xf>
    <xf borderId="23" fillId="0" fontId="22" numFmtId="0" xfId="0" applyAlignment="1" applyBorder="1" applyFont="1">
      <alignment shrinkToFit="0" vertical="bottom" wrapText="0"/>
    </xf>
    <xf borderId="23" fillId="0" fontId="23" numFmtId="0" xfId="0" applyAlignment="1" applyBorder="1" applyFont="1">
      <alignment horizontal="left" shrinkToFit="0" vertical="bottom" wrapText="0"/>
    </xf>
    <xf borderId="0" fillId="0" fontId="22" numFmtId="0" xfId="0" applyAlignment="1" applyFont="1">
      <alignment shrinkToFit="0" vertical="bottom" wrapText="0"/>
    </xf>
    <xf borderId="0" fillId="0" fontId="22" numFmtId="0" xfId="0" applyAlignment="1" applyFont="1">
      <alignment horizontal="right" shrinkToFit="0" vertical="bottom" wrapText="0"/>
    </xf>
    <xf borderId="24" fillId="3" fontId="23" numFmtId="0" xfId="0" applyAlignment="1" applyBorder="1" applyFill="1" applyFont="1">
      <alignment horizontal="left" shrinkToFit="0" vertical="bottom" wrapText="1"/>
    </xf>
    <xf borderId="25" fillId="0" fontId="9" numFmtId="0" xfId="0" applyAlignment="1" applyBorder="1" applyFont="1">
      <alignment vertical="center"/>
    </xf>
    <xf borderId="26" fillId="3" fontId="24" numFmtId="49" xfId="0" applyAlignment="1" applyBorder="1" applyFill="1" applyFont="1" applyNumberFormat="1">
      <alignment horizontal="left" shrinkToFit="0" vertical="bottom" wrapText="1"/>
    </xf>
    <xf borderId="27" fillId="0" fontId="9" numFmtId="0" xfId="0" applyAlignment="1" applyBorder="1" applyFont="1">
      <alignment vertical="center"/>
    </xf>
    <xf borderId="28" fillId="3" fontId="23" numFmtId="0" xfId="0" applyAlignment="1" applyBorder="1" applyFill="1" applyFont="1">
      <alignment horizontal="left" shrinkToFit="0" vertical="bottom" wrapText="1"/>
    </xf>
    <xf borderId="29" fillId="0" fontId="9" numFmtId="0" xfId="0" applyAlignment="1" applyBorder="1" applyFont="1">
      <alignment vertical="center"/>
    </xf>
    <xf borderId="26" fillId="3" fontId="22" numFmtId="49" xfId="0" applyAlignment="1" applyBorder="1" applyFill="1" applyFont="1" applyNumberFormat="1">
      <alignment horizontal="center" shrinkToFit="0" vertical="bottom" wrapText="1"/>
    </xf>
    <xf borderId="30" fillId="0" fontId="9" numFmtId="0" xfId="0" applyAlignment="1" applyBorder="1" applyFont="1">
      <alignment vertical="center"/>
    </xf>
    <xf borderId="0" fillId="0" fontId="22" numFmtId="49" xfId="0" applyAlignment="1" applyFont="1" applyNumberFormat="1">
      <alignment shrinkToFit="0" vertical="bottom" wrapText="0"/>
    </xf>
    <xf borderId="31" fillId="3" fontId="23" numFmtId="0" xfId="0" applyAlignment="1" applyBorder="1" applyFill="1" applyFont="1">
      <alignment horizontal="left" shrinkToFit="0" vertical="bottom" wrapText="1"/>
    </xf>
    <xf borderId="32" fillId="3" fontId="24" numFmtId="0" xfId="0" applyAlignment="1" applyBorder="1" applyFill="1" applyFont="1">
      <alignment horizontal="left" shrinkToFit="0" vertical="bottom" wrapText="1"/>
    </xf>
    <xf borderId="33" fillId="0" fontId="9" numFmtId="0" xfId="0" applyAlignment="1" applyBorder="1" applyFont="1">
      <alignment vertical="center"/>
    </xf>
    <xf borderId="34" fillId="0" fontId="9" numFmtId="0" xfId="0" applyAlignment="1" applyBorder="1" applyFont="1">
      <alignment vertical="center"/>
    </xf>
    <xf borderId="2" fillId="3" fontId="23" numFmtId="0" xfId="0" applyAlignment="1" applyBorder="1" applyFill="1" applyFont="1">
      <alignment horizontal="left" shrinkToFit="0" vertical="bottom" wrapText="1"/>
    </xf>
    <xf borderId="35" fillId="3" fontId="24" numFmtId="0" xfId="0" applyAlignment="1" applyBorder="1" applyFill="1" applyFont="1">
      <alignment horizontal="left" shrinkToFit="0" vertical="bottom" wrapText="1"/>
    </xf>
    <xf borderId="36" fillId="3" fontId="24" numFmtId="0" xfId="0" applyAlignment="1" applyBorder="1" applyFill="1" applyFont="1">
      <alignment shrinkToFit="0" vertical="bottom" wrapText="1"/>
    </xf>
    <xf borderId="2" fillId="3" fontId="24" numFmtId="0" xfId="0" applyAlignment="1" applyBorder="1" applyFill="1" applyFont="1">
      <alignment horizontal="center" shrinkToFit="0" vertical="bottom" wrapText="1"/>
    </xf>
    <xf borderId="7" fillId="3" fontId="24" numFmtId="0" xfId="0" applyAlignment="1" applyBorder="1" applyFill="1" applyFont="1">
      <alignment horizontal="left" shrinkToFit="0" vertical="bottom" wrapText="1"/>
    </xf>
    <xf borderId="2" fillId="3" fontId="22" numFmtId="0" xfId="0" applyAlignment="1" applyBorder="1" applyFill="1" applyFont="1">
      <alignment horizontal="center" shrinkToFit="0" vertical="bottom" wrapText="1"/>
    </xf>
    <xf borderId="37" fillId="0" fontId="9" numFmtId="0" xfId="0" applyAlignment="1" applyBorder="1" applyFont="1">
      <alignment vertical="center"/>
    </xf>
    <xf borderId="2" fillId="3" fontId="24" numFmtId="0" xfId="0" applyAlignment="1" applyBorder="1" applyFill="1" applyFont="1">
      <alignment horizontal="left" shrinkToFit="0" vertical="bottom" wrapText="1"/>
    </xf>
    <xf borderId="31" fillId="3" fontId="23" numFmtId="0" xfId="0" applyAlignment="1" applyBorder="1" applyFill="1" applyFont="1">
      <alignment horizontal="center" shrinkToFit="0" vertical="center" wrapText="0"/>
    </xf>
    <xf borderId="2" fillId="3" fontId="23" numFmtId="0" xfId="0" applyAlignment="1" applyBorder="1" applyFill="1" applyFont="1">
      <alignment horizontal="center" shrinkToFit="0" vertical="center" wrapText="1"/>
    </xf>
    <xf borderId="38" fillId="3" fontId="23" numFmtId="0" xfId="0" applyAlignment="1" applyBorder="1" applyFill="1" applyFont="1">
      <alignment horizontal="center" shrinkToFit="0" vertical="center" wrapText="1"/>
    </xf>
    <xf borderId="39" fillId="3" fontId="23" numFmtId="0" xfId="0" applyAlignment="1" applyBorder="1" applyFill="1" applyFont="1">
      <alignment horizontal="center" shrinkToFit="0" vertical="center" wrapText="1"/>
    </xf>
    <xf borderId="40" fillId="3" fontId="22" numFmtId="0" xfId="0" applyAlignment="1" applyBorder="1" applyFill="1" applyFont="1">
      <alignment horizontal="center" shrinkToFit="0" vertical="center" wrapText="0"/>
    </xf>
    <xf borderId="41" fillId="0" fontId="9" numFmtId="0" xfId="0" applyAlignment="1" applyBorder="1" applyFont="1">
      <alignment vertical="center"/>
    </xf>
    <xf borderId="42" fillId="3" fontId="22" numFmtId="0" xfId="0" applyAlignment="1" applyBorder="1" applyFill="1" applyFont="1">
      <alignment horizontal="center" shrinkToFit="0" vertical="center" wrapText="0"/>
    </xf>
    <xf borderId="43" fillId="0" fontId="9" numFmtId="0" xfId="0" applyAlignment="1" applyBorder="1" applyFont="1">
      <alignment vertical="center"/>
    </xf>
    <xf borderId="44" fillId="3" fontId="22" numFmtId="0" xfId="0" applyAlignment="1" applyBorder="1" applyFill="1" applyFont="1">
      <alignment horizontal="center" shrinkToFit="0" vertical="center" wrapText="0"/>
    </xf>
    <xf borderId="45" fillId="3" fontId="22" numFmtId="0" xfId="0" applyAlignment="1" applyBorder="1" applyFill="1" applyFont="1">
      <alignment horizontal="center" shrinkToFit="0" vertical="center" wrapText="0"/>
    </xf>
    <xf borderId="0" fillId="0" fontId="23" numFmtId="0" xfId="0" applyAlignment="1" applyFont="1">
      <alignment horizontal="left" shrinkToFit="0" vertical="bottom" wrapText="0"/>
    </xf>
    <xf borderId="46" fillId="4" fontId="25" numFmtId="165" xfId="0" applyAlignment="1" applyBorder="1" applyFill="1" applyFont="1" applyNumberFormat="1">
      <alignment horizontal="center" shrinkToFit="0" vertical="center" wrapText="0"/>
    </xf>
    <xf borderId="47" fillId="4" fontId="25" numFmtId="0" xfId="0" applyAlignment="1" applyBorder="1" applyFill="1" applyFont="1">
      <alignment horizontal="left" shrinkToFit="0" vertical="bottom" wrapText="0"/>
    </xf>
    <xf borderId="47" fillId="4" fontId="26" numFmtId="0" xfId="0" applyAlignment="1" applyBorder="1" applyFill="1" applyFont="1">
      <alignment shrinkToFit="0" vertical="bottom" wrapText="0"/>
    </xf>
    <xf borderId="47" fillId="4" fontId="26" numFmtId="0" xfId="0" applyAlignment="1" applyBorder="1" applyFill="1" applyFont="1">
      <alignment horizontal="right" shrinkToFit="0" vertical="bottom" wrapText="0"/>
    </xf>
    <xf borderId="47" fillId="4" fontId="25" numFmtId="0" xfId="0" applyAlignment="1" applyBorder="1" applyFill="1" applyFont="1">
      <alignment shrinkToFit="0" textRotation="180" vertical="top" wrapText="0"/>
    </xf>
    <xf borderId="10" fillId="3" fontId="3" numFmtId="0" xfId="0" applyAlignment="1" applyBorder="1" applyFill="1" applyFont="1">
      <alignment horizontal="center" shrinkToFit="0" vertical="bottom" wrapText="0"/>
    </xf>
    <xf borderId="0" fillId="0" fontId="23" numFmtId="0" xfId="0" applyAlignment="1" applyFont="1">
      <alignment shrinkToFit="0" vertical="bottom" wrapText="0"/>
    </xf>
    <xf borderId="48" fillId="4" fontId="25" numFmtId="0" xfId="0" applyAlignment="1" applyBorder="1" applyFill="1" applyFont="1">
      <alignment shrinkToFit="0" vertical="center" wrapText="0"/>
    </xf>
    <xf borderId="49" fillId="3" fontId="23" numFmtId="0" xfId="0" applyAlignment="1" applyBorder="1" applyFill="1" applyFont="1">
      <alignment horizontal="left" shrinkToFit="0" vertical="top" wrapText="0"/>
    </xf>
    <xf borderId="50" fillId="3" fontId="22" numFmtId="0" xfId="0" applyAlignment="1" applyBorder="1" applyFill="1" applyFont="1">
      <alignment horizontal="center" shrinkToFit="0" vertical="top" wrapText="0"/>
    </xf>
    <xf borderId="51" fillId="3" fontId="22" numFmtId="0" xfId="0" applyAlignment="1" applyBorder="1" applyFill="1" applyFont="1">
      <alignment horizontal="right" shrinkToFit="0" vertical="top" wrapText="0"/>
    </xf>
    <xf borderId="1" fillId="6" fontId="24" numFmtId="0" xfId="0" applyAlignment="1" applyBorder="1" applyFill="1" applyFont="1">
      <alignment horizontal="right" shrinkToFit="0" vertical="bottom" wrapText="0"/>
    </xf>
    <xf borderId="52" fillId="0" fontId="23" numFmtId="0" xfId="0" applyAlignment="1" applyBorder="1" applyFont="1">
      <alignment horizontal="center" shrinkToFit="0" vertical="bottom" wrapText="0"/>
    </xf>
    <xf borderId="53" fillId="4" fontId="25" numFmtId="0" xfId="0" applyAlignment="1" applyBorder="1" applyFill="1" applyFont="1">
      <alignment shrinkToFit="0" vertical="center" wrapText="0"/>
    </xf>
    <xf borderId="54" fillId="3" fontId="23" numFmtId="0" xfId="0" applyAlignment="1" applyBorder="1" applyFill="1" applyFont="1">
      <alignment horizontal="left" shrinkToFit="0" vertical="top" wrapText="0"/>
    </xf>
    <xf borderId="55" fillId="3" fontId="22" numFmtId="0" xfId="0" applyAlignment="1" applyBorder="1" applyFill="1" applyFont="1">
      <alignment horizontal="center" shrinkToFit="0" vertical="top" wrapText="0"/>
    </xf>
    <xf borderId="56" fillId="3" fontId="27" numFmtId="0" xfId="0" applyAlignment="1" applyBorder="1" applyFill="1" applyFont="1">
      <alignment horizontal="right" shrinkToFit="0" vertical="center" wrapText="0"/>
    </xf>
    <xf borderId="11" fillId="6" fontId="24" numFmtId="0" xfId="0" applyAlignment="1" applyBorder="1" applyFill="1" applyFont="1">
      <alignment horizontal="right" shrinkToFit="0" vertical="bottom" wrapText="0"/>
    </xf>
    <xf borderId="57" fillId="4" fontId="25" numFmtId="0" xfId="0" applyAlignment="1" applyBorder="1" applyFill="1" applyFont="1">
      <alignment shrinkToFit="0" vertical="center" wrapText="0"/>
    </xf>
    <xf borderId="6" fillId="3" fontId="23" numFmtId="0" xfId="0" applyAlignment="1" applyBorder="1" applyFill="1" applyFont="1">
      <alignment horizontal="left" shrinkToFit="0" vertical="top" wrapText="0"/>
    </xf>
    <xf borderId="3" fillId="3" fontId="27" numFmtId="0" xfId="0" applyAlignment="1" applyBorder="1" applyFill="1" applyFont="1">
      <alignment horizontal="right" shrinkToFit="0" vertical="center" wrapText="0"/>
    </xf>
    <xf borderId="5" fillId="0" fontId="23" numFmtId="0" xfId="0" applyAlignment="1" applyBorder="1" applyFont="1">
      <alignment horizontal="center" shrinkToFit="0" vertical="bottom" wrapText="0"/>
    </xf>
    <xf borderId="2" fillId="3" fontId="23" numFmtId="0" xfId="0" applyAlignment="1" applyBorder="1" applyFill="1" applyFont="1">
      <alignment horizontal="left" shrinkToFit="0" vertical="top" wrapText="0"/>
    </xf>
    <xf borderId="3" fillId="3" fontId="22" numFmtId="0" xfId="0" applyAlignment="1" applyBorder="1" applyFill="1" applyFont="1">
      <alignment horizontal="center" shrinkToFit="0" vertical="top" wrapText="0"/>
    </xf>
    <xf borderId="0" fillId="3" fontId="27" numFmtId="0" xfId="0" applyAlignment="1" applyFill="1" applyFont="1">
      <alignment horizontal="right" shrinkToFit="0" vertical="center" wrapText="0"/>
    </xf>
    <xf borderId="58" fillId="3" fontId="22" numFmtId="0" xfId="0" applyAlignment="1" applyBorder="1" applyFill="1" applyFont="1">
      <alignment horizontal="center" shrinkToFit="0" vertical="top" wrapText="0"/>
    </xf>
    <xf borderId="0" fillId="0" fontId="22" numFmtId="0" xfId="0" applyAlignment="1" applyFont="1">
      <alignment shrinkToFit="0" vertical="top" wrapText="0"/>
    </xf>
    <xf borderId="7" fillId="3" fontId="22" numFmtId="0" xfId="0" applyAlignment="1" applyBorder="1" applyFill="1" applyFont="1">
      <alignment horizontal="center" shrinkToFit="0" vertical="top" wrapText="0"/>
    </xf>
    <xf borderId="59" fillId="3" fontId="22" numFmtId="0" xfId="0" applyAlignment="1" applyBorder="1" applyFill="1" applyFont="1">
      <alignment horizontal="right" shrinkToFit="0" vertical="top" wrapText="0"/>
    </xf>
    <xf borderId="1" fillId="6" fontId="22" numFmtId="0" xfId="0" applyAlignment="1" applyBorder="1" applyFill="1" applyFont="1">
      <alignment horizontal="right" shrinkToFit="0" vertical="bottom" wrapText="0"/>
    </xf>
    <xf borderId="8" fillId="3" fontId="22" numFmtId="0" xfId="0" applyAlignment="1" applyBorder="1" applyFill="1" applyFont="1">
      <alignment horizontal="right" shrinkToFit="0" vertical="top" wrapText="0"/>
    </xf>
    <xf borderId="0" fillId="0" fontId="23" numFmtId="0" xfId="0" applyAlignment="1" applyFont="1">
      <alignment horizontal="center" shrinkToFit="0" vertical="bottom" wrapText="0"/>
    </xf>
    <xf borderId="48" fillId="4" fontId="25" numFmtId="0" xfId="0" applyAlignment="1" applyBorder="1" applyFill="1" applyFont="1">
      <alignment shrinkToFit="0" vertical="top" wrapText="0"/>
    </xf>
    <xf borderId="49" fillId="3" fontId="23" numFmtId="0" xfId="0" applyAlignment="1" applyBorder="1" applyFill="1" applyFont="1">
      <alignment shrinkToFit="0" vertical="bottom" wrapText="0"/>
    </xf>
    <xf borderId="50" fillId="3" fontId="23" numFmtId="0" xfId="0" applyAlignment="1" applyBorder="1" applyFill="1" applyFont="1">
      <alignment shrinkToFit="0" vertical="bottom" wrapText="0"/>
    </xf>
    <xf borderId="60" fillId="3" fontId="22" numFmtId="0" xfId="0" applyAlignment="1" applyBorder="1" applyFill="1" applyFont="1">
      <alignment horizontal="right" shrinkToFit="0" vertical="bottom" wrapText="0"/>
    </xf>
    <xf borderId="61" fillId="6" fontId="22" numFmtId="0" xfId="0" applyAlignment="1" applyBorder="1" applyFill="1" applyFont="1">
      <alignment horizontal="left" shrinkToFit="0" vertical="bottom" wrapText="0"/>
    </xf>
    <xf borderId="57" fillId="4" fontId="25" numFmtId="0" xfId="0" applyAlignment="1" applyBorder="1" applyFill="1" applyFont="1">
      <alignment shrinkToFit="0" vertical="top" wrapText="0"/>
    </xf>
    <xf borderId="6" fillId="3" fontId="23" numFmtId="0" xfId="0" applyAlignment="1" applyBorder="1" applyFill="1" applyFont="1">
      <alignment shrinkToFit="0" vertical="bottom" wrapText="0"/>
    </xf>
    <xf borderId="7" fillId="3" fontId="22" numFmtId="0" xfId="0" applyAlignment="1" applyBorder="1" applyFill="1" applyFont="1">
      <alignment shrinkToFit="0" vertical="bottom" wrapText="0"/>
    </xf>
    <xf borderId="8" fillId="3" fontId="22" numFmtId="0" xfId="0" applyAlignment="1" applyBorder="1" applyFill="1" applyFont="1">
      <alignment horizontal="right" shrinkToFit="0" vertical="bottom" wrapText="0"/>
    </xf>
    <xf borderId="5" fillId="6" fontId="22" numFmtId="0" xfId="0" applyAlignment="1" applyBorder="1" applyFill="1" applyFont="1">
      <alignment horizontal="left" shrinkToFit="0" vertical="bottom" wrapText="0"/>
    </xf>
    <xf borderId="7" fillId="3" fontId="22" numFmtId="166" xfId="0" applyAlignment="1" applyBorder="1" applyFill="1" applyFont="1" applyNumberFormat="1">
      <alignment shrinkToFit="0" vertical="bottom" wrapText="0"/>
    </xf>
    <xf borderId="3" fillId="3" fontId="22" numFmtId="0" xfId="0" applyAlignment="1" applyBorder="1" applyFill="1" applyFont="1">
      <alignment horizontal="right" shrinkToFit="0" vertical="bottom" wrapText="0"/>
    </xf>
    <xf borderId="5" fillId="6" fontId="22" numFmtId="0" xfId="0" applyAlignment="1" applyBorder="1" applyFill="1" applyFont="1">
      <alignment shrinkToFit="0" vertical="bottom" wrapText="0"/>
    </xf>
    <xf borderId="5" fillId="0" fontId="22" numFmtId="0" xfId="0" applyAlignment="1" applyBorder="1" applyFont="1">
      <alignment vertical="center"/>
    </xf>
    <xf borderId="0" fillId="3" fontId="22" numFmtId="0" xfId="0" applyAlignment="1" applyFill="1" applyFont="1">
      <alignment horizontal="right" shrinkToFit="0" vertical="bottom" wrapText="0"/>
    </xf>
    <xf borderId="56" fillId="3" fontId="22" numFmtId="0" xfId="0" applyAlignment="1" applyBorder="1" applyFill="1" applyFont="1">
      <alignment horizontal="right" shrinkToFit="0" vertical="bottom" wrapText="0"/>
    </xf>
    <xf borderId="62" fillId="3" fontId="23" numFmtId="0" xfId="0" applyAlignment="1" applyBorder="1" applyFill="1" applyFont="1">
      <alignment shrinkToFit="0" vertical="bottom" wrapText="0"/>
    </xf>
    <xf borderId="63" fillId="3" fontId="22" numFmtId="0" xfId="0" applyAlignment="1" applyBorder="1" applyFill="1" applyFont="1">
      <alignment shrinkToFit="0" vertical="bottom" wrapText="0"/>
    </xf>
    <xf borderId="64" fillId="3" fontId="22" numFmtId="0" xfId="0" applyAlignment="1" applyBorder="1" applyFill="1" applyFont="1">
      <alignment horizontal="right" shrinkToFit="0" vertical="bottom" wrapText="0"/>
    </xf>
    <xf borderId="65" fillId="6" fontId="22" numFmtId="0" xfId="0" applyAlignment="1" applyBorder="1" applyFill="1" applyFont="1">
      <alignment horizontal="left" shrinkToFit="0" vertical="bottom" wrapText="0"/>
    </xf>
    <xf borderId="66" fillId="0" fontId="23" numFmtId="0" xfId="0" applyAlignment="1" applyBorder="1" applyFont="1">
      <alignment horizontal="center" shrinkToFit="0" vertical="bottom" wrapText="0"/>
    </xf>
    <xf borderId="67" fillId="0" fontId="22" numFmtId="0" xfId="0" applyAlignment="1" applyBorder="1" applyFont="1">
      <alignment horizontal="left" shrinkToFit="0" vertical="bottom" wrapText="0"/>
    </xf>
    <xf borderId="68" fillId="0" fontId="9" numFmtId="0" xfId="0" applyAlignment="1" applyBorder="1" applyFont="1">
      <alignment vertical="center"/>
    </xf>
    <xf borderId="69" fillId="0" fontId="9" numFmtId="0" xfId="0" applyAlignment="1" applyBorder="1" applyFont="1">
      <alignment vertical="center"/>
    </xf>
    <xf borderId="70" fillId="0" fontId="22" numFmtId="0" xfId="0" applyAlignment="1" applyBorder="1" applyFont="1">
      <alignment horizontal="left" shrinkToFit="0" vertical="bottom" wrapText="0"/>
    </xf>
    <xf borderId="70" fillId="0" fontId="22" numFmtId="0" xfId="0" applyAlignment="1" applyBorder="1" applyFont="1">
      <alignment horizontal="center" shrinkToFit="0" vertical="bottom" wrapText="0"/>
    </xf>
    <xf borderId="71" fillId="4" fontId="28" numFmtId="0" xfId="0" applyAlignment="1" applyBorder="1" applyFill="1" applyFont="1">
      <alignment horizontal="center" shrinkToFit="0" vertical="bottom" wrapText="0"/>
    </xf>
    <xf borderId="1" fillId="4" fontId="29" numFmtId="0" xfId="0" applyAlignment="1" applyBorder="1" applyFill="1" applyFont="1">
      <alignment shrinkToFit="0" vertical="center" wrapText="0"/>
    </xf>
    <xf borderId="2" fillId="0" fontId="22" numFmtId="0" xfId="0" applyAlignment="1" applyBorder="1" applyFont="1">
      <alignment horizontal="left" shrinkToFit="0" vertical="bottom" wrapText="0"/>
    </xf>
    <xf borderId="5" fillId="0" fontId="30" numFmtId="0" xfId="0" applyAlignment="1" applyBorder="1" applyFont="1">
      <alignment horizontal="left" shrinkToFit="0" vertical="bottom" wrapText="0"/>
    </xf>
    <xf borderId="5" fillId="0" fontId="22" numFmtId="0" xfId="0" applyAlignment="1" applyBorder="1" applyFont="1">
      <alignment horizontal="center" shrinkToFit="0" vertical="bottom" wrapText="0"/>
    </xf>
    <xf borderId="21" fillId="4" fontId="28" numFmtId="0" xfId="0" applyAlignment="1" applyBorder="1" applyFill="1" applyFont="1">
      <alignment horizontal="center" shrinkToFit="0" vertical="bottom" wrapText="0"/>
    </xf>
    <xf borderId="2" fillId="0" fontId="22" numFmtId="0" xfId="0" applyAlignment="1" applyBorder="1" applyFont="1">
      <alignment horizontal="left" shrinkToFit="0" vertical="top" wrapText="0"/>
    </xf>
    <xf borderId="5" fillId="0" fontId="22" numFmtId="0" xfId="0" applyAlignment="1" applyBorder="1" applyFont="1">
      <alignment shrinkToFit="0" vertical="bottom" wrapText="0"/>
    </xf>
    <xf borderId="5" fillId="0" fontId="22" numFmtId="167" xfId="0" applyAlignment="1" applyBorder="1" applyFont="1" applyNumberFormat="1">
      <alignment shrinkToFit="0" textRotation="255" vertical="top" wrapText="0"/>
    </xf>
    <xf borderId="1" fillId="3" fontId="3" numFmtId="0" xfId="0" applyAlignment="1" applyBorder="1" applyFill="1" applyFont="1">
      <alignment horizontal="center" shrinkToFit="0" vertical="bottom" wrapText="0"/>
    </xf>
    <xf borderId="72" fillId="4" fontId="25" numFmtId="0" xfId="0" applyAlignment="1" applyBorder="1" applyFill="1" applyFont="1">
      <alignment shrinkToFit="0" vertical="top" wrapText="0"/>
    </xf>
    <xf borderId="1" fillId="3" fontId="3" numFmtId="10" xfId="0" applyAlignment="1" applyBorder="1" applyFill="1" applyFont="1" applyNumberFormat="1">
      <alignment horizontal="center" shrinkToFit="0" vertical="bottom" wrapText="0"/>
    </xf>
    <xf borderId="1" fillId="3" fontId="3" numFmtId="9" xfId="0" applyAlignment="1" applyBorder="1" applyFill="1" applyFont="1" applyNumberFormat="1">
      <alignment horizontal="center" shrinkToFit="0" vertical="bottom" wrapText="0"/>
    </xf>
    <xf borderId="73" fillId="0" fontId="22" numFmtId="0" xfId="0" applyAlignment="1" applyBorder="1" applyFont="1">
      <alignment horizontal="left" shrinkToFit="0" vertical="top" wrapText="0"/>
    </xf>
    <xf borderId="74" fillId="0" fontId="9" numFmtId="0" xfId="0" applyAlignment="1" applyBorder="1" applyFont="1">
      <alignment vertical="center"/>
    </xf>
    <xf borderId="75" fillId="0" fontId="9" numFmtId="0" xfId="0" applyAlignment="1" applyBorder="1" applyFont="1">
      <alignment vertical="center"/>
    </xf>
    <xf borderId="76" fillId="0" fontId="22" numFmtId="0" xfId="0" applyAlignment="1" applyBorder="1" applyFont="1">
      <alignment shrinkToFit="0" vertical="bottom" wrapText="0"/>
    </xf>
    <xf borderId="76" fillId="0" fontId="22" numFmtId="0" xfId="0" applyAlignment="1" applyBorder="1" applyFont="1">
      <alignment shrinkToFit="0" textRotation="255" vertical="bottom" wrapText="0"/>
    </xf>
    <xf borderId="1" fillId="3" fontId="14" numFmtId="0" xfId="0" applyAlignment="1" applyBorder="1" applyFill="1" applyFont="1">
      <alignment horizontal="left" shrinkToFit="0" vertical="bottom" wrapText="0"/>
    </xf>
    <xf borderId="0" fillId="0" fontId="25" numFmtId="0" xfId="0" applyAlignment="1" applyFont="1">
      <alignment shrinkToFit="0" vertical="top" wrapText="0"/>
    </xf>
    <xf borderId="1" fillId="3" fontId="14" numFmtId="2" xfId="0" applyAlignment="1" applyBorder="1" applyFill="1" applyFont="1" applyNumberFormat="1">
      <alignment horizontal="right" shrinkToFit="0" vertical="bottom" wrapText="1"/>
    </xf>
    <xf borderId="1" fillId="3" fontId="19" numFmtId="0" xfId="0" applyAlignment="1" applyBorder="1" applyFill="1" applyFont="1">
      <alignment horizontal="center" shrinkToFit="0" vertical="bottom" wrapText="1"/>
    </xf>
    <xf borderId="77" fillId="0" fontId="22" numFmtId="0" xfId="0" applyAlignment="1" applyBorder="1" applyFont="1">
      <alignment horizontal="right" shrinkToFit="0" vertical="bottom" wrapText="0"/>
    </xf>
    <xf borderId="77" fillId="0" fontId="9" numFmtId="0" xfId="0" applyAlignment="1" applyBorder="1" applyFont="1">
      <alignment vertical="center"/>
    </xf>
    <xf borderId="78" fillId="3" fontId="22" numFmtId="0" xfId="0" applyAlignment="1" applyBorder="1" applyFill="1" applyFont="1">
      <alignment horizontal="center" shrinkToFit="0" vertical="top" wrapText="0"/>
    </xf>
    <xf borderId="79" fillId="6" fontId="22" numFmtId="0" xfId="0" applyAlignment="1" applyBorder="1" applyFill="1" applyFont="1">
      <alignment horizontal="right" shrinkToFit="0" vertical="bottom" wrapText="0"/>
    </xf>
    <xf borderId="53" fillId="4" fontId="25" numFmtId="0" xfId="0" applyAlignment="1" applyBorder="1" applyFill="1" applyFont="1">
      <alignment shrinkToFit="0" vertical="top" wrapText="0"/>
    </xf>
    <xf borderId="2" fillId="3" fontId="23" numFmtId="0" xfId="0" applyAlignment="1" applyBorder="1" applyFill="1" applyFont="1">
      <alignment shrinkToFit="0" vertical="bottom" wrapText="0"/>
    </xf>
    <xf borderId="3" fillId="3" fontId="22" numFmtId="0" xfId="0" applyAlignment="1" applyBorder="1" applyFill="1" applyFont="1">
      <alignment shrinkToFit="0" vertical="bottom" wrapText="0"/>
    </xf>
    <xf borderId="4" fillId="3" fontId="22" numFmtId="0" xfId="0" applyAlignment="1" applyBorder="1" applyFill="1" applyFont="1">
      <alignment horizontal="right" shrinkToFit="0" vertical="bottom" wrapText="0"/>
    </xf>
    <xf borderId="80" fillId="6" fontId="22" numFmtId="0" xfId="0" applyAlignment="1" applyBorder="1" applyFill="1" applyFont="1">
      <alignment horizontal="left" shrinkToFit="0" vertical="bottom" wrapText="0"/>
    </xf>
    <xf borderId="80" fillId="0" fontId="23" numFmtId="0" xfId="0" applyAlignment="1" applyBorder="1" applyFont="1">
      <alignment horizontal="center" shrinkToFit="0" vertical="bottom" wrapText="0"/>
    </xf>
    <xf borderId="81" fillId="3" fontId="23" numFmtId="0" xfId="0" applyAlignment="1" applyBorder="1" applyFill="1" applyFont="1">
      <alignment shrinkToFit="0" vertical="bottom" wrapText="0"/>
    </xf>
    <xf borderId="56" fillId="3" fontId="22" numFmtId="0" xfId="0" applyAlignment="1" applyBorder="1" applyFill="1" applyFont="1">
      <alignment shrinkToFit="0" vertical="bottom" wrapText="0"/>
    </xf>
    <xf borderId="82" fillId="3" fontId="22" numFmtId="0" xfId="0" applyAlignment="1" applyBorder="1" applyFill="1" applyFont="1">
      <alignment horizontal="right" shrinkToFit="0" vertical="bottom" wrapText="0"/>
    </xf>
    <xf borderId="83" fillId="3" fontId="23" numFmtId="0" xfId="0" applyAlignment="1" applyBorder="1" applyFill="1" applyFont="1">
      <alignment shrinkToFit="0" vertical="bottom" wrapText="0"/>
    </xf>
    <xf borderId="77" fillId="3" fontId="22" numFmtId="0" xfId="0" applyAlignment="1" applyBorder="1" applyFill="1" applyFont="1">
      <alignment shrinkToFit="0" vertical="bottom" wrapText="0"/>
    </xf>
    <xf borderId="84" fillId="3" fontId="22" numFmtId="0" xfId="0" applyAlignment="1" applyBorder="1" applyFill="1" applyFont="1">
      <alignment horizontal="right" shrinkToFit="0" vertical="bottom" wrapText="0"/>
    </xf>
    <xf borderId="83" fillId="0" fontId="22" numFmtId="0" xfId="0" applyAlignment="1" applyBorder="1" applyFont="1">
      <alignment horizontal="left" shrinkToFit="0" vertical="bottom" wrapText="0"/>
    </xf>
    <xf borderId="84" fillId="0" fontId="9" numFmtId="0" xfId="0" applyAlignment="1" applyBorder="1" applyFont="1">
      <alignment vertical="center"/>
    </xf>
    <xf borderId="85" fillId="0" fontId="22" numFmtId="0" xfId="0" applyAlignment="1" applyBorder="1" applyFont="1">
      <alignment shrinkToFit="0" vertical="bottom" wrapText="0"/>
    </xf>
    <xf borderId="86" fillId="4" fontId="26" numFmtId="0" xfId="0" applyAlignment="1" applyBorder="1" applyFill="1" applyFont="1">
      <alignment shrinkToFit="0" vertical="bottom" wrapText="0"/>
    </xf>
    <xf borderId="87" fillId="4" fontId="25" numFmtId="0" xfId="0" applyAlignment="1" applyBorder="1" applyFill="1" applyFont="1">
      <alignment horizontal="left" shrinkToFit="0" vertical="bottom" wrapText="0"/>
    </xf>
    <xf borderId="87" fillId="4" fontId="26" numFmtId="0" xfId="0" applyAlignment="1" applyBorder="1" applyFill="1" applyFont="1">
      <alignment shrinkToFit="0" vertical="bottom" wrapText="0"/>
    </xf>
    <xf borderId="87" fillId="4" fontId="26" numFmtId="0" xfId="0" applyAlignment="1" applyBorder="1" applyFill="1" applyFont="1">
      <alignment horizontal="right" shrinkToFit="0" vertical="bottom" wrapText="0"/>
    </xf>
    <xf borderId="87" fillId="4" fontId="25" numFmtId="0" xfId="0" applyAlignment="1" applyBorder="1" applyFill="1" applyFont="1">
      <alignment shrinkToFit="0" textRotation="180" vertical="top" wrapText="0"/>
    </xf>
    <xf borderId="88" fillId="6" fontId="24" numFmtId="0" xfId="0" applyAlignment="1" applyBorder="1" applyFill="1" applyFont="1">
      <alignment horizontal="right" shrinkToFit="0" vertical="bottom" wrapText="0"/>
    </xf>
    <xf borderId="0" fillId="0" fontId="22" numFmtId="0" xfId="0" applyAlignment="1" applyFont="1">
      <alignment vertical="center"/>
    </xf>
    <xf borderId="89" fillId="3" fontId="24" numFmtId="49" xfId="0" applyAlignment="1" applyBorder="1" applyFill="1" applyFont="1" applyNumberFormat="1">
      <alignment horizontal="left" shrinkToFit="0" vertical="bottom" wrapText="1"/>
    </xf>
    <xf borderId="90" fillId="0" fontId="9" numFmtId="0" xfId="0" applyAlignment="1" applyBorder="1" applyFont="1">
      <alignment vertical="center"/>
    </xf>
    <xf borderId="91" fillId="0" fontId="9" numFmtId="0" xfId="0" applyAlignment="1" applyBorder="1" applyFont="1">
      <alignment vertical="center"/>
    </xf>
    <xf borderId="32" fillId="3" fontId="24" numFmtId="0" xfId="0" applyAlignment="1" applyBorder="1" applyFill="1" applyFont="1">
      <alignment shrinkToFit="0" vertical="bottom" wrapText="1"/>
    </xf>
    <xf borderId="6" fillId="3" fontId="23" numFmtId="0" xfId="0" applyAlignment="1" applyBorder="1" applyFill="1" applyFont="1">
      <alignment horizontal="right" shrinkToFit="0" vertical="bottom" wrapText="0"/>
    </xf>
    <xf borderId="6" fillId="3" fontId="23" numFmtId="0" xfId="0" applyAlignment="1" applyBorder="1" applyFill="1" applyFont="1">
      <alignment horizontal="left" shrinkToFit="0" vertical="bottom" wrapText="0"/>
    </xf>
    <xf borderId="92" fillId="3" fontId="23" numFmtId="0" xfId="0" applyAlignment="1" applyBorder="1" applyFill="1" applyFont="1">
      <alignment shrinkToFit="0" vertical="bottom" wrapText="0"/>
    </xf>
    <xf borderId="0" fillId="3" fontId="22" numFmtId="0" xfId="0" applyAlignment="1" applyFill="1" applyFont="1">
      <alignment shrinkToFit="0" vertical="bottom" wrapText="0"/>
    </xf>
    <xf borderId="93" fillId="3" fontId="22" numFmtId="0" xfId="0" applyAlignment="1" applyBorder="1" applyFill="1" applyFont="1">
      <alignment horizontal="right" shrinkToFit="0" vertical="bottom" wrapText="0"/>
    </xf>
    <xf borderId="38" fillId="3" fontId="22" numFmtId="0" xfId="0" applyAlignment="1" applyBorder="1" applyFill="1" applyFont="1">
      <alignment horizontal="right" shrinkToFit="0" vertical="top" wrapText="0"/>
    </xf>
    <xf borderId="94" fillId="4" fontId="25" numFmtId="0" xfId="0" applyAlignment="1" applyBorder="1" applyFill="1" applyFont="1">
      <alignment shrinkToFit="0" vertical="top" wrapText="0"/>
    </xf>
    <xf borderId="95" fillId="4" fontId="25" numFmtId="0" xfId="0" applyAlignment="1" applyBorder="1" applyFill="1" applyFont="1">
      <alignment shrinkToFit="0" vertical="top" wrapText="0"/>
    </xf>
    <xf borderId="96" fillId="4" fontId="25" numFmtId="0" xfId="0" applyAlignment="1" applyBorder="1" applyFill="1" applyFont="1">
      <alignment shrinkToFit="0" vertical="top" wrapText="0"/>
    </xf>
    <xf borderId="5" fillId="4" fontId="25" numFmtId="0" xfId="0" applyAlignment="1" applyBorder="1" applyFill="1" applyFont="1">
      <alignment shrinkToFit="0" vertical="top" wrapText="0"/>
    </xf>
    <xf borderId="97" fillId="4" fontId="25" numFmtId="0" xfId="0" applyAlignment="1" applyBorder="1" applyFill="1" applyFont="1">
      <alignment shrinkToFit="0" vertical="top" wrapText="0"/>
    </xf>
    <xf borderId="52" fillId="6" fontId="22" numFmtId="0" xfId="0" applyAlignment="1" applyBorder="1" applyFill="1" applyFont="1">
      <alignment shrinkToFit="0" vertical="bottom" wrapText="0"/>
    </xf>
    <xf borderId="5" fillId="0" fontId="23" numFmtId="0" xfId="0" applyAlignment="1" applyBorder="1" applyFont="1">
      <alignment horizontal="center" shrinkToFit="0" vertical="center" wrapText="0"/>
    </xf>
    <xf borderId="5" fillId="3" fontId="31" numFmtId="0" xfId="0" applyAlignment="1" applyBorder="1" applyFill="1" applyFont="1">
      <alignment shrinkToFit="0" vertical="bottom" wrapText="0"/>
    </xf>
    <xf borderId="64" fillId="3" fontId="22" numFmtId="0" xfId="0" applyAlignment="1" applyBorder="1" applyFill="1" applyFont="1">
      <alignment horizontal="right" shrinkToFit="0" vertical="top" wrapText="0"/>
    </xf>
    <xf borderId="9" fillId="6" fontId="22" numFmtId="0" xfId="0" applyAlignment="1" applyBorder="1" applyFill="1" applyFont="1">
      <alignment horizontal="right" shrinkToFit="0" vertical="bottom" wrapText="0"/>
    </xf>
    <xf borderId="38" fillId="3" fontId="22" numFmtId="0" xfId="0" applyAlignment="1" applyBorder="1" applyFill="1" applyFont="1">
      <alignment horizontal="center" shrinkToFit="0" vertical="top" wrapText="0"/>
    </xf>
    <xf borderId="3" fillId="0" fontId="22" numFmtId="0" xfId="0" applyAlignment="1" applyBorder="1" applyFont="1">
      <alignment horizontal="right" shrinkToFit="0" vertical="bottom" wrapText="0"/>
    </xf>
    <xf borderId="4" fillId="3" fontId="31" numFmtId="0" xfId="0" applyAlignment="1" applyBorder="1" applyFill="1" applyFont="1">
      <alignment shrinkToFit="0" vertical="bottom" wrapText="0"/>
    </xf>
    <xf borderId="0" fillId="6" fontId="22" numFmtId="0" xfId="0" applyAlignment="1" applyFill="1" applyFont="1">
      <alignment horizontal="right" shrinkToFit="0" vertical="bottom" wrapText="0"/>
    </xf>
    <xf borderId="5" fillId="0" fontId="22" numFmtId="0" xfId="0" applyAlignment="1" applyBorder="1" applyFont="1">
      <alignment horizontal="center" shrinkToFit="0" vertical="center" wrapText="0"/>
    </xf>
    <xf borderId="5" fillId="3" fontId="32" numFmtId="0" xfId="0" applyAlignment="1" applyBorder="1" applyFill="1" applyFont="1">
      <alignment shrinkToFit="0" vertical="bottom" wrapText="0"/>
    </xf>
    <xf borderId="2" fillId="3" fontId="24" numFmtId="49" xfId="0" applyAlignment="1" applyBorder="1" applyFill="1" applyFont="1" applyNumberFormat="1">
      <alignment horizontal="left" shrinkToFit="0" vertical="bottom" wrapText="1"/>
    </xf>
    <xf borderId="0" fillId="3" fontId="22" numFmtId="49" xfId="0" applyAlignment="1" applyFill="1" applyFont="1" applyNumberFormat="1">
      <alignment horizontal="center" shrinkToFit="0" vertical="bottom" wrapText="1"/>
    </xf>
    <xf borderId="83" fillId="3" fontId="24" numFmtId="0" xfId="0" applyAlignment="1" applyBorder="1" applyFill="1" applyFont="1">
      <alignment shrinkToFit="0" vertical="bottom" wrapText="1"/>
    </xf>
    <xf borderId="98" fillId="0" fontId="9" numFmtId="0" xfId="0" applyAlignment="1" applyBorder="1" applyFont="1">
      <alignment vertical="center"/>
    </xf>
    <xf borderId="0" fillId="3" fontId="24" numFmtId="0" xfId="0" applyAlignment="1" applyFill="1" applyFont="1">
      <alignment shrinkToFit="0" vertical="bottom" wrapText="1"/>
    </xf>
    <xf borderId="0" fillId="3" fontId="22" numFmtId="0" xfId="0" applyAlignment="1" applyFill="1" applyFont="1">
      <alignment horizontal="center" shrinkToFit="0" vertical="bottom" wrapText="1"/>
    </xf>
    <xf borderId="0" fillId="3" fontId="24" numFmtId="0" xfId="0" applyAlignment="1" applyFill="1" applyFont="1">
      <alignment horizontal="left" shrinkToFit="0" vertical="bottom" wrapText="1"/>
    </xf>
    <xf borderId="0" fillId="3" fontId="23" numFmtId="0" xfId="0" applyAlignment="1" applyFill="1" applyFont="1">
      <alignment horizontal="center" shrinkToFit="0" vertical="center" wrapText="1"/>
    </xf>
    <xf borderId="99" fillId="0" fontId="9" numFmtId="0" xfId="0" applyAlignment="1" applyBorder="1" applyFont="1">
      <alignment vertical="center"/>
    </xf>
    <xf borderId="0" fillId="3" fontId="22" numFmtId="0" xfId="0" applyAlignment="1" applyFill="1" applyFont="1">
      <alignment horizontal="center" shrinkToFit="0" vertical="center" wrapText="0"/>
    </xf>
    <xf borderId="100" fillId="4" fontId="25" numFmtId="0" xfId="0" applyAlignment="1" applyBorder="1" applyFill="1" applyFont="1">
      <alignment shrinkToFit="0" textRotation="180" vertical="top" wrapText="0"/>
    </xf>
    <xf borderId="60" fillId="3" fontId="22" numFmtId="0" xfId="0" applyAlignment="1" applyBorder="1" applyFill="1" applyFont="1">
      <alignment horizontal="right" shrinkToFit="0" vertical="top" wrapText="0"/>
    </xf>
    <xf borderId="83" fillId="0" fontId="23" numFmtId="0" xfId="0" applyAlignment="1" applyBorder="1" applyFont="1">
      <alignment horizontal="center" shrinkToFit="0" vertical="bottom" wrapText="0"/>
    </xf>
    <xf borderId="101" fillId="3" fontId="22" numFmtId="0" xfId="0" applyAlignment="1" applyBorder="1" applyFill="1" applyFont="1">
      <alignment horizontal="center" shrinkToFit="0" vertical="top" wrapText="0"/>
    </xf>
    <xf borderId="63" fillId="3" fontId="22" numFmtId="0" xfId="0" applyAlignment="1" applyBorder="1" applyFill="1" applyFont="1">
      <alignment horizontal="center" shrinkToFit="0" vertical="top" wrapText="0"/>
    </xf>
    <xf borderId="2" fillId="0" fontId="23" numFmtId="0" xfId="0" applyAlignment="1" applyBorder="1" applyFont="1">
      <alignment horizontal="center" shrinkToFit="0" vertical="bottom" wrapText="0"/>
    </xf>
    <xf borderId="102" fillId="3" fontId="22" numFmtId="0" xfId="0" applyAlignment="1" applyBorder="1" applyFill="1" applyFont="1">
      <alignment horizontal="right" shrinkToFit="0" vertical="top" wrapText="0"/>
    </xf>
    <xf borderId="50" fillId="3" fontId="24" numFmtId="0" xfId="0" applyAlignment="1" applyBorder="1" applyFill="1" applyFont="1">
      <alignment shrinkToFit="0" vertical="bottom" wrapText="1"/>
    </xf>
    <xf borderId="103" fillId="3" fontId="23" numFmtId="0" xfId="0" applyAlignment="1" applyBorder="1" applyFill="1" applyFont="1">
      <alignment horizontal="left" shrinkToFit="0" vertical="top" wrapText="0"/>
    </xf>
    <xf borderId="104" fillId="3" fontId="22" numFmtId="0" xfId="0" applyAlignment="1" applyBorder="1" applyFill="1" applyFont="1">
      <alignment horizontal="center" shrinkToFit="0" vertical="top" wrapText="0"/>
    </xf>
    <xf borderId="105" fillId="3" fontId="22" numFmtId="0" xfId="0" applyAlignment="1" applyBorder="1" applyFill="1" applyFont="1">
      <alignment horizontal="right" shrinkToFit="0" vertical="top" wrapText="0"/>
    </xf>
    <xf borderId="106" fillId="6" fontId="22" numFmtId="0" xfId="0" applyAlignment="1" applyBorder="1" applyFill="1" applyFont="1">
      <alignment horizontal="right" shrinkToFit="0" vertical="bottom" wrapText="0"/>
    </xf>
    <xf borderId="76" fillId="0" fontId="23" numFmtId="0" xfId="0" applyAlignment="1" applyBorder="1" applyFont="1">
      <alignment horizontal="center" shrinkToFit="0" vertical="bottom" wrapText="0"/>
    </xf>
    <xf borderId="73" fillId="0" fontId="23" numFmtId="0" xfId="0" applyAlignment="1" applyBorder="1" applyFont="1">
      <alignment horizontal="center" shrinkToFit="0" vertical="bottom" wrapText="0"/>
    </xf>
    <xf borderId="107" fillId="4" fontId="25" numFmtId="0" xfId="0" applyAlignment="1" applyBorder="1" applyFill="1" applyFont="1">
      <alignment shrinkToFit="0" textRotation="180" vertical="top" wrapText="0"/>
    </xf>
    <xf borderId="107" fillId="4" fontId="25" numFmtId="0" xfId="0" applyAlignment="1" applyBorder="1" applyFill="1" applyFont="1">
      <alignment horizontal="right" textRotation="180" vertical="top"/>
    </xf>
    <xf borderId="108" fillId="4" fontId="25" numFmtId="0" xfId="0" applyAlignment="1" applyBorder="1" applyFill="1" applyFont="1">
      <alignment shrinkToFit="0" textRotation="180" vertical="top" wrapText="0"/>
    </xf>
    <xf borderId="109" fillId="6" fontId="24" numFmtId="0" xfId="0" applyAlignment="1" applyBorder="1" applyFill="1" applyFont="1">
      <alignment horizontal="right" shrinkToFit="0" vertical="bottom" wrapText="0"/>
    </xf>
    <xf borderId="110" fillId="0" fontId="23" numFmtId="0" xfId="0" applyAlignment="1" applyBorder="1" applyFont="1">
      <alignment horizontal="center" shrinkToFit="0" vertical="bottom" wrapText="0"/>
    </xf>
    <xf borderId="111" fillId="6" fontId="24" numFmtId="0" xfId="0" applyAlignment="1" applyBorder="1" applyFill="1" applyFont="1">
      <alignment horizontal="right" shrinkToFit="0" vertical="bottom" wrapText="0"/>
    </xf>
    <xf borderId="12" fillId="6" fontId="24" numFmtId="0" xfId="0" applyAlignment="1" applyBorder="1" applyFill="1" applyFont="1">
      <alignment horizontal="right" shrinkToFit="0" vertical="bottom" wrapText="0"/>
    </xf>
    <xf borderId="0" fillId="0" fontId="23" numFmtId="0" xfId="0" applyAlignment="1" applyFont="1">
      <alignment vertical="center"/>
    </xf>
    <xf borderId="12" fillId="6" fontId="22" numFmtId="0" xfId="0" applyAlignment="1" applyBorder="1" applyFill="1" applyFont="1">
      <alignment horizontal="right" shrinkToFit="0" vertical="bottom" wrapText="0"/>
    </xf>
    <xf borderId="81" fillId="0" fontId="23" numFmtId="0" xfId="0" applyAlignment="1" applyBorder="1" applyFont="1">
      <alignment horizontal="center" shrinkToFit="0" vertical="bottom" wrapText="0"/>
    </xf>
    <xf borderId="73" fillId="0" fontId="22" numFmtId="0" xfId="0" applyAlignment="1" applyBorder="1" applyFont="1">
      <alignment shrinkToFit="0" textRotation="255" vertical="bottom" wrapText="0"/>
    </xf>
    <xf borderId="112" fillId="6" fontId="22" numFmtId="0" xfId="0" applyAlignment="1" applyBorder="1" applyFill="1" applyFont="1">
      <alignment horizontal="right" shrinkToFit="0" vertical="bottom" wrapText="0"/>
    </xf>
    <xf borderId="113" fillId="0" fontId="23" numFmtId="0" xfId="0" applyAlignment="1" applyBorder="1" applyFont="1">
      <alignment horizontal="center" shrinkToFit="0" vertical="bottom" wrapText="0"/>
    </xf>
    <xf borderId="114" fillId="0" fontId="23" numFmtId="0" xfId="0" applyAlignment="1" applyBorder="1" applyFont="1">
      <alignment horizontal="center" shrinkToFit="0" vertical="bottom" wrapText="0"/>
    </xf>
    <xf borderId="62" fillId="3" fontId="23" numFmtId="0" xfId="0" applyAlignment="1" applyBorder="1" applyFill="1" applyFont="1">
      <alignment horizontal="left" shrinkToFit="0" vertical="bottom" wrapText="0"/>
    </xf>
    <xf borderId="115" fillId="4" fontId="25" numFmtId="0" xfId="0" applyAlignment="1" applyBorder="1" applyFill="1" applyFont="1">
      <alignment shrinkToFit="0" vertical="top" wrapText="0"/>
    </xf>
    <xf borderId="2" fillId="3" fontId="23" numFmtId="0" xfId="0" applyAlignment="1" applyBorder="1" applyFill="1" applyFont="1">
      <alignment horizontal="left" shrinkToFit="0" vertical="bottom" wrapText="0"/>
    </xf>
    <xf borderId="4" fillId="6" fontId="22" numFmtId="0" xfId="0" applyAlignment="1" applyBorder="1" applyFill="1" applyFont="1">
      <alignment shrinkToFit="0" vertical="bottom" wrapText="0"/>
    </xf>
    <xf borderId="4" fillId="6" fontId="22" numFmtId="0" xfId="0" applyAlignment="1" applyBorder="1" applyFill="1" applyFont="1">
      <alignment horizontal="left" shrinkToFit="0" vertical="bottom" wrapText="0"/>
    </xf>
    <xf borderId="116" fillId="0" fontId="23" numFmtId="0" xfId="0" applyAlignment="1" applyBorder="1" applyFont="1">
      <alignment horizontal="center" shrinkToFit="0" vertical="bottom" wrapText="0"/>
    </xf>
    <xf borderId="117" fillId="4" fontId="25" numFmtId="0" xfId="0" applyAlignment="1" applyBorder="1" applyFill="1" applyFont="1">
      <alignment shrinkToFit="0" vertical="top" wrapText="0"/>
    </xf>
    <xf borderId="2" fillId="3" fontId="24" numFmtId="0" xfId="0" applyAlignment="1" applyBorder="1" applyFill="1" applyFont="1">
      <alignment shrinkToFit="0" vertical="bottom" wrapText="1"/>
    </xf>
    <xf borderId="118" fillId="0" fontId="23" numFmtId="0" xfId="0" applyAlignment="1" applyBorder="1" applyFont="1">
      <alignment horizontal="center" shrinkToFit="0" vertical="bottom" wrapText="0"/>
    </xf>
    <xf borderId="0" fillId="3" fontId="23" numFmtId="0" xfId="0" applyAlignment="1" applyFill="1" applyFont="1">
      <alignment shrinkToFit="0" vertical="bottom" wrapText="0"/>
    </xf>
    <xf borderId="52" fillId="0" fontId="22" numFmtId="0" xfId="0" applyAlignment="1" applyBorder="1" applyFont="1">
      <alignment horizontal="left" shrinkToFit="0" vertical="bottom" wrapText="0"/>
    </xf>
    <xf borderId="52" fillId="0" fontId="22" numFmtId="0" xfId="0" applyAlignment="1" applyBorder="1" applyFont="1">
      <alignment horizontal="center" shrinkToFit="0" vertical="bottom" wrapText="0"/>
    </xf>
    <xf borderId="119" fillId="0" fontId="22" numFmtId="0" xfId="0" applyAlignment="1" applyBorder="1" applyFont="1">
      <alignment horizontal="center" shrinkToFit="0" vertical="bottom" wrapText="0"/>
    </xf>
    <xf borderId="110" fillId="0" fontId="22" numFmtId="0" xfId="0" applyAlignment="1" applyBorder="1" applyFont="1">
      <alignment horizontal="center" shrinkToFit="0" vertical="bottom" wrapText="0"/>
    </xf>
    <xf borderId="110" fillId="0" fontId="22" numFmtId="167" xfId="0" applyAlignment="1" applyBorder="1" applyFont="1" applyNumberFormat="1">
      <alignment shrinkToFit="0" textRotation="255" vertical="top" wrapText="0"/>
    </xf>
    <xf borderId="113" fillId="0" fontId="22" numFmtId="0" xfId="0" applyAlignment="1" applyBorder="1" applyFont="1">
      <alignment shrinkToFit="0" textRotation="255" vertical="bottom" wrapText="0"/>
    </xf>
    <xf borderId="31" fillId="3" fontId="23" numFmtId="0" xfId="0" applyAlignment="1" applyBorder="1" applyFill="1" applyFont="1">
      <alignment horizontal="left" shrinkToFit="0" vertical="top" wrapText="1"/>
    </xf>
    <xf borderId="2" fillId="3" fontId="24" numFmtId="0" xfId="0" applyAlignment="1" applyBorder="1" applyFill="1" applyFont="1">
      <alignment horizontal="left" shrinkToFit="0" vertical="top" wrapText="1"/>
    </xf>
    <xf borderId="120" fillId="3" fontId="23" numFmtId="0" xfId="0" applyAlignment="1" applyBorder="1" applyFill="1" applyFont="1">
      <alignment shrinkToFit="0" vertical="bottom" wrapText="0"/>
    </xf>
    <xf borderId="88" fillId="3" fontId="22" numFmtId="0" xfId="0" applyAlignment="1" applyBorder="1" applyFill="1" applyFont="1">
      <alignment shrinkToFit="0" vertical="bottom" wrapText="0"/>
    </xf>
    <xf borderId="121" fillId="3" fontId="22" numFmtId="0" xfId="0" applyAlignment="1" applyBorder="1" applyFill="1" applyFont="1">
      <alignment horizontal="right" shrinkToFit="0" vertical="bottom" wrapText="0"/>
    </xf>
    <xf borderId="22" fillId="6" fontId="24" numFmtId="0" xfId="0" applyAlignment="1" applyBorder="1" applyFill="1" applyFont="1">
      <alignment horizontal="right" shrinkToFit="0" vertical="bottom" wrapText="0"/>
    </xf>
    <xf borderId="47" fillId="4" fontId="25" numFmtId="0" xfId="0" applyAlignment="1" applyBorder="1" applyFill="1" applyFont="1">
      <alignment horizontal="right" textRotation="180" vertical="top"/>
    </xf>
    <xf borderId="0" fillId="0" fontId="22" numFmtId="164" xfId="0" applyAlignment="1" applyFont="1" applyNumberFormat="1">
      <alignment shrinkToFit="0" vertical="bottom" wrapText="0"/>
    </xf>
    <xf borderId="122" fillId="4" fontId="25" numFmtId="0" xfId="0" applyAlignment="1" applyBorder="1" applyFill="1" applyFont="1">
      <alignment shrinkToFit="0" textRotation="180" vertical="top" wrapText="0"/>
    </xf>
    <xf borderId="123" fillId="4" fontId="25" numFmtId="0" xfId="0" applyAlignment="1" applyBorder="1" applyFill="1" applyFont="1">
      <alignment shrinkToFit="0" textRotation="180" vertical="top" wrapText="0"/>
    </xf>
    <xf borderId="23" fillId="0" fontId="33" numFmtId="0" xfId="0" applyAlignment="1" applyBorder="1" applyFont="1">
      <alignment vertical="bottom"/>
    </xf>
    <xf borderId="0" fillId="0" fontId="33" numFmtId="0" xfId="0" applyAlignment="1" applyFont="1">
      <alignment vertical="bottom"/>
    </xf>
    <xf borderId="24" fillId="3" fontId="23" numFmtId="0" xfId="0" applyAlignment="1" applyBorder="1" applyFill="1" applyFont="1">
      <alignment shrinkToFit="0" vertical="bottom" wrapText="1"/>
    </xf>
    <xf borderId="26" fillId="3" fontId="24" numFmtId="49" xfId="0" applyAlignment="1" applyBorder="1" applyFill="1" applyFont="1" applyNumberFormat="1">
      <alignment shrinkToFit="0" vertical="bottom" wrapText="1"/>
    </xf>
    <xf borderId="28" fillId="3" fontId="23" numFmtId="0" xfId="0" applyAlignment="1" applyBorder="1" applyFill="1" applyFont="1">
      <alignment shrinkToFit="0" vertical="bottom" wrapText="1"/>
    </xf>
    <xf borderId="31" fillId="3" fontId="23" numFmtId="0" xfId="0" applyAlignment="1" applyBorder="1" applyFill="1" applyFont="1">
      <alignment shrinkToFit="0" vertical="bottom" wrapText="1"/>
    </xf>
    <xf borderId="2" fillId="3" fontId="23" numFmtId="0" xfId="0" applyAlignment="1" applyBorder="1" applyFill="1" applyFont="1">
      <alignment shrinkToFit="0" vertical="bottom" wrapText="1"/>
    </xf>
    <xf borderId="6" fillId="3" fontId="23" numFmtId="0" xfId="0" applyAlignment="1" applyBorder="1" applyFill="1" applyFont="1">
      <alignment vertical="top"/>
    </xf>
    <xf borderId="35" fillId="3" fontId="33" numFmtId="0" xfId="0" applyAlignment="1" applyBorder="1" applyFill="1" applyFont="1">
      <alignment vertical="bottom"/>
    </xf>
    <xf borderId="7" fillId="3" fontId="22" numFmtId="0" xfId="0" applyAlignment="1" applyBorder="1" applyFill="1" applyFont="1">
      <alignment vertical="top"/>
    </xf>
    <xf borderId="0" fillId="0" fontId="22" numFmtId="168" xfId="0" applyAlignment="1" applyFont="1" applyNumberFormat="1">
      <alignment vertical="center"/>
    </xf>
    <xf borderId="1" fillId="6" fontId="22" numFmtId="0" xfId="0" applyAlignment="1" applyBorder="1" applyFill="1" applyFont="1">
      <alignment vertical="bottom"/>
    </xf>
    <xf borderId="7" fillId="3" fontId="33" numFmtId="0" xfId="0" applyAlignment="1" applyBorder="1" applyFill="1" applyFont="1">
      <alignment vertical="bottom"/>
    </xf>
    <xf borderId="6" fillId="3" fontId="22" numFmtId="0" xfId="0" applyAlignment="1" applyBorder="1" applyFill="1" applyFont="1">
      <alignment vertical="top"/>
    </xf>
    <xf borderId="8" fillId="3" fontId="22" numFmtId="168" xfId="0" applyAlignment="1" applyBorder="1" applyFill="1" applyFont="1" applyNumberFormat="1">
      <alignment horizontal="right" vertical="top"/>
    </xf>
    <xf borderId="5" fillId="0" fontId="22" numFmtId="0" xfId="0" applyAlignment="1" applyBorder="1" applyFont="1">
      <alignment vertical="bottom"/>
    </xf>
    <xf borderId="5" fillId="0" fontId="23" numFmtId="0" xfId="0" applyAlignment="1" applyBorder="1" applyFont="1">
      <alignment horizontal="center" vertical="bottom"/>
    </xf>
    <xf borderId="31" fillId="3" fontId="23" numFmtId="0" xfId="0" applyAlignment="1" applyBorder="1" applyFill="1" applyFont="1">
      <alignment horizontal="center" vertical="center"/>
    </xf>
    <xf borderId="8" fillId="3" fontId="22" numFmtId="168" xfId="0" applyAlignment="1" applyBorder="1" applyFill="1" applyFont="1" applyNumberFormat="1">
      <alignment vertical="top"/>
    </xf>
    <xf borderId="40" fillId="3" fontId="22" numFmtId="0" xfId="0" applyAlignment="1" applyBorder="1" applyFill="1" applyFont="1">
      <alignment horizontal="center" vertical="center"/>
    </xf>
    <xf borderId="42" fillId="3" fontId="22" numFmtId="0" xfId="0" applyAlignment="1" applyBorder="1" applyFill="1" applyFont="1">
      <alignment horizontal="center" vertical="center"/>
    </xf>
    <xf borderId="44" fillId="3" fontId="22" numFmtId="0" xfId="0" applyAlignment="1" applyBorder="1" applyFill="1" applyFont="1">
      <alignment horizontal="center" vertical="center"/>
    </xf>
    <xf borderId="85" fillId="0" fontId="33" numFmtId="0" xfId="0" applyAlignment="1" applyBorder="1" applyFont="1">
      <alignment vertical="bottom"/>
    </xf>
    <xf borderId="62" fillId="3" fontId="22" numFmtId="0" xfId="0" applyAlignment="1" applyBorder="1" applyFill="1" applyFont="1">
      <alignment vertical="top"/>
    </xf>
    <xf borderId="63" fillId="3" fontId="22" numFmtId="0" xfId="0" applyAlignment="1" applyBorder="1" applyFill="1" applyFont="1">
      <alignment vertical="top"/>
    </xf>
    <xf borderId="64" fillId="3" fontId="22" numFmtId="0" xfId="0" applyAlignment="1" applyBorder="1" applyFill="1" applyFont="1">
      <alignment horizontal="right" vertical="top"/>
    </xf>
    <xf borderId="9" fillId="6" fontId="22" numFmtId="0" xfId="0" applyAlignment="1" applyBorder="1" applyFill="1" applyFont="1">
      <alignment horizontal="right" vertical="bottom"/>
    </xf>
    <xf borderId="66" fillId="0" fontId="23" numFmtId="0" xfId="0" applyAlignment="1" applyBorder="1" applyFont="1">
      <alignment horizontal="center" vertical="bottom"/>
    </xf>
    <xf borderId="5" fillId="4" fontId="33" numFmtId="0" xfId="0" applyAlignment="1" applyBorder="1" applyFill="1" applyFont="1">
      <alignment vertical="center"/>
    </xf>
    <xf borderId="122" fillId="4" fontId="25" numFmtId="0" xfId="0" applyAlignment="1" applyBorder="1" applyFill="1" applyFont="1">
      <alignment horizontal="right" textRotation="180" vertical="top"/>
    </xf>
    <xf borderId="124" fillId="3" fontId="23" numFmtId="0" xfId="0" applyAlignment="1" applyBorder="1" applyFill="1" applyFont="1">
      <alignment horizontal="left" shrinkToFit="0" vertical="bottom" wrapText="0"/>
    </xf>
    <xf borderId="5" fillId="4" fontId="25" numFmtId="0" xfId="0" applyAlignment="1" applyBorder="1" applyFill="1" applyFont="1">
      <alignment vertical="bottom"/>
    </xf>
    <xf borderId="122" fillId="3" fontId="23" numFmtId="0" xfId="0" applyAlignment="1" applyBorder="1" applyFill="1" applyFont="1">
      <alignment shrinkToFit="0" vertical="bottom" wrapText="0"/>
    </xf>
    <xf borderId="5" fillId="3" fontId="23" numFmtId="0" xfId="0" applyAlignment="1" applyBorder="1" applyFill="1" applyFont="1">
      <alignment vertical="center"/>
    </xf>
    <xf borderId="125" fillId="3" fontId="22" numFmtId="0" xfId="0" applyAlignment="1" applyBorder="1" applyFill="1" applyFont="1">
      <alignment horizontal="right" shrinkToFit="0" vertical="bottom" wrapText="0"/>
    </xf>
    <xf borderId="70" fillId="6" fontId="22" numFmtId="0" xfId="0" applyAlignment="1" applyBorder="1" applyFill="1" applyFont="1">
      <alignment horizontal="left" shrinkToFit="0" vertical="bottom" wrapText="0"/>
    </xf>
    <xf borderId="5" fillId="3" fontId="33" numFmtId="0" xfId="0" applyAlignment="1" applyBorder="1" applyFill="1" applyFont="1">
      <alignment vertical="bottom"/>
    </xf>
    <xf borderId="5" fillId="6" fontId="33" numFmtId="0" xfId="0" applyAlignment="1" applyBorder="1" applyFill="1" applyFont="1">
      <alignment vertical="bottom"/>
    </xf>
    <xf borderId="70" fillId="0" fontId="23" numFmtId="0" xfId="0" applyAlignment="1" applyBorder="1" applyFont="1">
      <alignment horizontal="center" shrinkToFit="0" vertical="bottom" wrapText="0"/>
    </xf>
    <xf borderId="5" fillId="0" fontId="4" numFmtId="0" xfId="0" applyAlignment="1" applyBorder="1" applyFont="1">
      <alignment horizontal="center" shrinkToFit="0" vertical="bottom" wrapText="0"/>
    </xf>
    <xf borderId="110" fillId="0" fontId="4" numFmtId="0" xfId="0" applyAlignment="1" applyBorder="1" applyFont="1">
      <alignment horizontal="center" shrinkToFit="0" vertical="bottom" wrapText="0"/>
    </xf>
    <xf borderId="5" fillId="4" fontId="33" numFmtId="0" xfId="0" applyAlignment="1" applyBorder="1" applyFill="1" applyFont="1">
      <alignment vertical="bottom"/>
    </xf>
    <xf borderId="5" fillId="3" fontId="22" numFmtId="0" xfId="0" applyAlignment="1" applyBorder="1" applyFill="1" applyFont="1">
      <alignment horizontal="right" vertical="center"/>
    </xf>
    <xf borderId="5" fillId="0" fontId="23" numFmtId="0" xfId="0" applyAlignment="1" applyBorder="1" applyFont="1">
      <alignment horizontal="center" vertical="center"/>
    </xf>
    <xf borderId="8" fillId="3" fontId="22" numFmtId="168" xfId="0" applyAlignment="1" applyBorder="1" applyFill="1" applyFont="1" applyNumberFormat="1">
      <alignment horizontal="right" shrinkToFit="0" vertical="bottom" wrapText="0"/>
    </xf>
    <xf borderId="0" fillId="0" fontId="22" numFmtId="0" xfId="0" applyAlignment="1" applyFont="1">
      <alignment horizontal="left" vertical="center"/>
    </xf>
    <xf borderId="5" fillId="3" fontId="22" numFmtId="168" xfId="0" applyAlignment="1" applyBorder="1" applyFill="1" applyFont="1" applyNumberFormat="1">
      <alignment horizontal="right" vertical="center"/>
    </xf>
    <xf borderId="5" fillId="3" fontId="33" numFmtId="168" xfId="0" applyAlignment="1" applyBorder="1" applyFill="1" applyFont="1" applyNumberFormat="1">
      <alignment vertical="bottom"/>
    </xf>
    <xf borderId="66" fillId="6" fontId="22" numFmtId="0" xfId="0" applyAlignment="1" applyBorder="1" applyFill="1" applyFont="1">
      <alignment horizontal="left" shrinkToFit="0" vertical="bottom" wrapText="0"/>
    </xf>
    <xf borderId="67" fillId="0" fontId="23" numFmtId="0" xfId="0" applyAlignment="1" applyBorder="1" applyFont="1">
      <alignment horizontal="left" shrinkToFit="0" vertical="bottom" wrapText="0"/>
    </xf>
    <xf borderId="114" fillId="0" fontId="4" numFmtId="0" xfId="0" applyAlignment="1" applyBorder="1" applyFont="1">
      <alignment horizontal="center" shrinkToFit="0" vertical="bottom" wrapText="0"/>
    </xf>
    <xf borderId="2" fillId="0" fontId="23" numFmtId="0" xfId="0" applyAlignment="1" applyBorder="1" applyFont="1">
      <alignment horizontal="left" shrinkToFit="0" vertical="bottom" wrapText="0"/>
    </xf>
    <xf borderId="2" fillId="0" fontId="23" numFmtId="0" xfId="0" applyAlignment="1" applyBorder="1" applyFont="1">
      <alignment horizontal="left" shrinkToFit="0" vertical="top" wrapText="0"/>
    </xf>
    <xf borderId="73" fillId="0" fontId="23" numFmtId="0" xfId="0" applyAlignment="1" applyBorder="1" applyFont="1">
      <alignment horizontal="left" shrinkToFit="0" vertical="top" wrapText="0"/>
    </xf>
    <xf borderId="5" fillId="0" fontId="33" numFmtId="0" xfId="0" applyAlignment="1" applyBorder="1" applyFont="1">
      <alignment vertical="bottom"/>
    </xf>
    <xf borderId="5" fillId="3" fontId="33" numFmtId="167" xfId="0" applyAlignment="1" applyBorder="1" applyFill="1" applyFont="1" applyNumberFormat="1">
      <alignment vertical="bottom"/>
    </xf>
    <xf borderId="5" fillId="0" fontId="23" numFmtId="167" xfId="0" applyAlignment="1" applyBorder="1" applyFont="1" applyNumberFormat="1">
      <alignment horizontal="center" vertical="center"/>
    </xf>
    <xf borderId="66" fillId="3" fontId="33" numFmtId="0" xfId="0" applyAlignment="1" applyBorder="1" applyFill="1" applyFont="1">
      <alignment vertical="bottom"/>
    </xf>
    <xf borderId="66" fillId="3" fontId="22" numFmtId="0" xfId="0" applyAlignment="1" applyBorder="1" applyFill="1" applyFont="1">
      <alignment horizontal="right" vertical="center"/>
    </xf>
    <xf borderId="66" fillId="6" fontId="33" numFmtId="0" xfId="0" applyAlignment="1" applyBorder="1" applyFill="1" applyFont="1">
      <alignment vertical="bottom"/>
    </xf>
    <xf borderId="66" fillId="0" fontId="23" numFmtId="0" xfId="0" applyAlignment="1" applyBorder="1" applyFont="1">
      <alignment horizontal="center" vertical="center"/>
    </xf>
    <xf borderId="66" fillId="0" fontId="4" numFmtId="0" xfId="0" applyAlignment="1" applyBorder="1" applyFont="1">
      <alignment horizontal="center" shrinkToFit="0" vertical="bottom" wrapText="0"/>
    </xf>
    <xf borderId="80" fillId="0" fontId="4" numFmtId="0" xfId="0" applyAlignment="1" applyBorder="1" applyFont="1">
      <alignment horizontal="center" shrinkToFit="0" vertical="bottom" wrapText="0"/>
    </xf>
    <xf borderId="116" fillId="0" fontId="4" numFmtId="0" xfId="0" applyAlignment="1" applyBorder="1" applyFont="1">
      <alignment horizontal="center" shrinkToFit="0" vertical="bottom" wrapText="0"/>
    </xf>
    <xf borderId="2" fillId="4" fontId="25" numFmtId="0" xfId="0" applyAlignment="1" applyBorder="1" applyFill="1" applyFont="1">
      <alignment vertical="bottom"/>
    </xf>
    <xf borderId="126" fillId="3" fontId="23" numFmtId="0" xfId="0" applyAlignment="1" applyBorder="1" applyFill="1" applyFont="1">
      <alignment vertical="center"/>
    </xf>
    <xf borderId="70" fillId="6" fontId="33" numFmtId="0" xfId="0" applyAlignment="1" applyBorder="1" applyFill="1" applyFont="1">
      <alignment vertical="bottom"/>
    </xf>
    <xf borderId="70" fillId="0" fontId="22" numFmtId="0" xfId="0" applyAlignment="1" applyBorder="1" applyFont="1">
      <alignment horizontal="center" vertical="center"/>
    </xf>
    <xf borderId="119" fillId="0" fontId="4" numFmtId="0" xfId="0" applyAlignment="1" applyBorder="1" applyFont="1">
      <alignment horizontal="center" shrinkToFit="0" vertical="bottom" wrapText="0"/>
    </xf>
    <xf borderId="2" fillId="4" fontId="33" numFmtId="0" xfId="0" applyAlignment="1" applyBorder="1" applyFill="1" applyFont="1">
      <alignment vertical="bottom"/>
    </xf>
    <xf borderId="127" fillId="3" fontId="23" numFmtId="0" xfId="0" applyAlignment="1" applyBorder="1" applyFill="1" applyFont="1">
      <alignment vertical="center"/>
    </xf>
    <xf borderId="5" fillId="0" fontId="22" numFmtId="0" xfId="0" applyAlignment="1" applyBorder="1" applyFont="1">
      <alignment horizontal="center" vertical="center"/>
    </xf>
    <xf borderId="5" fillId="0" fontId="22" numFmtId="169" xfId="0" applyAlignment="1" applyBorder="1" applyFont="1" applyNumberFormat="1">
      <alignment horizontal="center" vertical="center"/>
    </xf>
    <xf borderId="5" fillId="0" fontId="33" numFmtId="0" xfId="0" applyAlignment="1" applyBorder="1" applyFont="1">
      <alignment vertical="center"/>
    </xf>
    <xf borderId="110" fillId="0" fontId="33" numFmtId="0" xfId="0" applyAlignment="1" applyBorder="1" applyFont="1">
      <alignment vertical="center"/>
    </xf>
    <xf borderId="128" fillId="3" fontId="23" numFmtId="0" xfId="0" applyAlignment="1" applyBorder="1" applyFill="1" applyFont="1">
      <alignment vertical="center"/>
    </xf>
    <xf borderId="76" fillId="6" fontId="33" numFmtId="0" xfId="0" applyAlignment="1" applyBorder="1" applyFill="1" applyFont="1">
      <alignment vertical="bottom"/>
    </xf>
    <xf borderId="76" fillId="0" fontId="33" numFmtId="0" xfId="0" applyAlignment="1" applyBorder="1" applyFont="1">
      <alignment vertical="center"/>
    </xf>
    <xf borderId="113" fillId="0" fontId="33" numFmtId="0" xfId="0" applyAlignment="1" applyBorder="1" applyFont="1">
      <alignment vertical="center"/>
    </xf>
    <xf borderId="122" fillId="4" fontId="25" numFmtId="0" xfId="0" applyAlignment="1" applyBorder="1" applyFill="1" applyFont="1">
      <alignment horizontal="center" shrinkToFit="0" textRotation="180" vertical="top" wrapText="0"/>
    </xf>
    <xf borderId="0" fillId="0" fontId="22" numFmtId="0" xfId="0" applyAlignment="1" applyFont="1">
      <alignment horizontal="right" vertical="center"/>
    </xf>
    <xf borderId="65" fillId="6" fontId="24" numFmtId="0" xfId="0" applyAlignment="1" applyBorder="1" applyFill="1" applyFont="1">
      <alignment horizontal="right" shrinkToFit="0" vertical="bottom" wrapText="0"/>
    </xf>
    <xf borderId="5" fillId="3" fontId="6" numFmtId="0" xfId="0" applyAlignment="1" applyBorder="1" applyFill="1" applyFont="1">
      <alignment horizontal="center" vertical="bottom"/>
    </xf>
    <xf borderId="5" fillId="3" fontId="6" numFmtId="0" xfId="0" applyAlignment="1" applyBorder="1" applyFill="1" applyFont="1">
      <alignment vertical="bottom"/>
    </xf>
    <xf borderId="129" fillId="6" fontId="24" numFmtId="0" xfId="0" applyAlignment="1" applyBorder="1" applyFill="1" applyFont="1">
      <alignment horizontal="right" shrinkToFit="0" vertical="bottom" wrapText="0"/>
    </xf>
    <xf borderId="0" fillId="0" fontId="6" numFmtId="0" xfId="0" applyAlignment="1" applyFont="1">
      <alignment vertical="bottom"/>
    </xf>
    <xf borderId="0" fillId="0" fontId="23" numFmtId="0" xfId="0" applyAlignment="1" applyFont="1">
      <alignment horizontal="left" vertical="center"/>
    </xf>
    <xf borderId="129" fillId="6" fontId="22" numFmtId="0" xfId="0" applyAlignment="1" applyBorder="1" applyFill="1" applyFont="1">
      <alignment horizontal="right" shrinkToFit="0" vertical="bottom" wrapText="0"/>
    </xf>
    <xf borderId="96" fillId="4" fontId="25" numFmtId="0" xfId="0" applyAlignment="1" applyBorder="1" applyFill="1" applyFont="1">
      <alignment shrinkToFit="0" vertical="center" wrapText="0"/>
    </xf>
    <xf borderId="62" fillId="3" fontId="23" numFmtId="0" xfId="0" applyAlignment="1" applyBorder="1" applyFill="1" applyFont="1">
      <alignment horizontal="left" vertical="top"/>
    </xf>
    <xf borderId="129" fillId="6" fontId="6" numFmtId="0" xfId="0" applyAlignment="1" applyBorder="1" applyFill="1" applyFont="1">
      <alignment vertical="bottom"/>
    </xf>
    <xf borderId="66" fillId="3" fontId="6" numFmtId="0" xfId="0" applyAlignment="1" applyBorder="1" applyFill="1" applyFont="1">
      <alignment horizontal="center" vertical="bottom"/>
    </xf>
    <xf borderId="124" fillId="3" fontId="23" numFmtId="0" xfId="0" applyAlignment="1" applyBorder="1" applyFill="1" applyFont="1">
      <alignment horizontal="left" vertical="bottom"/>
    </xf>
    <xf borderId="122" fillId="3" fontId="22" numFmtId="0" xfId="0" applyAlignment="1" applyBorder="1" applyFill="1" applyFont="1">
      <alignment vertical="bottom"/>
    </xf>
    <xf borderId="122" fillId="3" fontId="22" numFmtId="0" xfId="0" applyAlignment="1" applyBorder="1" applyFill="1" applyFont="1">
      <alignment horizontal="right" shrinkToFit="0" vertical="top" wrapText="0"/>
    </xf>
    <xf borderId="61" fillId="6" fontId="6" numFmtId="0" xfId="0" applyAlignment="1" applyBorder="1" applyFill="1" applyFont="1">
      <alignment vertical="bottom"/>
    </xf>
    <xf borderId="70" fillId="3" fontId="6" numFmtId="0" xfId="0" applyAlignment="1" applyBorder="1" applyFill="1" applyFont="1">
      <alignment horizontal="center" vertical="bottom"/>
    </xf>
    <xf borderId="70" fillId="3" fontId="6" numFmtId="0" xfId="0" applyAlignment="1" applyBorder="1" applyFill="1" applyFont="1">
      <alignment vertical="bottom"/>
    </xf>
    <xf borderId="70" fillId="0" fontId="6" numFmtId="0" xfId="0" applyAlignment="1" applyBorder="1" applyFont="1">
      <alignment vertical="bottom"/>
    </xf>
    <xf borderId="119" fillId="0" fontId="6" numFmtId="0" xfId="0" applyAlignment="1" applyBorder="1" applyFont="1">
      <alignment vertical="bottom"/>
    </xf>
    <xf borderId="57" fillId="4" fontId="6" numFmtId="0" xfId="0" applyAlignment="1" applyBorder="1" applyFill="1" applyFont="1">
      <alignment vertical="top"/>
    </xf>
    <xf borderId="6" fillId="3" fontId="22" numFmtId="0" xfId="0" applyAlignment="1" applyBorder="1" applyFill="1" applyFont="1">
      <alignment horizontal="left" vertical="bottom"/>
    </xf>
    <xf borderId="7" fillId="3" fontId="22" numFmtId="0" xfId="0" applyAlignment="1" applyBorder="1" applyFill="1" applyFont="1">
      <alignment vertical="bottom"/>
    </xf>
    <xf borderId="8" fillId="3" fontId="22" numFmtId="0" xfId="0" applyAlignment="1" applyBorder="1" applyFill="1" applyFont="1">
      <alignment horizontal="right" vertical="bottom"/>
    </xf>
    <xf borderId="5" fillId="0" fontId="6" numFmtId="0" xfId="0" applyAlignment="1" applyBorder="1" applyFont="1">
      <alignment vertical="bottom"/>
    </xf>
    <xf borderId="110" fillId="0" fontId="6" numFmtId="0" xfId="0" applyAlignment="1" applyBorder="1" applyFont="1">
      <alignment vertical="bottom"/>
    </xf>
    <xf borderId="5" fillId="6" fontId="6" numFmtId="0" xfId="0" applyAlignment="1" applyBorder="1" applyFill="1" applyFont="1">
      <alignment vertical="bottom"/>
    </xf>
    <xf borderId="6" fillId="3" fontId="23" numFmtId="0" xfId="0" applyAlignment="1" applyBorder="1" applyFill="1" applyFont="1">
      <alignment horizontal="left" vertical="bottom"/>
    </xf>
    <xf borderId="8" fillId="3" fontId="22" numFmtId="168" xfId="0" applyAlignment="1" applyBorder="1" applyFill="1" applyFont="1" applyNumberFormat="1">
      <alignment horizontal="right" vertical="bottom"/>
    </xf>
    <xf borderId="5" fillId="3" fontId="6" numFmtId="167" xfId="0" applyAlignment="1" applyBorder="1" applyFill="1" applyFont="1" applyNumberFormat="1">
      <alignment horizontal="center" vertical="bottom"/>
    </xf>
    <xf borderId="5" fillId="0" fontId="6" numFmtId="167" xfId="0" applyAlignment="1" applyBorder="1" applyFont="1" applyNumberFormat="1">
      <alignment vertical="bottom"/>
    </xf>
    <xf borderId="110" fillId="0" fontId="6" numFmtId="167" xfId="0" applyAlignment="1" applyBorder="1" applyFont="1" applyNumberFormat="1">
      <alignment vertical="bottom"/>
    </xf>
    <xf borderId="62" fillId="3" fontId="23" numFmtId="0" xfId="0" applyAlignment="1" applyBorder="1" applyFill="1" applyFont="1">
      <alignment horizontal="left" vertical="bottom"/>
    </xf>
    <xf borderId="63" fillId="3" fontId="22" numFmtId="0" xfId="0" applyAlignment="1" applyBorder="1" applyFill="1" applyFont="1">
      <alignment vertical="bottom"/>
    </xf>
    <xf borderId="64" fillId="3" fontId="22" numFmtId="0" xfId="0" applyAlignment="1" applyBorder="1" applyFill="1" applyFont="1">
      <alignment horizontal="right" vertical="bottom"/>
    </xf>
    <xf borderId="66" fillId="6" fontId="6" numFmtId="0" xfId="0" applyAlignment="1" applyBorder="1" applyFill="1" applyFont="1">
      <alignment vertical="bottom"/>
    </xf>
    <xf borderId="66" fillId="3" fontId="6" numFmtId="0" xfId="0" applyAlignment="1" applyBorder="1" applyFill="1" applyFont="1">
      <alignment vertical="bottom"/>
    </xf>
    <xf borderId="66" fillId="0" fontId="6" numFmtId="0" xfId="0" applyAlignment="1" applyBorder="1" applyFont="1">
      <alignment vertical="bottom"/>
    </xf>
    <xf borderId="116" fillId="0" fontId="6" numFmtId="0" xfId="0" applyAlignment="1" applyBorder="1" applyFont="1">
      <alignment vertical="bottom"/>
    </xf>
    <xf borderId="67" fillId="0" fontId="23" numFmtId="0" xfId="0" applyAlignment="1" applyBorder="1" applyFont="1">
      <alignment vertical="bottom"/>
    </xf>
    <xf borderId="70" fillId="3" fontId="22" numFmtId="0" xfId="0" applyAlignment="1" applyBorder="1" applyFill="1" applyFont="1">
      <alignment vertical="bottom"/>
    </xf>
    <xf borderId="130" fillId="0" fontId="6" numFmtId="0" xfId="0" applyAlignment="1" applyBorder="1" applyFont="1">
      <alignment vertical="bottom"/>
    </xf>
    <xf borderId="115" fillId="4" fontId="6" numFmtId="0" xfId="0" applyAlignment="1" applyBorder="1" applyFill="1" applyFont="1">
      <alignment vertical="top"/>
    </xf>
    <xf borderId="2" fillId="0" fontId="23" numFmtId="0" xfId="0" applyAlignment="1" applyBorder="1" applyFont="1">
      <alignment vertical="bottom"/>
    </xf>
    <xf borderId="5" fillId="3" fontId="22" numFmtId="0" xfId="0" applyAlignment="1" applyBorder="1" applyFill="1" applyFont="1">
      <alignment vertical="bottom"/>
    </xf>
    <xf borderId="2" fillId="0" fontId="23" numFmtId="0" xfId="0" applyAlignment="1" applyBorder="1" applyFont="1">
      <alignment vertical="top"/>
    </xf>
    <xf borderId="5" fillId="0" fontId="22" numFmtId="167" xfId="0" applyAlignment="1" applyBorder="1" applyFont="1" applyNumberFormat="1">
      <alignment horizontal="center" textRotation="255" vertical="top"/>
    </xf>
    <xf borderId="5" fillId="0" fontId="6" numFmtId="167" xfId="0" applyAlignment="1" applyBorder="1" applyFont="1" applyNumberFormat="1">
      <alignment vertical="top"/>
    </xf>
    <xf borderId="110" fillId="0" fontId="6" numFmtId="167" xfId="0" applyAlignment="1" applyBorder="1" applyFont="1" applyNumberFormat="1">
      <alignment vertical="top"/>
    </xf>
    <xf borderId="131" fillId="4" fontId="6" numFmtId="0" xfId="0" applyAlignment="1" applyBorder="1" applyFill="1" applyFont="1">
      <alignment vertical="top"/>
    </xf>
    <xf borderId="73" fillId="0" fontId="23" numFmtId="0" xfId="0" applyAlignment="1" applyBorder="1" applyFont="1">
      <alignment vertical="top"/>
    </xf>
    <xf borderId="76" fillId="0" fontId="6" numFmtId="0" xfId="0" applyAlignment="1" applyBorder="1" applyFont="1">
      <alignment vertical="bottom"/>
    </xf>
    <xf borderId="113" fillId="0" fontId="6" numFmtId="0" xfId="0" applyAlignment="1" applyBorder="1" applyFont="1">
      <alignment vertical="bottom"/>
    </xf>
    <xf borderId="0" fillId="0" fontId="34" numFmtId="0" xfId="0" applyAlignment="1" applyFont="1">
      <alignment vertical="center"/>
    </xf>
    <xf borderId="23" fillId="0" fontId="22" numFmtId="0" xfId="0" applyAlignment="1" applyBorder="1" applyFont="1">
      <alignment vertical="bottom"/>
    </xf>
    <xf borderId="0" fillId="0" fontId="22" numFmtId="0" xfId="0" applyAlignment="1" applyFont="1">
      <alignment vertical="bottom"/>
    </xf>
    <xf borderId="24" fillId="3" fontId="23" numFmtId="0" xfId="0" applyAlignment="1" applyBorder="1" applyFill="1" applyFont="1">
      <alignment horizontal="left" shrinkToFit="0" vertical="top" wrapText="1"/>
    </xf>
    <xf borderId="0" fillId="0" fontId="22" numFmtId="49" xfId="0" applyAlignment="1" applyFont="1" applyNumberFormat="1">
      <alignment vertical="bottom"/>
    </xf>
    <xf borderId="35" fillId="3" fontId="22" numFmtId="0" xfId="0" applyAlignment="1" applyBorder="1" applyFill="1" applyFont="1">
      <alignment vertical="bottom"/>
    </xf>
    <xf borderId="5" fillId="0" fontId="35" numFmtId="0" xfId="0" applyAlignment="1" applyBorder="1" applyFont="1">
      <alignment horizontal="center" vertical="center"/>
    </xf>
    <xf borderId="85" fillId="0" fontId="22" numFmtId="0" xfId="0" applyAlignment="1" applyBorder="1" applyFont="1">
      <alignment vertical="bottom"/>
    </xf>
    <xf borderId="86" fillId="4" fontId="22" numFmtId="0" xfId="0" applyAlignment="1" applyBorder="1" applyFill="1" applyFont="1">
      <alignment vertical="bottom"/>
    </xf>
    <xf borderId="87" fillId="4" fontId="22" numFmtId="0" xfId="0" applyAlignment="1" applyBorder="1" applyFill="1" applyFont="1">
      <alignment vertical="bottom"/>
    </xf>
    <xf borderId="122" fillId="4" fontId="22" numFmtId="0" xfId="0" applyAlignment="1" applyBorder="1" applyFill="1" applyFont="1">
      <alignment vertical="top"/>
    </xf>
    <xf borderId="123" fillId="4" fontId="22" numFmtId="0" xfId="0" applyAlignment="1" applyBorder="1" applyFill="1" applyFont="1">
      <alignment vertical="top"/>
    </xf>
    <xf borderId="48" fillId="4" fontId="25" numFmtId="0" xfId="0" applyAlignment="1" applyBorder="1" applyFill="1" applyFont="1">
      <alignment vertical="center"/>
    </xf>
    <xf borderId="57" fillId="4" fontId="22" numFmtId="0" xfId="0" applyAlignment="1" applyBorder="1" applyFill="1" applyFont="1">
      <alignment vertical="center"/>
    </xf>
    <xf borderId="2" fillId="0" fontId="22" numFmtId="0" xfId="0" applyAlignment="1" applyBorder="1" applyFont="1">
      <alignment vertical="center"/>
    </xf>
    <xf borderId="4" fillId="3" fontId="22" numFmtId="0" xfId="0" applyAlignment="1" applyBorder="1" applyFill="1" applyFont="1">
      <alignment horizontal="right" vertical="top"/>
    </xf>
    <xf borderId="8" fillId="3" fontId="22" numFmtId="0" xfId="0" applyAlignment="1" applyBorder="1" applyFill="1" applyFont="1">
      <alignment horizontal="right" vertical="top"/>
    </xf>
    <xf borderId="5" fillId="4" fontId="22" numFmtId="0" xfId="0" applyAlignment="1" applyBorder="1" applyFill="1" applyFont="1">
      <alignment vertical="center"/>
    </xf>
    <xf borderId="5" fillId="4" fontId="25" numFmtId="0" xfId="0" applyAlignment="1" applyBorder="1" applyFill="1" applyFont="1">
      <alignment horizontal="center" textRotation="180" vertical="center"/>
    </xf>
    <xf borderId="52" fillId="4" fontId="25" numFmtId="0" xfId="0" applyAlignment="1" applyBorder="1" applyFill="1" applyFont="1">
      <alignment vertical="bottom"/>
    </xf>
    <xf borderId="52" fillId="3" fontId="23" numFmtId="0" xfId="0" applyAlignment="1" applyBorder="1" applyFill="1" applyFont="1">
      <alignment vertical="center"/>
    </xf>
    <xf borderId="3" fillId="3" fontId="22" numFmtId="0" xfId="0" applyAlignment="1" applyBorder="1" applyFill="1" applyFont="1">
      <alignment vertical="bottom"/>
    </xf>
    <xf borderId="52" fillId="3" fontId="22" numFmtId="0" xfId="0" applyAlignment="1" applyBorder="1" applyFill="1" applyFont="1">
      <alignment horizontal="right" vertical="bottom"/>
    </xf>
    <xf borderId="52" fillId="3" fontId="22" numFmtId="0" xfId="0" applyAlignment="1" applyBorder="1" applyFill="1" applyFont="1">
      <alignment vertical="bottom"/>
    </xf>
    <xf borderId="5" fillId="4" fontId="22" numFmtId="0" xfId="0" applyAlignment="1" applyBorder="1" applyFill="1" applyFont="1">
      <alignment vertical="bottom"/>
    </xf>
    <xf borderId="2" fillId="3" fontId="22" numFmtId="0" xfId="0" applyAlignment="1" applyBorder="1" applyFill="1" applyFont="1">
      <alignment vertical="bottom"/>
    </xf>
    <xf borderId="4" fillId="3" fontId="22" numFmtId="0" xfId="0" applyAlignment="1" applyBorder="1" applyFill="1" applyFont="1">
      <alignment horizontal="right" vertical="center"/>
    </xf>
    <xf borderId="6" fillId="3" fontId="23" numFmtId="0" xfId="0" applyAlignment="1" applyBorder="1" applyFill="1" applyFont="1">
      <alignment horizontal="left" vertical="top"/>
    </xf>
    <xf borderId="2" fillId="3" fontId="23" numFmtId="0" xfId="0" applyAlignment="1" applyBorder="1" applyFill="1" applyFont="1">
      <alignment vertical="center"/>
    </xf>
    <xf borderId="4" fillId="3" fontId="22" numFmtId="0" xfId="0" applyAlignment="1" applyBorder="1" applyFill="1" applyFont="1">
      <alignment horizontal="right" vertical="bottom"/>
    </xf>
    <xf borderId="132" fillId="4" fontId="25" numFmtId="0" xfId="0" applyAlignment="1" applyBorder="1" applyFill="1" applyFont="1">
      <alignment shrinkToFit="0" vertical="top" wrapText="0"/>
    </xf>
    <xf borderId="124" fillId="3" fontId="23" numFmtId="0" xfId="0" applyAlignment="1" applyBorder="1" applyFill="1" applyFont="1">
      <alignment horizontal="left" vertical="top"/>
    </xf>
    <xf borderId="122" fillId="3" fontId="22" numFmtId="0" xfId="0" applyAlignment="1" applyBorder="1" applyFill="1" applyFont="1">
      <alignment vertical="top"/>
    </xf>
    <xf borderId="125" fillId="3" fontId="22" numFmtId="168" xfId="0" applyAlignment="1" applyBorder="1" applyFill="1" applyFont="1" applyNumberFormat="1">
      <alignment horizontal="right" vertical="top"/>
    </xf>
    <xf borderId="57" fillId="4" fontId="22" numFmtId="0" xfId="0" applyAlignment="1" applyBorder="1" applyFill="1" applyFont="1">
      <alignment vertical="top"/>
    </xf>
    <xf borderId="64" fillId="3" fontId="22" numFmtId="168" xfId="0" applyAlignment="1" applyBorder="1" applyFill="1" applyFont="1" applyNumberFormat="1">
      <alignment horizontal="right" vertical="top"/>
    </xf>
    <xf borderId="66" fillId="0" fontId="22" numFmtId="0" xfId="0" applyAlignment="1" applyBorder="1" applyFont="1">
      <alignment vertical="bottom"/>
    </xf>
    <xf borderId="132" fillId="4" fontId="25" numFmtId="0" xfId="0" applyAlignment="1" applyBorder="1" applyFill="1" applyFont="1">
      <alignment vertical="top"/>
    </xf>
    <xf borderId="124" fillId="3" fontId="23" numFmtId="0" xfId="0" applyAlignment="1" applyBorder="1" applyFill="1" applyFont="1">
      <alignment vertical="top"/>
    </xf>
    <xf borderId="130" fillId="0" fontId="22" numFmtId="0" xfId="0" applyAlignment="1" applyBorder="1" applyFont="1">
      <alignment horizontal="right" vertical="center"/>
    </xf>
    <xf borderId="4" fillId="3" fontId="22" numFmtId="168" xfId="0" applyAlignment="1" applyBorder="1" applyFill="1" applyFont="1" applyNumberFormat="1">
      <alignment horizontal="right" vertical="center"/>
    </xf>
    <xf borderId="70" fillId="0" fontId="22" numFmtId="0" xfId="0" applyAlignment="1" applyBorder="1" applyFont="1">
      <alignment vertical="bottom"/>
    </xf>
    <xf borderId="53" fillId="4" fontId="22" numFmtId="0" xfId="0" applyAlignment="1" applyBorder="1" applyFill="1" applyFont="1">
      <alignment vertical="center"/>
    </xf>
    <xf borderId="49" fillId="3" fontId="22" numFmtId="0" xfId="0" applyAlignment="1" applyBorder="1" applyFill="1" applyFont="1">
      <alignment vertical="bottom"/>
    </xf>
    <xf borderId="50" fillId="3" fontId="22" numFmtId="0" xfId="0" applyAlignment="1" applyBorder="1" applyFill="1" applyFont="1">
      <alignment vertical="bottom"/>
    </xf>
    <xf borderId="4" fillId="3" fontId="22" numFmtId="168" xfId="0" applyAlignment="1" applyBorder="1" applyFill="1" applyFont="1" applyNumberFormat="1">
      <alignment horizontal="right" vertical="bottom"/>
    </xf>
    <xf borderId="6" fillId="3" fontId="22" numFmtId="0" xfId="0" applyAlignment="1" applyBorder="1" applyFill="1" applyFont="1">
      <alignment vertical="bottom"/>
    </xf>
    <xf borderId="49" fillId="3" fontId="23" numFmtId="0" xfId="0" applyAlignment="1" applyBorder="1" applyFill="1" applyFont="1">
      <alignment horizontal="left" shrinkToFit="0" vertical="bottom" wrapText="0"/>
    </xf>
    <xf borderId="56" fillId="3" fontId="22" numFmtId="0" xfId="0" applyAlignment="1" applyBorder="1" applyFill="1" applyFont="1">
      <alignment vertical="bottom"/>
    </xf>
    <xf borderId="6" fillId="3" fontId="23" numFmtId="0" xfId="0" applyAlignment="1" applyBorder="1" applyFill="1" applyFont="1">
      <alignment vertical="bottom"/>
    </xf>
    <xf borderId="49" fillId="3" fontId="23" numFmtId="0" xfId="0" applyAlignment="1" applyBorder="1" applyFill="1" applyFont="1">
      <alignment vertical="bottom"/>
    </xf>
    <xf borderId="5" fillId="0" fontId="23" numFmtId="167" xfId="0" applyAlignment="1" applyBorder="1" applyFont="1" applyNumberFormat="1">
      <alignment horizontal="center" vertical="bottom"/>
    </xf>
    <xf borderId="5" fillId="0" fontId="22" numFmtId="167" xfId="0" applyAlignment="1" applyBorder="1" applyFont="1" applyNumberFormat="1">
      <alignment vertical="bottom"/>
    </xf>
    <xf borderId="77" fillId="0" fontId="22" numFmtId="0" xfId="0" applyAlignment="1" applyBorder="1" applyFont="1">
      <alignment vertical="center"/>
    </xf>
    <xf borderId="70" fillId="0" fontId="22" numFmtId="0" xfId="0" applyAlignment="1" applyBorder="1" applyFont="1">
      <alignment horizontal="center" vertical="bottom"/>
    </xf>
    <xf borderId="81" fillId="3" fontId="22" numFmtId="0" xfId="0" applyAlignment="1" applyBorder="1" applyFill="1" applyFont="1">
      <alignment vertical="bottom"/>
    </xf>
    <xf borderId="0" fillId="3" fontId="22" numFmtId="0" xfId="0" applyAlignment="1" applyFill="1" applyFont="1">
      <alignment vertical="bottom"/>
    </xf>
    <xf borderId="82" fillId="3" fontId="22" numFmtId="168" xfId="0" applyAlignment="1" applyBorder="1" applyFill="1" applyFont="1" applyNumberFormat="1">
      <alignment horizontal="right" vertical="center"/>
    </xf>
    <xf borderId="66" fillId="3" fontId="22" numFmtId="0" xfId="0" applyAlignment="1" applyBorder="1" applyFill="1" applyFont="1">
      <alignment vertical="bottom"/>
    </xf>
    <xf borderId="94" fillId="4" fontId="22" numFmtId="0" xfId="0" applyAlignment="1" applyBorder="1" applyFill="1" applyFont="1">
      <alignment vertical="top"/>
    </xf>
    <xf borderId="5" fillId="0" fontId="22" numFmtId="0" xfId="0" applyAlignment="1" applyBorder="1" applyFont="1">
      <alignment horizontal="center" vertical="bottom"/>
    </xf>
    <xf borderId="67" fillId="3" fontId="23" numFmtId="0" xfId="0" applyAlignment="1" applyBorder="1" applyFill="1" applyFont="1">
      <alignment vertical="center"/>
    </xf>
    <xf borderId="5" fillId="3" fontId="22" numFmtId="168" xfId="0" applyAlignment="1" applyBorder="1" applyFill="1" applyFont="1" applyNumberFormat="1">
      <alignment horizontal="right" vertical="bottom"/>
    </xf>
    <xf borderId="5" fillId="3" fontId="22" numFmtId="168" xfId="0" applyAlignment="1" applyBorder="1" applyFill="1" applyFont="1" applyNumberFormat="1">
      <alignment vertical="bottom"/>
    </xf>
    <xf borderId="5" fillId="0" fontId="22" numFmtId="167" xfId="0" applyAlignment="1" applyBorder="1" applyFont="1" applyNumberFormat="1">
      <alignment vertical="top"/>
    </xf>
    <xf borderId="95" fillId="4" fontId="22" numFmtId="0" xfId="0" applyAlignment="1" applyBorder="1" applyFill="1" applyFont="1">
      <alignment vertical="top"/>
    </xf>
    <xf borderId="119" fillId="0" fontId="22" numFmtId="0" xfId="0" applyAlignment="1" applyBorder="1" applyFont="1">
      <alignment vertical="bottom"/>
    </xf>
    <xf borderId="76" fillId="0" fontId="22" numFmtId="0" xfId="0" applyAlignment="1" applyBorder="1" applyFont="1">
      <alignment vertical="bottom"/>
    </xf>
    <xf borderId="110" fillId="0" fontId="22" numFmtId="0" xfId="0" applyAlignment="1" applyBorder="1" applyFont="1">
      <alignment vertical="bottom"/>
    </xf>
    <xf borderId="110" fillId="0" fontId="22" numFmtId="167" xfId="0" applyAlignment="1" applyBorder="1" applyFont="1" applyNumberFormat="1">
      <alignment vertical="top"/>
    </xf>
    <xf borderId="113" fillId="0" fontId="22" numFmtId="0" xfId="0" applyAlignment="1" applyBorder="1" applyFont="1">
      <alignment vertical="bottom"/>
    </xf>
    <xf borderId="8" fillId="3" fontId="22" numFmtId="0" xfId="0" applyAlignment="1" applyBorder="1" applyFill="1" applyFont="1">
      <alignment vertical="top"/>
    </xf>
    <xf borderId="8" fillId="3" fontId="22" numFmtId="0" xfId="0" applyAlignment="1" applyBorder="1" applyFill="1" applyFont="1">
      <alignment vertical="bottom"/>
    </xf>
    <xf borderId="62" fillId="3" fontId="22" numFmtId="0" xfId="0" applyAlignment="1" applyBorder="1" applyFill="1" applyFont="1">
      <alignment vertical="bottom"/>
    </xf>
    <xf borderId="64" fillId="3" fontId="22" numFmtId="168" xfId="0" applyAlignment="1" applyBorder="1" applyFill="1" applyFont="1" applyNumberFormat="1">
      <alignment horizontal="right" vertical="bottom"/>
    </xf>
    <xf borderId="80" fillId="0" fontId="22" numFmtId="0" xfId="0" applyAlignment="1" applyBorder="1" applyFont="1">
      <alignment vertical="bottom"/>
    </xf>
    <xf borderId="118" fillId="0" fontId="22" numFmtId="0" xfId="0" applyAlignment="1" applyBorder="1" applyFont="1">
      <alignment vertical="bottom"/>
    </xf>
    <xf borderId="48" fillId="4" fontId="25" numFmtId="0" xfId="0" applyAlignment="1" applyBorder="1" applyFill="1" applyFont="1">
      <alignment vertical="top"/>
    </xf>
    <xf borderId="124" fillId="3" fontId="23" numFmtId="0" xfId="0" applyAlignment="1" applyBorder="1" applyFill="1" applyFont="1">
      <alignment vertical="bottom"/>
    </xf>
    <xf borderId="125" fillId="3" fontId="22" numFmtId="168" xfId="0" applyAlignment="1" applyBorder="1" applyFill="1" applyFont="1" applyNumberFormat="1">
      <alignment vertical="top"/>
    </xf>
    <xf borderId="110" fillId="0" fontId="22" numFmtId="167" xfId="0" applyAlignment="1" applyBorder="1" applyFont="1" applyNumberFormat="1">
      <alignment vertical="bottom"/>
    </xf>
    <xf borderId="0" fillId="3" fontId="23" numFmtId="0" xfId="0" applyAlignment="1" applyFill="1" applyFont="1">
      <alignment vertical="bottom"/>
    </xf>
    <xf borderId="53" fillId="4" fontId="22" numFmtId="0" xfId="0" applyAlignment="1" applyBorder="1" applyFill="1" applyFont="1">
      <alignment vertical="top"/>
    </xf>
    <xf borderId="83" fillId="3" fontId="22" numFmtId="0" xfId="0" applyAlignment="1" applyBorder="1" applyFill="1" applyFont="1">
      <alignment vertical="bottom"/>
    </xf>
    <xf borderId="77" fillId="3" fontId="22" numFmtId="0" xfId="0" applyAlignment="1" applyBorder="1" applyFill="1" applyFont="1">
      <alignment vertical="bottom"/>
    </xf>
    <xf borderId="84" fillId="3" fontId="22" numFmtId="0" xfId="0" applyAlignment="1" applyBorder="1" applyFill="1" applyFont="1">
      <alignment horizontal="right" vertical="bottom"/>
    </xf>
    <xf borderId="77" fillId="3" fontId="23" numFmtId="0" xfId="0" applyAlignment="1" applyBorder="1" applyFill="1" applyFont="1">
      <alignment vertical="bottom"/>
    </xf>
    <xf borderId="133" fillId="3" fontId="22" numFmtId="0" xfId="0" applyAlignment="1" applyBorder="1" applyFill="1" applyFont="1">
      <alignment vertical="bottom"/>
    </xf>
    <xf borderId="134" fillId="3" fontId="22" numFmtId="0" xfId="0" applyAlignment="1" applyBorder="1" applyFill="1" applyFont="1">
      <alignment horizontal="right" vertical="bottom"/>
    </xf>
    <xf borderId="76" fillId="0" fontId="23" numFmtId="0" xfId="0" applyAlignment="1" applyBorder="1" applyFont="1">
      <alignment horizontal="center" vertical="bottom"/>
    </xf>
    <xf borderId="83" fillId="0" fontId="23" numFmtId="0" xfId="0" applyAlignment="1" applyBorder="1" applyFont="1">
      <alignment vertical="bottom"/>
    </xf>
    <xf borderId="52" fillId="0" fontId="22" numFmtId="0" xfId="0" applyAlignment="1" applyBorder="1" applyFont="1">
      <alignment horizontal="center" vertical="bottom"/>
    </xf>
    <xf borderId="52" fillId="0" fontId="22" numFmtId="0" xfId="0" applyAlignment="1" applyBorder="1" applyFont="1">
      <alignment vertical="bottom"/>
    </xf>
    <xf borderId="114" fillId="0" fontId="22" numFmtId="0" xfId="0" applyAlignment="1" applyBorder="1" applyFont="1">
      <alignment vertical="bottom"/>
    </xf>
    <xf borderId="54" fillId="3" fontId="22" numFmtId="0" xfId="0" applyAlignment="1" applyBorder="1" applyFill="1" applyFont="1">
      <alignment vertical="top"/>
    </xf>
    <xf borderId="78" fillId="3" fontId="22" numFmtId="0" xfId="0" applyAlignment="1" applyBorder="1" applyFill="1" applyFont="1">
      <alignment vertical="top"/>
    </xf>
    <xf borderId="59" fillId="3" fontId="22" numFmtId="168" xfId="0" applyAlignment="1" applyBorder="1" applyFill="1" applyFont="1" applyNumberFormat="1">
      <alignment horizontal="right" vertical="top"/>
    </xf>
    <xf borderId="52" fillId="0" fontId="23" numFmtId="0" xfId="0" applyAlignment="1" applyBorder="1" applyFont="1">
      <alignment horizontal="center" vertical="bottom"/>
    </xf>
    <xf borderId="54" fillId="3" fontId="23" numFmtId="0" xfId="0" applyAlignment="1" applyBorder="1" applyFill="1" applyFont="1">
      <alignment vertical="top"/>
    </xf>
    <xf borderId="59" fillId="3" fontId="22" numFmtId="0" xfId="0" applyAlignment="1" applyBorder="1" applyFill="1" applyFont="1">
      <alignment horizontal="right" vertical="top"/>
    </xf>
    <xf borderId="135" fillId="3" fontId="22" numFmtId="0" xfId="0" applyAlignment="1" applyBorder="1" applyFill="1" applyFont="1">
      <alignment vertical="top"/>
    </xf>
    <xf borderId="101" fillId="3" fontId="22" numFmtId="0" xfId="0" applyAlignment="1" applyBorder="1" applyFill="1" applyFont="1">
      <alignment vertical="top"/>
    </xf>
    <xf borderId="80" fillId="0" fontId="23" numFmtId="0" xfId="0" applyAlignment="1" applyBorder="1" applyFont="1">
      <alignment horizontal="center" vertical="bottom"/>
    </xf>
    <xf borderId="125" fillId="3" fontId="22" numFmtId="168" xfId="0" applyAlignment="1" applyBorder="1" applyFill="1" applyFont="1" applyNumberFormat="1">
      <alignment horizontal="right" vertical="bottom"/>
    </xf>
    <xf borderId="66" fillId="0" fontId="22" numFmtId="167" xfId="0" applyAlignment="1" applyBorder="1" applyFont="1" applyNumberFormat="1">
      <alignment vertical="bottom"/>
    </xf>
    <xf borderId="116" fillId="0" fontId="22" numFmtId="167" xfId="0" applyAlignment="1" applyBorder="1" applyFont="1" applyNumberFormat="1">
      <alignment vertical="bottom"/>
    </xf>
    <xf borderId="77" fillId="0" fontId="23" numFmtId="0" xfId="0" applyAlignment="1" applyBorder="1" applyFont="1">
      <alignment vertical="center"/>
    </xf>
    <xf borderId="116" fillId="0" fontId="22" numFmtId="0" xfId="0" applyAlignment="1" applyBorder="1" applyFont="1">
      <alignment vertical="bottom"/>
    </xf>
    <xf borderId="96" fillId="4" fontId="22" numFmtId="0" xfId="0" applyAlignment="1" applyBorder="1" applyFill="1" applyFont="1">
      <alignment vertical="top"/>
    </xf>
    <xf borderId="136" fillId="3" fontId="22" numFmtId="0" xfId="0" applyAlignment="1" applyBorder="1" applyFill="1" applyFont="1">
      <alignment horizontal="right" vertical="top"/>
    </xf>
    <xf borderId="115" fillId="4" fontId="22" numFmtId="0" xfId="0" applyAlignment="1" applyBorder="1" applyFill="1" applyFont="1">
      <alignment vertical="top"/>
    </xf>
    <xf borderId="131" fillId="4" fontId="22" numFmtId="0" xfId="0" applyAlignment="1" applyBorder="1" applyFill="1" applyFont="1">
      <alignment vertical="top"/>
    </xf>
    <xf borderId="62" fillId="3" fontId="23" numFmtId="0" xfId="0" applyAlignment="1" applyBorder="1" applyFill="1" applyFont="1">
      <alignment vertical="top"/>
    </xf>
    <xf borderId="66" fillId="0" fontId="33" numFmtId="0" xfId="0" applyAlignment="1" applyBorder="1" applyFont="1">
      <alignment vertical="bottom"/>
    </xf>
    <xf borderId="52" fillId="0" fontId="33" numFmtId="0" xfId="0" applyAlignment="1" applyBorder="1" applyFont="1">
      <alignment vertical="bottom"/>
    </xf>
    <xf borderId="5" fillId="3" fontId="22" numFmtId="0" xfId="0" applyAlignment="1" applyBorder="1" applyFill="1" applyFont="1">
      <alignment horizontal="center" vertical="bottom"/>
    </xf>
    <xf borderId="52" fillId="0" fontId="33" numFmtId="167" xfId="0" applyAlignment="1" applyBorder="1" applyFont="1" applyNumberFormat="1">
      <alignment vertical="bottom"/>
    </xf>
    <xf borderId="66" fillId="0" fontId="33" numFmtId="167" xfId="0" applyAlignment="1" applyBorder="1" applyFont="1" applyNumberFormat="1">
      <alignment vertical="bottom"/>
    </xf>
    <xf borderId="114" fillId="0" fontId="33" numFmtId="0" xfId="0" applyAlignment="1" applyBorder="1" applyFont="1">
      <alignment vertical="bottom"/>
    </xf>
    <xf borderId="5" fillId="3" fontId="22" numFmtId="167" xfId="0" applyAlignment="1" applyBorder="1" applyFill="1" applyFont="1" applyNumberFormat="1">
      <alignment vertical="bottom"/>
    </xf>
    <xf borderId="5" fillId="0" fontId="33" numFmtId="167" xfId="0" applyAlignment="1" applyBorder="1" applyFont="1" applyNumberFormat="1">
      <alignment vertical="bottom"/>
    </xf>
    <xf borderId="83" fillId="3" fontId="23" numFmtId="0" xfId="0" applyAlignment="1" applyBorder="1" applyFill="1" applyFont="1">
      <alignment vertical="bottom"/>
    </xf>
    <xf borderId="84" fillId="3" fontId="22" numFmtId="168" xfId="0" applyAlignment="1" applyBorder="1" applyFill="1" applyFont="1" applyNumberFormat="1">
      <alignment horizontal="right" vertical="bottom"/>
    </xf>
    <xf borderId="103" fillId="3" fontId="23" numFmtId="0" xfId="0" applyAlignment="1" applyBorder="1" applyFill="1" applyFont="1">
      <alignment vertical="bottom"/>
    </xf>
    <xf borderId="104" fillId="3" fontId="22" numFmtId="0" xfId="0" applyAlignment="1" applyBorder="1" applyFill="1" applyFont="1">
      <alignment vertical="bottom"/>
    </xf>
    <xf borderId="105" fillId="3" fontId="22" numFmtId="0" xfId="0" applyAlignment="1" applyBorder="1" applyFill="1" applyFont="1">
      <alignment horizontal="right" vertical="bottom"/>
    </xf>
    <xf borderId="62" fillId="3" fontId="23" numFmtId="0" xfId="0" applyAlignment="1" applyBorder="1" applyFill="1" applyFont="1">
      <alignment vertical="bottom"/>
    </xf>
    <xf borderId="66" fillId="3" fontId="22" numFmtId="0" xfId="0" applyAlignment="1" applyBorder="1" applyFill="1" applyFont="1">
      <alignment horizontal="center" vertical="bottom"/>
    </xf>
    <xf borderId="70" fillId="3" fontId="22" numFmtId="0" xfId="0" applyAlignment="1" applyBorder="1" applyFill="1" applyFont="1">
      <alignment horizontal="center" vertical="bottom"/>
    </xf>
    <xf borderId="5" fillId="3" fontId="22" numFmtId="167" xfId="0" applyAlignment="1" applyBorder="1" applyFill="1" applyFont="1" applyNumberFormat="1">
      <alignment horizontal="center"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46" Type="http://customschemas.google.com/relationships/workbookmetadata" Target="metadata"/><Relationship Id="rId23" Type="http://schemas.openxmlformats.org/officeDocument/2006/relationships/worksheet" Target="worksheets/sheet20.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900">
                <a:solidFill>
                  <a:srgbClr val="000000"/>
                </a:solidFill>
                <a:latin typeface="+mn-lt"/>
              </a:defRPr>
            </a:pPr>
            <a:r>
              <a:rPr b="1" i="0" sz="900">
                <a:solidFill>
                  <a:srgbClr val="000000"/>
                </a:solidFill>
                <a:latin typeface="+mn-lt"/>
              </a:rPr>
              <a:t>Test Type</a:t>
            </a:r>
          </a:p>
        </c:rich>
      </c:tx>
      <c:overlay val="0"/>
    </c:title>
    <c:plotArea>
      <c:layout/>
      <c:pieChart>
        <c:varyColors val="1"/>
        <c:ser>
          <c:idx val="0"/>
          <c:order val="0"/>
          <c:dPt>
            <c:idx val="0"/>
            <c:spPr>
              <a:solidFill>
                <a:srgbClr val="9999FF"/>
              </a:solidFill>
            </c:spPr>
          </c:dPt>
          <c:dLbls>
            <c:showLegendKey val="0"/>
            <c:showVal val="1"/>
            <c:showCatName val="0"/>
            <c:showSerName val="0"/>
            <c:showPercent val="0"/>
            <c:showBubbleSize val="0"/>
            <c:showLeaderLines val="1"/>
          </c:dLbls>
          <c:cat>
            <c:strRef>
              <c:f>Statistics!$F$11:$H$11</c:f>
            </c:strRef>
          </c:cat>
          <c:val>
            <c:numRef>
              <c:f>Statistics!$F$50:$H$50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000000"/>
                </a:solidFill>
                <a:latin typeface="+mn-lt"/>
              </a:defRPr>
            </a:pPr>
            <a:r>
              <a:rPr b="1" i="0" sz="1100">
                <a:solidFill>
                  <a:srgbClr val="000000"/>
                </a:solidFill>
                <a:latin typeface="+mn-lt"/>
              </a:rPr>
              <a:t>Passed Percent</a:t>
            </a:r>
          </a:p>
        </c:rich>
      </c:tx>
      <c:overlay val="0"/>
    </c:title>
    <c:plotArea>
      <c:layout/>
      <c:pieChart>
        <c:varyColors val="1"/>
        <c:ser>
          <c:idx val="0"/>
          <c:order val="0"/>
          <c:dPt>
            <c:idx val="0"/>
            <c:spPr>
              <a:solidFill>
                <a:srgbClr val="9999FF"/>
              </a:solidFill>
            </c:spPr>
          </c:dPt>
          <c:dLbls>
            <c:showLegendKey val="0"/>
            <c:showVal val="0"/>
            <c:showCatName val="0"/>
            <c:showSerName val="0"/>
            <c:showPercent val="1"/>
            <c:showBubbleSize val="0"/>
            <c:showLeaderLines val="1"/>
          </c:dLbls>
          <c:cat>
            <c:strRef>
              <c:f>Statistics!$C$11:$E$11</c:f>
            </c:strRef>
          </c:cat>
          <c:val>
            <c:numRef>
              <c:f>Statistics!$C$12:$E$12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542925</xdr:colOff>
      <xdr:row>57</xdr:row>
      <xdr:rowOff>0</xdr:rowOff>
    </xdr:from>
    <xdr:ext cx="3714750" cy="2438400"/>
    <xdr:graphicFrame>
      <xdr:nvGraphicFramePr>
        <xdr:cNvPr descr="Chart 0" id="5455972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114300</xdr:colOff>
      <xdr:row>57</xdr:row>
      <xdr:rowOff>19050</xdr:rowOff>
    </xdr:from>
    <xdr:ext cx="4248150" cy="2409825"/>
    <xdr:graphicFrame>
      <xdr:nvGraphicFramePr>
        <xdr:cNvPr descr="Chart 1" id="733364419"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9.38"/>
    <col customWidth="1" min="2" max="6" width="9.0"/>
    <col customWidth="1" min="7" max="24" width="10.0"/>
  </cols>
  <sheetData>
    <row r="1" ht="22.5" customHeight="1">
      <c r="A1" s="1" t="s">
        <v>0</v>
      </c>
      <c r="B1" s="2"/>
      <c r="C1" s="2"/>
      <c r="D1" s="2"/>
      <c r="E1" s="2"/>
      <c r="F1" s="2"/>
      <c r="G1" s="2"/>
      <c r="H1" s="2"/>
      <c r="I1" s="2"/>
      <c r="J1" s="2"/>
      <c r="K1" s="2"/>
      <c r="L1" s="2"/>
      <c r="M1" s="2"/>
      <c r="N1" s="2"/>
      <c r="O1" s="2"/>
      <c r="P1" s="2"/>
      <c r="Q1" s="2"/>
      <c r="R1" s="2"/>
      <c r="S1" s="2"/>
      <c r="T1" s="2"/>
      <c r="U1" s="2"/>
      <c r="V1" s="2"/>
      <c r="W1" s="2"/>
      <c r="X1" s="2"/>
      <c r="Y1" s="2"/>
      <c r="Z1" s="2"/>
    </row>
    <row r="2" ht="22.5" customHeight="1">
      <c r="A2" s="1"/>
      <c r="B2" s="2"/>
      <c r="C2" s="2"/>
      <c r="D2" s="2"/>
      <c r="E2" s="2"/>
      <c r="F2" s="2"/>
      <c r="G2" s="2"/>
      <c r="H2" s="2"/>
      <c r="I2" s="2"/>
      <c r="J2" s="2"/>
      <c r="K2" s="2"/>
      <c r="L2" s="2"/>
      <c r="M2" s="2"/>
      <c r="N2" s="2"/>
      <c r="O2" s="2"/>
      <c r="P2" s="2"/>
      <c r="Q2" s="2"/>
      <c r="R2" s="2"/>
      <c r="S2" s="2"/>
      <c r="T2" s="2"/>
      <c r="U2" s="2"/>
      <c r="V2" s="2"/>
      <c r="W2" s="2"/>
      <c r="X2" s="2"/>
      <c r="Y2" s="2"/>
      <c r="Z2" s="2"/>
    </row>
    <row r="3" ht="18.0" customHeight="1">
      <c r="A3" s="4" t="s">
        <v>1</v>
      </c>
      <c r="B3" s="6"/>
      <c r="C3" s="6"/>
      <c r="D3" s="6"/>
      <c r="E3" s="6"/>
      <c r="F3" s="6"/>
      <c r="G3" s="6"/>
      <c r="H3" s="6"/>
      <c r="I3" s="6"/>
      <c r="J3" s="6"/>
      <c r="K3" s="6"/>
      <c r="L3" s="6"/>
      <c r="M3" s="6"/>
      <c r="N3" s="6"/>
      <c r="O3" s="6"/>
      <c r="P3" s="6"/>
      <c r="Q3" s="6"/>
      <c r="R3" s="6"/>
      <c r="S3" s="6"/>
      <c r="T3" s="6"/>
      <c r="U3" s="6"/>
      <c r="V3" s="6"/>
      <c r="W3" s="6"/>
      <c r="X3" s="6"/>
      <c r="Y3" s="6"/>
      <c r="Z3" s="6"/>
    </row>
    <row r="4" ht="15.0" customHeight="1">
      <c r="A4" s="7" t="s">
        <v>2</v>
      </c>
      <c r="B4" s="8"/>
      <c r="C4" s="8"/>
      <c r="D4" s="8"/>
      <c r="E4" s="8"/>
      <c r="F4" s="8"/>
      <c r="G4" s="8"/>
      <c r="H4" s="8"/>
      <c r="I4" s="8"/>
      <c r="J4" s="8"/>
      <c r="K4" s="8"/>
      <c r="L4" s="8"/>
      <c r="M4" s="8"/>
      <c r="N4" s="8"/>
      <c r="O4" s="8"/>
      <c r="P4" s="8"/>
      <c r="Q4" s="8"/>
      <c r="R4" s="8"/>
      <c r="S4" s="8"/>
      <c r="T4" s="8"/>
      <c r="U4" s="8"/>
      <c r="V4" s="8"/>
      <c r="W4" s="8"/>
      <c r="X4" s="8"/>
      <c r="Y4" s="8"/>
      <c r="Z4" s="8"/>
    </row>
    <row r="5" ht="15.0" customHeight="1">
      <c r="A5" s="7" t="s">
        <v>3</v>
      </c>
      <c r="B5" s="8"/>
      <c r="C5" s="8"/>
      <c r="D5" s="8"/>
      <c r="E5" s="8"/>
      <c r="F5" s="8"/>
      <c r="G5" s="8"/>
      <c r="H5" s="8"/>
      <c r="I5" s="8"/>
      <c r="J5" s="8"/>
      <c r="K5" s="8"/>
      <c r="L5" s="8"/>
      <c r="M5" s="8"/>
      <c r="N5" s="8"/>
      <c r="O5" s="8"/>
      <c r="P5" s="8"/>
      <c r="Q5" s="8"/>
      <c r="R5" s="8"/>
      <c r="S5" s="8"/>
      <c r="T5" s="8"/>
      <c r="U5" s="8"/>
      <c r="V5" s="8"/>
      <c r="W5" s="8"/>
      <c r="X5" s="8"/>
      <c r="Y5" s="8"/>
      <c r="Z5" s="8"/>
    </row>
    <row r="6" ht="42.0" customHeight="1">
      <c r="A6" s="11" t="s">
        <v>5</v>
      </c>
      <c r="B6" s="8"/>
      <c r="C6" s="8"/>
      <c r="D6" s="8"/>
      <c r="E6" s="8"/>
      <c r="F6" s="8"/>
      <c r="G6" s="8"/>
      <c r="H6" s="8"/>
      <c r="I6" s="8"/>
      <c r="J6" s="8"/>
      <c r="K6" s="8"/>
      <c r="L6" s="8"/>
      <c r="M6" s="8"/>
      <c r="N6" s="8"/>
      <c r="O6" s="8"/>
      <c r="P6" s="8"/>
      <c r="Q6" s="8"/>
      <c r="R6" s="8"/>
      <c r="S6" s="8"/>
      <c r="T6" s="8"/>
      <c r="U6" s="8"/>
      <c r="V6" s="8"/>
      <c r="W6" s="8"/>
      <c r="X6" s="8"/>
      <c r="Y6" s="8"/>
      <c r="Z6" s="8"/>
    </row>
    <row r="7" ht="29.25" customHeight="1">
      <c r="A7" s="11" t="s">
        <v>6</v>
      </c>
      <c r="B7" s="8"/>
      <c r="C7" s="8"/>
      <c r="D7" s="8"/>
      <c r="E7" s="8"/>
      <c r="F7" s="8"/>
      <c r="G7" s="8"/>
      <c r="H7" s="8"/>
      <c r="I7" s="8"/>
      <c r="J7" s="8"/>
      <c r="K7" s="8"/>
      <c r="L7" s="8"/>
      <c r="M7" s="8"/>
      <c r="N7" s="8"/>
      <c r="O7" s="8"/>
      <c r="P7" s="8"/>
      <c r="Q7" s="8"/>
      <c r="R7" s="8"/>
      <c r="S7" s="8"/>
      <c r="T7" s="8"/>
      <c r="U7" s="8"/>
      <c r="V7" s="8"/>
      <c r="W7" s="8"/>
      <c r="X7" s="8"/>
      <c r="Y7" s="8"/>
      <c r="Z7" s="8"/>
    </row>
    <row r="8" ht="30.0" customHeight="1">
      <c r="A8" s="11" t="s">
        <v>7</v>
      </c>
      <c r="B8" s="8"/>
      <c r="C8" s="8"/>
      <c r="D8" s="8"/>
      <c r="E8" s="8"/>
      <c r="F8" s="8"/>
      <c r="G8" s="8"/>
      <c r="H8" s="8"/>
      <c r="I8" s="8"/>
      <c r="J8" s="8"/>
      <c r="K8" s="8"/>
      <c r="L8" s="8"/>
      <c r="M8" s="8"/>
      <c r="N8" s="8"/>
      <c r="O8" s="8"/>
      <c r="P8" s="8"/>
      <c r="Q8" s="8"/>
      <c r="R8" s="8"/>
      <c r="S8" s="8"/>
      <c r="T8" s="8"/>
      <c r="U8" s="8"/>
      <c r="V8" s="8"/>
      <c r="W8" s="8"/>
      <c r="X8" s="8"/>
      <c r="Y8" s="8"/>
      <c r="Z8" s="8"/>
    </row>
    <row r="9" ht="16.5" customHeight="1">
      <c r="A9" s="18" t="s">
        <v>8</v>
      </c>
      <c r="B9" s="19"/>
      <c r="C9" s="19"/>
      <c r="D9" s="19"/>
      <c r="E9" s="19"/>
      <c r="F9" s="19"/>
      <c r="G9" s="19"/>
      <c r="H9" s="19"/>
      <c r="I9" s="19"/>
      <c r="J9" s="19"/>
      <c r="K9" s="19"/>
      <c r="L9" s="19"/>
      <c r="M9" s="19"/>
      <c r="N9" s="19"/>
      <c r="O9" s="19"/>
      <c r="P9" s="19"/>
      <c r="Q9" s="19"/>
      <c r="R9" s="19"/>
      <c r="S9" s="19"/>
      <c r="T9" s="19"/>
      <c r="U9" s="19"/>
      <c r="V9" s="19"/>
      <c r="W9" s="19"/>
      <c r="X9" s="19"/>
      <c r="Y9" s="19"/>
      <c r="Z9" s="19"/>
    </row>
    <row r="10" ht="16.5" customHeight="1">
      <c r="A10" s="7"/>
      <c r="B10" s="8"/>
      <c r="C10" s="8"/>
      <c r="D10" s="8"/>
      <c r="E10" s="8"/>
      <c r="F10" s="8"/>
      <c r="G10" s="8"/>
      <c r="H10" s="8"/>
      <c r="I10" s="8"/>
      <c r="J10" s="8"/>
      <c r="K10" s="8"/>
      <c r="L10" s="8"/>
      <c r="M10" s="8"/>
      <c r="N10" s="8"/>
      <c r="O10" s="8"/>
      <c r="P10" s="8"/>
      <c r="Q10" s="8"/>
      <c r="R10" s="8"/>
      <c r="S10" s="8"/>
      <c r="T10" s="8"/>
      <c r="U10" s="8"/>
      <c r="V10" s="8"/>
      <c r="W10" s="8"/>
      <c r="X10" s="8"/>
      <c r="Y10" s="8"/>
      <c r="Z10" s="8"/>
    </row>
    <row r="11" ht="18.0" customHeight="1">
      <c r="A11" s="4" t="s">
        <v>13</v>
      </c>
      <c r="B11" s="6"/>
      <c r="C11" s="6"/>
      <c r="D11" s="6"/>
      <c r="E11" s="6"/>
      <c r="F11" s="6"/>
      <c r="G11" s="6"/>
      <c r="H11" s="6"/>
      <c r="I11" s="6"/>
      <c r="J11" s="6"/>
      <c r="K11" s="6"/>
      <c r="L11" s="6"/>
      <c r="M11" s="6"/>
      <c r="N11" s="6"/>
      <c r="O11" s="6"/>
      <c r="P11" s="6"/>
      <c r="Q11" s="6"/>
      <c r="R11" s="6"/>
      <c r="S11" s="6"/>
      <c r="T11" s="6"/>
      <c r="U11" s="6"/>
      <c r="V11" s="6"/>
      <c r="W11" s="6"/>
      <c r="X11" s="6"/>
      <c r="Y11" s="6"/>
      <c r="Z11" s="6"/>
    </row>
    <row r="12" ht="15.0" customHeight="1">
      <c r="A12" s="23" t="s">
        <v>16</v>
      </c>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ht="27.75" customHeight="1">
      <c r="A13" s="7" t="s">
        <v>18</v>
      </c>
      <c r="B13" s="8"/>
      <c r="C13" s="8"/>
      <c r="D13" s="8"/>
      <c r="E13" s="8"/>
      <c r="F13" s="8"/>
      <c r="G13" s="8"/>
      <c r="H13" s="8"/>
      <c r="I13" s="8"/>
      <c r="J13" s="8"/>
      <c r="K13" s="8"/>
      <c r="L13" s="8"/>
      <c r="M13" s="8"/>
      <c r="N13" s="8"/>
      <c r="O13" s="8"/>
      <c r="P13" s="8"/>
      <c r="Q13" s="8"/>
      <c r="R13" s="8"/>
      <c r="S13" s="8"/>
      <c r="T13" s="8"/>
      <c r="U13" s="8"/>
      <c r="V13" s="8"/>
      <c r="W13" s="8"/>
      <c r="X13" s="8"/>
      <c r="Y13" s="8"/>
      <c r="Z13" s="8"/>
    </row>
    <row r="14" ht="13.5" customHeight="1">
      <c r="A14" s="7" t="s">
        <v>20</v>
      </c>
      <c r="B14" s="8"/>
      <c r="C14" s="8"/>
      <c r="D14" s="8"/>
      <c r="E14" s="8"/>
      <c r="F14" s="8"/>
      <c r="G14" s="8"/>
      <c r="H14" s="8"/>
      <c r="I14" s="8"/>
      <c r="J14" s="8"/>
      <c r="K14" s="8"/>
      <c r="L14" s="8"/>
      <c r="M14" s="8"/>
      <c r="N14" s="8"/>
      <c r="O14" s="8"/>
      <c r="P14" s="8"/>
      <c r="Q14" s="8"/>
      <c r="R14" s="8"/>
      <c r="S14" s="8"/>
      <c r="T14" s="8"/>
      <c r="U14" s="8"/>
      <c r="V14" s="8"/>
      <c r="W14" s="8"/>
      <c r="X14" s="8"/>
      <c r="Y14" s="8"/>
      <c r="Z14" s="8"/>
    </row>
    <row r="15" ht="13.5" customHeight="1">
      <c r="A15" s="11" t="s">
        <v>23</v>
      </c>
      <c r="B15" s="8"/>
      <c r="C15" s="8"/>
      <c r="D15" s="8"/>
      <c r="E15" s="8"/>
      <c r="F15" s="8"/>
      <c r="G15" s="8"/>
      <c r="H15" s="8"/>
      <c r="I15" s="8"/>
      <c r="J15" s="8"/>
      <c r="K15" s="8"/>
      <c r="L15" s="8"/>
      <c r="M15" s="8"/>
      <c r="N15" s="8"/>
      <c r="O15" s="8"/>
      <c r="P15" s="8"/>
      <c r="Q15" s="8"/>
      <c r="R15" s="8"/>
      <c r="S15" s="8"/>
      <c r="T15" s="8"/>
      <c r="U15" s="8"/>
      <c r="V15" s="8"/>
      <c r="W15" s="8"/>
      <c r="X15" s="8"/>
      <c r="Y15" s="8"/>
      <c r="Z15" s="8"/>
    </row>
    <row r="16" ht="13.5" customHeight="1">
      <c r="A16" s="7"/>
      <c r="B16" s="8"/>
      <c r="C16" s="8"/>
      <c r="D16" s="8"/>
      <c r="E16" s="8"/>
      <c r="F16" s="8"/>
      <c r="G16" s="8"/>
      <c r="H16" s="8"/>
      <c r="I16" s="8"/>
      <c r="J16" s="8"/>
      <c r="K16" s="8"/>
      <c r="L16" s="8"/>
      <c r="M16" s="8"/>
      <c r="N16" s="8"/>
      <c r="O16" s="8"/>
      <c r="P16" s="8"/>
      <c r="Q16" s="8"/>
      <c r="R16" s="8"/>
      <c r="S16" s="8"/>
      <c r="T16" s="8"/>
      <c r="U16" s="8"/>
      <c r="V16" s="8"/>
      <c r="W16" s="8"/>
      <c r="X16" s="8"/>
      <c r="Y16" s="8"/>
      <c r="Z16" s="8"/>
    </row>
    <row r="17" ht="15.0" customHeight="1">
      <c r="A17" s="23" t="s">
        <v>25</v>
      </c>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3.5" customHeight="1">
      <c r="A18" s="7" t="s">
        <v>26</v>
      </c>
      <c r="B18" s="7"/>
      <c r="C18" s="8"/>
      <c r="D18" s="8"/>
      <c r="E18" s="8"/>
      <c r="F18" s="8"/>
      <c r="G18" s="8"/>
      <c r="H18" s="8"/>
      <c r="I18" s="8"/>
      <c r="J18" s="8"/>
      <c r="K18" s="8"/>
      <c r="L18" s="8"/>
      <c r="M18" s="8"/>
      <c r="N18" s="8"/>
      <c r="O18" s="8"/>
      <c r="P18" s="8"/>
      <c r="Q18" s="8"/>
      <c r="R18" s="8"/>
      <c r="S18" s="8"/>
      <c r="T18" s="8"/>
      <c r="U18" s="8"/>
      <c r="V18" s="8"/>
      <c r="W18" s="8"/>
      <c r="X18" s="8"/>
      <c r="Y18" s="8"/>
      <c r="Z18" s="8"/>
    </row>
    <row r="19" ht="13.5" customHeight="1">
      <c r="A19" s="23" t="s">
        <v>28</v>
      </c>
      <c r="B19" s="8"/>
      <c r="C19" s="8"/>
      <c r="D19" s="8"/>
      <c r="E19" s="8"/>
      <c r="F19" s="8"/>
      <c r="G19" s="8"/>
      <c r="H19" s="8"/>
      <c r="I19" s="8"/>
      <c r="J19" s="8"/>
      <c r="K19" s="8"/>
      <c r="L19" s="8"/>
      <c r="M19" s="8"/>
      <c r="N19" s="8"/>
      <c r="O19" s="8"/>
      <c r="P19" s="8"/>
      <c r="Q19" s="8"/>
      <c r="R19" s="8"/>
      <c r="S19" s="8"/>
      <c r="T19" s="8"/>
      <c r="U19" s="8"/>
      <c r="V19" s="8"/>
      <c r="W19" s="8"/>
      <c r="X19" s="8"/>
      <c r="Y19" s="8"/>
      <c r="Z19" s="8"/>
    </row>
    <row r="20" ht="13.5" customHeight="1">
      <c r="A20" s="7" t="s">
        <v>31</v>
      </c>
      <c r="B20" s="7"/>
      <c r="C20" s="8"/>
      <c r="D20" s="8"/>
      <c r="E20" s="8"/>
      <c r="F20" s="8"/>
      <c r="G20" s="8"/>
      <c r="H20" s="8"/>
      <c r="I20" s="8"/>
      <c r="J20" s="8"/>
      <c r="K20" s="8"/>
      <c r="L20" s="8"/>
      <c r="M20" s="8"/>
      <c r="N20" s="8"/>
      <c r="O20" s="8"/>
      <c r="P20" s="8"/>
      <c r="Q20" s="8"/>
      <c r="R20" s="8"/>
      <c r="S20" s="8"/>
      <c r="T20" s="8"/>
      <c r="U20" s="8"/>
      <c r="V20" s="8"/>
      <c r="W20" s="8"/>
      <c r="X20" s="8"/>
      <c r="Y20" s="8"/>
      <c r="Z20" s="8"/>
    </row>
    <row r="21" ht="27.75" customHeight="1">
      <c r="A21" s="11" t="s">
        <v>36</v>
      </c>
      <c r="B21" s="8"/>
      <c r="C21" s="8"/>
      <c r="D21" s="8"/>
      <c r="E21" s="8"/>
      <c r="F21" s="8"/>
      <c r="G21" s="8"/>
      <c r="H21" s="8"/>
      <c r="I21" s="8"/>
      <c r="J21" s="8"/>
      <c r="K21" s="8"/>
      <c r="L21" s="8"/>
      <c r="M21" s="8"/>
      <c r="N21" s="8"/>
      <c r="O21" s="8"/>
      <c r="P21" s="8"/>
      <c r="Q21" s="8"/>
      <c r="R21" s="8"/>
      <c r="S21" s="8"/>
      <c r="T21" s="8"/>
      <c r="U21" s="8"/>
      <c r="V21" s="8"/>
      <c r="W21" s="8"/>
      <c r="X21" s="8"/>
      <c r="Y21" s="8"/>
      <c r="Z21" s="8"/>
    </row>
    <row r="22" ht="13.5" customHeight="1">
      <c r="A22" s="7" t="s">
        <v>41</v>
      </c>
      <c r="B22" s="7"/>
      <c r="C22" s="8"/>
      <c r="D22" s="8"/>
      <c r="E22" s="8"/>
      <c r="F22" s="8"/>
      <c r="G22" s="8"/>
      <c r="H22" s="8"/>
      <c r="I22" s="8"/>
      <c r="J22" s="8"/>
      <c r="K22" s="8"/>
      <c r="L22" s="8"/>
      <c r="M22" s="8"/>
      <c r="N22" s="8"/>
      <c r="O22" s="8"/>
      <c r="P22" s="8"/>
      <c r="Q22" s="8"/>
      <c r="R22" s="8"/>
      <c r="S22" s="8"/>
      <c r="T22" s="8"/>
      <c r="U22" s="8"/>
      <c r="V22" s="8"/>
      <c r="W22" s="8"/>
      <c r="X22" s="8"/>
      <c r="Y22" s="8"/>
      <c r="Z22" s="8"/>
    </row>
    <row r="23" ht="13.5" customHeight="1">
      <c r="A23" s="7" t="s">
        <v>43</v>
      </c>
      <c r="B23" s="7"/>
      <c r="C23" s="8"/>
      <c r="D23" s="8"/>
      <c r="E23" s="8"/>
      <c r="F23" s="8"/>
      <c r="G23" s="8"/>
      <c r="H23" s="8"/>
      <c r="I23" s="8"/>
      <c r="J23" s="8"/>
      <c r="K23" s="8"/>
      <c r="L23" s="8"/>
      <c r="M23" s="8"/>
      <c r="N23" s="8"/>
      <c r="O23" s="8"/>
      <c r="P23" s="8"/>
      <c r="Q23" s="8"/>
      <c r="R23" s="8"/>
      <c r="S23" s="8"/>
      <c r="T23" s="8"/>
      <c r="U23" s="8"/>
      <c r="V23" s="8"/>
      <c r="W23" s="8"/>
      <c r="X23" s="8"/>
      <c r="Y23" s="8"/>
      <c r="Z23" s="8"/>
    </row>
    <row r="24" ht="13.5" customHeight="1">
      <c r="A24" s="7" t="s">
        <v>48</v>
      </c>
      <c r="B24" s="7"/>
      <c r="C24" s="8"/>
      <c r="D24" s="8"/>
      <c r="E24" s="8"/>
      <c r="F24" s="8"/>
      <c r="G24" s="8"/>
      <c r="H24" s="8"/>
      <c r="I24" s="8"/>
      <c r="J24" s="8"/>
      <c r="K24" s="8"/>
      <c r="L24" s="8"/>
      <c r="M24" s="8"/>
      <c r="N24" s="8"/>
      <c r="O24" s="8"/>
      <c r="P24" s="8"/>
      <c r="Q24" s="8"/>
      <c r="R24" s="8"/>
      <c r="S24" s="8"/>
      <c r="T24" s="8"/>
      <c r="U24" s="8"/>
      <c r="V24" s="8"/>
      <c r="W24" s="8"/>
      <c r="X24" s="8"/>
      <c r="Y24" s="8"/>
      <c r="Z24" s="8"/>
    </row>
    <row r="25" ht="15.0" customHeight="1">
      <c r="A25" s="7" t="s">
        <v>52</v>
      </c>
      <c r="B25" s="7"/>
      <c r="C25" s="7" t="s">
        <v>53</v>
      </c>
      <c r="D25" s="7" t="s">
        <v>53</v>
      </c>
      <c r="E25" s="8"/>
      <c r="F25" s="8"/>
      <c r="G25" s="8"/>
      <c r="H25" s="8"/>
      <c r="I25" s="8"/>
      <c r="J25" s="8"/>
      <c r="K25" s="8"/>
      <c r="L25" s="8"/>
      <c r="M25" s="8"/>
      <c r="N25" s="8"/>
      <c r="O25" s="8"/>
      <c r="P25" s="8"/>
      <c r="Q25" s="8"/>
      <c r="R25" s="8"/>
      <c r="S25" s="8"/>
      <c r="T25" s="8"/>
      <c r="U25" s="8"/>
      <c r="V25" s="8"/>
      <c r="W25" s="8"/>
      <c r="X25" s="8"/>
      <c r="Y25" s="8"/>
      <c r="Z25" s="8"/>
    </row>
    <row r="26" ht="13.5" customHeight="1">
      <c r="A26" s="7" t="s">
        <v>56</v>
      </c>
      <c r="B26" s="8"/>
      <c r="C26" s="8"/>
      <c r="D26" s="8"/>
      <c r="E26" s="8"/>
      <c r="F26" s="8"/>
      <c r="G26" s="8"/>
      <c r="H26" s="8"/>
      <c r="I26" s="8"/>
      <c r="J26" s="8"/>
      <c r="K26" s="8"/>
      <c r="L26" s="8"/>
      <c r="M26" s="8"/>
      <c r="N26" s="8"/>
      <c r="O26" s="8"/>
      <c r="P26" s="8"/>
      <c r="Q26" s="8"/>
      <c r="R26" s="8"/>
      <c r="S26" s="8"/>
      <c r="T26" s="8"/>
      <c r="U26" s="8"/>
      <c r="V26" s="8"/>
      <c r="W26" s="8"/>
      <c r="X26" s="8"/>
      <c r="Y26" s="8"/>
      <c r="Z26" s="8"/>
    </row>
    <row r="27" ht="13.5" customHeight="1">
      <c r="A27" s="7" t="s">
        <v>60</v>
      </c>
      <c r="B27" s="7"/>
      <c r="C27" s="8"/>
      <c r="D27" s="8"/>
      <c r="E27" s="8"/>
      <c r="F27" s="8"/>
      <c r="G27" s="8"/>
      <c r="H27" s="8"/>
      <c r="I27" s="8"/>
      <c r="J27" s="8"/>
      <c r="K27" s="8"/>
      <c r="L27" s="8"/>
      <c r="M27" s="8"/>
      <c r="N27" s="8"/>
      <c r="O27" s="8"/>
      <c r="P27" s="8"/>
      <c r="Q27" s="8"/>
      <c r="R27" s="8"/>
      <c r="S27" s="8"/>
      <c r="T27" s="8"/>
      <c r="U27" s="8"/>
      <c r="V27" s="8"/>
      <c r="W27" s="8"/>
      <c r="X27" s="8"/>
      <c r="Y27" s="8"/>
      <c r="Z27" s="8"/>
    </row>
    <row r="28" ht="13.5" customHeight="1">
      <c r="A28" s="7" t="s">
        <v>76</v>
      </c>
      <c r="B28" s="8"/>
      <c r="C28" s="8"/>
      <c r="D28" s="8"/>
      <c r="E28" s="8"/>
      <c r="F28" s="8"/>
      <c r="G28" s="8"/>
      <c r="H28" s="8"/>
      <c r="I28" s="8"/>
      <c r="J28" s="8"/>
      <c r="K28" s="8"/>
      <c r="L28" s="8"/>
      <c r="M28" s="8"/>
      <c r="N28" s="8"/>
      <c r="O28" s="8"/>
      <c r="P28" s="8"/>
      <c r="Q28" s="8"/>
      <c r="R28" s="8"/>
      <c r="S28" s="8"/>
      <c r="T28" s="8"/>
      <c r="U28" s="8"/>
      <c r="V28" s="8"/>
      <c r="W28" s="8"/>
      <c r="X28" s="8"/>
      <c r="Y28" s="8"/>
      <c r="Z28" s="8"/>
    </row>
    <row r="29" ht="13.5" customHeight="1">
      <c r="A29" s="7" t="s">
        <v>77</v>
      </c>
      <c r="B29" s="8"/>
      <c r="C29" s="8"/>
      <c r="D29" s="8"/>
      <c r="E29" s="8"/>
      <c r="F29" s="8"/>
      <c r="G29" s="8"/>
      <c r="H29" s="8"/>
      <c r="I29" s="8"/>
      <c r="J29" s="8"/>
      <c r="K29" s="8"/>
      <c r="L29" s="8"/>
      <c r="M29" s="8"/>
      <c r="N29" s="8"/>
      <c r="O29" s="8"/>
      <c r="P29" s="8"/>
      <c r="Q29" s="8"/>
      <c r="R29" s="8"/>
      <c r="S29" s="8"/>
      <c r="T29" s="8"/>
      <c r="U29" s="8"/>
      <c r="V29" s="8"/>
      <c r="W29" s="8"/>
      <c r="X29" s="8"/>
      <c r="Y29" s="8"/>
      <c r="Z29" s="8"/>
    </row>
    <row r="30" ht="15.0" customHeight="1">
      <c r="A30" s="7" t="s">
        <v>79</v>
      </c>
      <c r="B30" s="7"/>
      <c r="C30" s="7" t="s">
        <v>53</v>
      </c>
      <c r="D30" s="8"/>
      <c r="E30" s="8"/>
      <c r="F30" s="8"/>
      <c r="G30" s="8"/>
      <c r="H30" s="8"/>
      <c r="I30" s="8"/>
      <c r="J30" s="8"/>
      <c r="K30" s="8"/>
      <c r="L30" s="8"/>
      <c r="M30" s="8"/>
      <c r="N30" s="8"/>
      <c r="O30" s="8"/>
      <c r="P30" s="8"/>
      <c r="Q30" s="8"/>
      <c r="R30" s="8"/>
      <c r="S30" s="8"/>
      <c r="T30" s="8"/>
      <c r="U30" s="8"/>
      <c r="V30" s="8"/>
      <c r="W30" s="8"/>
      <c r="X30" s="8"/>
      <c r="Y30" s="8"/>
      <c r="Z30" s="8"/>
    </row>
    <row r="31" ht="13.5" customHeight="1">
      <c r="A31" s="23" t="s">
        <v>83</v>
      </c>
      <c r="B31" s="8"/>
      <c r="C31" s="8"/>
      <c r="D31" s="8"/>
      <c r="E31" s="8"/>
      <c r="F31" s="8"/>
      <c r="G31" s="8"/>
      <c r="H31" s="8"/>
      <c r="I31" s="8"/>
      <c r="J31" s="8"/>
      <c r="K31" s="8"/>
      <c r="L31" s="8"/>
      <c r="M31" s="8"/>
      <c r="N31" s="8"/>
      <c r="O31" s="8"/>
      <c r="P31" s="8"/>
      <c r="Q31" s="8"/>
      <c r="R31" s="8"/>
      <c r="S31" s="8"/>
      <c r="T31" s="8"/>
      <c r="U31" s="8"/>
      <c r="V31" s="8"/>
      <c r="W31" s="8"/>
      <c r="X31" s="8"/>
      <c r="Y31" s="8"/>
      <c r="Z31" s="8"/>
    </row>
    <row r="32" ht="30.0" customHeight="1">
      <c r="A32" s="11" t="s">
        <v>85</v>
      </c>
      <c r="B32" s="8"/>
      <c r="C32" s="8"/>
      <c r="D32" s="8"/>
      <c r="E32" s="8"/>
      <c r="F32" s="8"/>
      <c r="G32" s="8"/>
      <c r="H32" s="8"/>
      <c r="I32" s="8"/>
      <c r="J32" s="8"/>
      <c r="K32" s="8"/>
      <c r="L32" s="8"/>
      <c r="M32" s="8"/>
      <c r="N32" s="8"/>
      <c r="O32" s="8"/>
      <c r="P32" s="8"/>
      <c r="Q32" s="8"/>
      <c r="R32" s="8"/>
      <c r="S32" s="8"/>
      <c r="T32" s="8"/>
      <c r="U32" s="8"/>
      <c r="V32" s="8"/>
      <c r="W32" s="8"/>
      <c r="X32" s="8"/>
      <c r="Y32" s="8"/>
      <c r="Z32" s="8"/>
    </row>
    <row r="33" ht="13.5" customHeight="1">
      <c r="A33" s="7" t="s">
        <v>86</v>
      </c>
      <c r="B33" s="8"/>
      <c r="C33" s="8"/>
      <c r="D33" s="8"/>
      <c r="E33" s="8"/>
      <c r="F33" s="8"/>
      <c r="G33" s="8"/>
      <c r="H33" s="8"/>
      <c r="I33" s="8"/>
      <c r="J33" s="8"/>
      <c r="K33" s="8"/>
      <c r="L33" s="8"/>
      <c r="M33" s="8"/>
      <c r="N33" s="8"/>
      <c r="O33" s="8"/>
      <c r="P33" s="8"/>
      <c r="Q33" s="8"/>
      <c r="R33" s="8"/>
      <c r="S33" s="8"/>
      <c r="T33" s="8"/>
      <c r="U33" s="8"/>
      <c r="V33" s="8"/>
      <c r="W33" s="8"/>
      <c r="X33" s="8"/>
      <c r="Y33" s="8"/>
      <c r="Z33" s="8"/>
    </row>
    <row r="34" ht="13.5" customHeight="1">
      <c r="A34" s="7" t="s">
        <v>89</v>
      </c>
      <c r="B34" s="8"/>
      <c r="C34" s="8"/>
      <c r="D34" s="8"/>
      <c r="E34" s="8"/>
      <c r="F34" s="8"/>
      <c r="G34" s="8"/>
      <c r="H34" s="8"/>
      <c r="I34" s="8"/>
      <c r="J34" s="8"/>
      <c r="K34" s="8"/>
      <c r="L34" s="8"/>
      <c r="M34" s="8"/>
      <c r="N34" s="8"/>
      <c r="O34" s="8"/>
      <c r="P34" s="8"/>
      <c r="Q34" s="8"/>
      <c r="R34" s="8"/>
      <c r="S34" s="8"/>
      <c r="T34" s="8"/>
      <c r="U34" s="8"/>
      <c r="V34" s="8"/>
      <c r="W34" s="8"/>
      <c r="X34" s="8"/>
      <c r="Y34" s="8"/>
      <c r="Z34" s="8"/>
    </row>
    <row r="35" ht="13.5" customHeight="1">
      <c r="A35" s="7" t="s">
        <v>90</v>
      </c>
      <c r="B35" s="7"/>
      <c r="C35" s="8"/>
      <c r="D35" s="8"/>
      <c r="E35" s="8"/>
      <c r="F35" s="8"/>
      <c r="G35" s="8"/>
      <c r="H35" s="8"/>
      <c r="I35" s="8"/>
      <c r="J35" s="8"/>
      <c r="K35" s="8"/>
      <c r="L35" s="8"/>
      <c r="M35" s="8"/>
      <c r="N35" s="8"/>
      <c r="O35" s="8"/>
      <c r="P35" s="8"/>
      <c r="Q35" s="8"/>
      <c r="R35" s="8"/>
      <c r="S35" s="8"/>
      <c r="T35" s="8"/>
      <c r="U35" s="8"/>
      <c r="V35" s="8"/>
      <c r="W35" s="8"/>
      <c r="X35" s="8"/>
      <c r="Y35" s="8"/>
      <c r="Z35" s="8"/>
    </row>
    <row r="36" ht="13.5" customHeight="1">
      <c r="A36" s="7" t="s">
        <v>91</v>
      </c>
      <c r="B36" s="7"/>
      <c r="C36" s="8"/>
      <c r="D36" s="8"/>
      <c r="E36" s="8"/>
      <c r="F36" s="8"/>
      <c r="G36" s="8"/>
      <c r="H36" s="8"/>
      <c r="I36" s="8"/>
      <c r="J36" s="8"/>
      <c r="K36" s="8"/>
      <c r="L36" s="8"/>
      <c r="M36" s="8"/>
      <c r="N36" s="8"/>
      <c r="O36" s="8"/>
      <c r="P36" s="8"/>
      <c r="Q36" s="8"/>
      <c r="R36" s="8"/>
      <c r="S36" s="8"/>
      <c r="T36" s="8"/>
      <c r="U36" s="8"/>
      <c r="V36" s="8"/>
      <c r="W36" s="8"/>
      <c r="X36" s="8"/>
      <c r="Y36" s="8"/>
      <c r="Z36" s="8"/>
    </row>
    <row r="37" ht="13.5" customHeight="1">
      <c r="A37" s="23" t="s">
        <v>95</v>
      </c>
      <c r="B37" s="8"/>
      <c r="C37" s="8"/>
      <c r="D37" s="8"/>
      <c r="E37" s="8"/>
      <c r="F37" s="8"/>
      <c r="G37" s="8"/>
      <c r="H37" s="8"/>
      <c r="I37" s="8"/>
      <c r="J37" s="8"/>
      <c r="K37" s="8"/>
      <c r="L37" s="8"/>
      <c r="M37" s="8"/>
      <c r="N37" s="8"/>
      <c r="O37" s="8"/>
      <c r="P37" s="8"/>
      <c r="Q37" s="8"/>
      <c r="R37" s="8"/>
      <c r="S37" s="8"/>
      <c r="T37" s="8"/>
      <c r="U37" s="8"/>
      <c r="V37" s="8"/>
      <c r="W37" s="8"/>
      <c r="X37" s="8"/>
      <c r="Y37" s="8"/>
      <c r="Z37" s="8"/>
    </row>
    <row r="38" ht="13.5" customHeight="1">
      <c r="A38" s="7" t="s">
        <v>98</v>
      </c>
      <c r="B38" s="8"/>
      <c r="C38" s="8"/>
      <c r="D38" s="8"/>
      <c r="E38" s="8"/>
      <c r="F38" s="8"/>
      <c r="G38" s="8"/>
      <c r="H38" s="8"/>
      <c r="I38" s="8"/>
      <c r="J38" s="8"/>
      <c r="K38" s="8"/>
      <c r="L38" s="8"/>
      <c r="M38" s="8"/>
      <c r="N38" s="8"/>
      <c r="O38" s="8"/>
      <c r="P38" s="8"/>
      <c r="Q38" s="8"/>
      <c r="R38" s="8"/>
      <c r="S38" s="8"/>
      <c r="T38" s="8"/>
      <c r="U38" s="8"/>
      <c r="V38" s="8"/>
      <c r="W38" s="8"/>
      <c r="X38" s="8"/>
      <c r="Y38" s="8"/>
      <c r="Z38" s="8"/>
    </row>
    <row r="39" ht="42.0" customHeight="1">
      <c r="A39" s="11" t="s">
        <v>100</v>
      </c>
      <c r="B39" s="7"/>
      <c r="C39" s="8"/>
      <c r="D39" s="8"/>
      <c r="E39" s="8"/>
      <c r="F39" s="8"/>
      <c r="G39" s="8"/>
      <c r="H39" s="8"/>
      <c r="I39" s="8"/>
      <c r="J39" s="8"/>
      <c r="K39" s="8"/>
      <c r="L39" s="8"/>
      <c r="M39" s="8"/>
      <c r="N39" s="8"/>
      <c r="O39" s="8"/>
      <c r="P39" s="8"/>
      <c r="Q39" s="8"/>
      <c r="R39" s="8"/>
      <c r="S39" s="8"/>
      <c r="T39" s="8"/>
      <c r="U39" s="8"/>
      <c r="V39" s="8"/>
      <c r="W39" s="8"/>
      <c r="X39" s="8"/>
      <c r="Y39" s="8"/>
      <c r="Z39" s="8"/>
    </row>
    <row r="40" ht="13.5" customHeight="1">
      <c r="A40" s="11"/>
      <c r="B40" s="7"/>
      <c r="C40" s="8"/>
      <c r="D40" s="8"/>
      <c r="E40" s="8"/>
      <c r="F40" s="8"/>
      <c r="G40" s="8"/>
      <c r="H40" s="8"/>
      <c r="I40" s="8"/>
      <c r="J40" s="8"/>
      <c r="K40" s="8"/>
      <c r="L40" s="8"/>
      <c r="M40" s="8"/>
      <c r="N40" s="8"/>
      <c r="O40" s="8"/>
      <c r="P40" s="8"/>
      <c r="Q40" s="8"/>
      <c r="R40" s="8"/>
      <c r="S40" s="8"/>
      <c r="T40" s="8"/>
      <c r="U40" s="8"/>
      <c r="V40" s="8"/>
      <c r="W40" s="8"/>
      <c r="X40" s="8"/>
      <c r="Y40" s="8"/>
      <c r="Z40" s="8"/>
    </row>
    <row r="41" ht="15.0" customHeight="1">
      <c r="A41" s="23" t="s">
        <v>107</v>
      </c>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3.5" customHeight="1">
      <c r="A42" s="7" t="s">
        <v>109</v>
      </c>
      <c r="B42" s="8"/>
      <c r="C42" s="8"/>
      <c r="D42" s="8"/>
      <c r="E42" s="8"/>
      <c r="F42" s="8"/>
      <c r="G42" s="8"/>
      <c r="H42" s="8"/>
      <c r="I42" s="8"/>
      <c r="J42" s="8"/>
      <c r="K42" s="8"/>
      <c r="L42" s="8"/>
      <c r="M42" s="8"/>
      <c r="N42" s="8"/>
      <c r="O42" s="8"/>
      <c r="P42" s="8"/>
      <c r="Q42" s="8"/>
      <c r="R42" s="8"/>
      <c r="S42" s="8"/>
      <c r="T42" s="8"/>
      <c r="U42" s="8"/>
      <c r="V42" s="8"/>
      <c r="W42" s="8"/>
      <c r="X42" s="8"/>
      <c r="Y42" s="8"/>
      <c r="Z42" s="8"/>
    </row>
    <row r="43" ht="13.5" customHeight="1">
      <c r="A43" s="7" t="s">
        <v>115</v>
      </c>
      <c r="B43" s="8"/>
      <c r="C43" s="8"/>
      <c r="D43" s="8"/>
      <c r="E43" s="8"/>
      <c r="F43" s="8"/>
      <c r="G43" s="8"/>
      <c r="H43" s="8"/>
      <c r="I43" s="8"/>
      <c r="J43" s="8"/>
      <c r="K43" s="8"/>
      <c r="L43" s="8"/>
      <c r="M43" s="8"/>
      <c r="N43" s="8"/>
      <c r="O43" s="8"/>
      <c r="P43" s="8"/>
      <c r="Q43" s="8"/>
      <c r="R43" s="8"/>
      <c r="S43" s="8"/>
      <c r="T43" s="8"/>
      <c r="U43" s="8"/>
      <c r="V43" s="8"/>
      <c r="W43" s="8"/>
      <c r="X43" s="8"/>
      <c r="Y43" s="8"/>
      <c r="Z43" s="8"/>
    </row>
    <row r="44" ht="13.5" customHeight="1">
      <c r="A44" s="7" t="s">
        <v>118</v>
      </c>
      <c r="B44" s="8"/>
      <c r="C44" s="8"/>
      <c r="D44" s="8"/>
      <c r="E44" s="8"/>
      <c r="F44" s="8"/>
      <c r="G44" s="8"/>
      <c r="H44" s="8"/>
      <c r="I44" s="8"/>
      <c r="J44" s="8"/>
      <c r="K44" s="8"/>
      <c r="L44" s="8"/>
      <c r="M44" s="8"/>
      <c r="N44" s="8"/>
      <c r="O44" s="8"/>
      <c r="P44" s="8"/>
      <c r="Q44" s="8"/>
      <c r="R44" s="8"/>
      <c r="S44" s="8"/>
      <c r="T44" s="8"/>
      <c r="U44" s="8"/>
      <c r="V44" s="8"/>
      <c r="W44" s="8"/>
      <c r="X44" s="8"/>
      <c r="Y44" s="8"/>
      <c r="Z44" s="8"/>
    </row>
    <row r="45" ht="13.5" customHeight="1">
      <c r="A45" s="7" t="s">
        <v>122</v>
      </c>
      <c r="B45" s="8"/>
      <c r="C45" s="8"/>
      <c r="D45" s="8"/>
      <c r="E45" s="8"/>
      <c r="F45" s="8"/>
      <c r="G45" s="8"/>
      <c r="H45" s="8"/>
      <c r="I45" s="8"/>
      <c r="J45" s="8"/>
      <c r="K45" s="8"/>
      <c r="L45" s="8"/>
      <c r="M45" s="8"/>
      <c r="N45" s="8"/>
      <c r="O45" s="8"/>
      <c r="P45" s="8"/>
      <c r="Q45" s="8"/>
      <c r="R45" s="8"/>
      <c r="S45" s="8"/>
      <c r="T45" s="8"/>
      <c r="U45" s="8"/>
      <c r="V45" s="8"/>
      <c r="W45" s="8"/>
      <c r="X45" s="8"/>
      <c r="Y45" s="8"/>
      <c r="Z45" s="8"/>
    </row>
    <row r="46" ht="13.5" customHeight="1">
      <c r="A46" s="7" t="s">
        <v>124</v>
      </c>
      <c r="B46" s="8"/>
      <c r="C46" s="8"/>
      <c r="D46" s="8"/>
      <c r="E46" s="8"/>
      <c r="F46" s="8"/>
      <c r="G46" s="8"/>
      <c r="H46" s="8"/>
      <c r="I46" s="8"/>
      <c r="J46" s="8"/>
      <c r="K46" s="8"/>
      <c r="L46" s="8"/>
      <c r="M46" s="8"/>
      <c r="N46" s="8"/>
      <c r="O46" s="8"/>
      <c r="P46" s="8"/>
      <c r="Q46" s="8"/>
      <c r="R46" s="8"/>
      <c r="S46" s="8"/>
      <c r="T46" s="8"/>
      <c r="U46" s="8"/>
      <c r="V46" s="8"/>
      <c r="W46" s="8"/>
      <c r="X46" s="8"/>
      <c r="Y46" s="8"/>
      <c r="Z46" s="8"/>
    </row>
    <row r="47" ht="13.5" customHeight="1">
      <c r="A47" s="7" t="s">
        <v>125</v>
      </c>
      <c r="B47" s="8"/>
      <c r="C47" s="8"/>
      <c r="D47" s="8"/>
      <c r="E47" s="8"/>
      <c r="F47" s="8"/>
      <c r="G47" s="8"/>
      <c r="H47" s="8"/>
      <c r="I47" s="8"/>
      <c r="J47" s="8"/>
      <c r="K47" s="8"/>
      <c r="L47" s="8"/>
      <c r="M47" s="8"/>
      <c r="N47" s="8"/>
      <c r="O47" s="8"/>
      <c r="P47" s="8"/>
      <c r="Q47" s="8"/>
      <c r="R47" s="8"/>
      <c r="S47" s="8"/>
      <c r="T47" s="8"/>
      <c r="U47" s="8"/>
      <c r="V47" s="8"/>
      <c r="W47" s="8"/>
      <c r="X47" s="8"/>
      <c r="Y47" s="8"/>
      <c r="Z47" s="8"/>
    </row>
    <row r="48" ht="15.0" customHeight="1">
      <c r="A48" s="7" t="s">
        <v>128</v>
      </c>
      <c r="B48" s="8"/>
      <c r="C48" s="8"/>
      <c r="D48" s="8"/>
      <c r="E48" s="8"/>
      <c r="F48" s="8"/>
      <c r="G48" s="8"/>
      <c r="H48" s="8"/>
      <c r="I48" s="8"/>
      <c r="J48" s="8"/>
      <c r="K48" s="8"/>
      <c r="L48" s="8"/>
      <c r="M48" s="8"/>
      <c r="N48" s="8"/>
      <c r="O48" s="8"/>
      <c r="P48" s="8"/>
      <c r="Q48" s="8"/>
      <c r="R48" s="8"/>
      <c r="S48" s="8"/>
      <c r="T48" s="8"/>
      <c r="U48" s="8"/>
      <c r="V48" s="8"/>
      <c r="W48" s="8"/>
      <c r="X48" s="8"/>
      <c r="Y48" s="8"/>
      <c r="Z48" s="8"/>
    </row>
    <row r="49" ht="13.5" customHeight="1">
      <c r="A49" s="7"/>
      <c r="B49" s="8"/>
      <c r="C49" s="8"/>
      <c r="D49" s="8"/>
      <c r="E49" s="8"/>
      <c r="F49" s="8"/>
      <c r="G49" s="8"/>
      <c r="H49" s="8"/>
      <c r="I49" s="8"/>
      <c r="J49" s="8"/>
      <c r="K49" s="8"/>
      <c r="L49" s="8"/>
      <c r="M49" s="8"/>
      <c r="N49" s="8"/>
      <c r="O49" s="8"/>
      <c r="P49" s="8"/>
      <c r="Q49" s="8"/>
      <c r="R49" s="8"/>
      <c r="S49" s="8"/>
      <c r="T49" s="8"/>
      <c r="U49" s="8"/>
      <c r="V49" s="8"/>
      <c r="W49" s="8"/>
      <c r="X49" s="8"/>
      <c r="Y49" s="8"/>
      <c r="Z49" s="8"/>
    </row>
    <row r="50" ht="13.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3.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3.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3.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3.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3.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3.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3.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3.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3.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3.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3.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3.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3.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3.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3.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3.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3.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3.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3.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3.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3.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3.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3.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3.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3.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3.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3.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3.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3.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3.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3.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3.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3.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3.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3.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3.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3.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3.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3.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3.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3.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3.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3.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3.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3.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3.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3.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3.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3.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3.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3.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3.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3.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3.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3.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3.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3.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3.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3.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3.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3.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3.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3.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3.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3.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3.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3.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3.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3.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3.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3.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3.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3.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3.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3.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3.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3.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3.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3.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3.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3.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3.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3.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3.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3.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3.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3.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3.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3.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3.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3.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3.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3.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3.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3.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3.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3.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3.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3.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3.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3.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3.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3.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3.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3.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3.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3.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3.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3.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3.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3.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3.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3.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3.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3.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3.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3.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3.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3.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3.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3.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3.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3.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3.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3.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3.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3.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3.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3.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3.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3.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3.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3.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3.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3.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3.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3.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3.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3.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3.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3.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3.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3.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3.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3.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3.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3.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3.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3.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3.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3.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3.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3.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3.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3.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3.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3.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3.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3.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3.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3.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3.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3.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3.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3.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3.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3.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3.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3.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3.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3.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3.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3.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3.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3.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3.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3.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3.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3.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3.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3.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3.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3.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3.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3.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3.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3.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3.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3.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3.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3.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3.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3.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3.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3.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3.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3.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3.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32.75"/>
    <col customWidth="1" min="4" max="4" width="8.0"/>
    <col customWidth="1" min="5" max="5" width="38.0"/>
    <col customWidth="1" min="6" max="6" width="48.13"/>
    <col customWidth="1" min="7" max="26" width="10.0"/>
  </cols>
  <sheetData>
    <row r="1" ht="12.75" customHeight="1">
      <c r="A1" s="3"/>
      <c r="B1" s="5"/>
      <c r="C1" s="5"/>
      <c r="D1" s="5"/>
      <c r="E1" s="5"/>
      <c r="F1" s="5"/>
      <c r="G1" s="5"/>
      <c r="H1" s="5"/>
      <c r="I1" s="5"/>
      <c r="J1" s="5"/>
      <c r="K1" s="5"/>
      <c r="L1" s="5"/>
      <c r="M1" s="5"/>
      <c r="N1" s="5"/>
      <c r="O1" s="5"/>
      <c r="P1" s="5"/>
      <c r="Q1" s="5"/>
      <c r="R1" s="5"/>
      <c r="S1" s="5"/>
      <c r="T1" s="5"/>
      <c r="U1" s="5"/>
      <c r="V1" s="5"/>
      <c r="W1" s="5"/>
      <c r="X1" s="5"/>
      <c r="Y1" s="5"/>
      <c r="Z1" s="5"/>
    </row>
    <row r="2" ht="75.75" customHeight="1">
      <c r="A2" s="9"/>
      <c r="B2" s="10" t="s">
        <v>4</v>
      </c>
      <c r="C2" s="12"/>
      <c r="D2" s="12"/>
      <c r="E2" s="12"/>
      <c r="F2" s="13"/>
      <c r="G2" s="14"/>
      <c r="H2" s="14"/>
      <c r="I2" s="14"/>
      <c r="J2" s="14"/>
      <c r="K2" s="14"/>
      <c r="L2" s="14"/>
      <c r="M2" s="14"/>
      <c r="N2" s="14"/>
      <c r="O2" s="14"/>
      <c r="P2" s="14"/>
      <c r="Q2" s="14"/>
      <c r="R2" s="14"/>
      <c r="S2" s="14"/>
      <c r="T2" s="14"/>
      <c r="U2" s="14"/>
      <c r="V2" s="14"/>
      <c r="W2" s="14"/>
      <c r="X2" s="14"/>
      <c r="Y2" s="14"/>
      <c r="Z2" s="14"/>
    </row>
    <row r="3" ht="12.75" customHeight="1">
      <c r="A3" s="15"/>
      <c r="B3" s="16"/>
      <c r="C3" s="5"/>
      <c r="D3" s="5"/>
      <c r="E3" s="17"/>
      <c r="F3" s="5"/>
      <c r="G3" s="5"/>
      <c r="H3" s="5"/>
      <c r="I3" s="5"/>
      <c r="J3" s="5"/>
      <c r="K3" s="5"/>
      <c r="L3" s="5"/>
      <c r="M3" s="5"/>
      <c r="N3" s="5"/>
      <c r="O3" s="5"/>
      <c r="P3" s="5"/>
      <c r="Q3" s="5"/>
      <c r="R3" s="5"/>
      <c r="S3" s="5"/>
      <c r="T3" s="5"/>
      <c r="U3" s="5"/>
      <c r="V3" s="5"/>
      <c r="W3" s="5"/>
      <c r="X3" s="5"/>
      <c r="Y3" s="5"/>
      <c r="Z3" s="5"/>
    </row>
    <row r="4" ht="14.25" customHeight="1">
      <c r="A4" s="20" t="s">
        <v>9</v>
      </c>
      <c r="B4" s="21" t="s">
        <v>10</v>
      </c>
      <c r="C4" s="12"/>
      <c r="D4" s="13"/>
      <c r="E4" s="20" t="s">
        <v>11</v>
      </c>
      <c r="F4" s="22" t="s">
        <v>12</v>
      </c>
      <c r="G4" s="5"/>
      <c r="H4" s="5"/>
      <c r="I4" s="5"/>
      <c r="J4" s="5"/>
      <c r="K4" s="5"/>
      <c r="L4" s="5"/>
      <c r="M4" s="5"/>
      <c r="N4" s="5"/>
      <c r="O4" s="5"/>
      <c r="P4" s="5"/>
      <c r="Q4" s="5"/>
      <c r="R4" s="5"/>
      <c r="S4" s="5"/>
      <c r="T4" s="5"/>
      <c r="U4" s="5"/>
      <c r="V4" s="5"/>
      <c r="W4" s="5"/>
      <c r="X4" s="5"/>
      <c r="Y4" s="5"/>
      <c r="Z4" s="5"/>
    </row>
    <row r="5" ht="14.25" customHeight="1">
      <c r="A5" s="20" t="s">
        <v>14</v>
      </c>
      <c r="B5" s="21" t="s">
        <v>15</v>
      </c>
      <c r="C5" s="12"/>
      <c r="D5" s="13"/>
      <c r="E5" s="20" t="s">
        <v>17</v>
      </c>
      <c r="F5" s="25">
        <v>46323.0</v>
      </c>
      <c r="G5" s="5"/>
      <c r="H5" s="5"/>
      <c r="I5" s="5"/>
      <c r="J5" s="5"/>
      <c r="K5" s="5"/>
      <c r="L5" s="5"/>
      <c r="M5" s="5"/>
      <c r="N5" s="5"/>
      <c r="O5" s="5"/>
      <c r="P5" s="5"/>
      <c r="Q5" s="5"/>
      <c r="R5" s="5"/>
      <c r="S5" s="5"/>
      <c r="T5" s="5"/>
      <c r="U5" s="5"/>
      <c r="V5" s="5"/>
      <c r="W5" s="5"/>
      <c r="X5" s="5"/>
      <c r="Y5" s="5"/>
      <c r="Z5" s="5"/>
    </row>
    <row r="6" ht="15.75" customHeight="1">
      <c r="A6" s="26" t="s">
        <v>19</v>
      </c>
      <c r="B6" s="27" t="s">
        <v>21</v>
      </c>
      <c r="C6" s="12"/>
      <c r="D6" s="13"/>
      <c r="E6" s="20" t="s">
        <v>22</v>
      </c>
      <c r="F6" s="29" t="s">
        <v>24</v>
      </c>
      <c r="G6" s="5"/>
      <c r="H6" s="5"/>
      <c r="I6" s="5"/>
      <c r="J6" s="5"/>
      <c r="K6" s="5"/>
      <c r="L6" s="5"/>
      <c r="M6" s="5"/>
      <c r="N6" s="5"/>
      <c r="O6" s="5"/>
      <c r="P6" s="5"/>
      <c r="Q6" s="5"/>
      <c r="R6" s="5"/>
      <c r="S6" s="5"/>
      <c r="T6" s="5"/>
      <c r="U6" s="5"/>
      <c r="V6" s="5"/>
      <c r="W6" s="5"/>
      <c r="X6" s="5"/>
      <c r="Y6" s="5"/>
      <c r="Z6" s="5"/>
    </row>
    <row r="7" ht="12.75" customHeight="1">
      <c r="A7" s="31"/>
      <c r="B7" s="16"/>
      <c r="C7" s="5"/>
      <c r="D7" s="5"/>
      <c r="E7" s="33"/>
      <c r="F7" s="16"/>
      <c r="G7" s="5"/>
      <c r="H7" s="5"/>
      <c r="I7" s="5"/>
      <c r="J7" s="5"/>
      <c r="K7" s="5"/>
      <c r="L7" s="5"/>
      <c r="M7" s="5"/>
      <c r="N7" s="5"/>
      <c r="O7" s="5"/>
      <c r="P7" s="5"/>
      <c r="Q7" s="5"/>
      <c r="R7" s="5"/>
      <c r="S7" s="5"/>
      <c r="T7" s="5"/>
      <c r="U7" s="5"/>
      <c r="V7" s="5"/>
      <c r="W7" s="5"/>
      <c r="X7" s="5"/>
      <c r="Y7" s="5"/>
      <c r="Z7" s="5"/>
    </row>
    <row r="8" ht="12.75" customHeight="1">
      <c r="A8" s="5"/>
      <c r="B8" s="5"/>
      <c r="C8" s="5"/>
      <c r="D8" s="5"/>
      <c r="E8" s="5"/>
      <c r="F8" s="5"/>
      <c r="G8" s="5"/>
      <c r="H8" s="5"/>
      <c r="I8" s="5"/>
      <c r="J8" s="5"/>
      <c r="K8" s="5"/>
      <c r="L8" s="5"/>
      <c r="M8" s="5"/>
      <c r="N8" s="5"/>
      <c r="O8" s="5"/>
      <c r="P8" s="5"/>
      <c r="Q8" s="5"/>
      <c r="R8" s="5"/>
      <c r="S8" s="5"/>
      <c r="T8" s="5"/>
      <c r="U8" s="5"/>
      <c r="V8" s="5"/>
      <c r="W8" s="5"/>
      <c r="X8" s="5"/>
      <c r="Y8" s="5"/>
      <c r="Z8" s="5"/>
    </row>
    <row r="9" ht="12.75" customHeight="1">
      <c r="A9" s="34" t="s">
        <v>27</v>
      </c>
      <c r="B9" s="5"/>
      <c r="C9" s="5"/>
      <c r="D9" s="5"/>
      <c r="E9" s="5"/>
      <c r="F9" s="5"/>
      <c r="G9" s="5"/>
      <c r="H9" s="5"/>
      <c r="I9" s="5"/>
      <c r="J9" s="5"/>
      <c r="K9" s="5"/>
      <c r="L9" s="5"/>
      <c r="M9" s="5"/>
      <c r="N9" s="5"/>
      <c r="O9" s="5"/>
      <c r="P9" s="5"/>
      <c r="Q9" s="5"/>
      <c r="R9" s="5"/>
      <c r="S9" s="5"/>
      <c r="T9" s="5"/>
      <c r="U9" s="5"/>
      <c r="V9" s="5"/>
      <c r="W9" s="5"/>
      <c r="X9" s="5"/>
      <c r="Y9" s="5"/>
      <c r="Z9" s="5"/>
    </row>
    <row r="10" ht="12.75" customHeight="1">
      <c r="A10" s="35" t="s">
        <v>29</v>
      </c>
      <c r="B10" s="37" t="s">
        <v>22</v>
      </c>
      <c r="C10" s="37" t="s">
        <v>32</v>
      </c>
      <c r="D10" s="37" t="s">
        <v>33</v>
      </c>
      <c r="E10" s="37" t="s">
        <v>34</v>
      </c>
      <c r="F10" s="37" t="s">
        <v>35</v>
      </c>
      <c r="G10" s="39"/>
      <c r="H10" s="39"/>
      <c r="I10" s="39"/>
      <c r="J10" s="39"/>
      <c r="K10" s="39"/>
      <c r="L10" s="39"/>
      <c r="M10" s="39"/>
      <c r="N10" s="39"/>
      <c r="O10" s="39"/>
      <c r="P10" s="39"/>
      <c r="Q10" s="39"/>
      <c r="R10" s="39"/>
      <c r="S10" s="39"/>
      <c r="T10" s="39"/>
      <c r="U10" s="39"/>
      <c r="V10" s="39"/>
      <c r="W10" s="39"/>
      <c r="X10" s="39"/>
      <c r="Y10" s="39"/>
      <c r="Z10" s="39"/>
    </row>
    <row r="11" ht="161.25" customHeight="1">
      <c r="A11" s="40">
        <v>46308.0</v>
      </c>
      <c r="B11" s="42">
        <v>1.0</v>
      </c>
      <c r="C11" s="43" t="s">
        <v>37</v>
      </c>
      <c r="D11" s="43" t="s">
        <v>38</v>
      </c>
      <c r="E11" s="43" t="s">
        <v>39</v>
      </c>
      <c r="F11" s="44" t="s">
        <v>40</v>
      </c>
      <c r="G11" s="45"/>
      <c r="H11" s="45"/>
      <c r="I11" s="45"/>
      <c r="J11" s="45"/>
      <c r="K11" s="45"/>
      <c r="L11" s="45"/>
      <c r="M11" s="45"/>
      <c r="N11" s="45"/>
      <c r="O11" s="45"/>
      <c r="P11" s="45"/>
      <c r="Q11" s="45"/>
      <c r="R11" s="45"/>
      <c r="S11" s="45"/>
      <c r="T11" s="45"/>
      <c r="U11" s="45"/>
      <c r="V11" s="45"/>
      <c r="W11" s="45"/>
      <c r="X11" s="45"/>
      <c r="Y11" s="45"/>
      <c r="Z11" s="45"/>
    </row>
    <row r="12" ht="161.25" customHeight="1">
      <c r="A12" s="47" t="s">
        <v>42</v>
      </c>
      <c r="B12" s="42">
        <v>1.1</v>
      </c>
      <c r="C12" s="43" t="s">
        <v>44</v>
      </c>
      <c r="D12" s="43" t="s">
        <v>45</v>
      </c>
      <c r="E12" s="43" t="s">
        <v>46</v>
      </c>
      <c r="F12" s="44" t="s">
        <v>47</v>
      </c>
      <c r="G12" s="45"/>
      <c r="H12" s="45"/>
      <c r="I12" s="45"/>
      <c r="J12" s="45"/>
      <c r="K12" s="45"/>
      <c r="L12" s="45"/>
      <c r="M12" s="45"/>
      <c r="N12" s="45"/>
      <c r="O12" s="45"/>
      <c r="P12" s="45"/>
      <c r="Q12" s="45"/>
      <c r="R12" s="45"/>
      <c r="S12" s="45"/>
      <c r="T12" s="45"/>
      <c r="U12" s="45"/>
      <c r="V12" s="45"/>
      <c r="W12" s="45"/>
      <c r="X12" s="45"/>
      <c r="Y12" s="45"/>
      <c r="Z12" s="45"/>
    </row>
    <row r="13" ht="174.75" customHeight="1">
      <c r="A13" s="47" t="s">
        <v>42</v>
      </c>
      <c r="B13" s="42">
        <v>1.1</v>
      </c>
      <c r="C13" s="43" t="s">
        <v>49</v>
      </c>
      <c r="D13" s="43" t="s">
        <v>45</v>
      </c>
      <c r="E13" s="43" t="s">
        <v>50</v>
      </c>
      <c r="F13" s="43" t="s">
        <v>51</v>
      </c>
      <c r="G13" s="45"/>
      <c r="H13" s="45"/>
      <c r="I13" s="45"/>
      <c r="J13" s="45"/>
      <c r="K13" s="45"/>
      <c r="L13" s="45"/>
      <c r="M13" s="45"/>
      <c r="N13" s="45"/>
      <c r="O13" s="45"/>
      <c r="P13" s="45"/>
      <c r="Q13" s="45"/>
      <c r="R13" s="45"/>
      <c r="S13" s="45"/>
      <c r="T13" s="45"/>
      <c r="U13" s="45"/>
      <c r="V13" s="45"/>
      <c r="W13" s="45"/>
      <c r="X13" s="45"/>
      <c r="Y13" s="45"/>
      <c r="Z13" s="45"/>
    </row>
    <row r="14">
      <c r="A14" s="48" t="s">
        <v>54</v>
      </c>
      <c r="B14" s="42" t="s">
        <v>55</v>
      </c>
      <c r="C14" s="50" t="s">
        <v>57</v>
      </c>
      <c r="D14" s="43" t="s">
        <v>45</v>
      </c>
      <c r="E14" s="50" t="s">
        <v>58</v>
      </c>
      <c r="F14" s="50" t="s">
        <v>59</v>
      </c>
      <c r="G14" s="5"/>
      <c r="H14" s="5"/>
      <c r="I14" s="5"/>
      <c r="J14" s="5"/>
      <c r="K14" s="5"/>
      <c r="L14" s="5"/>
      <c r="M14" s="5"/>
      <c r="N14" s="5"/>
      <c r="O14" s="5"/>
      <c r="P14" s="5"/>
      <c r="Q14" s="5"/>
      <c r="R14" s="5"/>
      <c r="S14" s="5"/>
      <c r="T14" s="5"/>
      <c r="U14" s="5"/>
      <c r="V14" s="5"/>
      <c r="W14" s="5"/>
      <c r="X14" s="5"/>
      <c r="Y14" s="5"/>
      <c r="Z14" s="5"/>
    </row>
    <row r="15">
      <c r="A15" s="48" t="s">
        <v>54</v>
      </c>
      <c r="B15" s="43" t="s">
        <v>24</v>
      </c>
      <c r="C15" s="50" t="s">
        <v>61</v>
      </c>
      <c r="D15" s="43" t="s">
        <v>45</v>
      </c>
      <c r="E15" s="50" t="s">
        <v>62</v>
      </c>
      <c r="F15" s="50" t="s">
        <v>63</v>
      </c>
      <c r="G15" s="5"/>
      <c r="H15" s="5"/>
      <c r="I15" s="5"/>
      <c r="J15" s="5"/>
      <c r="K15" s="5"/>
      <c r="L15" s="5"/>
      <c r="M15" s="5"/>
      <c r="N15" s="5"/>
      <c r="O15" s="5"/>
      <c r="P15" s="5"/>
      <c r="Q15" s="5"/>
      <c r="R15" s="5"/>
      <c r="S15" s="5"/>
      <c r="T15" s="5"/>
      <c r="U15" s="5"/>
      <c r="V15" s="5"/>
      <c r="W15" s="5"/>
      <c r="X15" s="5"/>
      <c r="Y15" s="5"/>
      <c r="Z15" s="5"/>
    </row>
    <row r="16" ht="12.75" customHeight="1">
      <c r="A16" s="3"/>
      <c r="B16" s="5"/>
      <c r="C16" s="5"/>
      <c r="D16" s="5"/>
      <c r="E16" s="5"/>
      <c r="F16" s="5"/>
      <c r="G16" s="5"/>
      <c r="H16" s="5"/>
      <c r="I16" s="5"/>
      <c r="J16" s="5"/>
      <c r="K16" s="5"/>
      <c r="L16" s="5"/>
      <c r="M16" s="5"/>
      <c r="N16" s="5"/>
      <c r="O16" s="5"/>
      <c r="P16" s="5"/>
      <c r="Q16" s="5"/>
      <c r="R16" s="5"/>
      <c r="S16" s="5"/>
      <c r="T16" s="5"/>
      <c r="U16" s="5"/>
      <c r="V16" s="5"/>
      <c r="W16" s="5"/>
      <c r="X16" s="5"/>
      <c r="Y16" s="5"/>
      <c r="Z16" s="5"/>
    </row>
    <row r="17" ht="12.75" customHeight="1">
      <c r="A17" s="3"/>
      <c r="B17" s="5"/>
      <c r="C17" s="5"/>
      <c r="D17" s="5"/>
      <c r="E17" s="5"/>
      <c r="F17" s="5"/>
      <c r="G17" s="5"/>
      <c r="H17" s="5"/>
      <c r="I17" s="5"/>
      <c r="J17" s="5"/>
      <c r="K17" s="5"/>
      <c r="L17" s="5"/>
      <c r="M17" s="5"/>
      <c r="N17" s="5"/>
      <c r="O17" s="5"/>
      <c r="P17" s="5"/>
      <c r="Q17" s="5"/>
      <c r="R17" s="5"/>
      <c r="S17" s="5"/>
      <c r="T17" s="5"/>
      <c r="U17" s="5"/>
      <c r="V17" s="5"/>
      <c r="W17" s="5"/>
      <c r="X17" s="5"/>
      <c r="Y17" s="5"/>
      <c r="Z17" s="5"/>
    </row>
    <row r="18" ht="12.75" customHeight="1">
      <c r="A18" s="3"/>
      <c r="B18" s="5"/>
      <c r="C18" s="5"/>
      <c r="D18" s="5"/>
      <c r="E18" s="5"/>
      <c r="F18" s="5"/>
      <c r="G18" s="5"/>
      <c r="H18" s="5"/>
      <c r="I18" s="5"/>
      <c r="J18" s="5"/>
      <c r="K18" s="5"/>
      <c r="L18" s="5"/>
      <c r="M18" s="5"/>
      <c r="N18" s="5"/>
      <c r="O18" s="5"/>
      <c r="P18" s="5"/>
      <c r="Q18" s="5"/>
      <c r="R18" s="5"/>
      <c r="S18" s="5"/>
      <c r="T18" s="5"/>
      <c r="U18" s="5"/>
      <c r="V18" s="5"/>
      <c r="W18" s="5"/>
      <c r="X18" s="5"/>
      <c r="Y18" s="5"/>
      <c r="Z18" s="5"/>
    </row>
    <row r="19" ht="12.75" customHeight="1">
      <c r="A19" s="3"/>
      <c r="B19" s="5"/>
      <c r="C19" s="5"/>
      <c r="D19" s="5"/>
      <c r="E19" s="5"/>
      <c r="F19" s="5"/>
      <c r="G19" s="5"/>
      <c r="H19" s="5"/>
      <c r="I19" s="5"/>
      <c r="J19" s="5"/>
      <c r="K19" s="5"/>
      <c r="L19" s="5"/>
      <c r="M19" s="5"/>
      <c r="N19" s="5"/>
      <c r="O19" s="5"/>
      <c r="P19" s="5"/>
      <c r="Q19" s="5"/>
      <c r="R19" s="5"/>
      <c r="S19" s="5"/>
      <c r="T19" s="5"/>
      <c r="U19" s="5"/>
      <c r="V19" s="5"/>
      <c r="W19" s="5"/>
      <c r="X19" s="5"/>
      <c r="Y19" s="5"/>
      <c r="Z19" s="5"/>
    </row>
    <row r="20" ht="12.75" customHeight="1">
      <c r="A20" s="3"/>
      <c r="B20" s="5"/>
      <c r="C20" s="5"/>
      <c r="D20" s="5"/>
      <c r="E20" s="5"/>
      <c r="F20" s="5"/>
      <c r="G20" s="5"/>
      <c r="H20" s="5"/>
      <c r="I20" s="5"/>
      <c r="J20" s="5"/>
      <c r="K20" s="5"/>
      <c r="L20" s="5"/>
      <c r="M20" s="5"/>
      <c r="N20" s="5"/>
      <c r="O20" s="5"/>
      <c r="P20" s="5"/>
      <c r="Q20" s="5"/>
      <c r="R20" s="5"/>
      <c r="S20" s="5"/>
      <c r="T20" s="5"/>
      <c r="U20" s="5"/>
      <c r="V20" s="5"/>
      <c r="W20" s="5"/>
      <c r="X20" s="5"/>
      <c r="Y20" s="5"/>
      <c r="Z20" s="5"/>
    </row>
    <row r="21" ht="12.75" customHeight="1">
      <c r="A21" s="3"/>
      <c r="B21" s="5"/>
      <c r="C21" s="5"/>
      <c r="D21" s="5"/>
      <c r="E21" s="5"/>
      <c r="F21" s="5"/>
      <c r="G21" s="5"/>
      <c r="H21" s="5"/>
      <c r="I21" s="5"/>
      <c r="J21" s="5"/>
      <c r="K21" s="5"/>
      <c r="L21" s="5"/>
      <c r="M21" s="5"/>
      <c r="N21" s="5"/>
      <c r="O21" s="5"/>
      <c r="P21" s="5"/>
      <c r="Q21" s="5"/>
      <c r="R21" s="5"/>
      <c r="S21" s="5"/>
      <c r="T21" s="5"/>
      <c r="U21" s="5"/>
      <c r="V21" s="5"/>
      <c r="W21" s="5"/>
      <c r="X21" s="5"/>
      <c r="Y21" s="5"/>
      <c r="Z21" s="5"/>
    </row>
    <row r="22" ht="12.75" customHeight="1">
      <c r="A22" s="3"/>
      <c r="B22" s="5"/>
      <c r="C22" s="5"/>
      <c r="D22" s="5"/>
      <c r="E22" s="5"/>
      <c r="F22" s="5"/>
      <c r="G22" s="5"/>
      <c r="H22" s="5"/>
      <c r="I22" s="5"/>
      <c r="J22" s="5"/>
      <c r="K22" s="5"/>
      <c r="L22" s="5"/>
      <c r="M22" s="5"/>
      <c r="N22" s="5"/>
      <c r="O22" s="5"/>
      <c r="P22" s="5"/>
      <c r="Q22" s="5"/>
      <c r="R22" s="5"/>
      <c r="S22" s="5"/>
      <c r="T22" s="5"/>
      <c r="U22" s="5"/>
      <c r="V22" s="5"/>
      <c r="W22" s="5"/>
      <c r="X22" s="5"/>
      <c r="Y22" s="5"/>
      <c r="Z22" s="5"/>
    </row>
    <row r="23" ht="12.75" customHeight="1">
      <c r="A23" s="3"/>
      <c r="B23" s="5"/>
      <c r="C23" s="5"/>
      <c r="D23" s="5"/>
      <c r="E23" s="5"/>
      <c r="F23" s="5"/>
      <c r="G23" s="5"/>
      <c r="H23" s="5"/>
      <c r="I23" s="5"/>
      <c r="J23" s="5"/>
      <c r="K23" s="5"/>
      <c r="L23" s="5"/>
      <c r="M23" s="5"/>
      <c r="N23" s="5"/>
      <c r="O23" s="5"/>
      <c r="P23" s="5"/>
      <c r="Q23" s="5"/>
      <c r="R23" s="5"/>
      <c r="S23" s="5"/>
      <c r="T23" s="5"/>
      <c r="U23" s="5"/>
      <c r="V23" s="5"/>
      <c r="W23" s="5"/>
      <c r="X23" s="5"/>
      <c r="Y23" s="5"/>
      <c r="Z23" s="5"/>
    </row>
    <row r="24" ht="12.75" customHeight="1">
      <c r="A24" s="3"/>
      <c r="B24" s="5"/>
      <c r="C24" s="5"/>
      <c r="D24" s="5"/>
      <c r="E24" s="5"/>
      <c r="F24" s="5"/>
      <c r="G24" s="5"/>
      <c r="H24" s="5"/>
      <c r="I24" s="5"/>
      <c r="J24" s="5"/>
      <c r="K24" s="5"/>
      <c r="L24" s="5"/>
      <c r="M24" s="5"/>
      <c r="N24" s="5"/>
      <c r="O24" s="5"/>
      <c r="P24" s="5"/>
      <c r="Q24" s="5"/>
      <c r="R24" s="5"/>
      <c r="S24" s="5"/>
      <c r="T24" s="5"/>
      <c r="U24" s="5"/>
      <c r="V24" s="5"/>
      <c r="W24" s="5"/>
      <c r="X24" s="5"/>
      <c r="Y24" s="5"/>
      <c r="Z24" s="5"/>
    </row>
    <row r="25" ht="12.75" customHeight="1">
      <c r="A25" s="3"/>
      <c r="B25" s="5"/>
      <c r="C25" s="5"/>
      <c r="D25" s="5"/>
      <c r="E25" s="5"/>
      <c r="F25" s="5"/>
      <c r="G25" s="5"/>
      <c r="H25" s="5"/>
      <c r="I25" s="5"/>
      <c r="J25" s="5"/>
      <c r="K25" s="5"/>
      <c r="L25" s="5"/>
      <c r="M25" s="5"/>
      <c r="N25" s="5"/>
      <c r="O25" s="5"/>
      <c r="P25" s="5"/>
      <c r="Q25" s="5"/>
      <c r="R25" s="5"/>
      <c r="S25" s="5"/>
      <c r="T25" s="5"/>
      <c r="U25" s="5"/>
      <c r="V25" s="5"/>
      <c r="W25" s="5"/>
      <c r="X25" s="5"/>
      <c r="Y25" s="5"/>
      <c r="Z25" s="5"/>
    </row>
    <row r="26" ht="12.75" customHeight="1">
      <c r="A26" s="3"/>
      <c r="B26" s="5"/>
      <c r="C26" s="5"/>
      <c r="D26" s="5"/>
      <c r="E26" s="5"/>
      <c r="F26" s="5"/>
      <c r="G26" s="5"/>
      <c r="H26" s="5"/>
      <c r="I26" s="5"/>
      <c r="J26" s="5"/>
      <c r="K26" s="5"/>
      <c r="L26" s="5"/>
      <c r="M26" s="5"/>
      <c r="N26" s="5"/>
      <c r="O26" s="5"/>
      <c r="P26" s="5"/>
      <c r="Q26" s="5"/>
      <c r="R26" s="5"/>
      <c r="S26" s="5"/>
      <c r="T26" s="5"/>
      <c r="U26" s="5"/>
      <c r="V26" s="5"/>
      <c r="W26" s="5"/>
      <c r="X26" s="5"/>
      <c r="Y26" s="5"/>
      <c r="Z26" s="5"/>
    </row>
    <row r="27" ht="12.75" customHeight="1">
      <c r="A27" s="3"/>
      <c r="B27" s="5"/>
      <c r="C27" s="5"/>
      <c r="D27" s="5"/>
      <c r="E27" s="5"/>
      <c r="F27" s="5"/>
      <c r="G27" s="5"/>
      <c r="H27" s="5"/>
      <c r="I27" s="5"/>
      <c r="J27" s="5"/>
      <c r="K27" s="5"/>
      <c r="L27" s="5"/>
      <c r="M27" s="5"/>
      <c r="N27" s="5"/>
      <c r="O27" s="5"/>
      <c r="P27" s="5"/>
      <c r="Q27" s="5"/>
      <c r="R27" s="5"/>
      <c r="S27" s="5"/>
      <c r="T27" s="5"/>
      <c r="U27" s="5"/>
      <c r="V27" s="5"/>
      <c r="W27" s="5"/>
      <c r="X27" s="5"/>
      <c r="Y27" s="5"/>
      <c r="Z27" s="5"/>
    </row>
    <row r="28" ht="12.75" customHeight="1">
      <c r="A28" s="3"/>
      <c r="B28" s="5"/>
      <c r="C28" s="5"/>
      <c r="D28" s="5"/>
      <c r="E28" s="5"/>
      <c r="F28" s="5"/>
      <c r="G28" s="5"/>
      <c r="H28" s="5"/>
      <c r="I28" s="5"/>
      <c r="J28" s="5"/>
      <c r="K28" s="5"/>
      <c r="L28" s="5"/>
      <c r="M28" s="5"/>
      <c r="N28" s="5"/>
      <c r="O28" s="5"/>
      <c r="P28" s="5"/>
      <c r="Q28" s="5"/>
      <c r="R28" s="5"/>
      <c r="S28" s="5"/>
      <c r="T28" s="5"/>
      <c r="U28" s="5"/>
      <c r="V28" s="5"/>
      <c r="W28" s="5"/>
      <c r="X28" s="5"/>
      <c r="Y28" s="5"/>
      <c r="Z28" s="5"/>
    </row>
    <row r="29" ht="12.75" customHeight="1">
      <c r="A29" s="3"/>
      <c r="B29" s="5"/>
      <c r="C29" s="5"/>
      <c r="D29" s="5"/>
      <c r="E29" s="5"/>
      <c r="F29" s="5"/>
      <c r="G29" s="5"/>
      <c r="H29" s="5"/>
      <c r="I29" s="5"/>
      <c r="J29" s="5"/>
      <c r="K29" s="5"/>
      <c r="L29" s="5"/>
      <c r="M29" s="5"/>
      <c r="N29" s="5"/>
      <c r="O29" s="5"/>
      <c r="P29" s="5"/>
      <c r="Q29" s="5"/>
      <c r="R29" s="5"/>
      <c r="S29" s="5"/>
      <c r="T29" s="5"/>
      <c r="U29" s="5"/>
      <c r="V29" s="5"/>
      <c r="W29" s="5"/>
      <c r="X29" s="5"/>
      <c r="Y29" s="5"/>
      <c r="Z29" s="5"/>
    </row>
    <row r="30" ht="12.75" customHeight="1">
      <c r="A30" s="3"/>
      <c r="B30" s="5"/>
      <c r="C30" s="5"/>
      <c r="D30" s="5"/>
      <c r="E30" s="5"/>
      <c r="F30" s="5"/>
      <c r="G30" s="5"/>
      <c r="H30" s="5"/>
      <c r="I30" s="5"/>
      <c r="J30" s="5"/>
      <c r="K30" s="5"/>
      <c r="L30" s="5"/>
      <c r="M30" s="5"/>
      <c r="N30" s="5"/>
      <c r="O30" s="5"/>
      <c r="P30" s="5"/>
      <c r="Q30" s="5"/>
      <c r="R30" s="5"/>
      <c r="S30" s="5"/>
      <c r="T30" s="5"/>
      <c r="U30" s="5"/>
      <c r="V30" s="5"/>
      <c r="W30" s="5"/>
      <c r="X30" s="5"/>
      <c r="Y30" s="5"/>
      <c r="Z30" s="5"/>
    </row>
    <row r="31" ht="12.75" customHeight="1">
      <c r="A31" s="3"/>
      <c r="B31" s="5"/>
      <c r="C31" s="5"/>
      <c r="D31" s="5"/>
      <c r="E31" s="5"/>
      <c r="F31" s="5"/>
      <c r="G31" s="5"/>
      <c r="H31" s="5"/>
      <c r="I31" s="5"/>
      <c r="J31" s="5"/>
      <c r="K31" s="5"/>
      <c r="L31" s="5"/>
      <c r="M31" s="5"/>
      <c r="N31" s="5"/>
      <c r="O31" s="5"/>
      <c r="P31" s="5"/>
      <c r="Q31" s="5"/>
      <c r="R31" s="5"/>
      <c r="S31" s="5"/>
      <c r="T31" s="5"/>
      <c r="U31" s="5"/>
      <c r="V31" s="5"/>
      <c r="W31" s="5"/>
      <c r="X31" s="5"/>
      <c r="Y31" s="5"/>
      <c r="Z31" s="5"/>
    </row>
    <row r="32" ht="12.75" customHeight="1">
      <c r="A32" s="3"/>
      <c r="B32" s="5"/>
      <c r="C32" s="5"/>
      <c r="D32" s="5"/>
      <c r="E32" s="5"/>
      <c r="F32" s="5"/>
      <c r="G32" s="5"/>
      <c r="H32" s="5"/>
      <c r="I32" s="5"/>
      <c r="J32" s="5"/>
      <c r="K32" s="5"/>
      <c r="L32" s="5"/>
      <c r="M32" s="5"/>
      <c r="N32" s="5"/>
      <c r="O32" s="5"/>
      <c r="P32" s="5"/>
      <c r="Q32" s="5"/>
      <c r="R32" s="5"/>
      <c r="S32" s="5"/>
      <c r="T32" s="5"/>
      <c r="U32" s="5"/>
      <c r="V32" s="5"/>
      <c r="W32" s="5"/>
      <c r="X32" s="5"/>
      <c r="Y32" s="5"/>
      <c r="Z32" s="5"/>
    </row>
    <row r="33" ht="12.75" customHeight="1">
      <c r="A33" s="3"/>
      <c r="B33" s="5"/>
      <c r="C33" s="5"/>
      <c r="D33" s="5"/>
      <c r="E33" s="5"/>
      <c r="F33" s="5"/>
      <c r="G33" s="5"/>
      <c r="H33" s="5"/>
      <c r="I33" s="5"/>
      <c r="J33" s="5"/>
      <c r="K33" s="5"/>
      <c r="L33" s="5"/>
      <c r="M33" s="5"/>
      <c r="N33" s="5"/>
      <c r="O33" s="5"/>
      <c r="P33" s="5"/>
      <c r="Q33" s="5"/>
      <c r="R33" s="5"/>
      <c r="S33" s="5"/>
      <c r="T33" s="5"/>
      <c r="U33" s="5"/>
      <c r="V33" s="5"/>
      <c r="W33" s="5"/>
      <c r="X33" s="5"/>
      <c r="Y33" s="5"/>
      <c r="Z33" s="5"/>
    </row>
    <row r="34" ht="12.75" customHeight="1">
      <c r="A34" s="3"/>
      <c r="B34" s="5"/>
      <c r="C34" s="5"/>
      <c r="D34" s="5"/>
      <c r="E34" s="5"/>
      <c r="F34" s="5"/>
      <c r="G34" s="5"/>
      <c r="H34" s="5"/>
      <c r="I34" s="5"/>
      <c r="J34" s="5"/>
      <c r="K34" s="5"/>
      <c r="L34" s="5"/>
      <c r="M34" s="5"/>
      <c r="N34" s="5"/>
      <c r="O34" s="5"/>
      <c r="P34" s="5"/>
      <c r="Q34" s="5"/>
      <c r="R34" s="5"/>
      <c r="S34" s="5"/>
      <c r="T34" s="5"/>
      <c r="U34" s="5"/>
      <c r="V34" s="5"/>
      <c r="W34" s="5"/>
      <c r="X34" s="5"/>
      <c r="Y34" s="5"/>
      <c r="Z34" s="5"/>
    </row>
    <row r="35" ht="12.75" customHeight="1">
      <c r="A35" s="3"/>
      <c r="B35" s="5"/>
      <c r="C35" s="5"/>
      <c r="D35" s="5"/>
      <c r="E35" s="5"/>
      <c r="F35" s="5"/>
      <c r="G35" s="5"/>
      <c r="H35" s="5"/>
      <c r="I35" s="5"/>
      <c r="J35" s="5"/>
      <c r="K35" s="5"/>
      <c r="L35" s="5"/>
      <c r="M35" s="5"/>
      <c r="N35" s="5"/>
      <c r="O35" s="5"/>
      <c r="P35" s="5"/>
      <c r="Q35" s="5"/>
      <c r="R35" s="5"/>
      <c r="S35" s="5"/>
      <c r="T35" s="5"/>
      <c r="U35" s="5"/>
      <c r="V35" s="5"/>
      <c r="W35" s="5"/>
      <c r="X35" s="5"/>
      <c r="Y35" s="5"/>
      <c r="Z35" s="5"/>
    </row>
    <row r="36" ht="12.75" customHeight="1">
      <c r="A36" s="3"/>
      <c r="B36" s="5"/>
      <c r="C36" s="5"/>
      <c r="D36" s="5"/>
      <c r="E36" s="5"/>
      <c r="F36" s="5"/>
      <c r="G36" s="5"/>
      <c r="H36" s="5"/>
      <c r="I36" s="5"/>
      <c r="J36" s="5"/>
      <c r="K36" s="5"/>
      <c r="L36" s="5"/>
      <c r="M36" s="5"/>
      <c r="N36" s="5"/>
      <c r="O36" s="5"/>
      <c r="P36" s="5"/>
      <c r="Q36" s="5"/>
      <c r="R36" s="5"/>
      <c r="S36" s="5"/>
      <c r="T36" s="5"/>
      <c r="U36" s="5"/>
      <c r="V36" s="5"/>
      <c r="W36" s="5"/>
      <c r="X36" s="5"/>
      <c r="Y36" s="5"/>
      <c r="Z36" s="5"/>
    </row>
    <row r="37" ht="12.75" customHeight="1">
      <c r="A37" s="3"/>
      <c r="B37" s="5"/>
      <c r="C37" s="5"/>
      <c r="D37" s="5"/>
      <c r="E37" s="5"/>
      <c r="F37" s="5"/>
      <c r="G37" s="5"/>
      <c r="H37" s="5"/>
      <c r="I37" s="5"/>
      <c r="J37" s="5"/>
      <c r="K37" s="5"/>
      <c r="L37" s="5"/>
      <c r="M37" s="5"/>
      <c r="N37" s="5"/>
      <c r="O37" s="5"/>
      <c r="P37" s="5"/>
      <c r="Q37" s="5"/>
      <c r="R37" s="5"/>
      <c r="S37" s="5"/>
      <c r="T37" s="5"/>
      <c r="U37" s="5"/>
      <c r="V37" s="5"/>
      <c r="W37" s="5"/>
      <c r="X37" s="5"/>
      <c r="Y37" s="5"/>
      <c r="Z37" s="5"/>
    </row>
    <row r="38" ht="12.75" customHeight="1">
      <c r="A38" s="3"/>
      <c r="B38" s="5"/>
      <c r="C38" s="5"/>
      <c r="D38" s="5"/>
      <c r="E38" s="5"/>
      <c r="F38" s="5"/>
      <c r="G38" s="5"/>
      <c r="H38" s="5"/>
      <c r="I38" s="5"/>
      <c r="J38" s="5"/>
      <c r="K38" s="5"/>
      <c r="L38" s="5"/>
      <c r="M38" s="5"/>
      <c r="N38" s="5"/>
      <c r="O38" s="5"/>
      <c r="P38" s="5"/>
      <c r="Q38" s="5"/>
      <c r="R38" s="5"/>
      <c r="S38" s="5"/>
      <c r="T38" s="5"/>
      <c r="U38" s="5"/>
      <c r="V38" s="5"/>
      <c r="W38" s="5"/>
      <c r="X38" s="5"/>
      <c r="Y38" s="5"/>
      <c r="Z38" s="5"/>
    </row>
    <row r="39" ht="12.75" customHeight="1">
      <c r="A39" s="3"/>
      <c r="B39" s="5"/>
      <c r="C39" s="5"/>
      <c r="D39" s="5"/>
      <c r="E39" s="5"/>
      <c r="F39" s="5"/>
      <c r="G39" s="5"/>
      <c r="H39" s="5"/>
      <c r="I39" s="5"/>
      <c r="J39" s="5"/>
      <c r="K39" s="5"/>
      <c r="L39" s="5"/>
      <c r="M39" s="5"/>
      <c r="N39" s="5"/>
      <c r="O39" s="5"/>
      <c r="P39" s="5"/>
      <c r="Q39" s="5"/>
      <c r="R39" s="5"/>
      <c r="S39" s="5"/>
      <c r="T39" s="5"/>
      <c r="U39" s="5"/>
      <c r="V39" s="5"/>
      <c r="W39" s="5"/>
      <c r="X39" s="5"/>
      <c r="Y39" s="5"/>
      <c r="Z39" s="5"/>
    </row>
    <row r="40" ht="12.75" customHeight="1">
      <c r="A40" s="3"/>
      <c r="B40" s="5"/>
      <c r="C40" s="5"/>
      <c r="D40" s="5"/>
      <c r="E40" s="5"/>
      <c r="F40" s="5"/>
      <c r="G40" s="5"/>
      <c r="H40" s="5"/>
      <c r="I40" s="5"/>
      <c r="J40" s="5"/>
      <c r="K40" s="5"/>
      <c r="L40" s="5"/>
      <c r="M40" s="5"/>
      <c r="N40" s="5"/>
      <c r="O40" s="5"/>
      <c r="P40" s="5"/>
      <c r="Q40" s="5"/>
      <c r="R40" s="5"/>
      <c r="S40" s="5"/>
      <c r="T40" s="5"/>
      <c r="U40" s="5"/>
      <c r="V40" s="5"/>
      <c r="W40" s="5"/>
      <c r="X40" s="5"/>
      <c r="Y40" s="5"/>
      <c r="Z40" s="5"/>
    </row>
    <row r="41" ht="12.75" customHeight="1">
      <c r="A41" s="3"/>
      <c r="B41" s="5"/>
      <c r="C41" s="5"/>
      <c r="D41" s="5"/>
      <c r="E41" s="5"/>
      <c r="F41" s="5"/>
      <c r="G41" s="5"/>
      <c r="H41" s="5"/>
      <c r="I41" s="5"/>
      <c r="J41" s="5"/>
      <c r="K41" s="5"/>
      <c r="L41" s="5"/>
      <c r="M41" s="5"/>
      <c r="N41" s="5"/>
      <c r="O41" s="5"/>
      <c r="P41" s="5"/>
      <c r="Q41" s="5"/>
      <c r="R41" s="5"/>
      <c r="S41" s="5"/>
      <c r="T41" s="5"/>
      <c r="U41" s="5"/>
      <c r="V41" s="5"/>
      <c r="W41" s="5"/>
      <c r="X41" s="5"/>
      <c r="Y41" s="5"/>
      <c r="Z41" s="5"/>
    </row>
    <row r="42" ht="12.75" customHeight="1">
      <c r="A42" s="3"/>
      <c r="B42" s="5"/>
      <c r="C42" s="5"/>
      <c r="D42" s="5"/>
      <c r="E42" s="5"/>
      <c r="F42" s="5"/>
      <c r="G42" s="5"/>
      <c r="H42" s="5"/>
      <c r="I42" s="5"/>
      <c r="J42" s="5"/>
      <c r="K42" s="5"/>
      <c r="L42" s="5"/>
      <c r="M42" s="5"/>
      <c r="N42" s="5"/>
      <c r="O42" s="5"/>
      <c r="P42" s="5"/>
      <c r="Q42" s="5"/>
      <c r="R42" s="5"/>
      <c r="S42" s="5"/>
      <c r="T42" s="5"/>
      <c r="U42" s="5"/>
      <c r="V42" s="5"/>
      <c r="W42" s="5"/>
      <c r="X42" s="5"/>
      <c r="Y42" s="5"/>
      <c r="Z42" s="5"/>
    </row>
    <row r="43" ht="12.75" customHeight="1">
      <c r="A43" s="3"/>
      <c r="B43" s="5"/>
      <c r="C43" s="5"/>
      <c r="D43" s="5"/>
      <c r="E43" s="5"/>
      <c r="F43" s="5"/>
      <c r="G43" s="5"/>
      <c r="H43" s="5"/>
      <c r="I43" s="5"/>
      <c r="J43" s="5"/>
      <c r="K43" s="5"/>
      <c r="L43" s="5"/>
      <c r="M43" s="5"/>
      <c r="N43" s="5"/>
      <c r="O43" s="5"/>
      <c r="P43" s="5"/>
      <c r="Q43" s="5"/>
      <c r="R43" s="5"/>
      <c r="S43" s="5"/>
      <c r="T43" s="5"/>
      <c r="U43" s="5"/>
      <c r="V43" s="5"/>
      <c r="W43" s="5"/>
      <c r="X43" s="5"/>
      <c r="Y43" s="5"/>
      <c r="Z43" s="5"/>
    </row>
    <row r="44" ht="12.75" customHeight="1">
      <c r="A44" s="3"/>
      <c r="B44" s="5"/>
      <c r="C44" s="5"/>
      <c r="D44" s="5"/>
      <c r="E44" s="5"/>
      <c r="F44" s="5"/>
      <c r="G44" s="5"/>
      <c r="H44" s="5"/>
      <c r="I44" s="5"/>
      <c r="J44" s="5"/>
      <c r="K44" s="5"/>
      <c r="L44" s="5"/>
      <c r="M44" s="5"/>
      <c r="N44" s="5"/>
      <c r="O44" s="5"/>
      <c r="P44" s="5"/>
      <c r="Q44" s="5"/>
      <c r="R44" s="5"/>
      <c r="S44" s="5"/>
      <c r="T44" s="5"/>
      <c r="U44" s="5"/>
      <c r="V44" s="5"/>
      <c r="W44" s="5"/>
      <c r="X44" s="5"/>
      <c r="Y44" s="5"/>
      <c r="Z44" s="5"/>
    </row>
    <row r="45" ht="12.75" customHeight="1">
      <c r="A45" s="3"/>
      <c r="B45" s="5"/>
      <c r="C45" s="5"/>
      <c r="D45" s="5"/>
      <c r="E45" s="5"/>
      <c r="F45" s="5"/>
      <c r="G45" s="5"/>
      <c r="H45" s="5"/>
      <c r="I45" s="5"/>
      <c r="J45" s="5"/>
      <c r="K45" s="5"/>
      <c r="L45" s="5"/>
      <c r="M45" s="5"/>
      <c r="N45" s="5"/>
      <c r="O45" s="5"/>
      <c r="P45" s="5"/>
      <c r="Q45" s="5"/>
      <c r="R45" s="5"/>
      <c r="S45" s="5"/>
      <c r="T45" s="5"/>
      <c r="U45" s="5"/>
      <c r="V45" s="5"/>
      <c r="W45" s="5"/>
      <c r="X45" s="5"/>
      <c r="Y45" s="5"/>
      <c r="Z45" s="5"/>
    </row>
    <row r="46" ht="12.75" customHeight="1">
      <c r="A46" s="3"/>
      <c r="B46" s="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3"/>
      <c r="B47" s="5"/>
      <c r="C47" s="5"/>
      <c r="D47" s="5"/>
      <c r="E47" s="5"/>
      <c r="F47" s="5"/>
      <c r="G47" s="5"/>
      <c r="H47" s="5"/>
      <c r="I47" s="5"/>
      <c r="J47" s="5"/>
      <c r="K47" s="5"/>
      <c r="L47" s="5"/>
      <c r="M47" s="5"/>
      <c r="N47" s="5"/>
      <c r="O47" s="5"/>
      <c r="P47" s="5"/>
      <c r="Q47" s="5"/>
      <c r="R47" s="5"/>
      <c r="S47" s="5"/>
      <c r="T47" s="5"/>
      <c r="U47" s="5"/>
      <c r="V47" s="5"/>
      <c r="W47" s="5"/>
      <c r="X47" s="5"/>
      <c r="Y47" s="5"/>
      <c r="Z47" s="5"/>
    </row>
    <row r="48" ht="12.75" customHeight="1">
      <c r="A48" s="3"/>
      <c r="B48" s="5"/>
      <c r="C48" s="5"/>
      <c r="D48" s="5"/>
      <c r="E48" s="5"/>
      <c r="F48" s="5"/>
      <c r="G48" s="5"/>
      <c r="H48" s="5"/>
      <c r="I48" s="5"/>
      <c r="J48" s="5"/>
      <c r="K48" s="5"/>
      <c r="L48" s="5"/>
      <c r="M48" s="5"/>
      <c r="N48" s="5"/>
      <c r="O48" s="5"/>
      <c r="P48" s="5"/>
      <c r="Q48" s="5"/>
      <c r="R48" s="5"/>
      <c r="S48" s="5"/>
      <c r="T48" s="5"/>
      <c r="U48" s="5"/>
      <c r="V48" s="5"/>
      <c r="W48" s="5"/>
      <c r="X48" s="5"/>
      <c r="Y48" s="5"/>
      <c r="Z48" s="5"/>
    </row>
    <row r="49" ht="12.75" customHeight="1">
      <c r="A49" s="3"/>
      <c r="B49" s="5"/>
      <c r="C49" s="5"/>
      <c r="D49" s="5"/>
      <c r="E49" s="5"/>
      <c r="F49" s="5"/>
      <c r="G49" s="5"/>
      <c r="H49" s="5"/>
      <c r="I49" s="5"/>
      <c r="J49" s="5"/>
      <c r="K49" s="5"/>
      <c r="L49" s="5"/>
      <c r="M49" s="5"/>
      <c r="N49" s="5"/>
      <c r="O49" s="5"/>
      <c r="P49" s="5"/>
      <c r="Q49" s="5"/>
      <c r="R49" s="5"/>
      <c r="S49" s="5"/>
      <c r="T49" s="5"/>
      <c r="U49" s="5"/>
      <c r="V49" s="5"/>
      <c r="W49" s="5"/>
      <c r="X49" s="5"/>
      <c r="Y49" s="5"/>
      <c r="Z49" s="5"/>
    </row>
    <row r="50" ht="12.75" customHeight="1">
      <c r="A50" s="3"/>
      <c r="B50" s="5"/>
      <c r="C50" s="5"/>
      <c r="D50" s="5"/>
      <c r="E50" s="5"/>
      <c r="F50" s="5"/>
      <c r="G50" s="5"/>
      <c r="H50" s="5"/>
      <c r="I50" s="5"/>
      <c r="J50" s="5"/>
      <c r="K50" s="5"/>
      <c r="L50" s="5"/>
      <c r="M50" s="5"/>
      <c r="N50" s="5"/>
      <c r="O50" s="5"/>
      <c r="P50" s="5"/>
      <c r="Q50" s="5"/>
      <c r="R50" s="5"/>
      <c r="S50" s="5"/>
      <c r="T50" s="5"/>
      <c r="U50" s="5"/>
      <c r="V50" s="5"/>
      <c r="W50" s="5"/>
      <c r="X50" s="5"/>
      <c r="Y50" s="5"/>
      <c r="Z50" s="5"/>
    </row>
    <row r="51" ht="12.75" customHeight="1">
      <c r="A51" s="3"/>
      <c r="B51" s="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3"/>
      <c r="B52" s="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3"/>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3"/>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3"/>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3"/>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3"/>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3"/>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3"/>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3"/>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3"/>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3"/>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3"/>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3"/>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3"/>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3"/>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3"/>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3"/>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3"/>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3"/>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3"/>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3"/>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3"/>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3"/>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3"/>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3"/>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3"/>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3"/>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3"/>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3"/>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3"/>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3"/>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3"/>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3"/>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3"/>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3"/>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3"/>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3"/>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3"/>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3"/>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3"/>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3"/>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3"/>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3"/>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3"/>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3"/>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3"/>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3"/>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3"/>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3"/>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3"/>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3"/>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3"/>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3"/>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3"/>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3"/>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3"/>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3"/>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3"/>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3"/>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3"/>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3"/>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3"/>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3"/>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3"/>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3"/>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3"/>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3"/>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3"/>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3"/>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3"/>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3"/>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3"/>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3"/>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3"/>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3"/>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3"/>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3"/>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3"/>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3"/>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3"/>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3"/>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3"/>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3"/>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3"/>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3"/>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3"/>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3"/>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3"/>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3"/>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3"/>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3"/>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3"/>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3"/>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3"/>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3"/>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3"/>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3"/>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3"/>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3"/>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3"/>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3"/>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3"/>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3"/>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3"/>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3"/>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3"/>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3"/>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3"/>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3"/>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3"/>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3"/>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3"/>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3"/>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3"/>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3"/>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3"/>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3"/>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3"/>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3"/>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3"/>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3"/>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3"/>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3"/>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3"/>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3"/>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3"/>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3"/>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3"/>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3"/>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3"/>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3"/>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3"/>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3"/>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3"/>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3"/>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3"/>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3"/>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3"/>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3"/>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3"/>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3"/>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3"/>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3"/>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3"/>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3"/>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3"/>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3"/>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3"/>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3"/>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3"/>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3"/>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3"/>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3"/>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3"/>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3"/>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3"/>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3"/>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3"/>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3"/>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3"/>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3"/>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3"/>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3"/>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3"/>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3"/>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3"/>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3"/>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3"/>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3"/>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F2"/>
    <mergeCell ref="B4:D4"/>
    <mergeCell ref="B5:D5"/>
    <mergeCell ref="B6:D6"/>
  </mergeCells>
  <printOptions/>
  <pageMargins bottom="0.75" footer="0.0" header="0.0" left="0.7" right="0.7" top="0.75"/>
  <pageSetup orientation="landscape"/>
  <headerFooter>
    <oddFooter>&amp;L 02ae-BM/PM/HDCV/FSOFT v2/1&amp;CInternal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13"/>
    <col customWidth="1" min="2" max="2" width="14.88"/>
    <col customWidth="1" min="3" max="3" width="19.75"/>
    <col customWidth="1" min="4" max="4" width="28.13"/>
    <col customWidth="1" min="5" max="5" width="21.0"/>
    <col customWidth="1" min="6" max="6" width="32.13"/>
    <col customWidth="1" min="7" max="7" width="41.88"/>
    <col customWidth="1" min="8" max="8" width="51.38"/>
    <col customWidth="1" min="9" max="26" width="10.0"/>
  </cols>
  <sheetData>
    <row r="1" ht="12.75" customHeight="1">
      <c r="A1" s="28"/>
      <c r="B1" s="28"/>
      <c r="C1" s="28"/>
      <c r="D1" s="30"/>
      <c r="E1" s="32"/>
      <c r="F1" s="30"/>
      <c r="G1" s="30"/>
      <c r="H1" s="30"/>
      <c r="I1" s="17"/>
      <c r="J1" s="17"/>
      <c r="K1" s="17"/>
      <c r="L1" s="17"/>
      <c r="M1" s="17"/>
      <c r="N1" s="17"/>
      <c r="O1" s="17"/>
      <c r="P1" s="17"/>
      <c r="Q1" s="17"/>
      <c r="R1" s="17"/>
      <c r="S1" s="17"/>
      <c r="T1" s="17"/>
      <c r="U1" s="17"/>
      <c r="V1" s="17"/>
      <c r="W1" s="17"/>
      <c r="X1" s="17"/>
      <c r="Y1" s="17"/>
      <c r="Z1" s="17"/>
    </row>
    <row r="2" ht="24.75" customHeight="1">
      <c r="A2" s="28"/>
      <c r="B2" s="28"/>
      <c r="C2" s="28"/>
      <c r="D2" s="30"/>
      <c r="E2" s="36" t="s">
        <v>30</v>
      </c>
      <c r="F2" s="36"/>
      <c r="G2" s="38"/>
      <c r="H2" s="30"/>
      <c r="I2" s="17"/>
      <c r="J2" s="17"/>
      <c r="K2" s="17"/>
      <c r="L2" s="17"/>
      <c r="M2" s="17"/>
      <c r="N2" s="17"/>
      <c r="O2" s="17"/>
      <c r="P2" s="17"/>
      <c r="Q2" s="17"/>
      <c r="R2" s="17"/>
      <c r="S2" s="17"/>
      <c r="T2" s="17"/>
      <c r="U2" s="17"/>
      <c r="V2" s="17"/>
      <c r="W2" s="17"/>
      <c r="X2" s="17"/>
      <c r="Y2" s="17"/>
      <c r="Z2" s="17"/>
    </row>
    <row r="3" ht="13.5" customHeight="1">
      <c r="A3" s="28"/>
      <c r="B3" s="28"/>
      <c r="C3" s="28"/>
      <c r="D3" s="30"/>
      <c r="E3" s="32"/>
      <c r="F3" s="41"/>
      <c r="G3" s="41"/>
      <c r="H3" s="30"/>
      <c r="I3" s="17"/>
      <c r="J3" s="17"/>
      <c r="K3" s="17"/>
      <c r="L3" s="17"/>
      <c r="M3" s="17"/>
      <c r="N3" s="17"/>
      <c r="O3" s="17"/>
      <c r="P3" s="17"/>
      <c r="Q3" s="17"/>
      <c r="R3" s="17"/>
      <c r="S3" s="17"/>
      <c r="T3" s="17"/>
      <c r="U3" s="17"/>
      <c r="V3" s="17"/>
      <c r="W3" s="17"/>
      <c r="X3" s="17"/>
      <c r="Y3" s="17"/>
      <c r="Z3" s="17"/>
    </row>
    <row r="4" ht="14.25" customHeight="1">
      <c r="A4" s="46" t="s">
        <v>9</v>
      </c>
      <c r="B4" s="12"/>
      <c r="C4" s="12"/>
      <c r="D4" s="12"/>
      <c r="E4" s="49" t="str">
        <f>Cover!B4</f>
        <v>FSCM – Short Shelf-Life FMCG Supply Chain Management</v>
      </c>
      <c r="F4" s="12"/>
      <c r="G4" s="12"/>
      <c r="H4" s="13"/>
      <c r="I4" s="17"/>
      <c r="J4" s="17"/>
      <c r="K4" s="17"/>
      <c r="L4" s="17"/>
      <c r="M4" s="17"/>
      <c r="N4" s="17"/>
      <c r="O4" s="17"/>
      <c r="P4" s="17"/>
      <c r="Q4" s="17"/>
      <c r="R4" s="17"/>
      <c r="S4" s="17"/>
      <c r="T4" s="17"/>
      <c r="U4" s="17"/>
      <c r="V4" s="17"/>
      <c r="W4" s="17"/>
      <c r="X4" s="17"/>
      <c r="Y4" s="17"/>
      <c r="Z4" s="17"/>
    </row>
    <row r="5" ht="14.25" customHeight="1">
      <c r="A5" s="46" t="s">
        <v>14</v>
      </c>
      <c r="B5" s="12"/>
      <c r="C5" s="12"/>
      <c r="D5" s="12"/>
      <c r="E5" s="49" t="str">
        <f>Cover!B5</f>
        <v>FA26SE083</v>
      </c>
      <c r="F5" s="12"/>
      <c r="G5" s="12"/>
      <c r="H5" s="13"/>
      <c r="I5" s="17"/>
      <c r="J5" s="17"/>
      <c r="K5" s="17"/>
      <c r="L5" s="17"/>
      <c r="M5" s="17"/>
      <c r="N5" s="17"/>
      <c r="O5" s="17"/>
      <c r="P5" s="17"/>
      <c r="Q5" s="17"/>
      <c r="R5" s="17"/>
      <c r="S5" s="17"/>
      <c r="T5" s="17"/>
      <c r="U5" s="17"/>
      <c r="V5" s="17"/>
      <c r="W5" s="17"/>
      <c r="X5" s="17"/>
      <c r="Y5" s="17"/>
      <c r="Z5" s="17"/>
    </row>
    <row r="6" ht="14.25" customHeight="1">
      <c r="A6" s="51" t="s">
        <v>64</v>
      </c>
      <c r="B6" s="12"/>
      <c r="C6" s="12"/>
      <c r="D6" s="13"/>
      <c r="E6" s="52" t="s">
        <v>65</v>
      </c>
      <c r="F6" s="53"/>
      <c r="G6" s="53"/>
      <c r="H6" s="54"/>
      <c r="I6" s="17"/>
      <c r="J6" s="17"/>
      <c r="K6" s="17"/>
      <c r="L6" s="17"/>
      <c r="M6" s="17"/>
      <c r="N6" s="17"/>
      <c r="O6" s="17"/>
      <c r="P6" s="17"/>
      <c r="Q6" s="17"/>
      <c r="R6" s="17"/>
      <c r="S6" s="17"/>
      <c r="T6" s="17"/>
      <c r="U6" s="17"/>
      <c r="V6" s="17"/>
      <c r="W6" s="17"/>
      <c r="X6" s="17"/>
      <c r="Y6" s="17"/>
      <c r="Z6" s="17"/>
    </row>
    <row r="7" ht="12.75" customHeight="1">
      <c r="A7" s="55" t="s">
        <v>66</v>
      </c>
      <c r="B7" s="12"/>
      <c r="C7" s="12"/>
      <c r="D7" s="13"/>
      <c r="E7" s="56" t="s">
        <v>67</v>
      </c>
      <c r="F7" s="12"/>
      <c r="G7" s="12"/>
      <c r="H7" s="13"/>
      <c r="I7" s="57"/>
      <c r="J7" s="57"/>
      <c r="K7" s="57"/>
      <c r="L7" s="57"/>
      <c r="M7" s="57"/>
      <c r="N7" s="57"/>
      <c r="O7" s="57"/>
      <c r="P7" s="57"/>
      <c r="Q7" s="57"/>
      <c r="R7" s="57"/>
      <c r="S7" s="57"/>
      <c r="T7" s="57"/>
      <c r="U7" s="57"/>
      <c r="V7" s="57"/>
      <c r="W7" s="57"/>
      <c r="X7" s="57"/>
      <c r="Y7" s="57"/>
      <c r="Z7" s="57"/>
    </row>
    <row r="8" ht="12.75" customHeight="1">
      <c r="A8" s="58"/>
      <c r="B8" s="58"/>
      <c r="C8" s="58"/>
      <c r="D8" s="17"/>
      <c r="E8" s="57"/>
      <c r="F8" s="17"/>
      <c r="G8" s="17"/>
      <c r="H8" s="17"/>
      <c r="I8" s="17"/>
      <c r="J8" s="17"/>
      <c r="K8" s="17"/>
      <c r="L8" s="17"/>
      <c r="M8" s="17"/>
      <c r="N8" s="17"/>
      <c r="O8" s="17"/>
      <c r="P8" s="17"/>
      <c r="Q8" s="17"/>
      <c r="R8" s="17"/>
      <c r="S8" s="17"/>
      <c r="T8" s="17"/>
      <c r="U8" s="17"/>
      <c r="V8" s="17"/>
      <c r="W8" s="17"/>
      <c r="X8" s="17"/>
      <c r="Y8" s="17"/>
      <c r="Z8" s="17"/>
    </row>
    <row r="9" ht="12.75" customHeight="1">
      <c r="A9" s="59"/>
      <c r="B9" s="59"/>
      <c r="C9" s="59"/>
      <c r="D9" s="60"/>
      <c r="E9" s="61"/>
      <c r="F9" s="60"/>
      <c r="G9" s="60"/>
      <c r="H9" s="60"/>
      <c r="I9" s="62"/>
      <c r="J9" s="62"/>
      <c r="K9" s="62"/>
      <c r="L9" s="62"/>
      <c r="M9" s="62"/>
      <c r="N9" s="62"/>
      <c r="O9" s="62"/>
      <c r="P9" s="62"/>
      <c r="Q9" s="62"/>
      <c r="R9" s="62"/>
      <c r="S9" s="62"/>
      <c r="T9" s="62"/>
      <c r="U9" s="62"/>
      <c r="V9" s="62"/>
      <c r="W9" s="62"/>
      <c r="X9" s="62"/>
      <c r="Y9" s="62"/>
      <c r="Z9" s="62"/>
    </row>
    <row r="10" ht="24.0" customHeight="1">
      <c r="A10" s="63" t="s">
        <v>68</v>
      </c>
      <c r="B10" s="64" t="s">
        <v>69</v>
      </c>
      <c r="C10" s="63" t="s">
        <v>70</v>
      </c>
      <c r="D10" s="65" t="s">
        <v>71</v>
      </c>
      <c r="E10" s="66" t="s">
        <v>72</v>
      </c>
      <c r="F10" s="65" t="s">
        <v>73</v>
      </c>
      <c r="G10" s="65" t="s">
        <v>74</v>
      </c>
      <c r="H10" s="65" t="s">
        <v>75</v>
      </c>
      <c r="I10" s="67"/>
      <c r="J10" s="68"/>
      <c r="K10" s="68"/>
      <c r="L10" s="68"/>
      <c r="M10" s="68"/>
      <c r="N10" s="68"/>
      <c r="O10" s="68"/>
      <c r="P10" s="68"/>
      <c r="Q10" s="68"/>
      <c r="R10" s="68"/>
      <c r="S10" s="68"/>
      <c r="T10" s="68"/>
      <c r="U10" s="68"/>
      <c r="V10" s="68"/>
      <c r="W10" s="68"/>
      <c r="X10" s="68"/>
      <c r="Y10" s="68"/>
      <c r="Z10" s="68"/>
    </row>
    <row r="11" ht="13.5" customHeight="1">
      <c r="A11" s="69">
        <v>1.0</v>
      </c>
      <c r="B11" s="70" t="s">
        <v>78</v>
      </c>
      <c r="C11" s="70" t="s">
        <v>80</v>
      </c>
      <c r="D11" s="71" t="s">
        <v>81</v>
      </c>
      <c r="E11" s="72" t="s">
        <v>82</v>
      </c>
      <c r="F11" s="73" t="s">
        <v>84</v>
      </c>
      <c r="G11" s="74" t="s">
        <v>87</v>
      </c>
      <c r="H11" s="75" t="s">
        <v>88</v>
      </c>
      <c r="I11" s="76"/>
      <c r="J11" s="17"/>
      <c r="K11" s="17"/>
      <c r="L11" s="17"/>
      <c r="M11" s="17"/>
      <c r="N11" s="17"/>
      <c r="O11" s="17"/>
      <c r="P11" s="17"/>
      <c r="Q11" s="17"/>
      <c r="R11" s="17"/>
      <c r="S11" s="17"/>
      <c r="T11" s="17"/>
      <c r="U11" s="17"/>
      <c r="V11" s="17"/>
      <c r="W11" s="17"/>
      <c r="X11" s="17"/>
      <c r="Y11" s="17"/>
      <c r="Z11" s="17"/>
    </row>
    <row r="12" ht="13.5" customHeight="1">
      <c r="A12" s="69">
        <v>2.0</v>
      </c>
      <c r="B12" s="70" t="s">
        <v>92</v>
      </c>
      <c r="C12" s="70" t="s">
        <v>93</v>
      </c>
      <c r="D12" s="71" t="s">
        <v>94</v>
      </c>
      <c r="E12" s="72" t="s">
        <v>96</v>
      </c>
      <c r="F12" s="73" t="s">
        <v>97</v>
      </c>
      <c r="G12" s="74" t="s">
        <v>99</v>
      </c>
      <c r="H12" s="75" t="s">
        <v>88</v>
      </c>
      <c r="I12" s="76"/>
      <c r="J12" s="17"/>
      <c r="K12" s="17"/>
      <c r="L12" s="17"/>
      <c r="M12" s="17"/>
      <c r="N12" s="17"/>
      <c r="O12" s="17"/>
      <c r="P12" s="17"/>
      <c r="Q12" s="17"/>
      <c r="R12" s="17"/>
      <c r="S12" s="17"/>
      <c r="T12" s="17"/>
      <c r="U12" s="17"/>
      <c r="V12" s="17"/>
      <c r="W12" s="17"/>
      <c r="X12" s="17"/>
      <c r="Y12" s="17"/>
      <c r="Z12" s="17"/>
    </row>
    <row r="13" ht="13.5" customHeight="1">
      <c r="A13" s="69">
        <v>3.0</v>
      </c>
      <c r="B13" s="70" t="s">
        <v>101</v>
      </c>
      <c r="C13" s="70" t="s">
        <v>102</v>
      </c>
      <c r="D13" s="71" t="s">
        <v>103</v>
      </c>
      <c r="E13" s="72" t="s">
        <v>104</v>
      </c>
      <c r="F13" s="73" t="s">
        <v>105</v>
      </c>
      <c r="G13" s="74" t="s">
        <v>106</v>
      </c>
      <c r="H13" s="75" t="s">
        <v>88</v>
      </c>
      <c r="I13" s="76"/>
      <c r="J13" s="17"/>
      <c r="K13" s="17"/>
      <c r="L13" s="17"/>
      <c r="M13" s="17"/>
      <c r="N13" s="17"/>
      <c r="O13" s="17"/>
      <c r="P13" s="17"/>
      <c r="Q13" s="17"/>
      <c r="R13" s="17"/>
      <c r="S13" s="17"/>
      <c r="T13" s="17"/>
      <c r="U13" s="17"/>
      <c r="V13" s="17"/>
      <c r="W13" s="17"/>
      <c r="X13" s="17"/>
      <c r="Y13" s="17"/>
      <c r="Z13" s="17"/>
    </row>
    <row r="14" ht="13.5" customHeight="1">
      <c r="A14" s="69">
        <v>4.0</v>
      </c>
      <c r="B14" s="70" t="s">
        <v>108</v>
      </c>
      <c r="C14" s="70" t="s">
        <v>110</v>
      </c>
      <c r="D14" s="71" t="s">
        <v>111</v>
      </c>
      <c r="E14" s="72" t="s">
        <v>112</v>
      </c>
      <c r="F14" s="73" t="s">
        <v>113</v>
      </c>
      <c r="G14" s="74" t="s">
        <v>114</v>
      </c>
      <c r="H14" s="75" t="s">
        <v>88</v>
      </c>
      <c r="I14" s="76"/>
      <c r="J14" s="17"/>
      <c r="K14" s="17"/>
      <c r="L14" s="17"/>
      <c r="M14" s="17"/>
      <c r="N14" s="17"/>
      <c r="O14" s="17"/>
      <c r="P14" s="17"/>
      <c r="Q14" s="17"/>
      <c r="R14" s="17"/>
      <c r="S14" s="17"/>
      <c r="T14" s="17"/>
      <c r="U14" s="17"/>
      <c r="V14" s="17"/>
      <c r="W14" s="17"/>
      <c r="X14" s="17"/>
      <c r="Y14" s="17"/>
      <c r="Z14" s="17"/>
    </row>
    <row r="15" ht="13.5" customHeight="1">
      <c r="A15" s="69">
        <v>5.0</v>
      </c>
      <c r="B15" s="70" t="s">
        <v>116</v>
      </c>
      <c r="C15" s="70" t="s">
        <v>117</v>
      </c>
      <c r="D15" s="71" t="s">
        <v>119</v>
      </c>
      <c r="E15" s="72" t="s">
        <v>120</v>
      </c>
      <c r="F15" s="73" t="s">
        <v>121</v>
      </c>
      <c r="G15" s="77" t="s">
        <v>123</v>
      </c>
      <c r="H15" s="75" t="s">
        <v>88</v>
      </c>
      <c r="I15" s="76"/>
      <c r="J15" s="17"/>
      <c r="K15" s="17"/>
      <c r="L15" s="17"/>
      <c r="M15" s="17"/>
      <c r="N15" s="17"/>
      <c r="O15" s="17"/>
      <c r="P15" s="17"/>
      <c r="Q15" s="17"/>
      <c r="R15" s="17"/>
      <c r="S15" s="17"/>
      <c r="T15" s="17"/>
      <c r="U15" s="17"/>
      <c r="V15" s="17"/>
      <c r="W15" s="17"/>
      <c r="X15" s="17"/>
      <c r="Y15" s="17"/>
      <c r="Z15" s="17"/>
    </row>
    <row r="16" ht="12.75" customHeight="1">
      <c r="A16" s="69">
        <v>6.0</v>
      </c>
      <c r="B16" s="70" t="s">
        <v>126</v>
      </c>
      <c r="C16" s="70" t="s">
        <v>127</v>
      </c>
      <c r="D16" s="71" t="s">
        <v>129</v>
      </c>
      <c r="E16" s="72" t="s">
        <v>130</v>
      </c>
      <c r="F16" s="73" t="s">
        <v>131</v>
      </c>
      <c r="G16" s="77" t="s">
        <v>132</v>
      </c>
      <c r="H16" s="75" t="s">
        <v>88</v>
      </c>
      <c r="I16" s="76"/>
      <c r="J16" s="17"/>
      <c r="K16" s="17"/>
      <c r="L16" s="17"/>
      <c r="M16" s="17"/>
      <c r="N16" s="17"/>
      <c r="O16" s="17"/>
      <c r="P16" s="17"/>
      <c r="Q16" s="17"/>
      <c r="R16" s="17"/>
      <c r="S16" s="17"/>
      <c r="T16" s="17"/>
      <c r="U16" s="17"/>
      <c r="V16" s="17"/>
      <c r="W16" s="17"/>
      <c r="X16" s="17"/>
      <c r="Y16" s="17"/>
      <c r="Z16" s="17"/>
    </row>
    <row r="17" ht="12.75" customHeight="1">
      <c r="A17" s="69">
        <v>7.0</v>
      </c>
      <c r="B17" s="70" t="s">
        <v>133</v>
      </c>
      <c r="C17" s="70" t="s">
        <v>134</v>
      </c>
      <c r="D17" s="71" t="s">
        <v>135</v>
      </c>
      <c r="E17" s="72" t="s">
        <v>136</v>
      </c>
      <c r="F17" s="73" t="s">
        <v>137</v>
      </c>
      <c r="G17" s="77" t="s">
        <v>138</v>
      </c>
      <c r="H17" s="75" t="s">
        <v>88</v>
      </c>
      <c r="I17" s="76"/>
      <c r="J17" s="17"/>
      <c r="K17" s="17"/>
      <c r="L17" s="17"/>
      <c r="M17" s="17"/>
      <c r="N17" s="17"/>
      <c r="O17" s="17"/>
      <c r="P17" s="17"/>
      <c r="Q17" s="17"/>
      <c r="R17" s="17"/>
      <c r="S17" s="17"/>
      <c r="T17" s="17"/>
      <c r="U17" s="17"/>
      <c r="V17" s="17"/>
      <c r="W17" s="17"/>
      <c r="X17" s="17"/>
      <c r="Y17" s="17"/>
      <c r="Z17" s="17"/>
    </row>
    <row r="18" ht="12.75" customHeight="1">
      <c r="A18" s="69">
        <v>8.0</v>
      </c>
      <c r="B18" s="70" t="s">
        <v>139</v>
      </c>
      <c r="C18" s="70" t="s">
        <v>140</v>
      </c>
      <c r="D18" s="71" t="s">
        <v>141</v>
      </c>
      <c r="E18" s="72" t="s">
        <v>142</v>
      </c>
      <c r="F18" s="73" t="s">
        <v>143</v>
      </c>
      <c r="G18" s="77" t="s">
        <v>144</v>
      </c>
      <c r="H18" s="75" t="s">
        <v>88</v>
      </c>
      <c r="I18" s="76"/>
      <c r="J18" s="17"/>
      <c r="K18" s="17"/>
      <c r="L18" s="17"/>
      <c r="M18" s="17"/>
      <c r="N18" s="17"/>
      <c r="O18" s="17"/>
      <c r="P18" s="17"/>
      <c r="Q18" s="17"/>
      <c r="R18" s="17"/>
      <c r="S18" s="17"/>
      <c r="T18" s="17"/>
      <c r="U18" s="17"/>
      <c r="V18" s="17"/>
      <c r="W18" s="17"/>
      <c r="X18" s="17"/>
      <c r="Y18" s="17"/>
      <c r="Z18" s="17"/>
    </row>
    <row r="19" ht="12.75" customHeight="1">
      <c r="A19" s="69">
        <v>9.0</v>
      </c>
      <c r="B19" s="70" t="s">
        <v>145</v>
      </c>
      <c r="C19" s="70" t="s">
        <v>146</v>
      </c>
      <c r="D19" s="71" t="s">
        <v>147</v>
      </c>
      <c r="E19" s="72" t="s">
        <v>148</v>
      </c>
      <c r="F19" s="73" t="s">
        <v>149</v>
      </c>
      <c r="G19" s="77" t="s">
        <v>151</v>
      </c>
      <c r="H19" s="75" t="s">
        <v>88</v>
      </c>
      <c r="I19" s="76"/>
      <c r="J19" s="17"/>
      <c r="K19" s="17"/>
      <c r="L19" s="17"/>
      <c r="M19" s="17"/>
      <c r="N19" s="17"/>
      <c r="O19" s="17"/>
      <c r="P19" s="17"/>
      <c r="Q19" s="17"/>
      <c r="R19" s="17"/>
      <c r="S19" s="17"/>
      <c r="T19" s="17"/>
      <c r="U19" s="17"/>
      <c r="V19" s="17"/>
      <c r="W19" s="17"/>
      <c r="X19" s="17"/>
      <c r="Y19" s="17"/>
      <c r="Z19" s="17"/>
    </row>
    <row r="20" ht="12.75" customHeight="1">
      <c r="A20" s="69">
        <v>10.0</v>
      </c>
      <c r="B20" s="70" t="s">
        <v>152</v>
      </c>
      <c r="C20" s="70" t="s">
        <v>153</v>
      </c>
      <c r="D20" s="71" t="s">
        <v>154</v>
      </c>
      <c r="E20" s="72" t="s">
        <v>155</v>
      </c>
      <c r="F20" s="73" t="s">
        <v>156</v>
      </c>
      <c r="G20" s="77" t="s">
        <v>157</v>
      </c>
      <c r="H20" s="75" t="s">
        <v>88</v>
      </c>
      <c r="I20" s="76"/>
      <c r="J20" s="17"/>
      <c r="K20" s="17"/>
      <c r="L20" s="17"/>
      <c r="M20" s="17"/>
      <c r="N20" s="17"/>
      <c r="O20" s="17"/>
      <c r="P20" s="17"/>
      <c r="Q20" s="17"/>
      <c r="R20" s="17"/>
      <c r="S20" s="17"/>
      <c r="T20" s="17"/>
      <c r="U20" s="17"/>
      <c r="V20" s="17"/>
      <c r="W20" s="17"/>
      <c r="X20" s="17"/>
      <c r="Y20" s="17"/>
      <c r="Z20" s="17"/>
    </row>
    <row r="21" ht="12.75" customHeight="1">
      <c r="A21" s="69">
        <v>11.0</v>
      </c>
      <c r="B21" s="70" t="s">
        <v>158</v>
      </c>
      <c r="C21" s="70" t="s">
        <v>159</v>
      </c>
      <c r="D21" s="71" t="s">
        <v>160</v>
      </c>
      <c r="E21" s="72" t="s">
        <v>161</v>
      </c>
      <c r="F21" s="73" t="s">
        <v>162</v>
      </c>
      <c r="G21" s="80" t="s">
        <v>163</v>
      </c>
      <c r="H21" s="75" t="s">
        <v>88</v>
      </c>
      <c r="I21" s="76"/>
      <c r="J21" s="17"/>
      <c r="K21" s="17"/>
      <c r="L21" s="17"/>
      <c r="M21" s="17"/>
      <c r="N21" s="17"/>
      <c r="O21" s="17"/>
      <c r="P21" s="17"/>
      <c r="Q21" s="17"/>
      <c r="R21" s="17"/>
      <c r="S21" s="17"/>
      <c r="T21" s="17"/>
      <c r="U21" s="17"/>
      <c r="V21" s="17"/>
      <c r="W21" s="17"/>
      <c r="X21" s="17"/>
      <c r="Y21" s="17"/>
      <c r="Z21" s="17"/>
    </row>
    <row r="22" ht="12.75" customHeight="1">
      <c r="A22" s="69">
        <v>12.0</v>
      </c>
      <c r="B22" s="70" t="s">
        <v>164</v>
      </c>
      <c r="C22" s="70" t="s">
        <v>165</v>
      </c>
      <c r="D22" s="71" t="s">
        <v>166</v>
      </c>
      <c r="E22" s="72" t="s">
        <v>167</v>
      </c>
      <c r="F22" s="73" t="s">
        <v>168</v>
      </c>
      <c r="G22" s="80" t="s">
        <v>169</v>
      </c>
      <c r="H22" s="75" t="s">
        <v>88</v>
      </c>
      <c r="I22" s="76"/>
      <c r="J22" s="17"/>
      <c r="K22" s="17"/>
      <c r="L22" s="17"/>
      <c r="M22" s="17"/>
      <c r="N22" s="17"/>
      <c r="O22" s="17"/>
      <c r="P22" s="17"/>
      <c r="Q22" s="17"/>
      <c r="R22" s="17"/>
      <c r="S22" s="17"/>
      <c r="T22" s="17"/>
      <c r="U22" s="17"/>
      <c r="V22" s="17"/>
      <c r="W22" s="17"/>
      <c r="X22" s="17"/>
      <c r="Y22" s="17"/>
      <c r="Z22" s="17"/>
    </row>
    <row r="23" ht="12.75" customHeight="1">
      <c r="A23" s="69">
        <v>13.0</v>
      </c>
      <c r="B23" s="70" t="s">
        <v>170</v>
      </c>
      <c r="C23" s="70" t="s">
        <v>171</v>
      </c>
      <c r="D23" s="71" t="s">
        <v>172</v>
      </c>
      <c r="E23" s="72" t="s">
        <v>173</v>
      </c>
      <c r="F23" s="73" t="s">
        <v>174</v>
      </c>
      <c r="G23" s="80" t="s">
        <v>175</v>
      </c>
      <c r="H23" s="75" t="s">
        <v>88</v>
      </c>
      <c r="I23" s="76"/>
      <c r="J23" s="17"/>
      <c r="K23" s="17"/>
      <c r="L23" s="17"/>
      <c r="M23" s="17"/>
      <c r="N23" s="17"/>
      <c r="O23" s="17"/>
      <c r="P23" s="17"/>
      <c r="Q23" s="17"/>
      <c r="R23" s="17"/>
      <c r="S23" s="17"/>
      <c r="T23" s="17"/>
      <c r="U23" s="17"/>
      <c r="V23" s="17"/>
      <c r="W23" s="17"/>
      <c r="X23" s="17"/>
      <c r="Y23" s="17"/>
      <c r="Z23" s="17"/>
    </row>
    <row r="24" ht="12.75" customHeight="1">
      <c r="A24" s="69">
        <v>14.0</v>
      </c>
      <c r="B24" s="70" t="s">
        <v>176</v>
      </c>
      <c r="C24" s="70" t="s">
        <v>177</v>
      </c>
      <c r="D24" s="71" t="s">
        <v>178</v>
      </c>
      <c r="E24" s="72" t="s">
        <v>179</v>
      </c>
      <c r="F24" s="73" t="s">
        <v>180</v>
      </c>
      <c r="G24" s="80" t="s">
        <v>181</v>
      </c>
      <c r="H24" s="75" t="s">
        <v>88</v>
      </c>
      <c r="I24" s="76"/>
      <c r="J24" s="17"/>
      <c r="K24" s="17"/>
      <c r="L24" s="17"/>
      <c r="M24" s="17"/>
      <c r="N24" s="17"/>
      <c r="O24" s="17"/>
      <c r="P24" s="17"/>
      <c r="Q24" s="17"/>
      <c r="R24" s="17"/>
      <c r="S24" s="17"/>
      <c r="T24" s="17"/>
      <c r="U24" s="17"/>
      <c r="V24" s="17"/>
      <c r="W24" s="17"/>
      <c r="X24" s="17"/>
      <c r="Y24" s="17"/>
      <c r="Z24" s="17"/>
    </row>
    <row r="25" ht="12.75" customHeight="1">
      <c r="A25" s="69">
        <v>15.0</v>
      </c>
      <c r="B25" s="70" t="s">
        <v>182</v>
      </c>
      <c r="C25" s="70" t="s">
        <v>184</v>
      </c>
      <c r="D25" s="71" t="s">
        <v>185</v>
      </c>
      <c r="E25" s="72" t="s">
        <v>186</v>
      </c>
      <c r="F25" s="73" t="s">
        <v>187</v>
      </c>
      <c r="G25" s="80" t="s">
        <v>188</v>
      </c>
      <c r="H25" s="75" t="s">
        <v>88</v>
      </c>
      <c r="I25" s="76"/>
      <c r="J25" s="17"/>
      <c r="K25" s="17"/>
      <c r="L25" s="17"/>
      <c r="M25" s="17"/>
      <c r="N25" s="17"/>
      <c r="O25" s="17"/>
      <c r="P25" s="17"/>
      <c r="Q25" s="17"/>
      <c r="R25" s="17"/>
      <c r="S25" s="17"/>
      <c r="T25" s="17"/>
      <c r="U25" s="17"/>
      <c r="V25" s="17"/>
      <c r="W25" s="17"/>
      <c r="X25" s="17"/>
      <c r="Y25" s="17"/>
      <c r="Z25" s="17"/>
    </row>
    <row r="26" ht="12.75" customHeight="1">
      <c r="A26" s="69">
        <v>16.0</v>
      </c>
      <c r="B26" s="70" t="s">
        <v>189</v>
      </c>
      <c r="C26" s="70" t="s">
        <v>190</v>
      </c>
      <c r="D26" s="71" t="s">
        <v>191</v>
      </c>
      <c r="E26" s="72" t="s">
        <v>192</v>
      </c>
      <c r="F26" s="73" t="s">
        <v>193</v>
      </c>
      <c r="G26" s="74" t="s">
        <v>194</v>
      </c>
      <c r="H26" s="75" t="s">
        <v>88</v>
      </c>
      <c r="I26" s="76"/>
      <c r="J26" s="17"/>
      <c r="K26" s="17"/>
      <c r="L26" s="17"/>
      <c r="M26" s="17"/>
      <c r="N26" s="17"/>
      <c r="O26" s="17"/>
      <c r="P26" s="17"/>
      <c r="Q26" s="17"/>
      <c r="R26" s="17"/>
      <c r="S26" s="17"/>
      <c r="T26" s="17"/>
      <c r="U26" s="17"/>
      <c r="V26" s="17"/>
      <c r="W26" s="17"/>
      <c r="X26" s="17"/>
      <c r="Y26" s="17"/>
      <c r="Z26" s="17"/>
    </row>
    <row r="27" ht="12.75" customHeight="1">
      <c r="A27" s="69">
        <v>17.0</v>
      </c>
      <c r="B27" s="70" t="s">
        <v>196</v>
      </c>
      <c r="C27" s="70" t="s">
        <v>197</v>
      </c>
      <c r="D27" s="71" t="s">
        <v>198</v>
      </c>
      <c r="E27" s="72" t="s">
        <v>199</v>
      </c>
      <c r="F27" s="73" t="s">
        <v>200</v>
      </c>
      <c r="G27" s="77" t="s">
        <v>201</v>
      </c>
      <c r="H27" s="75" t="s">
        <v>88</v>
      </c>
      <c r="I27" s="76"/>
      <c r="J27" s="17"/>
      <c r="K27" s="17"/>
      <c r="L27" s="17"/>
      <c r="M27" s="17"/>
      <c r="N27" s="17"/>
      <c r="O27" s="17"/>
      <c r="P27" s="17"/>
      <c r="Q27" s="17"/>
      <c r="R27" s="17"/>
      <c r="S27" s="17"/>
      <c r="T27" s="17"/>
      <c r="U27" s="17"/>
      <c r="V27" s="17"/>
      <c r="W27" s="17"/>
      <c r="X27" s="17"/>
      <c r="Y27" s="17"/>
      <c r="Z27" s="17"/>
    </row>
    <row r="28" ht="12.75" customHeight="1">
      <c r="A28" s="69">
        <v>18.0</v>
      </c>
      <c r="B28" s="70" t="s">
        <v>202</v>
      </c>
      <c r="C28" s="70" t="s">
        <v>203</v>
      </c>
      <c r="D28" s="71" t="s">
        <v>205</v>
      </c>
      <c r="E28" s="72" t="s">
        <v>206</v>
      </c>
      <c r="F28" s="73" t="s">
        <v>207</v>
      </c>
      <c r="G28" s="77" t="s">
        <v>210</v>
      </c>
      <c r="H28" s="75" t="s">
        <v>88</v>
      </c>
      <c r="I28" s="76"/>
      <c r="J28" s="17"/>
      <c r="K28" s="17"/>
      <c r="L28" s="17"/>
      <c r="M28" s="17"/>
      <c r="N28" s="17"/>
      <c r="O28" s="17"/>
      <c r="P28" s="17"/>
      <c r="Q28" s="17"/>
      <c r="R28" s="17"/>
      <c r="S28" s="17"/>
      <c r="T28" s="17"/>
      <c r="U28" s="17"/>
      <c r="V28" s="17"/>
      <c r="W28" s="17"/>
      <c r="X28" s="17"/>
      <c r="Y28" s="17"/>
      <c r="Z28" s="17"/>
    </row>
    <row r="29" ht="12.75" customHeight="1">
      <c r="A29" s="69">
        <v>19.0</v>
      </c>
      <c r="B29" s="70" t="s">
        <v>211</v>
      </c>
      <c r="C29" s="70" t="s">
        <v>212</v>
      </c>
      <c r="D29" s="71" t="s">
        <v>213</v>
      </c>
      <c r="E29" s="72" t="s">
        <v>214</v>
      </c>
      <c r="F29" s="73" t="s">
        <v>215</v>
      </c>
      <c r="G29" s="77" t="s">
        <v>223</v>
      </c>
      <c r="H29" s="75" t="s">
        <v>88</v>
      </c>
      <c r="I29" s="76"/>
      <c r="J29" s="17"/>
      <c r="K29" s="17"/>
      <c r="L29" s="17"/>
      <c r="M29" s="17"/>
      <c r="N29" s="17"/>
      <c r="O29" s="17"/>
      <c r="P29" s="17"/>
      <c r="Q29" s="17"/>
      <c r="R29" s="17"/>
      <c r="S29" s="17"/>
      <c r="T29" s="17"/>
      <c r="U29" s="17"/>
      <c r="V29" s="17"/>
      <c r="W29" s="17"/>
      <c r="X29" s="17"/>
      <c r="Y29" s="17"/>
      <c r="Z29" s="17"/>
    </row>
    <row r="30" ht="12.75" customHeight="1">
      <c r="A30" s="69">
        <v>20.0</v>
      </c>
      <c r="B30" s="70" t="s">
        <v>224</v>
      </c>
      <c r="C30" s="70" t="s">
        <v>225</v>
      </c>
      <c r="D30" s="80" t="s">
        <v>226</v>
      </c>
      <c r="E30" s="72" t="s">
        <v>227</v>
      </c>
      <c r="F30" s="98" t="s">
        <v>228</v>
      </c>
      <c r="G30" s="74" t="s">
        <v>229</v>
      </c>
      <c r="H30" s="75" t="s">
        <v>88</v>
      </c>
      <c r="I30" s="76"/>
      <c r="J30" s="17"/>
      <c r="K30" s="17"/>
      <c r="L30" s="17"/>
      <c r="M30" s="17"/>
      <c r="N30" s="17"/>
      <c r="O30" s="17"/>
      <c r="P30" s="17"/>
      <c r="Q30" s="17"/>
      <c r="R30" s="17"/>
      <c r="S30" s="17"/>
      <c r="T30" s="17"/>
      <c r="U30" s="17"/>
      <c r="V30" s="17"/>
      <c r="W30" s="17"/>
      <c r="X30" s="17"/>
      <c r="Y30" s="17"/>
      <c r="Z30" s="17"/>
    </row>
    <row r="31" ht="12.75" customHeight="1">
      <c r="A31" s="69">
        <v>21.0</v>
      </c>
      <c r="B31" s="70" t="s">
        <v>230</v>
      </c>
      <c r="C31" s="70" t="s">
        <v>231</v>
      </c>
      <c r="D31" s="80" t="s">
        <v>232</v>
      </c>
      <c r="E31" s="72" t="s">
        <v>233</v>
      </c>
      <c r="F31" s="98" t="s">
        <v>234</v>
      </c>
      <c r="G31" s="74" t="s">
        <v>235</v>
      </c>
      <c r="H31" s="75" t="s">
        <v>88</v>
      </c>
      <c r="I31" s="76"/>
      <c r="J31" s="17"/>
      <c r="K31" s="17"/>
      <c r="L31" s="17"/>
      <c r="M31" s="17"/>
      <c r="N31" s="17"/>
      <c r="O31" s="17"/>
      <c r="P31" s="17"/>
      <c r="Q31" s="17"/>
      <c r="R31" s="17"/>
      <c r="S31" s="17"/>
      <c r="T31" s="17"/>
      <c r="U31" s="17"/>
      <c r="V31" s="17"/>
      <c r="W31" s="17"/>
      <c r="X31" s="17"/>
      <c r="Y31" s="17"/>
      <c r="Z31" s="17"/>
    </row>
    <row r="32" ht="12.75" customHeight="1">
      <c r="A32" s="69">
        <v>22.0</v>
      </c>
      <c r="B32" s="70" t="s">
        <v>236</v>
      </c>
      <c r="C32" s="70" t="s">
        <v>237</v>
      </c>
      <c r="D32" s="80" t="s">
        <v>238</v>
      </c>
      <c r="E32" s="72" t="s">
        <v>239</v>
      </c>
      <c r="F32" s="98" t="s">
        <v>240</v>
      </c>
      <c r="G32" s="74" t="s">
        <v>241</v>
      </c>
      <c r="H32" s="75" t="s">
        <v>88</v>
      </c>
      <c r="I32" s="76"/>
      <c r="J32" s="17"/>
      <c r="K32" s="17"/>
      <c r="L32" s="17"/>
      <c r="M32" s="17"/>
      <c r="N32" s="17"/>
      <c r="O32" s="17"/>
      <c r="P32" s="17"/>
      <c r="Q32" s="17"/>
      <c r="R32" s="17"/>
      <c r="S32" s="17"/>
      <c r="T32" s="17"/>
      <c r="U32" s="17"/>
      <c r="V32" s="17"/>
      <c r="W32" s="17"/>
      <c r="X32" s="17"/>
      <c r="Y32" s="17"/>
      <c r="Z32" s="17"/>
    </row>
    <row r="33" ht="12.75" customHeight="1">
      <c r="A33" s="69">
        <v>23.0</v>
      </c>
      <c r="B33" s="70" t="s">
        <v>242</v>
      </c>
      <c r="C33" s="70" t="s">
        <v>243</v>
      </c>
      <c r="D33" s="80" t="s">
        <v>244</v>
      </c>
      <c r="E33" s="72" t="s">
        <v>245</v>
      </c>
      <c r="F33" s="98" t="s">
        <v>246</v>
      </c>
      <c r="G33" s="77" t="s">
        <v>247</v>
      </c>
      <c r="H33" s="75" t="s">
        <v>88</v>
      </c>
      <c r="I33" s="76"/>
      <c r="J33" s="17"/>
      <c r="K33" s="17"/>
      <c r="L33" s="17"/>
      <c r="M33" s="17"/>
      <c r="N33" s="17"/>
      <c r="O33" s="17"/>
      <c r="P33" s="17"/>
      <c r="Q33" s="17"/>
      <c r="R33" s="17"/>
      <c r="S33" s="17"/>
      <c r="T33" s="17"/>
      <c r="U33" s="17"/>
      <c r="V33" s="17"/>
      <c r="W33" s="17"/>
      <c r="X33" s="17"/>
      <c r="Y33" s="17"/>
      <c r="Z33" s="17"/>
    </row>
    <row r="34" ht="12.75" customHeight="1">
      <c r="A34" s="69">
        <v>24.0</v>
      </c>
      <c r="B34" s="70" t="s">
        <v>248</v>
      </c>
      <c r="C34" s="70" t="s">
        <v>249</v>
      </c>
      <c r="D34" s="80" t="s">
        <v>250</v>
      </c>
      <c r="E34" s="72" t="s">
        <v>251</v>
      </c>
      <c r="F34" s="98" t="s">
        <v>252</v>
      </c>
      <c r="G34" s="77" t="s">
        <v>253</v>
      </c>
      <c r="H34" s="75" t="s">
        <v>88</v>
      </c>
      <c r="I34" s="76"/>
      <c r="J34" s="17"/>
      <c r="K34" s="17"/>
      <c r="L34" s="17"/>
      <c r="M34" s="17"/>
      <c r="N34" s="17"/>
      <c r="O34" s="17"/>
      <c r="P34" s="17"/>
      <c r="Q34" s="17"/>
      <c r="R34" s="17"/>
      <c r="S34" s="17"/>
      <c r="T34" s="17"/>
      <c r="U34" s="17"/>
      <c r="V34" s="17"/>
      <c r="W34" s="17"/>
      <c r="X34" s="17"/>
      <c r="Y34" s="17"/>
      <c r="Z34" s="17"/>
    </row>
    <row r="35" ht="12.75" customHeight="1">
      <c r="A35" s="69">
        <v>25.0</v>
      </c>
      <c r="B35" s="70" t="s">
        <v>254</v>
      </c>
      <c r="C35" s="70" t="s">
        <v>255</v>
      </c>
      <c r="D35" s="80" t="s">
        <v>256</v>
      </c>
      <c r="E35" s="72" t="s">
        <v>257</v>
      </c>
      <c r="F35" s="98" t="s">
        <v>258</v>
      </c>
      <c r="G35" s="77" t="s">
        <v>259</v>
      </c>
      <c r="H35" s="75" t="s">
        <v>88</v>
      </c>
      <c r="I35" s="76"/>
      <c r="J35" s="17"/>
      <c r="K35" s="17"/>
      <c r="L35" s="17"/>
      <c r="M35" s="17"/>
      <c r="N35" s="17"/>
      <c r="O35" s="17"/>
      <c r="P35" s="17"/>
      <c r="Q35" s="17"/>
      <c r="R35" s="17"/>
      <c r="S35" s="17"/>
      <c r="T35" s="17"/>
      <c r="U35" s="17"/>
      <c r="V35" s="17"/>
      <c r="W35" s="17"/>
      <c r="X35" s="17"/>
      <c r="Y35" s="17"/>
      <c r="Z35" s="17"/>
    </row>
    <row r="36" ht="12.75" customHeight="1">
      <c r="A36" s="69">
        <v>26.0</v>
      </c>
      <c r="B36" s="70" t="s">
        <v>260</v>
      </c>
      <c r="C36" s="70" t="s">
        <v>261</v>
      </c>
      <c r="D36" s="80" t="s">
        <v>262</v>
      </c>
      <c r="E36" s="72" t="s">
        <v>263</v>
      </c>
      <c r="F36" s="98" t="s">
        <v>264</v>
      </c>
      <c r="G36" s="74" t="s">
        <v>265</v>
      </c>
      <c r="H36" s="75" t="s">
        <v>88</v>
      </c>
      <c r="I36" s="76"/>
      <c r="J36" s="17"/>
      <c r="K36" s="17"/>
      <c r="L36" s="17"/>
      <c r="M36" s="17"/>
      <c r="N36" s="17"/>
      <c r="O36" s="17"/>
      <c r="P36" s="17"/>
      <c r="Q36" s="17"/>
      <c r="R36" s="17"/>
      <c r="S36" s="17"/>
      <c r="T36" s="17"/>
      <c r="U36" s="17"/>
      <c r="V36" s="17"/>
      <c r="W36" s="17"/>
      <c r="X36" s="17"/>
      <c r="Y36" s="17"/>
      <c r="Z36" s="17"/>
    </row>
    <row r="37" ht="12.75" customHeight="1">
      <c r="A37" s="69">
        <v>27.0</v>
      </c>
      <c r="B37" s="70" t="s">
        <v>266</v>
      </c>
      <c r="C37" s="70" t="s">
        <v>267</v>
      </c>
      <c r="D37" s="80" t="s">
        <v>268</v>
      </c>
      <c r="E37" s="72" t="s">
        <v>269</v>
      </c>
      <c r="F37" s="98" t="s">
        <v>270</v>
      </c>
      <c r="G37" s="74" t="s">
        <v>271</v>
      </c>
      <c r="H37" s="75" t="s">
        <v>88</v>
      </c>
      <c r="I37" s="76"/>
      <c r="J37" s="17"/>
      <c r="K37" s="17"/>
      <c r="L37" s="17"/>
      <c r="M37" s="17"/>
      <c r="N37" s="17"/>
      <c r="O37" s="17"/>
      <c r="P37" s="17"/>
      <c r="Q37" s="17"/>
      <c r="R37" s="17"/>
      <c r="S37" s="17"/>
      <c r="T37" s="17"/>
      <c r="U37" s="17"/>
      <c r="V37" s="17"/>
      <c r="W37" s="17"/>
      <c r="X37" s="17"/>
      <c r="Y37" s="17"/>
      <c r="Z37" s="17"/>
    </row>
    <row r="38" ht="12.75" customHeight="1">
      <c r="A38" s="69">
        <v>28.0</v>
      </c>
      <c r="B38" s="70" t="s">
        <v>272</v>
      </c>
      <c r="C38" s="70" t="s">
        <v>273</v>
      </c>
      <c r="D38" s="80" t="s">
        <v>274</v>
      </c>
      <c r="E38" s="72" t="s">
        <v>275</v>
      </c>
      <c r="F38" s="98" t="s">
        <v>276</v>
      </c>
      <c r="G38" s="74" t="s">
        <v>277</v>
      </c>
      <c r="H38" s="75" t="s">
        <v>88</v>
      </c>
      <c r="I38" s="76"/>
      <c r="J38" s="17"/>
      <c r="K38" s="17"/>
      <c r="L38" s="17"/>
      <c r="M38" s="17"/>
      <c r="N38" s="17"/>
      <c r="O38" s="17"/>
      <c r="P38" s="17"/>
      <c r="Q38" s="17"/>
      <c r="R38" s="17"/>
      <c r="S38" s="17"/>
      <c r="T38" s="17"/>
      <c r="U38" s="17"/>
      <c r="V38" s="17"/>
      <c r="W38" s="17"/>
      <c r="X38" s="17"/>
      <c r="Y38" s="17"/>
      <c r="Z38" s="17"/>
    </row>
    <row r="39" ht="12.75" customHeight="1">
      <c r="A39" s="69">
        <v>29.0</v>
      </c>
      <c r="B39" s="99" t="s">
        <v>278</v>
      </c>
      <c r="C39" s="99" t="s">
        <v>279</v>
      </c>
      <c r="D39" s="80" t="s">
        <v>280</v>
      </c>
      <c r="E39" s="72" t="s">
        <v>281</v>
      </c>
      <c r="F39" s="98" t="s">
        <v>282</v>
      </c>
      <c r="G39" s="74" t="s">
        <v>283</v>
      </c>
      <c r="H39" s="75" t="s">
        <v>88</v>
      </c>
      <c r="I39" s="76"/>
      <c r="J39" s="17"/>
      <c r="K39" s="17"/>
      <c r="L39" s="17"/>
      <c r="M39" s="17"/>
      <c r="N39" s="17"/>
      <c r="O39" s="17"/>
      <c r="P39" s="17"/>
      <c r="Q39" s="17"/>
      <c r="R39" s="17"/>
      <c r="S39" s="17"/>
      <c r="T39" s="17"/>
      <c r="U39" s="17"/>
      <c r="V39" s="17"/>
      <c r="W39" s="17"/>
      <c r="X39" s="17"/>
      <c r="Y39" s="17"/>
      <c r="Z39" s="17"/>
    </row>
    <row r="40" ht="12.75" customHeight="1">
      <c r="A40" s="69">
        <v>30.0</v>
      </c>
      <c r="B40" s="99" t="s">
        <v>284</v>
      </c>
      <c r="C40" s="99" t="s">
        <v>267</v>
      </c>
      <c r="D40" s="80" t="s">
        <v>285</v>
      </c>
      <c r="E40" s="72" t="s">
        <v>286</v>
      </c>
      <c r="F40" s="98" t="s">
        <v>287</v>
      </c>
      <c r="G40" s="74" t="s">
        <v>288</v>
      </c>
      <c r="H40" s="75" t="s">
        <v>88</v>
      </c>
      <c r="I40" s="76"/>
      <c r="J40" s="17"/>
      <c r="K40" s="17"/>
      <c r="L40" s="17"/>
      <c r="M40" s="17"/>
      <c r="N40" s="17"/>
      <c r="O40" s="17"/>
      <c r="P40" s="17"/>
      <c r="Q40" s="17"/>
      <c r="R40" s="17"/>
      <c r="S40" s="17"/>
      <c r="T40" s="17"/>
      <c r="U40" s="17"/>
      <c r="V40" s="17"/>
      <c r="W40" s="17"/>
      <c r="X40" s="17"/>
      <c r="Y40" s="17"/>
      <c r="Z40" s="17"/>
    </row>
    <row r="41" ht="12.75" customHeight="1">
      <c r="A41" s="69">
        <v>31.0</v>
      </c>
      <c r="B41" s="99" t="s">
        <v>289</v>
      </c>
      <c r="C41" s="99" t="s">
        <v>290</v>
      </c>
      <c r="D41" s="80" t="s">
        <v>291</v>
      </c>
      <c r="E41" s="72" t="s">
        <v>292</v>
      </c>
      <c r="F41" s="98" t="s">
        <v>293</v>
      </c>
      <c r="G41" s="80" t="s">
        <v>294</v>
      </c>
      <c r="H41" s="80" t="s">
        <v>88</v>
      </c>
      <c r="I41" s="76"/>
      <c r="J41" s="17"/>
      <c r="K41" s="17"/>
      <c r="L41" s="17"/>
      <c r="M41" s="17"/>
      <c r="N41" s="17"/>
      <c r="O41" s="17"/>
      <c r="P41" s="17"/>
      <c r="Q41" s="17"/>
      <c r="R41" s="17"/>
      <c r="S41" s="17"/>
      <c r="T41" s="17"/>
      <c r="U41" s="17"/>
      <c r="V41" s="17"/>
      <c r="W41" s="17"/>
      <c r="X41" s="17"/>
      <c r="Y41" s="17"/>
      <c r="Z41" s="17"/>
    </row>
    <row r="42" ht="12.75" customHeight="1">
      <c r="A42" s="69">
        <v>32.0</v>
      </c>
      <c r="B42" s="99" t="s">
        <v>295</v>
      </c>
      <c r="C42" s="99" t="s">
        <v>296</v>
      </c>
      <c r="D42" s="80" t="s">
        <v>297</v>
      </c>
      <c r="E42" s="72" t="s">
        <v>298</v>
      </c>
      <c r="F42" s="100" t="s">
        <v>299</v>
      </c>
      <c r="G42" s="80" t="s">
        <v>300</v>
      </c>
      <c r="H42" s="80" t="s">
        <v>88</v>
      </c>
      <c r="I42" s="76"/>
      <c r="J42" s="17"/>
      <c r="K42" s="17"/>
      <c r="L42" s="17"/>
      <c r="M42" s="17"/>
      <c r="N42" s="17"/>
      <c r="O42" s="17"/>
      <c r="P42" s="17"/>
      <c r="Q42" s="17"/>
      <c r="R42" s="17"/>
      <c r="S42" s="17"/>
      <c r="T42" s="17"/>
      <c r="U42" s="17"/>
      <c r="V42" s="17"/>
      <c r="W42" s="17"/>
      <c r="X42" s="17"/>
      <c r="Y42" s="17"/>
      <c r="Z42" s="17"/>
    </row>
    <row r="43" ht="12.75" customHeight="1">
      <c r="A43" s="69">
        <v>33.0</v>
      </c>
      <c r="B43" s="99" t="s">
        <v>301</v>
      </c>
      <c r="C43" s="99" t="s">
        <v>302</v>
      </c>
      <c r="D43" s="80" t="s">
        <v>303</v>
      </c>
      <c r="E43" s="72" t="s">
        <v>304</v>
      </c>
      <c r="F43" s="98" t="s">
        <v>305</v>
      </c>
      <c r="G43" s="80" t="s">
        <v>306</v>
      </c>
      <c r="H43" s="80" t="s">
        <v>88</v>
      </c>
      <c r="I43" s="76"/>
      <c r="J43" s="17"/>
      <c r="K43" s="17"/>
      <c r="L43" s="17"/>
      <c r="M43" s="17"/>
      <c r="N43" s="17"/>
      <c r="O43" s="17"/>
      <c r="P43" s="17"/>
      <c r="Q43" s="17"/>
      <c r="R43" s="17"/>
      <c r="S43" s="17"/>
      <c r="T43" s="17"/>
      <c r="U43" s="17"/>
      <c r="V43" s="17"/>
      <c r="W43" s="17"/>
      <c r="X43" s="17"/>
      <c r="Y43" s="17"/>
      <c r="Z43" s="17"/>
    </row>
    <row r="44" ht="12.75" customHeight="1">
      <c r="A44" s="69">
        <v>34.0</v>
      </c>
      <c r="B44" s="99" t="s">
        <v>307</v>
      </c>
      <c r="C44" s="99" t="s">
        <v>308</v>
      </c>
      <c r="D44" s="80" t="s">
        <v>309</v>
      </c>
      <c r="E44" s="72" t="s">
        <v>310</v>
      </c>
      <c r="F44" s="98" t="s">
        <v>311</v>
      </c>
      <c r="G44" s="80" t="s">
        <v>312</v>
      </c>
      <c r="H44" s="80" t="s">
        <v>88</v>
      </c>
      <c r="I44" s="76"/>
      <c r="J44" s="17"/>
      <c r="K44" s="17"/>
      <c r="L44" s="17"/>
      <c r="M44" s="17"/>
      <c r="N44" s="17"/>
      <c r="O44" s="17"/>
      <c r="P44" s="17"/>
      <c r="Q44" s="17"/>
      <c r="R44" s="17"/>
      <c r="S44" s="17"/>
      <c r="T44" s="17"/>
      <c r="U44" s="17"/>
      <c r="V44" s="17"/>
      <c r="W44" s="17"/>
      <c r="X44" s="17"/>
      <c r="Y44" s="17"/>
      <c r="Z44" s="17"/>
    </row>
    <row r="45" ht="12.75" customHeight="1">
      <c r="A45" s="69">
        <v>35.0</v>
      </c>
      <c r="B45" s="99" t="s">
        <v>313</v>
      </c>
      <c r="C45" s="99" t="s">
        <v>314</v>
      </c>
      <c r="D45" s="80" t="s">
        <v>315</v>
      </c>
      <c r="E45" s="72" t="s">
        <v>316</v>
      </c>
      <c r="F45" s="98" t="s">
        <v>317</v>
      </c>
      <c r="G45" s="80" t="s">
        <v>318</v>
      </c>
      <c r="H45" s="80" t="s">
        <v>88</v>
      </c>
      <c r="I45" s="76"/>
      <c r="J45" s="17"/>
      <c r="K45" s="17"/>
      <c r="L45" s="17"/>
      <c r="M45" s="17"/>
      <c r="N45" s="17"/>
      <c r="O45" s="17"/>
      <c r="P45" s="17"/>
      <c r="Q45" s="17"/>
      <c r="R45" s="17"/>
      <c r="S45" s="17"/>
      <c r="T45" s="17"/>
      <c r="U45" s="17"/>
      <c r="V45" s="17"/>
      <c r="W45" s="17"/>
      <c r="X45" s="17"/>
      <c r="Y45" s="17"/>
      <c r="Z45" s="17"/>
    </row>
    <row r="46" ht="12.75" customHeight="1">
      <c r="A46" s="69">
        <v>36.0</v>
      </c>
      <c r="B46" s="99" t="s">
        <v>319</v>
      </c>
      <c r="C46" s="99" t="s">
        <v>320</v>
      </c>
      <c r="D46" s="80" t="s">
        <v>321</v>
      </c>
      <c r="E46" s="72" t="s">
        <v>322</v>
      </c>
      <c r="F46" s="98" t="s">
        <v>323</v>
      </c>
      <c r="G46" s="80" t="s">
        <v>324</v>
      </c>
      <c r="H46" s="80" t="s">
        <v>88</v>
      </c>
      <c r="I46" s="76"/>
      <c r="J46" s="17"/>
      <c r="K46" s="17"/>
      <c r="L46" s="17"/>
      <c r="M46" s="17"/>
      <c r="N46" s="17"/>
      <c r="O46" s="17"/>
      <c r="P46" s="17"/>
      <c r="Q46" s="17"/>
      <c r="R46" s="17"/>
      <c r="S46" s="17"/>
      <c r="T46" s="17"/>
      <c r="U46" s="17"/>
      <c r="V46" s="17"/>
      <c r="W46" s="17"/>
      <c r="X46" s="17"/>
      <c r="Y46" s="17"/>
      <c r="Z46" s="17"/>
    </row>
    <row r="47" ht="12.75" customHeight="1">
      <c r="A47" s="69">
        <v>37.0</v>
      </c>
      <c r="B47" s="99" t="s">
        <v>325</v>
      </c>
      <c r="C47" s="99" t="s">
        <v>326</v>
      </c>
      <c r="D47" s="80" t="s">
        <v>327</v>
      </c>
      <c r="E47" s="72" t="s">
        <v>328</v>
      </c>
      <c r="F47" s="98" t="s">
        <v>329</v>
      </c>
      <c r="G47" s="80" t="s">
        <v>330</v>
      </c>
      <c r="H47" s="80" t="s">
        <v>88</v>
      </c>
      <c r="I47" s="76"/>
      <c r="J47" s="17"/>
      <c r="K47" s="17"/>
      <c r="L47" s="17"/>
      <c r="M47" s="17"/>
      <c r="N47" s="17"/>
      <c r="O47" s="17"/>
      <c r="P47" s="17"/>
      <c r="Q47" s="17"/>
      <c r="R47" s="17"/>
      <c r="S47" s="17"/>
      <c r="T47" s="17"/>
      <c r="U47" s="17"/>
      <c r="V47" s="17"/>
      <c r="W47" s="17"/>
      <c r="X47" s="17"/>
      <c r="Y47" s="17"/>
      <c r="Z47" s="17"/>
    </row>
    <row r="48" ht="12.75" customHeight="1">
      <c r="A48" s="69">
        <v>38.0</v>
      </c>
      <c r="B48" s="99" t="s">
        <v>331</v>
      </c>
      <c r="C48" s="99" t="s">
        <v>332</v>
      </c>
      <c r="D48" s="80" t="s">
        <v>333</v>
      </c>
      <c r="E48" s="72" t="s">
        <v>334</v>
      </c>
      <c r="F48" s="98" t="s">
        <v>335</v>
      </c>
      <c r="G48" s="80" t="s">
        <v>336</v>
      </c>
      <c r="H48" s="80" t="s">
        <v>88</v>
      </c>
      <c r="I48" s="76"/>
      <c r="J48" s="17"/>
      <c r="K48" s="17"/>
      <c r="L48" s="17"/>
      <c r="M48" s="17"/>
      <c r="N48" s="17"/>
      <c r="O48" s="17"/>
      <c r="P48" s="17"/>
      <c r="Q48" s="17"/>
      <c r="R48" s="17"/>
      <c r="S48" s="17"/>
      <c r="T48" s="17"/>
      <c r="U48" s="17"/>
      <c r="V48" s="17"/>
      <c r="W48" s="17"/>
      <c r="X48" s="17"/>
      <c r="Y48" s="17"/>
      <c r="Z48" s="17"/>
    </row>
    <row r="49" ht="12.75" customHeight="1">
      <c r="A49" s="101"/>
      <c r="B49" s="102"/>
      <c r="C49" s="102"/>
      <c r="D49" s="103"/>
      <c r="E49" s="104"/>
      <c r="F49" s="103"/>
      <c r="G49" s="103"/>
      <c r="H49" s="103"/>
      <c r="I49" s="76"/>
      <c r="J49" s="17"/>
      <c r="K49" s="17"/>
      <c r="L49" s="17"/>
      <c r="M49" s="17"/>
      <c r="N49" s="17"/>
      <c r="O49" s="17"/>
      <c r="P49" s="17"/>
      <c r="Q49" s="17"/>
      <c r="R49" s="17"/>
      <c r="S49" s="17"/>
      <c r="T49" s="17"/>
      <c r="U49" s="17"/>
      <c r="V49" s="17"/>
      <c r="W49" s="17"/>
      <c r="X49" s="17"/>
      <c r="Y49" s="17"/>
      <c r="Z49" s="17"/>
    </row>
    <row r="50" ht="12.75" customHeight="1">
      <c r="A50" s="105"/>
      <c r="B50" s="105"/>
      <c r="C50" s="105"/>
      <c r="D50" s="106"/>
      <c r="E50" s="107"/>
      <c r="F50" s="106"/>
      <c r="G50" s="106"/>
      <c r="H50" s="106"/>
      <c r="I50" s="76"/>
      <c r="J50" s="17"/>
      <c r="K50" s="17"/>
      <c r="L50" s="17"/>
      <c r="M50" s="17"/>
      <c r="N50" s="17"/>
      <c r="O50" s="17"/>
      <c r="P50" s="17"/>
      <c r="Q50" s="17"/>
      <c r="R50" s="17"/>
      <c r="S50" s="17"/>
      <c r="T50" s="17"/>
      <c r="U50" s="17"/>
      <c r="V50" s="17"/>
      <c r="W50" s="17"/>
      <c r="X50" s="17"/>
      <c r="Y50" s="17"/>
      <c r="Z50" s="17"/>
    </row>
    <row r="51" ht="12.75" customHeight="1">
      <c r="A51" s="28"/>
      <c r="B51" s="28"/>
      <c r="C51" s="28"/>
      <c r="D51" s="30"/>
      <c r="E51" s="32"/>
      <c r="F51" s="30"/>
      <c r="G51" s="30"/>
      <c r="H51" s="30"/>
      <c r="I51" s="17"/>
      <c r="J51" s="17"/>
      <c r="K51" s="17"/>
      <c r="L51" s="17"/>
      <c r="M51" s="17"/>
      <c r="N51" s="17"/>
      <c r="O51" s="17"/>
      <c r="P51" s="17"/>
      <c r="Q51" s="17"/>
      <c r="R51" s="17"/>
      <c r="S51" s="17"/>
      <c r="T51" s="17"/>
      <c r="U51" s="17"/>
      <c r="V51" s="17"/>
      <c r="W51" s="17"/>
      <c r="X51" s="17"/>
      <c r="Y51" s="17"/>
      <c r="Z51" s="17"/>
    </row>
    <row r="52" ht="12.75" customHeight="1">
      <c r="A52" s="28"/>
      <c r="B52" s="28"/>
      <c r="C52" s="28"/>
      <c r="D52" s="30"/>
      <c r="E52" s="32"/>
      <c r="F52" s="30"/>
      <c r="G52" s="30"/>
      <c r="H52" s="30"/>
      <c r="I52" s="17"/>
      <c r="J52" s="17"/>
      <c r="K52" s="17"/>
      <c r="L52" s="17"/>
      <c r="M52" s="17"/>
      <c r="N52" s="17"/>
      <c r="O52" s="17"/>
      <c r="P52" s="17"/>
      <c r="Q52" s="17"/>
      <c r="R52" s="17"/>
      <c r="S52" s="17"/>
      <c r="T52" s="17"/>
      <c r="U52" s="17"/>
      <c r="V52" s="17"/>
      <c r="W52" s="17"/>
      <c r="X52" s="17"/>
      <c r="Y52" s="17"/>
      <c r="Z52" s="17"/>
    </row>
    <row r="53" ht="12.75" customHeight="1">
      <c r="A53" s="28"/>
      <c r="B53" s="28"/>
      <c r="C53" s="28"/>
      <c r="D53" s="30"/>
      <c r="E53" s="32"/>
      <c r="F53" s="30"/>
      <c r="G53" s="30"/>
      <c r="H53" s="30"/>
      <c r="I53" s="17"/>
      <c r="J53" s="17"/>
      <c r="K53" s="17"/>
      <c r="L53" s="17"/>
      <c r="M53" s="17"/>
      <c r="N53" s="17"/>
      <c r="O53" s="17"/>
      <c r="P53" s="17"/>
      <c r="Q53" s="17"/>
      <c r="R53" s="17"/>
      <c r="S53" s="17"/>
      <c r="T53" s="17"/>
      <c r="U53" s="17"/>
      <c r="V53" s="17"/>
      <c r="W53" s="17"/>
      <c r="X53" s="17"/>
      <c r="Y53" s="17"/>
      <c r="Z53" s="17"/>
    </row>
    <row r="54" ht="12.75" customHeight="1">
      <c r="A54" s="28"/>
      <c r="B54" s="28"/>
      <c r="C54" s="28"/>
      <c r="D54" s="30"/>
      <c r="E54" s="32"/>
      <c r="F54" s="30"/>
      <c r="G54" s="30"/>
      <c r="H54" s="30"/>
      <c r="I54" s="17"/>
      <c r="J54" s="17"/>
      <c r="K54" s="17"/>
      <c r="L54" s="17"/>
      <c r="M54" s="17"/>
      <c r="N54" s="17"/>
      <c r="O54" s="17"/>
      <c r="P54" s="17"/>
      <c r="Q54" s="17"/>
      <c r="R54" s="17"/>
      <c r="S54" s="17"/>
      <c r="T54" s="17"/>
      <c r="U54" s="17"/>
      <c r="V54" s="17"/>
      <c r="W54" s="17"/>
      <c r="X54" s="17"/>
      <c r="Y54" s="17"/>
      <c r="Z54" s="17"/>
    </row>
    <row r="55" ht="12.75" customHeight="1">
      <c r="A55" s="28"/>
      <c r="B55" s="28"/>
      <c r="C55" s="28"/>
      <c r="D55" s="30"/>
      <c r="E55" s="32"/>
      <c r="F55" s="30"/>
      <c r="G55" s="30"/>
      <c r="H55" s="30"/>
      <c r="I55" s="17"/>
      <c r="J55" s="17"/>
      <c r="K55" s="17"/>
      <c r="L55" s="17"/>
      <c r="M55" s="17"/>
      <c r="N55" s="17"/>
      <c r="O55" s="17"/>
      <c r="P55" s="17"/>
      <c r="Q55" s="17"/>
      <c r="R55" s="17"/>
      <c r="S55" s="17"/>
      <c r="T55" s="17"/>
      <c r="U55" s="17"/>
      <c r="V55" s="17"/>
      <c r="W55" s="17"/>
      <c r="X55" s="17"/>
      <c r="Y55" s="17"/>
      <c r="Z55" s="17"/>
    </row>
    <row r="56" ht="12.75" customHeight="1">
      <c r="A56" s="28"/>
      <c r="B56" s="28"/>
      <c r="C56" s="28"/>
      <c r="D56" s="30"/>
      <c r="E56" s="32"/>
      <c r="F56" s="30"/>
      <c r="G56" s="30"/>
      <c r="H56" s="30"/>
      <c r="I56" s="17"/>
      <c r="J56" s="17"/>
      <c r="K56" s="17"/>
      <c r="L56" s="17"/>
      <c r="M56" s="17"/>
      <c r="N56" s="17"/>
      <c r="O56" s="17"/>
      <c r="P56" s="17"/>
      <c r="Q56" s="17"/>
      <c r="R56" s="17"/>
      <c r="S56" s="17"/>
      <c r="T56" s="17"/>
      <c r="U56" s="17"/>
      <c r="V56" s="17"/>
      <c r="W56" s="17"/>
      <c r="X56" s="17"/>
      <c r="Y56" s="17"/>
      <c r="Z56" s="17"/>
    </row>
    <row r="57" ht="12.75" customHeight="1">
      <c r="A57" s="28"/>
      <c r="B57" s="28"/>
      <c r="C57" s="28"/>
      <c r="D57" s="30"/>
      <c r="E57" s="32"/>
      <c r="F57" s="30"/>
      <c r="G57" s="30"/>
      <c r="H57" s="30"/>
      <c r="I57" s="17"/>
      <c r="J57" s="17"/>
      <c r="K57" s="17"/>
      <c r="L57" s="17"/>
      <c r="M57" s="17"/>
      <c r="N57" s="17"/>
      <c r="O57" s="17"/>
      <c r="P57" s="17"/>
      <c r="Q57" s="17"/>
      <c r="R57" s="17"/>
      <c r="S57" s="17"/>
      <c r="T57" s="17"/>
      <c r="U57" s="17"/>
      <c r="V57" s="17"/>
      <c r="W57" s="17"/>
      <c r="X57" s="17"/>
      <c r="Y57" s="17"/>
      <c r="Z57" s="17"/>
    </row>
    <row r="58" ht="12.75" customHeight="1">
      <c r="A58" s="28"/>
      <c r="B58" s="28"/>
      <c r="C58" s="28"/>
      <c r="D58" s="30"/>
      <c r="E58" s="32"/>
      <c r="F58" s="30"/>
      <c r="G58" s="30"/>
      <c r="H58" s="30"/>
      <c r="I58" s="17"/>
      <c r="J58" s="17"/>
      <c r="K58" s="17"/>
      <c r="L58" s="17"/>
      <c r="M58" s="17"/>
      <c r="N58" s="17"/>
      <c r="O58" s="17"/>
      <c r="P58" s="17"/>
      <c r="Q58" s="17"/>
      <c r="R58" s="17"/>
      <c r="S58" s="17"/>
      <c r="T58" s="17"/>
      <c r="U58" s="17"/>
      <c r="V58" s="17"/>
      <c r="W58" s="17"/>
      <c r="X58" s="17"/>
      <c r="Y58" s="17"/>
      <c r="Z58" s="17"/>
    </row>
    <row r="59" ht="12.75" customHeight="1">
      <c r="A59" s="28"/>
      <c r="B59" s="28"/>
      <c r="C59" s="28"/>
      <c r="D59" s="30"/>
      <c r="E59" s="32"/>
      <c r="F59" s="30"/>
      <c r="G59" s="30"/>
      <c r="H59" s="30"/>
      <c r="I59" s="17"/>
      <c r="J59" s="17"/>
      <c r="K59" s="17"/>
      <c r="L59" s="17"/>
      <c r="M59" s="17"/>
      <c r="N59" s="17"/>
      <c r="O59" s="17"/>
      <c r="P59" s="17"/>
      <c r="Q59" s="17"/>
      <c r="R59" s="17"/>
      <c r="S59" s="17"/>
      <c r="T59" s="17"/>
      <c r="U59" s="17"/>
      <c r="V59" s="17"/>
      <c r="W59" s="17"/>
      <c r="X59" s="17"/>
      <c r="Y59" s="17"/>
      <c r="Z59" s="17"/>
    </row>
    <row r="60" ht="12.75" customHeight="1">
      <c r="A60" s="28"/>
      <c r="B60" s="28"/>
      <c r="C60" s="28"/>
      <c r="D60" s="30"/>
      <c r="E60" s="32"/>
      <c r="F60" s="30"/>
      <c r="G60" s="30"/>
      <c r="H60" s="30"/>
      <c r="I60" s="17"/>
      <c r="J60" s="17"/>
      <c r="K60" s="17"/>
      <c r="L60" s="17"/>
      <c r="M60" s="17"/>
      <c r="N60" s="17"/>
      <c r="O60" s="17"/>
      <c r="P60" s="17"/>
      <c r="Q60" s="17"/>
      <c r="R60" s="17"/>
      <c r="S60" s="17"/>
      <c r="T60" s="17"/>
      <c r="U60" s="17"/>
      <c r="V60" s="17"/>
      <c r="W60" s="17"/>
      <c r="X60" s="17"/>
      <c r="Y60" s="17"/>
      <c r="Z60" s="17"/>
    </row>
    <row r="61" ht="12.75" customHeight="1">
      <c r="A61" s="28"/>
      <c r="B61" s="28"/>
      <c r="C61" s="28"/>
      <c r="D61" s="30"/>
      <c r="E61" s="32"/>
      <c r="F61" s="30"/>
      <c r="G61" s="30"/>
      <c r="H61" s="30"/>
      <c r="I61" s="17"/>
      <c r="J61" s="17"/>
      <c r="K61" s="17"/>
      <c r="L61" s="17"/>
      <c r="M61" s="17"/>
      <c r="N61" s="17"/>
      <c r="O61" s="17"/>
      <c r="P61" s="17"/>
      <c r="Q61" s="17"/>
      <c r="R61" s="17"/>
      <c r="S61" s="17"/>
      <c r="T61" s="17"/>
      <c r="U61" s="17"/>
      <c r="V61" s="17"/>
      <c r="W61" s="17"/>
      <c r="X61" s="17"/>
      <c r="Y61" s="17"/>
      <c r="Z61" s="17"/>
    </row>
    <row r="62" ht="12.75" customHeight="1">
      <c r="A62" s="28"/>
      <c r="B62" s="28"/>
      <c r="C62" s="28"/>
      <c r="D62" s="30"/>
      <c r="E62" s="32"/>
      <c r="F62" s="30"/>
      <c r="G62" s="30"/>
      <c r="H62" s="30"/>
      <c r="I62" s="17"/>
      <c r="J62" s="17"/>
      <c r="K62" s="17"/>
      <c r="L62" s="17"/>
      <c r="M62" s="17"/>
      <c r="N62" s="17"/>
      <c r="O62" s="17"/>
      <c r="P62" s="17"/>
      <c r="Q62" s="17"/>
      <c r="R62" s="17"/>
      <c r="S62" s="17"/>
      <c r="T62" s="17"/>
      <c r="U62" s="17"/>
      <c r="V62" s="17"/>
      <c r="W62" s="17"/>
      <c r="X62" s="17"/>
      <c r="Y62" s="17"/>
      <c r="Z62" s="17"/>
    </row>
    <row r="63" ht="12.75" customHeight="1">
      <c r="A63" s="28"/>
      <c r="B63" s="28"/>
      <c r="C63" s="28"/>
      <c r="D63" s="30"/>
      <c r="E63" s="32"/>
      <c r="F63" s="30"/>
      <c r="G63" s="30"/>
      <c r="H63" s="30"/>
      <c r="I63" s="17"/>
      <c r="J63" s="17"/>
      <c r="K63" s="17"/>
      <c r="L63" s="17"/>
      <c r="M63" s="17"/>
      <c r="N63" s="17"/>
      <c r="O63" s="17"/>
      <c r="P63" s="17"/>
      <c r="Q63" s="17"/>
      <c r="R63" s="17"/>
      <c r="S63" s="17"/>
      <c r="T63" s="17"/>
      <c r="U63" s="17"/>
      <c r="V63" s="17"/>
      <c r="W63" s="17"/>
      <c r="X63" s="17"/>
      <c r="Y63" s="17"/>
      <c r="Z63" s="17"/>
    </row>
    <row r="64" ht="12.75" customHeight="1">
      <c r="A64" s="28"/>
      <c r="B64" s="28"/>
      <c r="C64" s="28"/>
      <c r="D64" s="30"/>
      <c r="E64" s="32"/>
      <c r="F64" s="30"/>
      <c r="G64" s="30"/>
      <c r="H64" s="30"/>
      <c r="I64" s="17"/>
      <c r="J64" s="17"/>
      <c r="K64" s="17"/>
      <c r="L64" s="17"/>
      <c r="M64" s="17"/>
      <c r="N64" s="17"/>
      <c r="O64" s="17"/>
      <c r="P64" s="17"/>
      <c r="Q64" s="17"/>
      <c r="R64" s="17"/>
      <c r="S64" s="17"/>
      <c r="T64" s="17"/>
      <c r="U64" s="17"/>
      <c r="V64" s="17"/>
      <c r="W64" s="17"/>
      <c r="X64" s="17"/>
      <c r="Y64" s="17"/>
      <c r="Z64" s="17"/>
    </row>
    <row r="65" ht="12.75" customHeight="1">
      <c r="A65" s="28"/>
      <c r="B65" s="28"/>
      <c r="C65" s="28"/>
      <c r="D65" s="30"/>
      <c r="E65" s="32"/>
      <c r="F65" s="30"/>
      <c r="G65" s="30"/>
      <c r="H65" s="30"/>
      <c r="I65" s="17"/>
      <c r="J65" s="17"/>
      <c r="K65" s="17"/>
      <c r="L65" s="17"/>
      <c r="M65" s="17"/>
      <c r="N65" s="17"/>
      <c r="O65" s="17"/>
      <c r="P65" s="17"/>
      <c r="Q65" s="17"/>
      <c r="R65" s="17"/>
      <c r="S65" s="17"/>
      <c r="T65" s="17"/>
      <c r="U65" s="17"/>
      <c r="V65" s="17"/>
      <c r="W65" s="17"/>
      <c r="X65" s="17"/>
      <c r="Y65" s="17"/>
      <c r="Z65" s="17"/>
    </row>
    <row r="66" ht="12.75" customHeight="1">
      <c r="A66" s="28"/>
      <c r="B66" s="28"/>
      <c r="C66" s="28"/>
      <c r="D66" s="30"/>
      <c r="E66" s="32"/>
      <c r="F66" s="30"/>
      <c r="G66" s="30"/>
      <c r="H66" s="30"/>
      <c r="I66" s="17"/>
      <c r="J66" s="17"/>
      <c r="K66" s="17"/>
      <c r="L66" s="17"/>
      <c r="M66" s="17"/>
      <c r="N66" s="17"/>
      <c r="O66" s="17"/>
      <c r="P66" s="17"/>
      <c r="Q66" s="17"/>
      <c r="R66" s="17"/>
      <c r="S66" s="17"/>
      <c r="T66" s="17"/>
      <c r="U66" s="17"/>
      <c r="V66" s="17"/>
      <c r="W66" s="17"/>
      <c r="X66" s="17"/>
      <c r="Y66" s="17"/>
      <c r="Z66" s="17"/>
    </row>
    <row r="67" ht="12.75" customHeight="1">
      <c r="A67" s="28"/>
      <c r="B67" s="28"/>
      <c r="C67" s="28"/>
      <c r="D67" s="30"/>
      <c r="E67" s="32"/>
      <c r="F67" s="30"/>
      <c r="G67" s="30"/>
      <c r="H67" s="30"/>
      <c r="I67" s="17"/>
      <c r="J67" s="17"/>
      <c r="K67" s="17"/>
      <c r="L67" s="17"/>
      <c r="M67" s="17"/>
      <c r="N67" s="17"/>
      <c r="O67" s="17"/>
      <c r="P67" s="17"/>
      <c r="Q67" s="17"/>
      <c r="R67" s="17"/>
      <c r="S67" s="17"/>
      <c r="T67" s="17"/>
      <c r="U67" s="17"/>
      <c r="V67" s="17"/>
      <c r="W67" s="17"/>
      <c r="X67" s="17"/>
      <c r="Y67" s="17"/>
      <c r="Z67" s="17"/>
    </row>
    <row r="68" ht="12.75" customHeight="1">
      <c r="A68" s="28"/>
      <c r="B68" s="28"/>
      <c r="C68" s="28"/>
      <c r="D68" s="30"/>
      <c r="E68" s="32"/>
      <c r="F68" s="30"/>
      <c r="G68" s="30"/>
      <c r="H68" s="30"/>
      <c r="I68" s="17"/>
      <c r="J68" s="17"/>
      <c r="K68" s="17"/>
      <c r="L68" s="17"/>
      <c r="M68" s="17"/>
      <c r="N68" s="17"/>
      <c r="O68" s="17"/>
      <c r="P68" s="17"/>
      <c r="Q68" s="17"/>
      <c r="R68" s="17"/>
      <c r="S68" s="17"/>
      <c r="T68" s="17"/>
      <c r="U68" s="17"/>
      <c r="V68" s="17"/>
      <c r="W68" s="17"/>
      <c r="X68" s="17"/>
      <c r="Y68" s="17"/>
      <c r="Z68" s="17"/>
    </row>
    <row r="69" ht="12.75" customHeight="1">
      <c r="A69" s="28"/>
      <c r="B69" s="28"/>
      <c r="C69" s="28"/>
      <c r="D69" s="30"/>
      <c r="E69" s="32"/>
      <c r="F69" s="30"/>
      <c r="G69" s="30"/>
      <c r="H69" s="30"/>
      <c r="I69" s="17"/>
      <c r="J69" s="17"/>
      <c r="K69" s="17"/>
      <c r="L69" s="17"/>
      <c r="M69" s="17"/>
      <c r="N69" s="17"/>
      <c r="O69" s="17"/>
      <c r="P69" s="17"/>
      <c r="Q69" s="17"/>
      <c r="R69" s="17"/>
      <c r="S69" s="17"/>
      <c r="T69" s="17"/>
      <c r="U69" s="17"/>
      <c r="V69" s="17"/>
      <c r="W69" s="17"/>
      <c r="X69" s="17"/>
      <c r="Y69" s="17"/>
      <c r="Z69" s="17"/>
    </row>
    <row r="70" ht="12.75" customHeight="1">
      <c r="A70" s="28"/>
      <c r="B70" s="28"/>
      <c r="C70" s="28"/>
      <c r="D70" s="30"/>
      <c r="E70" s="32"/>
      <c r="F70" s="30"/>
      <c r="G70" s="30"/>
      <c r="H70" s="30"/>
      <c r="I70" s="17"/>
      <c r="J70" s="17"/>
      <c r="K70" s="17"/>
      <c r="L70" s="17"/>
      <c r="M70" s="17"/>
      <c r="N70" s="17"/>
      <c r="O70" s="17"/>
      <c r="P70" s="17"/>
      <c r="Q70" s="17"/>
      <c r="R70" s="17"/>
      <c r="S70" s="17"/>
      <c r="T70" s="17"/>
      <c r="U70" s="17"/>
      <c r="V70" s="17"/>
      <c r="W70" s="17"/>
      <c r="X70" s="17"/>
      <c r="Y70" s="17"/>
      <c r="Z70" s="17"/>
    </row>
    <row r="71" ht="12.75" customHeight="1">
      <c r="A71" s="28"/>
      <c r="B71" s="28"/>
      <c r="C71" s="28"/>
      <c r="D71" s="30"/>
      <c r="E71" s="32"/>
      <c r="F71" s="30"/>
      <c r="G71" s="30"/>
      <c r="H71" s="30"/>
      <c r="I71" s="17"/>
      <c r="J71" s="17"/>
      <c r="K71" s="17"/>
      <c r="L71" s="17"/>
      <c r="M71" s="17"/>
      <c r="N71" s="17"/>
      <c r="O71" s="17"/>
      <c r="P71" s="17"/>
      <c r="Q71" s="17"/>
      <c r="R71" s="17"/>
      <c r="S71" s="17"/>
      <c r="T71" s="17"/>
      <c r="U71" s="17"/>
      <c r="V71" s="17"/>
      <c r="W71" s="17"/>
      <c r="X71" s="17"/>
      <c r="Y71" s="17"/>
      <c r="Z71" s="17"/>
    </row>
    <row r="72" ht="12.75" customHeight="1">
      <c r="A72" s="28"/>
      <c r="B72" s="28"/>
      <c r="C72" s="28"/>
      <c r="D72" s="30"/>
      <c r="E72" s="32"/>
      <c r="F72" s="30"/>
      <c r="G72" s="30"/>
      <c r="H72" s="30"/>
      <c r="I72" s="17"/>
      <c r="J72" s="17"/>
      <c r="K72" s="17"/>
      <c r="L72" s="17"/>
      <c r="M72" s="17"/>
      <c r="N72" s="17"/>
      <c r="O72" s="17"/>
      <c r="P72" s="17"/>
      <c r="Q72" s="17"/>
      <c r="R72" s="17"/>
      <c r="S72" s="17"/>
      <c r="T72" s="17"/>
      <c r="U72" s="17"/>
      <c r="V72" s="17"/>
      <c r="W72" s="17"/>
      <c r="X72" s="17"/>
      <c r="Y72" s="17"/>
      <c r="Z72" s="17"/>
    </row>
    <row r="73" ht="12.75" customHeight="1">
      <c r="A73" s="28"/>
      <c r="B73" s="28"/>
      <c r="C73" s="28"/>
      <c r="D73" s="30"/>
      <c r="E73" s="32"/>
      <c r="F73" s="30"/>
      <c r="G73" s="30"/>
      <c r="H73" s="30"/>
      <c r="I73" s="17"/>
      <c r="J73" s="17"/>
      <c r="K73" s="17"/>
      <c r="L73" s="17"/>
      <c r="M73" s="17"/>
      <c r="N73" s="17"/>
      <c r="O73" s="17"/>
      <c r="P73" s="17"/>
      <c r="Q73" s="17"/>
      <c r="R73" s="17"/>
      <c r="S73" s="17"/>
      <c r="T73" s="17"/>
      <c r="U73" s="17"/>
      <c r="V73" s="17"/>
      <c r="W73" s="17"/>
      <c r="X73" s="17"/>
      <c r="Y73" s="17"/>
      <c r="Z73" s="17"/>
    </row>
    <row r="74" ht="12.75" customHeight="1">
      <c r="A74" s="28"/>
      <c r="B74" s="28"/>
      <c r="C74" s="28"/>
      <c r="D74" s="30"/>
      <c r="E74" s="32"/>
      <c r="F74" s="30"/>
      <c r="G74" s="30"/>
      <c r="H74" s="30"/>
      <c r="I74" s="17"/>
      <c r="J74" s="17"/>
      <c r="K74" s="17"/>
      <c r="L74" s="17"/>
      <c r="M74" s="17"/>
      <c r="N74" s="17"/>
      <c r="O74" s="17"/>
      <c r="P74" s="17"/>
      <c r="Q74" s="17"/>
      <c r="R74" s="17"/>
      <c r="S74" s="17"/>
      <c r="T74" s="17"/>
      <c r="U74" s="17"/>
      <c r="V74" s="17"/>
      <c r="W74" s="17"/>
      <c r="X74" s="17"/>
      <c r="Y74" s="17"/>
      <c r="Z74" s="17"/>
    </row>
    <row r="75" ht="12.75" customHeight="1">
      <c r="A75" s="28"/>
      <c r="B75" s="28"/>
      <c r="C75" s="28"/>
      <c r="D75" s="30"/>
      <c r="E75" s="32"/>
      <c r="F75" s="30"/>
      <c r="G75" s="30"/>
      <c r="H75" s="30"/>
      <c r="I75" s="17"/>
      <c r="J75" s="17"/>
      <c r="K75" s="17"/>
      <c r="L75" s="17"/>
      <c r="M75" s="17"/>
      <c r="N75" s="17"/>
      <c r="O75" s="17"/>
      <c r="P75" s="17"/>
      <c r="Q75" s="17"/>
      <c r="R75" s="17"/>
      <c r="S75" s="17"/>
      <c r="T75" s="17"/>
      <c r="U75" s="17"/>
      <c r="V75" s="17"/>
      <c r="W75" s="17"/>
      <c r="X75" s="17"/>
      <c r="Y75" s="17"/>
      <c r="Z75" s="17"/>
    </row>
    <row r="76" ht="12.75" customHeight="1">
      <c r="A76" s="28"/>
      <c r="B76" s="28"/>
      <c r="C76" s="28"/>
      <c r="D76" s="30"/>
      <c r="E76" s="32"/>
      <c r="F76" s="30"/>
      <c r="G76" s="30"/>
      <c r="H76" s="30"/>
      <c r="I76" s="17"/>
      <c r="J76" s="17"/>
      <c r="K76" s="17"/>
      <c r="L76" s="17"/>
      <c r="M76" s="17"/>
      <c r="N76" s="17"/>
      <c r="O76" s="17"/>
      <c r="P76" s="17"/>
      <c r="Q76" s="17"/>
      <c r="R76" s="17"/>
      <c r="S76" s="17"/>
      <c r="T76" s="17"/>
      <c r="U76" s="17"/>
      <c r="V76" s="17"/>
      <c r="W76" s="17"/>
      <c r="X76" s="17"/>
      <c r="Y76" s="17"/>
      <c r="Z76" s="17"/>
    </row>
    <row r="77" ht="12.75" customHeight="1">
      <c r="A77" s="28"/>
      <c r="B77" s="28"/>
      <c r="C77" s="28"/>
      <c r="D77" s="30"/>
      <c r="E77" s="32"/>
      <c r="F77" s="30"/>
      <c r="G77" s="30"/>
      <c r="H77" s="30"/>
      <c r="I77" s="17"/>
      <c r="J77" s="17"/>
      <c r="K77" s="17"/>
      <c r="L77" s="17"/>
      <c r="M77" s="17"/>
      <c r="N77" s="17"/>
      <c r="O77" s="17"/>
      <c r="P77" s="17"/>
      <c r="Q77" s="17"/>
      <c r="R77" s="17"/>
      <c r="S77" s="17"/>
      <c r="T77" s="17"/>
      <c r="U77" s="17"/>
      <c r="V77" s="17"/>
      <c r="W77" s="17"/>
      <c r="X77" s="17"/>
      <c r="Y77" s="17"/>
      <c r="Z77" s="17"/>
    </row>
    <row r="78" ht="12.75" customHeight="1">
      <c r="A78" s="28"/>
      <c r="B78" s="28"/>
      <c r="C78" s="28"/>
      <c r="D78" s="30"/>
      <c r="E78" s="32"/>
      <c r="F78" s="30"/>
      <c r="G78" s="30"/>
      <c r="H78" s="30"/>
      <c r="I78" s="17"/>
      <c r="J78" s="17"/>
      <c r="K78" s="17"/>
      <c r="L78" s="17"/>
      <c r="M78" s="17"/>
      <c r="N78" s="17"/>
      <c r="O78" s="17"/>
      <c r="P78" s="17"/>
      <c r="Q78" s="17"/>
      <c r="R78" s="17"/>
      <c r="S78" s="17"/>
      <c r="T78" s="17"/>
      <c r="U78" s="17"/>
      <c r="V78" s="17"/>
      <c r="W78" s="17"/>
      <c r="X78" s="17"/>
      <c r="Y78" s="17"/>
      <c r="Z78" s="17"/>
    </row>
    <row r="79" ht="12.75" customHeight="1">
      <c r="A79" s="28"/>
      <c r="B79" s="28"/>
      <c r="C79" s="28"/>
      <c r="D79" s="30"/>
      <c r="E79" s="32"/>
      <c r="F79" s="30"/>
      <c r="G79" s="30"/>
      <c r="H79" s="30"/>
      <c r="I79" s="17"/>
      <c r="J79" s="17"/>
      <c r="K79" s="17"/>
      <c r="L79" s="17"/>
      <c r="M79" s="17"/>
      <c r="N79" s="17"/>
      <c r="O79" s="17"/>
      <c r="P79" s="17"/>
      <c r="Q79" s="17"/>
      <c r="R79" s="17"/>
      <c r="S79" s="17"/>
      <c r="T79" s="17"/>
      <c r="U79" s="17"/>
      <c r="V79" s="17"/>
      <c r="W79" s="17"/>
      <c r="X79" s="17"/>
      <c r="Y79" s="17"/>
      <c r="Z79" s="17"/>
    </row>
    <row r="80" ht="12.75" customHeight="1">
      <c r="A80" s="28"/>
      <c r="B80" s="28"/>
      <c r="C80" s="28"/>
      <c r="D80" s="30"/>
      <c r="E80" s="32"/>
      <c r="F80" s="30"/>
      <c r="G80" s="30"/>
      <c r="H80" s="30"/>
      <c r="I80" s="17"/>
      <c r="J80" s="17"/>
      <c r="K80" s="17"/>
      <c r="L80" s="17"/>
      <c r="M80" s="17"/>
      <c r="N80" s="17"/>
      <c r="O80" s="17"/>
      <c r="P80" s="17"/>
      <c r="Q80" s="17"/>
      <c r="R80" s="17"/>
      <c r="S80" s="17"/>
      <c r="T80" s="17"/>
      <c r="U80" s="17"/>
      <c r="V80" s="17"/>
      <c r="W80" s="17"/>
      <c r="X80" s="17"/>
      <c r="Y80" s="17"/>
      <c r="Z80" s="17"/>
    </row>
    <row r="81" ht="12.75" customHeight="1">
      <c r="A81" s="28"/>
      <c r="B81" s="28"/>
      <c r="C81" s="28"/>
      <c r="D81" s="30"/>
      <c r="E81" s="32"/>
      <c r="F81" s="30"/>
      <c r="G81" s="30"/>
      <c r="H81" s="30"/>
      <c r="I81" s="17"/>
      <c r="J81" s="17"/>
      <c r="K81" s="17"/>
      <c r="L81" s="17"/>
      <c r="M81" s="17"/>
      <c r="N81" s="17"/>
      <c r="O81" s="17"/>
      <c r="P81" s="17"/>
      <c r="Q81" s="17"/>
      <c r="R81" s="17"/>
      <c r="S81" s="17"/>
      <c r="T81" s="17"/>
      <c r="U81" s="17"/>
      <c r="V81" s="17"/>
      <c r="W81" s="17"/>
      <c r="X81" s="17"/>
      <c r="Y81" s="17"/>
      <c r="Z81" s="17"/>
    </row>
    <row r="82" ht="12.75" customHeight="1">
      <c r="A82" s="28"/>
      <c r="B82" s="28"/>
      <c r="C82" s="28"/>
      <c r="D82" s="30"/>
      <c r="E82" s="32"/>
      <c r="F82" s="30"/>
      <c r="G82" s="30"/>
      <c r="H82" s="30"/>
      <c r="I82" s="17"/>
      <c r="J82" s="17"/>
      <c r="K82" s="17"/>
      <c r="L82" s="17"/>
      <c r="M82" s="17"/>
      <c r="N82" s="17"/>
      <c r="O82" s="17"/>
      <c r="P82" s="17"/>
      <c r="Q82" s="17"/>
      <c r="R82" s="17"/>
      <c r="S82" s="17"/>
      <c r="T82" s="17"/>
      <c r="U82" s="17"/>
      <c r="V82" s="17"/>
      <c r="W82" s="17"/>
      <c r="X82" s="17"/>
      <c r="Y82" s="17"/>
      <c r="Z82" s="17"/>
    </row>
    <row r="83" ht="12.75" customHeight="1">
      <c r="A83" s="28"/>
      <c r="B83" s="28"/>
      <c r="C83" s="28"/>
      <c r="D83" s="30"/>
      <c r="E83" s="32"/>
      <c r="F83" s="30"/>
      <c r="G83" s="30"/>
      <c r="H83" s="30"/>
      <c r="I83" s="17"/>
      <c r="J83" s="17"/>
      <c r="K83" s="17"/>
      <c r="L83" s="17"/>
      <c r="M83" s="17"/>
      <c r="N83" s="17"/>
      <c r="O83" s="17"/>
      <c r="P83" s="17"/>
      <c r="Q83" s="17"/>
      <c r="R83" s="17"/>
      <c r="S83" s="17"/>
      <c r="T83" s="17"/>
      <c r="U83" s="17"/>
      <c r="V83" s="17"/>
      <c r="W83" s="17"/>
      <c r="X83" s="17"/>
      <c r="Y83" s="17"/>
      <c r="Z83" s="17"/>
    </row>
    <row r="84" ht="12.75" customHeight="1">
      <c r="A84" s="28"/>
      <c r="B84" s="28"/>
      <c r="C84" s="28"/>
      <c r="D84" s="30"/>
      <c r="E84" s="32"/>
      <c r="F84" s="30"/>
      <c r="G84" s="30"/>
      <c r="H84" s="30"/>
      <c r="I84" s="17"/>
      <c r="J84" s="17"/>
      <c r="K84" s="17"/>
      <c r="L84" s="17"/>
      <c r="M84" s="17"/>
      <c r="N84" s="17"/>
      <c r="O84" s="17"/>
      <c r="P84" s="17"/>
      <c r="Q84" s="17"/>
      <c r="R84" s="17"/>
      <c r="S84" s="17"/>
      <c r="T84" s="17"/>
      <c r="U84" s="17"/>
      <c r="V84" s="17"/>
      <c r="W84" s="17"/>
      <c r="X84" s="17"/>
      <c r="Y84" s="17"/>
      <c r="Z84" s="17"/>
    </row>
    <row r="85" ht="12.75" customHeight="1">
      <c r="A85" s="28"/>
      <c r="B85" s="28"/>
      <c r="C85" s="28"/>
      <c r="D85" s="30"/>
      <c r="E85" s="32"/>
      <c r="F85" s="30"/>
      <c r="G85" s="30"/>
      <c r="H85" s="30"/>
      <c r="I85" s="17"/>
      <c r="J85" s="17"/>
      <c r="K85" s="17"/>
      <c r="L85" s="17"/>
      <c r="M85" s="17"/>
      <c r="N85" s="17"/>
      <c r="O85" s="17"/>
      <c r="P85" s="17"/>
      <c r="Q85" s="17"/>
      <c r="R85" s="17"/>
      <c r="S85" s="17"/>
      <c r="T85" s="17"/>
      <c r="U85" s="17"/>
      <c r="V85" s="17"/>
      <c r="W85" s="17"/>
      <c r="X85" s="17"/>
      <c r="Y85" s="17"/>
      <c r="Z85" s="17"/>
    </row>
    <row r="86" ht="12.75" customHeight="1">
      <c r="A86" s="28"/>
      <c r="B86" s="28"/>
      <c r="C86" s="28"/>
      <c r="D86" s="30"/>
      <c r="E86" s="32"/>
      <c r="F86" s="30"/>
      <c r="G86" s="30"/>
      <c r="H86" s="30"/>
      <c r="I86" s="17"/>
      <c r="J86" s="17"/>
      <c r="K86" s="17"/>
      <c r="L86" s="17"/>
      <c r="M86" s="17"/>
      <c r="N86" s="17"/>
      <c r="O86" s="17"/>
      <c r="P86" s="17"/>
      <c r="Q86" s="17"/>
      <c r="R86" s="17"/>
      <c r="S86" s="17"/>
      <c r="T86" s="17"/>
      <c r="U86" s="17"/>
      <c r="V86" s="17"/>
      <c r="W86" s="17"/>
      <c r="X86" s="17"/>
      <c r="Y86" s="17"/>
      <c r="Z86" s="17"/>
    </row>
    <row r="87" ht="12.75" customHeight="1">
      <c r="A87" s="28"/>
      <c r="B87" s="28"/>
      <c r="C87" s="28"/>
      <c r="D87" s="30"/>
      <c r="E87" s="32"/>
      <c r="F87" s="30"/>
      <c r="G87" s="30"/>
      <c r="H87" s="30"/>
      <c r="I87" s="17"/>
      <c r="J87" s="17"/>
      <c r="K87" s="17"/>
      <c r="L87" s="17"/>
      <c r="M87" s="17"/>
      <c r="N87" s="17"/>
      <c r="O87" s="17"/>
      <c r="P87" s="17"/>
      <c r="Q87" s="17"/>
      <c r="R87" s="17"/>
      <c r="S87" s="17"/>
      <c r="T87" s="17"/>
      <c r="U87" s="17"/>
      <c r="V87" s="17"/>
      <c r="W87" s="17"/>
      <c r="X87" s="17"/>
      <c r="Y87" s="17"/>
      <c r="Z87" s="17"/>
    </row>
    <row r="88" ht="12.75" customHeight="1">
      <c r="A88" s="28"/>
      <c r="B88" s="28"/>
      <c r="C88" s="28"/>
      <c r="D88" s="30"/>
      <c r="E88" s="32"/>
      <c r="F88" s="30"/>
      <c r="G88" s="30"/>
      <c r="H88" s="30"/>
      <c r="I88" s="17"/>
      <c r="J88" s="17"/>
      <c r="K88" s="17"/>
      <c r="L88" s="17"/>
      <c r="M88" s="17"/>
      <c r="N88" s="17"/>
      <c r="O88" s="17"/>
      <c r="P88" s="17"/>
      <c r="Q88" s="17"/>
      <c r="R88" s="17"/>
      <c r="S88" s="17"/>
      <c r="T88" s="17"/>
      <c r="U88" s="17"/>
      <c r="V88" s="17"/>
      <c r="W88" s="17"/>
      <c r="X88" s="17"/>
      <c r="Y88" s="17"/>
      <c r="Z88" s="17"/>
    </row>
    <row r="89" ht="12.75" customHeight="1">
      <c r="A89" s="28"/>
      <c r="B89" s="28"/>
      <c r="C89" s="28"/>
      <c r="D89" s="30"/>
      <c r="E89" s="32"/>
      <c r="F89" s="30"/>
      <c r="G89" s="30"/>
      <c r="H89" s="30"/>
      <c r="I89" s="17"/>
      <c r="J89" s="17"/>
      <c r="K89" s="17"/>
      <c r="L89" s="17"/>
      <c r="M89" s="17"/>
      <c r="N89" s="17"/>
      <c r="O89" s="17"/>
      <c r="P89" s="17"/>
      <c r="Q89" s="17"/>
      <c r="R89" s="17"/>
      <c r="S89" s="17"/>
      <c r="T89" s="17"/>
      <c r="U89" s="17"/>
      <c r="V89" s="17"/>
      <c r="W89" s="17"/>
      <c r="X89" s="17"/>
      <c r="Y89" s="17"/>
      <c r="Z89" s="17"/>
    </row>
    <row r="90" ht="12.75" customHeight="1">
      <c r="A90" s="28"/>
      <c r="B90" s="28"/>
      <c r="C90" s="28"/>
      <c r="D90" s="30"/>
      <c r="E90" s="32"/>
      <c r="F90" s="30"/>
      <c r="G90" s="30"/>
      <c r="H90" s="30"/>
      <c r="I90" s="17"/>
      <c r="J90" s="17"/>
      <c r="K90" s="17"/>
      <c r="L90" s="17"/>
      <c r="M90" s="17"/>
      <c r="N90" s="17"/>
      <c r="O90" s="17"/>
      <c r="P90" s="17"/>
      <c r="Q90" s="17"/>
      <c r="R90" s="17"/>
      <c r="S90" s="17"/>
      <c r="T90" s="17"/>
      <c r="U90" s="17"/>
      <c r="V90" s="17"/>
      <c r="W90" s="17"/>
      <c r="X90" s="17"/>
      <c r="Y90" s="17"/>
      <c r="Z90" s="17"/>
    </row>
    <row r="91" ht="12.75" customHeight="1">
      <c r="A91" s="28"/>
      <c r="B91" s="28"/>
      <c r="C91" s="28"/>
      <c r="D91" s="30"/>
      <c r="E91" s="32"/>
      <c r="F91" s="30"/>
      <c r="G91" s="30"/>
      <c r="H91" s="30"/>
      <c r="I91" s="17"/>
      <c r="J91" s="17"/>
      <c r="K91" s="17"/>
      <c r="L91" s="17"/>
      <c r="M91" s="17"/>
      <c r="N91" s="17"/>
      <c r="O91" s="17"/>
      <c r="P91" s="17"/>
      <c r="Q91" s="17"/>
      <c r="R91" s="17"/>
      <c r="S91" s="17"/>
      <c r="T91" s="17"/>
      <c r="U91" s="17"/>
      <c r="V91" s="17"/>
      <c r="W91" s="17"/>
      <c r="X91" s="17"/>
      <c r="Y91" s="17"/>
      <c r="Z91" s="17"/>
    </row>
    <row r="92" ht="12.75" customHeight="1">
      <c r="A92" s="28"/>
      <c r="B92" s="28"/>
      <c r="C92" s="28"/>
      <c r="D92" s="30"/>
      <c r="E92" s="32"/>
      <c r="F92" s="30"/>
      <c r="G92" s="30"/>
      <c r="H92" s="30"/>
      <c r="I92" s="17"/>
      <c r="J92" s="17"/>
      <c r="K92" s="17"/>
      <c r="L92" s="17"/>
      <c r="M92" s="17"/>
      <c r="N92" s="17"/>
      <c r="O92" s="17"/>
      <c r="P92" s="17"/>
      <c r="Q92" s="17"/>
      <c r="R92" s="17"/>
      <c r="S92" s="17"/>
      <c r="T92" s="17"/>
      <c r="U92" s="17"/>
      <c r="V92" s="17"/>
      <c r="W92" s="17"/>
      <c r="X92" s="17"/>
      <c r="Y92" s="17"/>
      <c r="Z92" s="17"/>
    </row>
    <row r="93" ht="12.75" customHeight="1">
      <c r="A93" s="28"/>
      <c r="B93" s="28"/>
      <c r="C93" s="28"/>
      <c r="D93" s="30"/>
      <c r="E93" s="32"/>
      <c r="F93" s="30"/>
      <c r="G93" s="30"/>
      <c r="H93" s="30"/>
      <c r="I93" s="17"/>
      <c r="J93" s="17"/>
      <c r="K93" s="17"/>
      <c r="L93" s="17"/>
      <c r="M93" s="17"/>
      <c r="N93" s="17"/>
      <c r="O93" s="17"/>
      <c r="P93" s="17"/>
      <c r="Q93" s="17"/>
      <c r="R93" s="17"/>
      <c r="S93" s="17"/>
      <c r="T93" s="17"/>
      <c r="U93" s="17"/>
      <c r="V93" s="17"/>
      <c r="W93" s="17"/>
      <c r="X93" s="17"/>
      <c r="Y93" s="17"/>
      <c r="Z93" s="17"/>
    </row>
    <row r="94" ht="12.75" customHeight="1">
      <c r="A94" s="28"/>
      <c r="B94" s="28"/>
      <c r="C94" s="28"/>
      <c r="D94" s="30"/>
      <c r="E94" s="32"/>
      <c r="F94" s="30"/>
      <c r="G94" s="30"/>
      <c r="H94" s="30"/>
      <c r="I94" s="17"/>
      <c r="J94" s="17"/>
      <c r="K94" s="17"/>
      <c r="L94" s="17"/>
      <c r="M94" s="17"/>
      <c r="N94" s="17"/>
      <c r="O94" s="17"/>
      <c r="P94" s="17"/>
      <c r="Q94" s="17"/>
      <c r="R94" s="17"/>
      <c r="S94" s="17"/>
      <c r="T94" s="17"/>
      <c r="U94" s="17"/>
      <c r="V94" s="17"/>
      <c r="W94" s="17"/>
      <c r="X94" s="17"/>
      <c r="Y94" s="17"/>
      <c r="Z94" s="17"/>
    </row>
    <row r="95" ht="12.75" customHeight="1">
      <c r="A95" s="28"/>
      <c r="B95" s="28"/>
      <c r="C95" s="28"/>
      <c r="D95" s="30"/>
      <c r="E95" s="32"/>
      <c r="F95" s="30"/>
      <c r="G95" s="30"/>
      <c r="H95" s="30"/>
      <c r="I95" s="17"/>
      <c r="J95" s="17"/>
      <c r="K95" s="17"/>
      <c r="L95" s="17"/>
      <c r="M95" s="17"/>
      <c r="N95" s="17"/>
      <c r="O95" s="17"/>
      <c r="P95" s="17"/>
      <c r="Q95" s="17"/>
      <c r="R95" s="17"/>
      <c r="S95" s="17"/>
      <c r="T95" s="17"/>
      <c r="U95" s="17"/>
      <c r="V95" s="17"/>
      <c r="W95" s="17"/>
      <c r="X95" s="17"/>
      <c r="Y95" s="17"/>
      <c r="Z95" s="17"/>
    </row>
    <row r="96" ht="12.75" customHeight="1">
      <c r="A96" s="28"/>
      <c r="B96" s="28"/>
      <c r="C96" s="28"/>
      <c r="D96" s="30"/>
      <c r="E96" s="32"/>
      <c r="F96" s="30"/>
      <c r="G96" s="30"/>
      <c r="H96" s="30"/>
      <c r="I96" s="17"/>
      <c r="J96" s="17"/>
      <c r="K96" s="17"/>
      <c r="L96" s="17"/>
      <c r="M96" s="17"/>
      <c r="N96" s="17"/>
      <c r="O96" s="17"/>
      <c r="P96" s="17"/>
      <c r="Q96" s="17"/>
      <c r="R96" s="17"/>
      <c r="S96" s="17"/>
      <c r="T96" s="17"/>
      <c r="U96" s="17"/>
      <c r="V96" s="17"/>
      <c r="W96" s="17"/>
      <c r="X96" s="17"/>
      <c r="Y96" s="17"/>
      <c r="Z96" s="17"/>
    </row>
    <row r="97" ht="12.75" customHeight="1">
      <c r="A97" s="28"/>
      <c r="B97" s="28"/>
      <c r="C97" s="28"/>
      <c r="D97" s="30"/>
      <c r="E97" s="32"/>
      <c r="F97" s="30"/>
      <c r="G97" s="30"/>
      <c r="H97" s="30"/>
      <c r="I97" s="17"/>
      <c r="J97" s="17"/>
      <c r="K97" s="17"/>
      <c r="L97" s="17"/>
      <c r="M97" s="17"/>
      <c r="N97" s="17"/>
      <c r="O97" s="17"/>
      <c r="P97" s="17"/>
      <c r="Q97" s="17"/>
      <c r="R97" s="17"/>
      <c r="S97" s="17"/>
      <c r="T97" s="17"/>
      <c r="U97" s="17"/>
      <c r="V97" s="17"/>
      <c r="W97" s="17"/>
      <c r="X97" s="17"/>
      <c r="Y97" s="17"/>
      <c r="Z97" s="17"/>
    </row>
    <row r="98" ht="12.75" customHeight="1">
      <c r="A98" s="28"/>
      <c r="B98" s="28"/>
      <c r="C98" s="28"/>
      <c r="D98" s="30"/>
      <c r="E98" s="32"/>
      <c r="F98" s="30"/>
      <c r="G98" s="30"/>
      <c r="H98" s="30"/>
      <c r="I98" s="17"/>
      <c r="J98" s="17"/>
      <c r="K98" s="17"/>
      <c r="L98" s="17"/>
      <c r="M98" s="17"/>
      <c r="N98" s="17"/>
      <c r="O98" s="17"/>
      <c r="P98" s="17"/>
      <c r="Q98" s="17"/>
      <c r="R98" s="17"/>
      <c r="S98" s="17"/>
      <c r="T98" s="17"/>
      <c r="U98" s="17"/>
      <c r="V98" s="17"/>
      <c r="W98" s="17"/>
      <c r="X98" s="17"/>
      <c r="Y98" s="17"/>
      <c r="Z98" s="17"/>
    </row>
    <row r="99" ht="12.75" customHeight="1">
      <c r="A99" s="28"/>
      <c r="B99" s="28"/>
      <c r="C99" s="28"/>
      <c r="D99" s="30"/>
      <c r="E99" s="32"/>
      <c r="F99" s="30"/>
      <c r="G99" s="30"/>
      <c r="H99" s="30"/>
      <c r="I99" s="17"/>
      <c r="J99" s="17"/>
      <c r="K99" s="17"/>
      <c r="L99" s="17"/>
      <c r="M99" s="17"/>
      <c r="N99" s="17"/>
      <c r="O99" s="17"/>
      <c r="P99" s="17"/>
      <c r="Q99" s="17"/>
      <c r="R99" s="17"/>
      <c r="S99" s="17"/>
      <c r="T99" s="17"/>
      <c r="U99" s="17"/>
      <c r="V99" s="17"/>
      <c r="W99" s="17"/>
      <c r="X99" s="17"/>
      <c r="Y99" s="17"/>
      <c r="Z99" s="17"/>
    </row>
    <row r="100" ht="12.75" customHeight="1">
      <c r="A100" s="28"/>
      <c r="B100" s="28"/>
      <c r="C100" s="28"/>
      <c r="D100" s="30"/>
      <c r="E100" s="32"/>
      <c r="F100" s="30"/>
      <c r="G100" s="30"/>
      <c r="H100" s="30"/>
      <c r="I100" s="17"/>
      <c r="J100" s="17"/>
      <c r="K100" s="17"/>
      <c r="L100" s="17"/>
      <c r="M100" s="17"/>
      <c r="N100" s="17"/>
      <c r="O100" s="17"/>
      <c r="P100" s="17"/>
      <c r="Q100" s="17"/>
      <c r="R100" s="17"/>
      <c r="S100" s="17"/>
      <c r="T100" s="17"/>
      <c r="U100" s="17"/>
      <c r="V100" s="17"/>
      <c r="W100" s="17"/>
      <c r="X100" s="17"/>
      <c r="Y100" s="17"/>
      <c r="Z100" s="17"/>
    </row>
    <row r="101" ht="12.75" customHeight="1">
      <c r="A101" s="28"/>
      <c r="B101" s="28"/>
      <c r="C101" s="28"/>
      <c r="D101" s="30"/>
      <c r="E101" s="32"/>
      <c r="F101" s="30"/>
      <c r="G101" s="30"/>
      <c r="H101" s="30"/>
      <c r="I101" s="17"/>
      <c r="J101" s="17"/>
      <c r="K101" s="17"/>
      <c r="L101" s="17"/>
      <c r="M101" s="17"/>
      <c r="N101" s="17"/>
      <c r="O101" s="17"/>
      <c r="P101" s="17"/>
      <c r="Q101" s="17"/>
      <c r="R101" s="17"/>
      <c r="S101" s="17"/>
      <c r="T101" s="17"/>
      <c r="U101" s="17"/>
      <c r="V101" s="17"/>
      <c r="W101" s="17"/>
      <c r="X101" s="17"/>
      <c r="Y101" s="17"/>
      <c r="Z101" s="17"/>
    </row>
    <row r="102" ht="12.75" customHeight="1">
      <c r="A102" s="28"/>
      <c r="B102" s="28"/>
      <c r="C102" s="28"/>
      <c r="D102" s="30"/>
      <c r="E102" s="32"/>
      <c r="F102" s="30"/>
      <c r="G102" s="30"/>
      <c r="H102" s="30"/>
      <c r="I102" s="17"/>
      <c r="J102" s="17"/>
      <c r="K102" s="17"/>
      <c r="L102" s="17"/>
      <c r="M102" s="17"/>
      <c r="N102" s="17"/>
      <c r="O102" s="17"/>
      <c r="P102" s="17"/>
      <c r="Q102" s="17"/>
      <c r="R102" s="17"/>
      <c r="S102" s="17"/>
      <c r="T102" s="17"/>
      <c r="U102" s="17"/>
      <c r="V102" s="17"/>
      <c r="W102" s="17"/>
      <c r="X102" s="17"/>
      <c r="Y102" s="17"/>
      <c r="Z102" s="17"/>
    </row>
    <row r="103" ht="12.75" customHeight="1">
      <c r="A103" s="28"/>
      <c r="B103" s="28"/>
      <c r="C103" s="28"/>
      <c r="D103" s="30"/>
      <c r="E103" s="32"/>
      <c r="F103" s="30"/>
      <c r="G103" s="30"/>
      <c r="H103" s="30"/>
      <c r="I103" s="17"/>
      <c r="J103" s="17"/>
      <c r="K103" s="17"/>
      <c r="L103" s="17"/>
      <c r="M103" s="17"/>
      <c r="N103" s="17"/>
      <c r="O103" s="17"/>
      <c r="P103" s="17"/>
      <c r="Q103" s="17"/>
      <c r="R103" s="17"/>
      <c r="S103" s="17"/>
      <c r="T103" s="17"/>
      <c r="U103" s="17"/>
      <c r="V103" s="17"/>
      <c r="W103" s="17"/>
      <c r="X103" s="17"/>
      <c r="Y103" s="17"/>
      <c r="Z103" s="17"/>
    </row>
    <row r="104" ht="12.75" customHeight="1">
      <c r="A104" s="28"/>
      <c r="B104" s="28"/>
      <c r="C104" s="28"/>
      <c r="D104" s="30"/>
      <c r="E104" s="32"/>
      <c r="F104" s="30"/>
      <c r="G104" s="30"/>
      <c r="H104" s="30"/>
      <c r="I104" s="17"/>
      <c r="J104" s="17"/>
      <c r="K104" s="17"/>
      <c r="L104" s="17"/>
      <c r="M104" s="17"/>
      <c r="N104" s="17"/>
      <c r="O104" s="17"/>
      <c r="P104" s="17"/>
      <c r="Q104" s="17"/>
      <c r="R104" s="17"/>
      <c r="S104" s="17"/>
      <c r="T104" s="17"/>
      <c r="U104" s="17"/>
      <c r="V104" s="17"/>
      <c r="W104" s="17"/>
      <c r="X104" s="17"/>
      <c r="Y104" s="17"/>
      <c r="Z104" s="17"/>
    </row>
    <row r="105" ht="12.75" customHeight="1">
      <c r="A105" s="28"/>
      <c r="B105" s="28"/>
      <c r="C105" s="28"/>
      <c r="D105" s="30"/>
      <c r="E105" s="32"/>
      <c r="F105" s="30"/>
      <c r="G105" s="30"/>
      <c r="H105" s="30"/>
      <c r="I105" s="17"/>
      <c r="J105" s="17"/>
      <c r="K105" s="17"/>
      <c r="L105" s="17"/>
      <c r="M105" s="17"/>
      <c r="N105" s="17"/>
      <c r="O105" s="17"/>
      <c r="P105" s="17"/>
      <c r="Q105" s="17"/>
      <c r="R105" s="17"/>
      <c r="S105" s="17"/>
      <c r="T105" s="17"/>
      <c r="U105" s="17"/>
      <c r="V105" s="17"/>
      <c r="W105" s="17"/>
      <c r="X105" s="17"/>
      <c r="Y105" s="17"/>
      <c r="Z105" s="17"/>
    </row>
    <row r="106" ht="12.75" customHeight="1">
      <c r="A106" s="28"/>
      <c r="B106" s="28"/>
      <c r="C106" s="28"/>
      <c r="D106" s="30"/>
      <c r="E106" s="32"/>
      <c r="F106" s="30"/>
      <c r="G106" s="30"/>
      <c r="H106" s="30"/>
      <c r="I106" s="17"/>
      <c r="J106" s="17"/>
      <c r="K106" s="17"/>
      <c r="L106" s="17"/>
      <c r="M106" s="17"/>
      <c r="N106" s="17"/>
      <c r="O106" s="17"/>
      <c r="P106" s="17"/>
      <c r="Q106" s="17"/>
      <c r="R106" s="17"/>
      <c r="S106" s="17"/>
      <c r="T106" s="17"/>
      <c r="U106" s="17"/>
      <c r="V106" s="17"/>
      <c r="W106" s="17"/>
      <c r="X106" s="17"/>
      <c r="Y106" s="17"/>
      <c r="Z106" s="17"/>
    </row>
    <row r="107" ht="12.75" customHeight="1">
      <c r="A107" s="28"/>
      <c r="B107" s="28"/>
      <c r="C107" s="28"/>
      <c r="D107" s="30"/>
      <c r="E107" s="32"/>
      <c r="F107" s="30"/>
      <c r="G107" s="30"/>
      <c r="H107" s="30"/>
      <c r="I107" s="17"/>
      <c r="J107" s="17"/>
      <c r="K107" s="17"/>
      <c r="L107" s="17"/>
      <c r="M107" s="17"/>
      <c r="N107" s="17"/>
      <c r="O107" s="17"/>
      <c r="P107" s="17"/>
      <c r="Q107" s="17"/>
      <c r="R107" s="17"/>
      <c r="S107" s="17"/>
      <c r="T107" s="17"/>
      <c r="U107" s="17"/>
      <c r="V107" s="17"/>
      <c r="W107" s="17"/>
      <c r="X107" s="17"/>
      <c r="Y107" s="17"/>
      <c r="Z107" s="17"/>
    </row>
    <row r="108" ht="12.75" customHeight="1">
      <c r="A108" s="28"/>
      <c r="B108" s="28"/>
      <c r="C108" s="28"/>
      <c r="D108" s="30"/>
      <c r="E108" s="32"/>
      <c r="F108" s="30"/>
      <c r="G108" s="30"/>
      <c r="H108" s="30"/>
      <c r="I108" s="17"/>
      <c r="J108" s="17"/>
      <c r="K108" s="17"/>
      <c r="L108" s="17"/>
      <c r="M108" s="17"/>
      <c r="N108" s="17"/>
      <c r="O108" s="17"/>
      <c r="P108" s="17"/>
      <c r="Q108" s="17"/>
      <c r="R108" s="17"/>
      <c r="S108" s="17"/>
      <c r="T108" s="17"/>
      <c r="U108" s="17"/>
      <c r="V108" s="17"/>
      <c r="W108" s="17"/>
      <c r="X108" s="17"/>
      <c r="Y108" s="17"/>
      <c r="Z108" s="17"/>
    </row>
    <row r="109" ht="12.75" customHeight="1">
      <c r="A109" s="28"/>
      <c r="B109" s="28"/>
      <c r="C109" s="28"/>
      <c r="D109" s="30"/>
      <c r="E109" s="32"/>
      <c r="F109" s="30"/>
      <c r="G109" s="30"/>
      <c r="H109" s="30"/>
      <c r="I109" s="17"/>
      <c r="J109" s="17"/>
      <c r="K109" s="17"/>
      <c r="L109" s="17"/>
      <c r="M109" s="17"/>
      <c r="N109" s="17"/>
      <c r="O109" s="17"/>
      <c r="P109" s="17"/>
      <c r="Q109" s="17"/>
      <c r="R109" s="17"/>
      <c r="S109" s="17"/>
      <c r="T109" s="17"/>
      <c r="U109" s="17"/>
      <c r="V109" s="17"/>
      <c r="W109" s="17"/>
      <c r="X109" s="17"/>
      <c r="Y109" s="17"/>
      <c r="Z109" s="17"/>
    </row>
    <row r="110" ht="12.75" customHeight="1">
      <c r="A110" s="28"/>
      <c r="B110" s="28"/>
      <c r="C110" s="28"/>
      <c r="D110" s="30"/>
      <c r="E110" s="32"/>
      <c r="F110" s="30"/>
      <c r="G110" s="30"/>
      <c r="H110" s="30"/>
      <c r="I110" s="17"/>
      <c r="J110" s="17"/>
      <c r="K110" s="17"/>
      <c r="L110" s="17"/>
      <c r="M110" s="17"/>
      <c r="N110" s="17"/>
      <c r="O110" s="17"/>
      <c r="P110" s="17"/>
      <c r="Q110" s="17"/>
      <c r="R110" s="17"/>
      <c r="S110" s="17"/>
      <c r="T110" s="17"/>
      <c r="U110" s="17"/>
      <c r="V110" s="17"/>
      <c r="W110" s="17"/>
      <c r="X110" s="17"/>
      <c r="Y110" s="17"/>
      <c r="Z110" s="17"/>
    </row>
    <row r="111" ht="12.75" customHeight="1">
      <c r="A111" s="28"/>
      <c r="B111" s="28"/>
      <c r="C111" s="28"/>
      <c r="D111" s="30"/>
      <c r="E111" s="32"/>
      <c r="F111" s="30"/>
      <c r="G111" s="30"/>
      <c r="H111" s="30"/>
      <c r="I111" s="17"/>
      <c r="J111" s="17"/>
      <c r="K111" s="17"/>
      <c r="L111" s="17"/>
      <c r="M111" s="17"/>
      <c r="N111" s="17"/>
      <c r="O111" s="17"/>
      <c r="P111" s="17"/>
      <c r="Q111" s="17"/>
      <c r="R111" s="17"/>
      <c r="S111" s="17"/>
      <c r="T111" s="17"/>
      <c r="U111" s="17"/>
      <c r="V111" s="17"/>
      <c r="W111" s="17"/>
      <c r="X111" s="17"/>
      <c r="Y111" s="17"/>
      <c r="Z111" s="17"/>
    </row>
    <row r="112" ht="12.75" customHeight="1">
      <c r="A112" s="28"/>
      <c r="B112" s="28"/>
      <c r="C112" s="28"/>
      <c r="D112" s="30"/>
      <c r="E112" s="32"/>
      <c r="F112" s="30"/>
      <c r="G112" s="30"/>
      <c r="H112" s="30"/>
      <c r="I112" s="17"/>
      <c r="J112" s="17"/>
      <c r="K112" s="17"/>
      <c r="L112" s="17"/>
      <c r="M112" s="17"/>
      <c r="N112" s="17"/>
      <c r="O112" s="17"/>
      <c r="P112" s="17"/>
      <c r="Q112" s="17"/>
      <c r="R112" s="17"/>
      <c r="S112" s="17"/>
      <c r="T112" s="17"/>
      <c r="U112" s="17"/>
      <c r="V112" s="17"/>
      <c r="W112" s="17"/>
      <c r="X112" s="17"/>
      <c r="Y112" s="17"/>
      <c r="Z112" s="17"/>
    </row>
    <row r="113" ht="12.75" customHeight="1">
      <c r="A113" s="28"/>
      <c r="B113" s="28"/>
      <c r="C113" s="28"/>
      <c r="D113" s="30"/>
      <c r="E113" s="32"/>
      <c r="F113" s="30"/>
      <c r="G113" s="30"/>
      <c r="H113" s="30"/>
      <c r="I113" s="17"/>
      <c r="J113" s="17"/>
      <c r="K113" s="17"/>
      <c r="L113" s="17"/>
      <c r="M113" s="17"/>
      <c r="N113" s="17"/>
      <c r="O113" s="17"/>
      <c r="P113" s="17"/>
      <c r="Q113" s="17"/>
      <c r="R113" s="17"/>
      <c r="S113" s="17"/>
      <c r="T113" s="17"/>
      <c r="U113" s="17"/>
      <c r="V113" s="17"/>
      <c r="W113" s="17"/>
      <c r="X113" s="17"/>
      <c r="Y113" s="17"/>
      <c r="Z113" s="17"/>
    </row>
    <row r="114" ht="12.75" customHeight="1">
      <c r="A114" s="28"/>
      <c r="B114" s="28"/>
      <c r="C114" s="28"/>
      <c r="D114" s="30"/>
      <c r="E114" s="32"/>
      <c r="F114" s="30"/>
      <c r="G114" s="30"/>
      <c r="H114" s="30"/>
      <c r="I114" s="17"/>
      <c r="J114" s="17"/>
      <c r="K114" s="17"/>
      <c r="L114" s="17"/>
      <c r="M114" s="17"/>
      <c r="N114" s="17"/>
      <c r="O114" s="17"/>
      <c r="P114" s="17"/>
      <c r="Q114" s="17"/>
      <c r="R114" s="17"/>
      <c r="S114" s="17"/>
      <c r="T114" s="17"/>
      <c r="U114" s="17"/>
      <c r="V114" s="17"/>
      <c r="W114" s="17"/>
      <c r="X114" s="17"/>
      <c r="Y114" s="17"/>
      <c r="Z114" s="17"/>
    </row>
    <row r="115" ht="12.75" customHeight="1">
      <c r="A115" s="28"/>
      <c r="B115" s="28"/>
      <c r="C115" s="28"/>
      <c r="D115" s="30"/>
      <c r="E115" s="32"/>
      <c r="F115" s="30"/>
      <c r="G115" s="30"/>
      <c r="H115" s="30"/>
      <c r="I115" s="17"/>
      <c r="J115" s="17"/>
      <c r="K115" s="17"/>
      <c r="L115" s="17"/>
      <c r="M115" s="17"/>
      <c r="N115" s="17"/>
      <c r="O115" s="17"/>
      <c r="P115" s="17"/>
      <c r="Q115" s="17"/>
      <c r="R115" s="17"/>
      <c r="S115" s="17"/>
      <c r="T115" s="17"/>
      <c r="U115" s="17"/>
      <c r="V115" s="17"/>
      <c r="W115" s="17"/>
      <c r="X115" s="17"/>
      <c r="Y115" s="17"/>
      <c r="Z115" s="17"/>
    </row>
    <row r="116" ht="12.75" customHeight="1">
      <c r="A116" s="28"/>
      <c r="B116" s="28"/>
      <c r="C116" s="28"/>
      <c r="D116" s="30"/>
      <c r="E116" s="32"/>
      <c r="F116" s="30"/>
      <c r="G116" s="30"/>
      <c r="H116" s="30"/>
      <c r="I116" s="17"/>
      <c r="J116" s="17"/>
      <c r="K116" s="17"/>
      <c r="L116" s="17"/>
      <c r="M116" s="17"/>
      <c r="N116" s="17"/>
      <c r="O116" s="17"/>
      <c r="P116" s="17"/>
      <c r="Q116" s="17"/>
      <c r="R116" s="17"/>
      <c r="S116" s="17"/>
      <c r="T116" s="17"/>
      <c r="U116" s="17"/>
      <c r="V116" s="17"/>
      <c r="W116" s="17"/>
      <c r="X116" s="17"/>
      <c r="Y116" s="17"/>
      <c r="Z116" s="17"/>
    </row>
    <row r="117" ht="12.75" customHeight="1">
      <c r="A117" s="28"/>
      <c r="B117" s="28"/>
      <c r="C117" s="28"/>
      <c r="D117" s="30"/>
      <c r="E117" s="32"/>
      <c r="F117" s="30"/>
      <c r="G117" s="30"/>
      <c r="H117" s="30"/>
      <c r="I117" s="17"/>
      <c r="J117" s="17"/>
      <c r="K117" s="17"/>
      <c r="L117" s="17"/>
      <c r="M117" s="17"/>
      <c r="N117" s="17"/>
      <c r="O117" s="17"/>
      <c r="P117" s="17"/>
      <c r="Q117" s="17"/>
      <c r="R117" s="17"/>
      <c r="S117" s="17"/>
      <c r="T117" s="17"/>
      <c r="U117" s="17"/>
      <c r="V117" s="17"/>
      <c r="W117" s="17"/>
      <c r="X117" s="17"/>
      <c r="Y117" s="17"/>
      <c r="Z117" s="17"/>
    </row>
    <row r="118" ht="12.75" customHeight="1">
      <c r="A118" s="28"/>
      <c r="B118" s="28"/>
      <c r="C118" s="28"/>
      <c r="D118" s="30"/>
      <c r="E118" s="32"/>
      <c r="F118" s="30"/>
      <c r="G118" s="30"/>
      <c r="H118" s="30"/>
      <c r="I118" s="17"/>
      <c r="J118" s="17"/>
      <c r="K118" s="17"/>
      <c r="L118" s="17"/>
      <c r="M118" s="17"/>
      <c r="N118" s="17"/>
      <c r="O118" s="17"/>
      <c r="P118" s="17"/>
      <c r="Q118" s="17"/>
      <c r="R118" s="17"/>
      <c r="S118" s="17"/>
      <c r="T118" s="17"/>
      <c r="U118" s="17"/>
      <c r="V118" s="17"/>
      <c r="W118" s="17"/>
      <c r="X118" s="17"/>
      <c r="Y118" s="17"/>
      <c r="Z118" s="17"/>
    </row>
    <row r="119" ht="12.75" customHeight="1">
      <c r="A119" s="28"/>
      <c r="B119" s="28"/>
      <c r="C119" s="28"/>
      <c r="D119" s="30"/>
      <c r="E119" s="32"/>
      <c r="F119" s="30"/>
      <c r="G119" s="30"/>
      <c r="H119" s="30"/>
      <c r="I119" s="17"/>
      <c r="J119" s="17"/>
      <c r="K119" s="17"/>
      <c r="L119" s="17"/>
      <c r="M119" s="17"/>
      <c r="N119" s="17"/>
      <c r="O119" s="17"/>
      <c r="P119" s="17"/>
      <c r="Q119" s="17"/>
      <c r="R119" s="17"/>
      <c r="S119" s="17"/>
      <c r="T119" s="17"/>
      <c r="U119" s="17"/>
      <c r="V119" s="17"/>
      <c r="W119" s="17"/>
      <c r="X119" s="17"/>
      <c r="Y119" s="17"/>
      <c r="Z119" s="17"/>
    </row>
    <row r="120" ht="12.75" customHeight="1">
      <c r="A120" s="28"/>
      <c r="B120" s="28"/>
      <c r="C120" s="28"/>
      <c r="D120" s="30"/>
      <c r="E120" s="32"/>
      <c r="F120" s="30"/>
      <c r="G120" s="30"/>
      <c r="H120" s="30"/>
      <c r="I120" s="17"/>
      <c r="J120" s="17"/>
      <c r="K120" s="17"/>
      <c r="L120" s="17"/>
      <c r="M120" s="17"/>
      <c r="N120" s="17"/>
      <c r="O120" s="17"/>
      <c r="P120" s="17"/>
      <c r="Q120" s="17"/>
      <c r="R120" s="17"/>
      <c r="S120" s="17"/>
      <c r="T120" s="17"/>
      <c r="U120" s="17"/>
      <c r="V120" s="17"/>
      <c r="W120" s="17"/>
      <c r="X120" s="17"/>
      <c r="Y120" s="17"/>
      <c r="Z120" s="17"/>
    </row>
    <row r="121" ht="12.75" customHeight="1">
      <c r="A121" s="28"/>
      <c r="B121" s="28"/>
      <c r="C121" s="28"/>
      <c r="D121" s="30"/>
      <c r="E121" s="32"/>
      <c r="F121" s="30"/>
      <c r="G121" s="30"/>
      <c r="H121" s="30"/>
      <c r="I121" s="17"/>
      <c r="J121" s="17"/>
      <c r="K121" s="17"/>
      <c r="L121" s="17"/>
      <c r="M121" s="17"/>
      <c r="N121" s="17"/>
      <c r="O121" s="17"/>
      <c r="P121" s="17"/>
      <c r="Q121" s="17"/>
      <c r="R121" s="17"/>
      <c r="S121" s="17"/>
      <c r="T121" s="17"/>
      <c r="U121" s="17"/>
      <c r="V121" s="17"/>
      <c r="W121" s="17"/>
      <c r="X121" s="17"/>
      <c r="Y121" s="17"/>
      <c r="Z121" s="17"/>
    </row>
    <row r="122" ht="12.75" customHeight="1">
      <c r="A122" s="28"/>
      <c r="B122" s="28"/>
      <c r="C122" s="28"/>
      <c r="D122" s="30"/>
      <c r="E122" s="32"/>
      <c r="F122" s="30"/>
      <c r="G122" s="30"/>
      <c r="H122" s="30"/>
      <c r="I122" s="17"/>
      <c r="J122" s="17"/>
      <c r="K122" s="17"/>
      <c r="L122" s="17"/>
      <c r="M122" s="17"/>
      <c r="N122" s="17"/>
      <c r="O122" s="17"/>
      <c r="P122" s="17"/>
      <c r="Q122" s="17"/>
      <c r="R122" s="17"/>
      <c r="S122" s="17"/>
      <c r="T122" s="17"/>
      <c r="U122" s="17"/>
      <c r="V122" s="17"/>
      <c r="W122" s="17"/>
      <c r="X122" s="17"/>
      <c r="Y122" s="17"/>
      <c r="Z122" s="17"/>
    </row>
    <row r="123" ht="12.75" customHeight="1">
      <c r="A123" s="28"/>
      <c r="B123" s="28"/>
      <c r="C123" s="28"/>
      <c r="D123" s="30"/>
      <c r="E123" s="32"/>
      <c r="F123" s="30"/>
      <c r="G123" s="30"/>
      <c r="H123" s="30"/>
      <c r="I123" s="17"/>
      <c r="J123" s="17"/>
      <c r="K123" s="17"/>
      <c r="L123" s="17"/>
      <c r="M123" s="17"/>
      <c r="N123" s="17"/>
      <c r="O123" s="17"/>
      <c r="P123" s="17"/>
      <c r="Q123" s="17"/>
      <c r="R123" s="17"/>
      <c r="S123" s="17"/>
      <c r="T123" s="17"/>
      <c r="U123" s="17"/>
      <c r="V123" s="17"/>
      <c r="W123" s="17"/>
      <c r="X123" s="17"/>
      <c r="Y123" s="17"/>
      <c r="Z123" s="17"/>
    </row>
    <row r="124" ht="12.75" customHeight="1">
      <c r="A124" s="28"/>
      <c r="B124" s="28"/>
      <c r="C124" s="28"/>
      <c r="D124" s="30"/>
      <c r="E124" s="32"/>
      <c r="F124" s="30"/>
      <c r="G124" s="30"/>
      <c r="H124" s="30"/>
      <c r="I124" s="17"/>
      <c r="J124" s="17"/>
      <c r="K124" s="17"/>
      <c r="L124" s="17"/>
      <c r="M124" s="17"/>
      <c r="N124" s="17"/>
      <c r="O124" s="17"/>
      <c r="P124" s="17"/>
      <c r="Q124" s="17"/>
      <c r="R124" s="17"/>
      <c r="S124" s="17"/>
      <c r="T124" s="17"/>
      <c r="U124" s="17"/>
      <c r="V124" s="17"/>
      <c r="W124" s="17"/>
      <c r="X124" s="17"/>
      <c r="Y124" s="17"/>
      <c r="Z124" s="17"/>
    </row>
    <row r="125" ht="12.75" customHeight="1">
      <c r="A125" s="28"/>
      <c r="B125" s="28"/>
      <c r="C125" s="28"/>
      <c r="D125" s="30"/>
      <c r="E125" s="32"/>
      <c r="F125" s="30"/>
      <c r="G125" s="30"/>
      <c r="H125" s="30"/>
      <c r="I125" s="17"/>
      <c r="J125" s="17"/>
      <c r="K125" s="17"/>
      <c r="L125" s="17"/>
      <c r="M125" s="17"/>
      <c r="N125" s="17"/>
      <c r="O125" s="17"/>
      <c r="P125" s="17"/>
      <c r="Q125" s="17"/>
      <c r="R125" s="17"/>
      <c r="S125" s="17"/>
      <c r="T125" s="17"/>
      <c r="U125" s="17"/>
      <c r="V125" s="17"/>
      <c r="W125" s="17"/>
      <c r="X125" s="17"/>
      <c r="Y125" s="17"/>
      <c r="Z125" s="17"/>
    </row>
    <row r="126" ht="12.75" customHeight="1">
      <c r="A126" s="28"/>
      <c r="B126" s="28"/>
      <c r="C126" s="28"/>
      <c r="D126" s="30"/>
      <c r="E126" s="32"/>
      <c r="F126" s="30"/>
      <c r="G126" s="30"/>
      <c r="H126" s="30"/>
      <c r="I126" s="17"/>
      <c r="J126" s="17"/>
      <c r="K126" s="17"/>
      <c r="L126" s="17"/>
      <c r="M126" s="17"/>
      <c r="N126" s="17"/>
      <c r="O126" s="17"/>
      <c r="P126" s="17"/>
      <c r="Q126" s="17"/>
      <c r="R126" s="17"/>
      <c r="S126" s="17"/>
      <c r="T126" s="17"/>
      <c r="U126" s="17"/>
      <c r="V126" s="17"/>
      <c r="W126" s="17"/>
      <c r="X126" s="17"/>
      <c r="Y126" s="17"/>
      <c r="Z126" s="17"/>
    </row>
    <row r="127" ht="12.75" customHeight="1">
      <c r="A127" s="28"/>
      <c r="B127" s="28"/>
      <c r="C127" s="28"/>
      <c r="D127" s="30"/>
      <c r="E127" s="32"/>
      <c r="F127" s="30"/>
      <c r="G127" s="30"/>
      <c r="H127" s="30"/>
      <c r="I127" s="17"/>
      <c r="J127" s="17"/>
      <c r="K127" s="17"/>
      <c r="L127" s="17"/>
      <c r="M127" s="17"/>
      <c r="N127" s="17"/>
      <c r="O127" s="17"/>
      <c r="P127" s="17"/>
      <c r="Q127" s="17"/>
      <c r="R127" s="17"/>
      <c r="S127" s="17"/>
      <c r="T127" s="17"/>
      <c r="U127" s="17"/>
      <c r="V127" s="17"/>
      <c r="W127" s="17"/>
      <c r="X127" s="17"/>
      <c r="Y127" s="17"/>
      <c r="Z127" s="17"/>
    </row>
    <row r="128" ht="12.75" customHeight="1">
      <c r="A128" s="28"/>
      <c r="B128" s="28"/>
      <c r="C128" s="28"/>
      <c r="D128" s="30"/>
      <c r="E128" s="32"/>
      <c r="F128" s="30"/>
      <c r="G128" s="30"/>
      <c r="H128" s="30"/>
      <c r="I128" s="17"/>
      <c r="J128" s="17"/>
      <c r="K128" s="17"/>
      <c r="L128" s="17"/>
      <c r="M128" s="17"/>
      <c r="N128" s="17"/>
      <c r="O128" s="17"/>
      <c r="P128" s="17"/>
      <c r="Q128" s="17"/>
      <c r="R128" s="17"/>
      <c r="S128" s="17"/>
      <c r="T128" s="17"/>
      <c r="U128" s="17"/>
      <c r="V128" s="17"/>
      <c r="W128" s="17"/>
      <c r="X128" s="17"/>
      <c r="Y128" s="17"/>
      <c r="Z128" s="17"/>
    </row>
    <row r="129" ht="12.75" customHeight="1">
      <c r="A129" s="28"/>
      <c r="B129" s="28"/>
      <c r="C129" s="28"/>
      <c r="D129" s="30"/>
      <c r="E129" s="32"/>
      <c r="F129" s="30"/>
      <c r="G129" s="30"/>
      <c r="H129" s="30"/>
      <c r="I129" s="17"/>
      <c r="J129" s="17"/>
      <c r="K129" s="17"/>
      <c r="L129" s="17"/>
      <c r="M129" s="17"/>
      <c r="N129" s="17"/>
      <c r="O129" s="17"/>
      <c r="P129" s="17"/>
      <c r="Q129" s="17"/>
      <c r="R129" s="17"/>
      <c r="S129" s="17"/>
      <c r="T129" s="17"/>
      <c r="U129" s="17"/>
      <c r="V129" s="17"/>
      <c r="W129" s="17"/>
      <c r="X129" s="17"/>
      <c r="Y129" s="17"/>
      <c r="Z129" s="17"/>
    </row>
    <row r="130" ht="12.75" customHeight="1">
      <c r="A130" s="28"/>
      <c r="B130" s="28"/>
      <c r="C130" s="28"/>
      <c r="D130" s="30"/>
      <c r="E130" s="32"/>
      <c r="F130" s="30"/>
      <c r="G130" s="30"/>
      <c r="H130" s="30"/>
      <c r="I130" s="17"/>
      <c r="J130" s="17"/>
      <c r="K130" s="17"/>
      <c r="L130" s="17"/>
      <c r="M130" s="17"/>
      <c r="N130" s="17"/>
      <c r="O130" s="17"/>
      <c r="P130" s="17"/>
      <c r="Q130" s="17"/>
      <c r="R130" s="17"/>
      <c r="S130" s="17"/>
      <c r="T130" s="17"/>
      <c r="U130" s="17"/>
      <c r="V130" s="17"/>
      <c r="W130" s="17"/>
      <c r="X130" s="17"/>
      <c r="Y130" s="17"/>
      <c r="Z130" s="17"/>
    </row>
    <row r="131" ht="12.75" customHeight="1">
      <c r="A131" s="28"/>
      <c r="B131" s="28"/>
      <c r="C131" s="28"/>
      <c r="D131" s="30"/>
      <c r="E131" s="32"/>
      <c r="F131" s="30"/>
      <c r="G131" s="30"/>
      <c r="H131" s="30"/>
      <c r="I131" s="17"/>
      <c r="J131" s="17"/>
      <c r="K131" s="17"/>
      <c r="L131" s="17"/>
      <c r="M131" s="17"/>
      <c r="N131" s="17"/>
      <c r="O131" s="17"/>
      <c r="P131" s="17"/>
      <c r="Q131" s="17"/>
      <c r="R131" s="17"/>
      <c r="S131" s="17"/>
      <c r="T131" s="17"/>
      <c r="U131" s="17"/>
      <c r="V131" s="17"/>
      <c r="W131" s="17"/>
      <c r="X131" s="17"/>
      <c r="Y131" s="17"/>
      <c r="Z131" s="17"/>
    </row>
    <row r="132" ht="12.75" customHeight="1">
      <c r="A132" s="28"/>
      <c r="B132" s="28"/>
      <c r="C132" s="28"/>
      <c r="D132" s="30"/>
      <c r="E132" s="32"/>
      <c r="F132" s="30"/>
      <c r="G132" s="30"/>
      <c r="H132" s="30"/>
      <c r="I132" s="17"/>
      <c r="J132" s="17"/>
      <c r="K132" s="17"/>
      <c r="L132" s="17"/>
      <c r="M132" s="17"/>
      <c r="N132" s="17"/>
      <c r="O132" s="17"/>
      <c r="P132" s="17"/>
      <c r="Q132" s="17"/>
      <c r="R132" s="17"/>
      <c r="S132" s="17"/>
      <c r="T132" s="17"/>
      <c r="U132" s="17"/>
      <c r="V132" s="17"/>
      <c r="W132" s="17"/>
      <c r="X132" s="17"/>
      <c r="Y132" s="17"/>
      <c r="Z132" s="17"/>
    </row>
    <row r="133" ht="12.75" customHeight="1">
      <c r="A133" s="28"/>
      <c r="B133" s="28"/>
      <c r="C133" s="28"/>
      <c r="D133" s="30"/>
      <c r="E133" s="32"/>
      <c r="F133" s="30"/>
      <c r="G133" s="30"/>
      <c r="H133" s="30"/>
      <c r="I133" s="17"/>
      <c r="J133" s="17"/>
      <c r="K133" s="17"/>
      <c r="L133" s="17"/>
      <c r="M133" s="17"/>
      <c r="N133" s="17"/>
      <c r="O133" s="17"/>
      <c r="P133" s="17"/>
      <c r="Q133" s="17"/>
      <c r="R133" s="17"/>
      <c r="S133" s="17"/>
      <c r="T133" s="17"/>
      <c r="U133" s="17"/>
      <c r="V133" s="17"/>
      <c r="W133" s="17"/>
      <c r="X133" s="17"/>
      <c r="Y133" s="17"/>
      <c r="Z133" s="17"/>
    </row>
    <row r="134" ht="12.75" customHeight="1">
      <c r="A134" s="28"/>
      <c r="B134" s="28"/>
      <c r="C134" s="28"/>
      <c r="D134" s="30"/>
      <c r="E134" s="32"/>
      <c r="F134" s="30"/>
      <c r="G134" s="30"/>
      <c r="H134" s="30"/>
      <c r="I134" s="17"/>
      <c r="J134" s="17"/>
      <c r="K134" s="17"/>
      <c r="L134" s="17"/>
      <c r="M134" s="17"/>
      <c r="N134" s="17"/>
      <c r="O134" s="17"/>
      <c r="P134" s="17"/>
      <c r="Q134" s="17"/>
      <c r="R134" s="17"/>
      <c r="S134" s="17"/>
      <c r="T134" s="17"/>
      <c r="U134" s="17"/>
      <c r="V134" s="17"/>
      <c r="W134" s="17"/>
      <c r="X134" s="17"/>
      <c r="Y134" s="17"/>
      <c r="Z134" s="17"/>
    </row>
    <row r="135" ht="12.75" customHeight="1">
      <c r="A135" s="28"/>
      <c r="B135" s="28"/>
      <c r="C135" s="28"/>
      <c r="D135" s="30"/>
      <c r="E135" s="32"/>
      <c r="F135" s="30"/>
      <c r="G135" s="30"/>
      <c r="H135" s="30"/>
      <c r="I135" s="17"/>
      <c r="J135" s="17"/>
      <c r="K135" s="17"/>
      <c r="L135" s="17"/>
      <c r="M135" s="17"/>
      <c r="N135" s="17"/>
      <c r="O135" s="17"/>
      <c r="P135" s="17"/>
      <c r="Q135" s="17"/>
      <c r="R135" s="17"/>
      <c r="S135" s="17"/>
      <c r="T135" s="17"/>
      <c r="U135" s="17"/>
      <c r="V135" s="17"/>
      <c r="W135" s="17"/>
      <c r="X135" s="17"/>
      <c r="Y135" s="17"/>
      <c r="Z135" s="17"/>
    </row>
    <row r="136" ht="12.75" customHeight="1">
      <c r="A136" s="28"/>
      <c r="B136" s="28"/>
      <c r="C136" s="28"/>
      <c r="D136" s="30"/>
      <c r="E136" s="32"/>
      <c r="F136" s="30"/>
      <c r="G136" s="30"/>
      <c r="H136" s="30"/>
      <c r="I136" s="17"/>
      <c r="J136" s="17"/>
      <c r="K136" s="17"/>
      <c r="L136" s="17"/>
      <c r="M136" s="17"/>
      <c r="N136" s="17"/>
      <c r="O136" s="17"/>
      <c r="P136" s="17"/>
      <c r="Q136" s="17"/>
      <c r="R136" s="17"/>
      <c r="S136" s="17"/>
      <c r="T136" s="17"/>
      <c r="U136" s="17"/>
      <c r="V136" s="17"/>
      <c r="W136" s="17"/>
      <c r="X136" s="17"/>
      <c r="Y136" s="17"/>
      <c r="Z136" s="17"/>
    </row>
    <row r="137" ht="12.75" customHeight="1">
      <c r="A137" s="28"/>
      <c r="B137" s="28"/>
      <c r="C137" s="28"/>
      <c r="D137" s="30"/>
      <c r="E137" s="32"/>
      <c r="F137" s="30"/>
      <c r="G137" s="30"/>
      <c r="H137" s="30"/>
      <c r="I137" s="17"/>
      <c r="J137" s="17"/>
      <c r="K137" s="17"/>
      <c r="L137" s="17"/>
      <c r="M137" s="17"/>
      <c r="N137" s="17"/>
      <c r="O137" s="17"/>
      <c r="P137" s="17"/>
      <c r="Q137" s="17"/>
      <c r="R137" s="17"/>
      <c r="S137" s="17"/>
      <c r="T137" s="17"/>
      <c r="U137" s="17"/>
      <c r="V137" s="17"/>
      <c r="W137" s="17"/>
      <c r="X137" s="17"/>
      <c r="Y137" s="17"/>
      <c r="Z137" s="17"/>
    </row>
    <row r="138" ht="12.75" customHeight="1">
      <c r="A138" s="28"/>
      <c r="B138" s="28"/>
      <c r="C138" s="28"/>
      <c r="D138" s="30"/>
      <c r="E138" s="32"/>
      <c r="F138" s="30"/>
      <c r="G138" s="30"/>
      <c r="H138" s="30"/>
      <c r="I138" s="17"/>
      <c r="J138" s="17"/>
      <c r="K138" s="17"/>
      <c r="L138" s="17"/>
      <c r="M138" s="17"/>
      <c r="N138" s="17"/>
      <c r="O138" s="17"/>
      <c r="P138" s="17"/>
      <c r="Q138" s="17"/>
      <c r="R138" s="17"/>
      <c r="S138" s="17"/>
      <c r="T138" s="17"/>
      <c r="U138" s="17"/>
      <c r="V138" s="17"/>
      <c r="W138" s="17"/>
      <c r="X138" s="17"/>
      <c r="Y138" s="17"/>
      <c r="Z138" s="17"/>
    </row>
    <row r="139" ht="12.75" customHeight="1">
      <c r="A139" s="28"/>
      <c r="B139" s="28"/>
      <c r="C139" s="28"/>
      <c r="D139" s="30"/>
      <c r="E139" s="32"/>
      <c r="F139" s="30"/>
      <c r="G139" s="30"/>
      <c r="H139" s="30"/>
      <c r="I139" s="17"/>
      <c r="J139" s="17"/>
      <c r="K139" s="17"/>
      <c r="L139" s="17"/>
      <c r="M139" s="17"/>
      <c r="N139" s="17"/>
      <c r="O139" s="17"/>
      <c r="P139" s="17"/>
      <c r="Q139" s="17"/>
      <c r="R139" s="17"/>
      <c r="S139" s="17"/>
      <c r="T139" s="17"/>
      <c r="U139" s="17"/>
      <c r="V139" s="17"/>
      <c r="W139" s="17"/>
      <c r="X139" s="17"/>
      <c r="Y139" s="17"/>
      <c r="Z139" s="17"/>
    </row>
    <row r="140" ht="12.75" customHeight="1">
      <c r="A140" s="28"/>
      <c r="B140" s="28"/>
      <c r="C140" s="28"/>
      <c r="D140" s="30"/>
      <c r="E140" s="32"/>
      <c r="F140" s="30"/>
      <c r="G140" s="30"/>
      <c r="H140" s="30"/>
      <c r="I140" s="17"/>
      <c r="J140" s="17"/>
      <c r="K140" s="17"/>
      <c r="L140" s="17"/>
      <c r="M140" s="17"/>
      <c r="N140" s="17"/>
      <c r="O140" s="17"/>
      <c r="P140" s="17"/>
      <c r="Q140" s="17"/>
      <c r="R140" s="17"/>
      <c r="S140" s="17"/>
      <c r="T140" s="17"/>
      <c r="U140" s="17"/>
      <c r="V140" s="17"/>
      <c r="W140" s="17"/>
      <c r="X140" s="17"/>
      <c r="Y140" s="17"/>
      <c r="Z140" s="17"/>
    </row>
    <row r="141" ht="12.75" customHeight="1">
      <c r="A141" s="28"/>
      <c r="B141" s="28"/>
      <c r="C141" s="28"/>
      <c r="D141" s="30"/>
      <c r="E141" s="32"/>
      <c r="F141" s="30"/>
      <c r="G141" s="30"/>
      <c r="H141" s="30"/>
      <c r="I141" s="17"/>
      <c r="J141" s="17"/>
      <c r="K141" s="17"/>
      <c r="L141" s="17"/>
      <c r="M141" s="17"/>
      <c r="N141" s="17"/>
      <c r="O141" s="17"/>
      <c r="P141" s="17"/>
      <c r="Q141" s="17"/>
      <c r="R141" s="17"/>
      <c r="S141" s="17"/>
      <c r="T141" s="17"/>
      <c r="U141" s="17"/>
      <c r="V141" s="17"/>
      <c r="W141" s="17"/>
      <c r="X141" s="17"/>
      <c r="Y141" s="17"/>
      <c r="Z141" s="17"/>
    </row>
    <row r="142" ht="12.75" customHeight="1">
      <c r="A142" s="28"/>
      <c r="B142" s="28"/>
      <c r="C142" s="28"/>
      <c r="D142" s="30"/>
      <c r="E142" s="32"/>
      <c r="F142" s="30"/>
      <c r="G142" s="30"/>
      <c r="H142" s="30"/>
      <c r="I142" s="17"/>
      <c r="J142" s="17"/>
      <c r="K142" s="17"/>
      <c r="L142" s="17"/>
      <c r="M142" s="17"/>
      <c r="N142" s="17"/>
      <c r="O142" s="17"/>
      <c r="P142" s="17"/>
      <c r="Q142" s="17"/>
      <c r="R142" s="17"/>
      <c r="S142" s="17"/>
      <c r="T142" s="17"/>
      <c r="U142" s="17"/>
      <c r="V142" s="17"/>
      <c r="W142" s="17"/>
      <c r="X142" s="17"/>
      <c r="Y142" s="17"/>
      <c r="Z142" s="17"/>
    </row>
    <row r="143" ht="12.75" customHeight="1">
      <c r="A143" s="28"/>
      <c r="B143" s="28"/>
      <c r="C143" s="28"/>
      <c r="D143" s="30"/>
      <c r="E143" s="32"/>
      <c r="F143" s="30"/>
      <c r="G143" s="30"/>
      <c r="H143" s="30"/>
      <c r="I143" s="17"/>
      <c r="J143" s="17"/>
      <c r="K143" s="17"/>
      <c r="L143" s="17"/>
      <c r="M143" s="17"/>
      <c r="N143" s="17"/>
      <c r="O143" s="17"/>
      <c r="P143" s="17"/>
      <c r="Q143" s="17"/>
      <c r="R143" s="17"/>
      <c r="S143" s="17"/>
      <c r="T143" s="17"/>
      <c r="U143" s="17"/>
      <c r="V143" s="17"/>
      <c r="W143" s="17"/>
      <c r="X143" s="17"/>
      <c r="Y143" s="17"/>
      <c r="Z143" s="17"/>
    </row>
    <row r="144" ht="12.75" customHeight="1">
      <c r="A144" s="28"/>
      <c r="B144" s="28"/>
      <c r="C144" s="28"/>
      <c r="D144" s="30"/>
      <c r="E144" s="32"/>
      <c r="F144" s="30"/>
      <c r="G144" s="30"/>
      <c r="H144" s="30"/>
      <c r="I144" s="17"/>
      <c r="J144" s="17"/>
      <c r="K144" s="17"/>
      <c r="L144" s="17"/>
      <c r="M144" s="17"/>
      <c r="N144" s="17"/>
      <c r="O144" s="17"/>
      <c r="P144" s="17"/>
      <c r="Q144" s="17"/>
      <c r="R144" s="17"/>
      <c r="S144" s="17"/>
      <c r="T144" s="17"/>
      <c r="U144" s="17"/>
      <c r="V144" s="17"/>
      <c r="W144" s="17"/>
      <c r="X144" s="17"/>
      <c r="Y144" s="17"/>
      <c r="Z144" s="17"/>
    </row>
    <row r="145" ht="12.75" customHeight="1">
      <c r="A145" s="28"/>
      <c r="B145" s="28"/>
      <c r="C145" s="28"/>
      <c r="D145" s="30"/>
      <c r="E145" s="32"/>
      <c r="F145" s="30"/>
      <c r="G145" s="30"/>
      <c r="H145" s="30"/>
      <c r="I145" s="17"/>
      <c r="J145" s="17"/>
      <c r="K145" s="17"/>
      <c r="L145" s="17"/>
      <c r="M145" s="17"/>
      <c r="N145" s="17"/>
      <c r="O145" s="17"/>
      <c r="P145" s="17"/>
      <c r="Q145" s="17"/>
      <c r="R145" s="17"/>
      <c r="S145" s="17"/>
      <c r="T145" s="17"/>
      <c r="U145" s="17"/>
      <c r="V145" s="17"/>
      <c r="W145" s="17"/>
      <c r="X145" s="17"/>
      <c r="Y145" s="17"/>
      <c r="Z145" s="17"/>
    </row>
    <row r="146" ht="12.75" customHeight="1">
      <c r="A146" s="28"/>
      <c r="B146" s="28"/>
      <c r="C146" s="28"/>
      <c r="D146" s="30"/>
      <c r="E146" s="32"/>
      <c r="F146" s="30"/>
      <c r="G146" s="30"/>
      <c r="H146" s="30"/>
      <c r="I146" s="17"/>
      <c r="J146" s="17"/>
      <c r="K146" s="17"/>
      <c r="L146" s="17"/>
      <c r="M146" s="17"/>
      <c r="N146" s="17"/>
      <c r="O146" s="17"/>
      <c r="P146" s="17"/>
      <c r="Q146" s="17"/>
      <c r="R146" s="17"/>
      <c r="S146" s="17"/>
      <c r="T146" s="17"/>
      <c r="U146" s="17"/>
      <c r="V146" s="17"/>
      <c r="W146" s="17"/>
      <c r="X146" s="17"/>
      <c r="Y146" s="17"/>
      <c r="Z146" s="17"/>
    </row>
    <row r="147" ht="12.75" customHeight="1">
      <c r="A147" s="28"/>
      <c r="B147" s="28"/>
      <c r="C147" s="28"/>
      <c r="D147" s="30"/>
      <c r="E147" s="32"/>
      <c r="F147" s="30"/>
      <c r="G147" s="30"/>
      <c r="H147" s="30"/>
      <c r="I147" s="17"/>
      <c r="J147" s="17"/>
      <c r="K147" s="17"/>
      <c r="L147" s="17"/>
      <c r="M147" s="17"/>
      <c r="N147" s="17"/>
      <c r="O147" s="17"/>
      <c r="P147" s="17"/>
      <c r="Q147" s="17"/>
      <c r="R147" s="17"/>
      <c r="S147" s="17"/>
      <c r="T147" s="17"/>
      <c r="U147" s="17"/>
      <c r="V147" s="17"/>
      <c r="W147" s="17"/>
      <c r="X147" s="17"/>
      <c r="Y147" s="17"/>
      <c r="Z147" s="17"/>
    </row>
    <row r="148" ht="12.75" customHeight="1">
      <c r="A148" s="28"/>
      <c r="B148" s="28"/>
      <c r="C148" s="28"/>
      <c r="D148" s="30"/>
      <c r="E148" s="32"/>
      <c r="F148" s="30"/>
      <c r="G148" s="30"/>
      <c r="H148" s="30"/>
      <c r="I148" s="17"/>
      <c r="J148" s="17"/>
      <c r="K148" s="17"/>
      <c r="L148" s="17"/>
      <c r="M148" s="17"/>
      <c r="N148" s="17"/>
      <c r="O148" s="17"/>
      <c r="P148" s="17"/>
      <c r="Q148" s="17"/>
      <c r="R148" s="17"/>
      <c r="S148" s="17"/>
      <c r="T148" s="17"/>
      <c r="U148" s="17"/>
      <c r="V148" s="17"/>
      <c r="W148" s="17"/>
      <c r="X148" s="17"/>
      <c r="Y148" s="17"/>
      <c r="Z148" s="17"/>
    </row>
    <row r="149" ht="12.75" customHeight="1">
      <c r="A149" s="28"/>
      <c r="B149" s="28"/>
      <c r="C149" s="28"/>
      <c r="D149" s="30"/>
      <c r="E149" s="32"/>
      <c r="F149" s="30"/>
      <c r="G149" s="30"/>
      <c r="H149" s="30"/>
      <c r="I149" s="17"/>
      <c r="J149" s="17"/>
      <c r="K149" s="17"/>
      <c r="L149" s="17"/>
      <c r="M149" s="17"/>
      <c r="N149" s="17"/>
      <c r="O149" s="17"/>
      <c r="P149" s="17"/>
      <c r="Q149" s="17"/>
      <c r="R149" s="17"/>
      <c r="S149" s="17"/>
      <c r="T149" s="17"/>
      <c r="U149" s="17"/>
      <c r="V149" s="17"/>
      <c r="W149" s="17"/>
      <c r="X149" s="17"/>
      <c r="Y149" s="17"/>
      <c r="Z149" s="17"/>
    </row>
    <row r="150" ht="12.75" customHeight="1">
      <c r="A150" s="28"/>
      <c r="B150" s="28"/>
      <c r="C150" s="28"/>
      <c r="D150" s="30"/>
      <c r="E150" s="32"/>
      <c r="F150" s="30"/>
      <c r="G150" s="30"/>
      <c r="H150" s="30"/>
      <c r="I150" s="17"/>
      <c r="J150" s="17"/>
      <c r="K150" s="17"/>
      <c r="L150" s="17"/>
      <c r="M150" s="17"/>
      <c r="N150" s="17"/>
      <c r="O150" s="17"/>
      <c r="P150" s="17"/>
      <c r="Q150" s="17"/>
      <c r="R150" s="17"/>
      <c r="S150" s="17"/>
      <c r="T150" s="17"/>
      <c r="U150" s="17"/>
      <c r="V150" s="17"/>
      <c r="W150" s="17"/>
      <c r="X150" s="17"/>
      <c r="Y150" s="17"/>
      <c r="Z150" s="17"/>
    </row>
    <row r="151" ht="12.75" customHeight="1">
      <c r="A151" s="28"/>
      <c r="B151" s="28"/>
      <c r="C151" s="28"/>
      <c r="D151" s="30"/>
      <c r="E151" s="32"/>
      <c r="F151" s="30"/>
      <c r="G151" s="30"/>
      <c r="H151" s="30"/>
      <c r="I151" s="17"/>
      <c r="J151" s="17"/>
      <c r="K151" s="17"/>
      <c r="L151" s="17"/>
      <c r="M151" s="17"/>
      <c r="N151" s="17"/>
      <c r="O151" s="17"/>
      <c r="P151" s="17"/>
      <c r="Q151" s="17"/>
      <c r="R151" s="17"/>
      <c r="S151" s="17"/>
      <c r="T151" s="17"/>
      <c r="U151" s="17"/>
      <c r="V151" s="17"/>
      <c r="W151" s="17"/>
      <c r="X151" s="17"/>
      <c r="Y151" s="17"/>
      <c r="Z151" s="17"/>
    </row>
    <row r="152" ht="12.75" customHeight="1">
      <c r="A152" s="28"/>
      <c r="B152" s="28"/>
      <c r="C152" s="28"/>
      <c r="D152" s="30"/>
      <c r="E152" s="32"/>
      <c r="F152" s="30"/>
      <c r="G152" s="30"/>
      <c r="H152" s="30"/>
      <c r="I152" s="17"/>
      <c r="J152" s="17"/>
      <c r="K152" s="17"/>
      <c r="L152" s="17"/>
      <c r="M152" s="17"/>
      <c r="N152" s="17"/>
      <c r="O152" s="17"/>
      <c r="P152" s="17"/>
      <c r="Q152" s="17"/>
      <c r="R152" s="17"/>
      <c r="S152" s="17"/>
      <c r="T152" s="17"/>
      <c r="U152" s="17"/>
      <c r="V152" s="17"/>
      <c r="W152" s="17"/>
      <c r="X152" s="17"/>
      <c r="Y152" s="17"/>
      <c r="Z152" s="17"/>
    </row>
    <row r="153" ht="12.75" customHeight="1">
      <c r="A153" s="28"/>
      <c r="B153" s="28"/>
      <c r="C153" s="28"/>
      <c r="D153" s="30"/>
      <c r="E153" s="32"/>
      <c r="F153" s="30"/>
      <c r="G153" s="30"/>
      <c r="H153" s="30"/>
      <c r="I153" s="17"/>
      <c r="J153" s="17"/>
      <c r="K153" s="17"/>
      <c r="L153" s="17"/>
      <c r="M153" s="17"/>
      <c r="N153" s="17"/>
      <c r="O153" s="17"/>
      <c r="P153" s="17"/>
      <c r="Q153" s="17"/>
      <c r="R153" s="17"/>
      <c r="S153" s="17"/>
      <c r="T153" s="17"/>
      <c r="U153" s="17"/>
      <c r="V153" s="17"/>
      <c r="W153" s="17"/>
      <c r="X153" s="17"/>
      <c r="Y153" s="17"/>
      <c r="Z153" s="17"/>
    </row>
    <row r="154" ht="12.75" customHeight="1">
      <c r="A154" s="28"/>
      <c r="B154" s="28"/>
      <c r="C154" s="28"/>
      <c r="D154" s="30"/>
      <c r="E154" s="32"/>
      <c r="F154" s="30"/>
      <c r="G154" s="30"/>
      <c r="H154" s="30"/>
      <c r="I154" s="17"/>
      <c r="J154" s="17"/>
      <c r="K154" s="17"/>
      <c r="L154" s="17"/>
      <c r="M154" s="17"/>
      <c r="N154" s="17"/>
      <c r="O154" s="17"/>
      <c r="P154" s="17"/>
      <c r="Q154" s="17"/>
      <c r="R154" s="17"/>
      <c r="S154" s="17"/>
      <c r="T154" s="17"/>
      <c r="U154" s="17"/>
      <c r="V154" s="17"/>
      <c r="W154" s="17"/>
      <c r="X154" s="17"/>
      <c r="Y154" s="17"/>
      <c r="Z154" s="17"/>
    </row>
    <row r="155" ht="12.75" customHeight="1">
      <c r="A155" s="28"/>
      <c r="B155" s="28"/>
      <c r="C155" s="28"/>
      <c r="D155" s="30"/>
      <c r="E155" s="32"/>
      <c r="F155" s="30"/>
      <c r="G155" s="30"/>
      <c r="H155" s="30"/>
      <c r="I155" s="17"/>
      <c r="J155" s="17"/>
      <c r="K155" s="17"/>
      <c r="L155" s="17"/>
      <c r="M155" s="17"/>
      <c r="N155" s="17"/>
      <c r="O155" s="17"/>
      <c r="P155" s="17"/>
      <c r="Q155" s="17"/>
      <c r="R155" s="17"/>
      <c r="S155" s="17"/>
      <c r="T155" s="17"/>
      <c r="U155" s="17"/>
      <c r="V155" s="17"/>
      <c r="W155" s="17"/>
      <c r="X155" s="17"/>
      <c r="Y155" s="17"/>
      <c r="Z155" s="17"/>
    </row>
    <row r="156" ht="12.75" customHeight="1">
      <c r="A156" s="28"/>
      <c r="B156" s="28"/>
      <c r="C156" s="28"/>
      <c r="D156" s="30"/>
      <c r="E156" s="32"/>
      <c r="F156" s="30"/>
      <c r="G156" s="30"/>
      <c r="H156" s="30"/>
      <c r="I156" s="17"/>
      <c r="J156" s="17"/>
      <c r="K156" s="17"/>
      <c r="L156" s="17"/>
      <c r="M156" s="17"/>
      <c r="N156" s="17"/>
      <c r="O156" s="17"/>
      <c r="P156" s="17"/>
      <c r="Q156" s="17"/>
      <c r="R156" s="17"/>
      <c r="S156" s="17"/>
      <c r="T156" s="17"/>
      <c r="U156" s="17"/>
      <c r="V156" s="17"/>
      <c r="W156" s="17"/>
      <c r="X156" s="17"/>
      <c r="Y156" s="17"/>
      <c r="Z156" s="17"/>
    </row>
    <row r="157" ht="12.75" customHeight="1">
      <c r="A157" s="28"/>
      <c r="B157" s="28"/>
      <c r="C157" s="28"/>
      <c r="D157" s="30"/>
      <c r="E157" s="32"/>
      <c r="F157" s="30"/>
      <c r="G157" s="30"/>
      <c r="H157" s="30"/>
      <c r="I157" s="17"/>
      <c r="J157" s="17"/>
      <c r="K157" s="17"/>
      <c r="L157" s="17"/>
      <c r="M157" s="17"/>
      <c r="N157" s="17"/>
      <c r="O157" s="17"/>
      <c r="P157" s="17"/>
      <c r="Q157" s="17"/>
      <c r="R157" s="17"/>
      <c r="S157" s="17"/>
      <c r="T157" s="17"/>
      <c r="U157" s="17"/>
      <c r="V157" s="17"/>
      <c r="W157" s="17"/>
      <c r="X157" s="17"/>
      <c r="Y157" s="17"/>
      <c r="Z157" s="17"/>
    </row>
    <row r="158" ht="12.75" customHeight="1">
      <c r="A158" s="28"/>
      <c r="B158" s="28"/>
      <c r="C158" s="28"/>
      <c r="D158" s="30"/>
      <c r="E158" s="32"/>
      <c r="F158" s="30"/>
      <c r="G158" s="30"/>
      <c r="H158" s="30"/>
      <c r="I158" s="17"/>
      <c r="J158" s="17"/>
      <c r="K158" s="17"/>
      <c r="L158" s="17"/>
      <c r="M158" s="17"/>
      <c r="N158" s="17"/>
      <c r="O158" s="17"/>
      <c r="P158" s="17"/>
      <c r="Q158" s="17"/>
      <c r="R158" s="17"/>
      <c r="S158" s="17"/>
      <c r="T158" s="17"/>
      <c r="U158" s="17"/>
      <c r="V158" s="17"/>
      <c r="W158" s="17"/>
      <c r="X158" s="17"/>
      <c r="Y158" s="17"/>
      <c r="Z158" s="17"/>
    </row>
    <row r="159" ht="12.75" customHeight="1">
      <c r="A159" s="28"/>
      <c r="B159" s="28"/>
      <c r="C159" s="28"/>
      <c r="D159" s="30"/>
      <c r="E159" s="32"/>
      <c r="F159" s="30"/>
      <c r="G159" s="30"/>
      <c r="H159" s="30"/>
      <c r="I159" s="17"/>
      <c r="J159" s="17"/>
      <c r="K159" s="17"/>
      <c r="L159" s="17"/>
      <c r="M159" s="17"/>
      <c r="N159" s="17"/>
      <c r="O159" s="17"/>
      <c r="P159" s="17"/>
      <c r="Q159" s="17"/>
      <c r="R159" s="17"/>
      <c r="S159" s="17"/>
      <c r="T159" s="17"/>
      <c r="U159" s="17"/>
      <c r="V159" s="17"/>
      <c r="W159" s="17"/>
      <c r="X159" s="17"/>
      <c r="Y159" s="17"/>
      <c r="Z159" s="17"/>
    </row>
    <row r="160" ht="12.75" customHeight="1">
      <c r="A160" s="28"/>
      <c r="B160" s="28"/>
      <c r="C160" s="28"/>
      <c r="D160" s="30"/>
      <c r="E160" s="32"/>
      <c r="F160" s="30"/>
      <c r="G160" s="30"/>
      <c r="H160" s="30"/>
      <c r="I160" s="17"/>
      <c r="J160" s="17"/>
      <c r="K160" s="17"/>
      <c r="L160" s="17"/>
      <c r="M160" s="17"/>
      <c r="N160" s="17"/>
      <c r="O160" s="17"/>
      <c r="P160" s="17"/>
      <c r="Q160" s="17"/>
      <c r="R160" s="17"/>
      <c r="S160" s="17"/>
      <c r="T160" s="17"/>
      <c r="U160" s="17"/>
      <c r="V160" s="17"/>
      <c r="W160" s="17"/>
      <c r="X160" s="17"/>
      <c r="Y160" s="17"/>
      <c r="Z160" s="17"/>
    </row>
    <row r="161" ht="12.75" customHeight="1">
      <c r="A161" s="28"/>
      <c r="B161" s="28"/>
      <c r="C161" s="28"/>
      <c r="D161" s="30"/>
      <c r="E161" s="32"/>
      <c r="F161" s="30"/>
      <c r="G161" s="30"/>
      <c r="H161" s="30"/>
      <c r="I161" s="17"/>
      <c r="J161" s="17"/>
      <c r="K161" s="17"/>
      <c r="L161" s="17"/>
      <c r="M161" s="17"/>
      <c r="N161" s="17"/>
      <c r="O161" s="17"/>
      <c r="P161" s="17"/>
      <c r="Q161" s="17"/>
      <c r="R161" s="17"/>
      <c r="S161" s="17"/>
      <c r="T161" s="17"/>
      <c r="U161" s="17"/>
      <c r="V161" s="17"/>
      <c r="W161" s="17"/>
      <c r="X161" s="17"/>
      <c r="Y161" s="17"/>
      <c r="Z161" s="17"/>
    </row>
    <row r="162" ht="12.75" customHeight="1">
      <c r="A162" s="28"/>
      <c r="B162" s="28"/>
      <c r="C162" s="28"/>
      <c r="D162" s="30"/>
      <c r="E162" s="32"/>
      <c r="F162" s="30"/>
      <c r="G162" s="30"/>
      <c r="H162" s="30"/>
      <c r="I162" s="17"/>
      <c r="J162" s="17"/>
      <c r="K162" s="17"/>
      <c r="L162" s="17"/>
      <c r="M162" s="17"/>
      <c r="N162" s="17"/>
      <c r="O162" s="17"/>
      <c r="P162" s="17"/>
      <c r="Q162" s="17"/>
      <c r="R162" s="17"/>
      <c r="S162" s="17"/>
      <c r="T162" s="17"/>
      <c r="U162" s="17"/>
      <c r="V162" s="17"/>
      <c r="W162" s="17"/>
      <c r="X162" s="17"/>
      <c r="Y162" s="17"/>
      <c r="Z162" s="17"/>
    </row>
    <row r="163" ht="12.75" customHeight="1">
      <c r="A163" s="28"/>
      <c r="B163" s="28"/>
      <c r="C163" s="28"/>
      <c r="D163" s="30"/>
      <c r="E163" s="32"/>
      <c r="F163" s="30"/>
      <c r="G163" s="30"/>
      <c r="H163" s="30"/>
      <c r="I163" s="17"/>
      <c r="J163" s="17"/>
      <c r="K163" s="17"/>
      <c r="L163" s="17"/>
      <c r="M163" s="17"/>
      <c r="N163" s="17"/>
      <c r="O163" s="17"/>
      <c r="P163" s="17"/>
      <c r="Q163" s="17"/>
      <c r="R163" s="17"/>
      <c r="S163" s="17"/>
      <c r="T163" s="17"/>
      <c r="U163" s="17"/>
      <c r="V163" s="17"/>
      <c r="W163" s="17"/>
      <c r="X163" s="17"/>
      <c r="Y163" s="17"/>
      <c r="Z163" s="17"/>
    </row>
    <row r="164" ht="12.75" customHeight="1">
      <c r="A164" s="28"/>
      <c r="B164" s="28"/>
      <c r="C164" s="28"/>
      <c r="D164" s="30"/>
      <c r="E164" s="32"/>
      <c r="F164" s="30"/>
      <c r="G164" s="30"/>
      <c r="H164" s="30"/>
      <c r="I164" s="17"/>
      <c r="J164" s="17"/>
      <c r="K164" s="17"/>
      <c r="L164" s="17"/>
      <c r="M164" s="17"/>
      <c r="N164" s="17"/>
      <c r="O164" s="17"/>
      <c r="P164" s="17"/>
      <c r="Q164" s="17"/>
      <c r="R164" s="17"/>
      <c r="S164" s="17"/>
      <c r="T164" s="17"/>
      <c r="U164" s="17"/>
      <c r="V164" s="17"/>
      <c r="W164" s="17"/>
      <c r="X164" s="17"/>
      <c r="Y164" s="17"/>
      <c r="Z164" s="17"/>
    </row>
    <row r="165" ht="12.75" customHeight="1">
      <c r="A165" s="28"/>
      <c r="B165" s="28"/>
      <c r="C165" s="28"/>
      <c r="D165" s="30"/>
      <c r="E165" s="32"/>
      <c r="F165" s="30"/>
      <c r="G165" s="30"/>
      <c r="H165" s="30"/>
      <c r="I165" s="17"/>
      <c r="J165" s="17"/>
      <c r="K165" s="17"/>
      <c r="L165" s="17"/>
      <c r="M165" s="17"/>
      <c r="N165" s="17"/>
      <c r="O165" s="17"/>
      <c r="P165" s="17"/>
      <c r="Q165" s="17"/>
      <c r="R165" s="17"/>
      <c r="S165" s="17"/>
      <c r="T165" s="17"/>
      <c r="U165" s="17"/>
      <c r="V165" s="17"/>
      <c r="W165" s="17"/>
      <c r="X165" s="17"/>
      <c r="Y165" s="17"/>
      <c r="Z165" s="17"/>
    </row>
    <row r="166" ht="12.75" customHeight="1">
      <c r="A166" s="28"/>
      <c r="B166" s="28"/>
      <c r="C166" s="28"/>
      <c r="D166" s="30"/>
      <c r="E166" s="32"/>
      <c r="F166" s="30"/>
      <c r="G166" s="30"/>
      <c r="H166" s="30"/>
      <c r="I166" s="17"/>
      <c r="J166" s="17"/>
      <c r="K166" s="17"/>
      <c r="L166" s="17"/>
      <c r="M166" s="17"/>
      <c r="N166" s="17"/>
      <c r="O166" s="17"/>
      <c r="P166" s="17"/>
      <c r="Q166" s="17"/>
      <c r="R166" s="17"/>
      <c r="S166" s="17"/>
      <c r="T166" s="17"/>
      <c r="U166" s="17"/>
      <c r="V166" s="17"/>
      <c r="W166" s="17"/>
      <c r="X166" s="17"/>
      <c r="Y166" s="17"/>
      <c r="Z166" s="17"/>
    </row>
    <row r="167" ht="12.75" customHeight="1">
      <c r="A167" s="28"/>
      <c r="B167" s="28"/>
      <c r="C167" s="28"/>
      <c r="D167" s="30"/>
      <c r="E167" s="32"/>
      <c r="F167" s="30"/>
      <c r="G167" s="30"/>
      <c r="H167" s="30"/>
      <c r="I167" s="17"/>
      <c r="J167" s="17"/>
      <c r="K167" s="17"/>
      <c r="L167" s="17"/>
      <c r="M167" s="17"/>
      <c r="N167" s="17"/>
      <c r="O167" s="17"/>
      <c r="P167" s="17"/>
      <c r="Q167" s="17"/>
      <c r="R167" s="17"/>
      <c r="S167" s="17"/>
      <c r="T167" s="17"/>
      <c r="U167" s="17"/>
      <c r="V167" s="17"/>
      <c r="W167" s="17"/>
      <c r="X167" s="17"/>
      <c r="Y167" s="17"/>
      <c r="Z167" s="17"/>
    </row>
    <row r="168" ht="12.75" customHeight="1">
      <c r="A168" s="28"/>
      <c r="B168" s="28"/>
      <c r="C168" s="28"/>
      <c r="D168" s="30"/>
      <c r="E168" s="32"/>
      <c r="F168" s="30"/>
      <c r="G168" s="30"/>
      <c r="H168" s="30"/>
      <c r="I168" s="17"/>
      <c r="J168" s="17"/>
      <c r="K168" s="17"/>
      <c r="L168" s="17"/>
      <c r="M168" s="17"/>
      <c r="N168" s="17"/>
      <c r="O168" s="17"/>
      <c r="P168" s="17"/>
      <c r="Q168" s="17"/>
      <c r="R168" s="17"/>
      <c r="S168" s="17"/>
      <c r="T168" s="17"/>
      <c r="U168" s="17"/>
      <c r="V168" s="17"/>
      <c r="W168" s="17"/>
      <c r="X168" s="17"/>
      <c r="Y168" s="17"/>
      <c r="Z168" s="17"/>
    </row>
    <row r="169" ht="12.75" customHeight="1">
      <c r="A169" s="28"/>
      <c r="B169" s="28"/>
      <c r="C169" s="28"/>
      <c r="D169" s="30"/>
      <c r="E169" s="32"/>
      <c r="F169" s="30"/>
      <c r="G169" s="30"/>
      <c r="H169" s="30"/>
      <c r="I169" s="17"/>
      <c r="J169" s="17"/>
      <c r="K169" s="17"/>
      <c r="L169" s="17"/>
      <c r="M169" s="17"/>
      <c r="N169" s="17"/>
      <c r="O169" s="17"/>
      <c r="P169" s="17"/>
      <c r="Q169" s="17"/>
      <c r="R169" s="17"/>
      <c r="S169" s="17"/>
      <c r="T169" s="17"/>
      <c r="U169" s="17"/>
      <c r="V169" s="17"/>
      <c r="W169" s="17"/>
      <c r="X169" s="17"/>
      <c r="Y169" s="17"/>
      <c r="Z169" s="17"/>
    </row>
    <row r="170" ht="12.75" customHeight="1">
      <c r="A170" s="28"/>
      <c r="B170" s="28"/>
      <c r="C170" s="28"/>
      <c r="D170" s="30"/>
      <c r="E170" s="32"/>
      <c r="F170" s="30"/>
      <c r="G170" s="30"/>
      <c r="H170" s="30"/>
      <c r="I170" s="17"/>
      <c r="J170" s="17"/>
      <c r="K170" s="17"/>
      <c r="L170" s="17"/>
      <c r="M170" s="17"/>
      <c r="N170" s="17"/>
      <c r="O170" s="17"/>
      <c r="P170" s="17"/>
      <c r="Q170" s="17"/>
      <c r="R170" s="17"/>
      <c r="S170" s="17"/>
      <c r="T170" s="17"/>
      <c r="U170" s="17"/>
      <c r="V170" s="17"/>
      <c r="W170" s="17"/>
      <c r="X170" s="17"/>
      <c r="Y170" s="17"/>
      <c r="Z170" s="17"/>
    </row>
    <row r="171" ht="12.75" customHeight="1">
      <c r="A171" s="28"/>
      <c r="B171" s="28"/>
      <c r="C171" s="28"/>
      <c r="D171" s="30"/>
      <c r="E171" s="32"/>
      <c r="F171" s="30"/>
      <c r="G171" s="30"/>
      <c r="H171" s="30"/>
      <c r="I171" s="17"/>
      <c r="J171" s="17"/>
      <c r="K171" s="17"/>
      <c r="L171" s="17"/>
      <c r="M171" s="17"/>
      <c r="N171" s="17"/>
      <c r="O171" s="17"/>
      <c r="P171" s="17"/>
      <c r="Q171" s="17"/>
      <c r="R171" s="17"/>
      <c r="S171" s="17"/>
      <c r="T171" s="17"/>
      <c r="U171" s="17"/>
      <c r="V171" s="17"/>
      <c r="W171" s="17"/>
      <c r="X171" s="17"/>
      <c r="Y171" s="17"/>
      <c r="Z171" s="17"/>
    </row>
    <row r="172" ht="12.75" customHeight="1">
      <c r="A172" s="28"/>
      <c r="B172" s="28"/>
      <c r="C172" s="28"/>
      <c r="D172" s="30"/>
      <c r="E172" s="32"/>
      <c r="F172" s="30"/>
      <c r="G172" s="30"/>
      <c r="H172" s="30"/>
      <c r="I172" s="17"/>
      <c r="J172" s="17"/>
      <c r="K172" s="17"/>
      <c r="L172" s="17"/>
      <c r="M172" s="17"/>
      <c r="N172" s="17"/>
      <c r="O172" s="17"/>
      <c r="P172" s="17"/>
      <c r="Q172" s="17"/>
      <c r="R172" s="17"/>
      <c r="S172" s="17"/>
      <c r="T172" s="17"/>
      <c r="U172" s="17"/>
      <c r="V172" s="17"/>
      <c r="W172" s="17"/>
      <c r="X172" s="17"/>
      <c r="Y172" s="17"/>
      <c r="Z172" s="17"/>
    </row>
    <row r="173" ht="12.75" customHeight="1">
      <c r="A173" s="28"/>
      <c r="B173" s="28"/>
      <c r="C173" s="28"/>
      <c r="D173" s="30"/>
      <c r="E173" s="32"/>
      <c r="F173" s="30"/>
      <c r="G173" s="30"/>
      <c r="H173" s="30"/>
      <c r="I173" s="17"/>
      <c r="J173" s="17"/>
      <c r="K173" s="17"/>
      <c r="L173" s="17"/>
      <c r="M173" s="17"/>
      <c r="N173" s="17"/>
      <c r="O173" s="17"/>
      <c r="P173" s="17"/>
      <c r="Q173" s="17"/>
      <c r="R173" s="17"/>
      <c r="S173" s="17"/>
      <c r="T173" s="17"/>
      <c r="U173" s="17"/>
      <c r="V173" s="17"/>
      <c r="W173" s="17"/>
      <c r="X173" s="17"/>
      <c r="Y173" s="17"/>
      <c r="Z173" s="17"/>
    </row>
    <row r="174" ht="12.75" customHeight="1">
      <c r="A174" s="28"/>
      <c r="B174" s="28"/>
      <c r="C174" s="28"/>
      <c r="D174" s="30"/>
      <c r="E174" s="32"/>
      <c r="F174" s="30"/>
      <c r="G174" s="30"/>
      <c r="H174" s="30"/>
      <c r="I174" s="17"/>
      <c r="J174" s="17"/>
      <c r="K174" s="17"/>
      <c r="L174" s="17"/>
      <c r="M174" s="17"/>
      <c r="N174" s="17"/>
      <c r="O174" s="17"/>
      <c r="P174" s="17"/>
      <c r="Q174" s="17"/>
      <c r="R174" s="17"/>
      <c r="S174" s="17"/>
      <c r="T174" s="17"/>
      <c r="U174" s="17"/>
      <c r="V174" s="17"/>
      <c r="W174" s="17"/>
      <c r="X174" s="17"/>
      <c r="Y174" s="17"/>
      <c r="Z174" s="17"/>
    </row>
    <row r="175" ht="12.75" customHeight="1">
      <c r="A175" s="28"/>
      <c r="B175" s="28"/>
      <c r="C175" s="28"/>
      <c r="D175" s="30"/>
      <c r="E175" s="32"/>
      <c r="F175" s="30"/>
      <c r="G175" s="30"/>
      <c r="H175" s="30"/>
      <c r="I175" s="17"/>
      <c r="J175" s="17"/>
      <c r="K175" s="17"/>
      <c r="L175" s="17"/>
      <c r="M175" s="17"/>
      <c r="N175" s="17"/>
      <c r="O175" s="17"/>
      <c r="P175" s="17"/>
      <c r="Q175" s="17"/>
      <c r="R175" s="17"/>
      <c r="S175" s="17"/>
      <c r="T175" s="17"/>
      <c r="U175" s="17"/>
      <c r="V175" s="17"/>
      <c r="W175" s="17"/>
      <c r="X175" s="17"/>
      <c r="Y175" s="17"/>
      <c r="Z175" s="17"/>
    </row>
    <row r="176" ht="12.75" customHeight="1">
      <c r="A176" s="28"/>
      <c r="B176" s="28"/>
      <c r="C176" s="28"/>
      <c r="D176" s="30"/>
      <c r="E176" s="32"/>
      <c r="F176" s="30"/>
      <c r="G176" s="30"/>
      <c r="H176" s="30"/>
      <c r="I176" s="17"/>
      <c r="J176" s="17"/>
      <c r="K176" s="17"/>
      <c r="L176" s="17"/>
      <c r="M176" s="17"/>
      <c r="N176" s="17"/>
      <c r="O176" s="17"/>
      <c r="P176" s="17"/>
      <c r="Q176" s="17"/>
      <c r="R176" s="17"/>
      <c r="S176" s="17"/>
      <c r="T176" s="17"/>
      <c r="U176" s="17"/>
      <c r="V176" s="17"/>
      <c r="W176" s="17"/>
      <c r="X176" s="17"/>
      <c r="Y176" s="17"/>
      <c r="Z176" s="17"/>
    </row>
    <row r="177" ht="12.75" customHeight="1">
      <c r="A177" s="28"/>
      <c r="B177" s="28"/>
      <c r="C177" s="28"/>
      <c r="D177" s="30"/>
      <c r="E177" s="32"/>
      <c r="F177" s="30"/>
      <c r="G177" s="30"/>
      <c r="H177" s="30"/>
      <c r="I177" s="17"/>
      <c r="J177" s="17"/>
      <c r="K177" s="17"/>
      <c r="L177" s="17"/>
      <c r="M177" s="17"/>
      <c r="N177" s="17"/>
      <c r="O177" s="17"/>
      <c r="P177" s="17"/>
      <c r="Q177" s="17"/>
      <c r="R177" s="17"/>
      <c r="S177" s="17"/>
      <c r="T177" s="17"/>
      <c r="U177" s="17"/>
      <c r="V177" s="17"/>
      <c r="W177" s="17"/>
      <c r="X177" s="17"/>
      <c r="Y177" s="17"/>
      <c r="Z177" s="17"/>
    </row>
    <row r="178" ht="12.75" customHeight="1">
      <c r="A178" s="28"/>
      <c r="B178" s="28"/>
      <c r="C178" s="28"/>
      <c r="D178" s="30"/>
      <c r="E178" s="32"/>
      <c r="F178" s="30"/>
      <c r="G178" s="30"/>
      <c r="H178" s="30"/>
      <c r="I178" s="17"/>
      <c r="J178" s="17"/>
      <c r="K178" s="17"/>
      <c r="L178" s="17"/>
      <c r="M178" s="17"/>
      <c r="N178" s="17"/>
      <c r="O178" s="17"/>
      <c r="P178" s="17"/>
      <c r="Q178" s="17"/>
      <c r="R178" s="17"/>
      <c r="S178" s="17"/>
      <c r="T178" s="17"/>
      <c r="U178" s="17"/>
      <c r="V178" s="17"/>
      <c r="W178" s="17"/>
      <c r="X178" s="17"/>
      <c r="Y178" s="17"/>
      <c r="Z178" s="17"/>
    </row>
    <row r="179" ht="12.75" customHeight="1">
      <c r="A179" s="28"/>
      <c r="B179" s="28"/>
      <c r="C179" s="28"/>
      <c r="D179" s="30"/>
      <c r="E179" s="32"/>
      <c r="F179" s="30"/>
      <c r="G179" s="30"/>
      <c r="H179" s="30"/>
      <c r="I179" s="17"/>
      <c r="J179" s="17"/>
      <c r="K179" s="17"/>
      <c r="L179" s="17"/>
      <c r="M179" s="17"/>
      <c r="N179" s="17"/>
      <c r="O179" s="17"/>
      <c r="P179" s="17"/>
      <c r="Q179" s="17"/>
      <c r="R179" s="17"/>
      <c r="S179" s="17"/>
      <c r="T179" s="17"/>
      <c r="U179" s="17"/>
      <c r="V179" s="17"/>
      <c r="W179" s="17"/>
      <c r="X179" s="17"/>
      <c r="Y179" s="17"/>
      <c r="Z179" s="17"/>
    </row>
    <row r="180" ht="12.75" customHeight="1">
      <c r="A180" s="28"/>
      <c r="B180" s="28"/>
      <c r="C180" s="28"/>
      <c r="D180" s="30"/>
      <c r="E180" s="32"/>
      <c r="F180" s="30"/>
      <c r="G180" s="30"/>
      <c r="H180" s="30"/>
      <c r="I180" s="17"/>
      <c r="J180" s="17"/>
      <c r="K180" s="17"/>
      <c r="L180" s="17"/>
      <c r="M180" s="17"/>
      <c r="N180" s="17"/>
      <c r="O180" s="17"/>
      <c r="P180" s="17"/>
      <c r="Q180" s="17"/>
      <c r="R180" s="17"/>
      <c r="S180" s="17"/>
      <c r="T180" s="17"/>
      <c r="U180" s="17"/>
      <c r="V180" s="17"/>
      <c r="W180" s="17"/>
      <c r="X180" s="17"/>
      <c r="Y180" s="17"/>
      <c r="Z180" s="17"/>
    </row>
    <row r="181" ht="12.75" customHeight="1">
      <c r="A181" s="28"/>
      <c r="B181" s="28"/>
      <c r="C181" s="28"/>
      <c r="D181" s="30"/>
      <c r="E181" s="32"/>
      <c r="F181" s="30"/>
      <c r="G181" s="30"/>
      <c r="H181" s="30"/>
      <c r="I181" s="17"/>
      <c r="J181" s="17"/>
      <c r="K181" s="17"/>
      <c r="L181" s="17"/>
      <c r="M181" s="17"/>
      <c r="N181" s="17"/>
      <c r="O181" s="17"/>
      <c r="P181" s="17"/>
      <c r="Q181" s="17"/>
      <c r="R181" s="17"/>
      <c r="S181" s="17"/>
      <c r="T181" s="17"/>
      <c r="U181" s="17"/>
      <c r="V181" s="17"/>
      <c r="W181" s="17"/>
      <c r="X181" s="17"/>
      <c r="Y181" s="17"/>
      <c r="Z181" s="17"/>
    </row>
    <row r="182" ht="12.75" customHeight="1">
      <c r="A182" s="28"/>
      <c r="B182" s="28"/>
      <c r="C182" s="28"/>
      <c r="D182" s="30"/>
      <c r="E182" s="32"/>
      <c r="F182" s="30"/>
      <c r="G182" s="30"/>
      <c r="H182" s="30"/>
      <c r="I182" s="17"/>
      <c r="J182" s="17"/>
      <c r="K182" s="17"/>
      <c r="L182" s="17"/>
      <c r="M182" s="17"/>
      <c r="N182" s="17"/>
      <c r="O182" s="17"/>
      <c r="P182" s="17"/>
      <c r="Q182" s="17"/>
      <c r="R182" s="17"/>
      <c r="S182" s="17"/>
      <c r="T182" s="17"/>
      <c r="U182" s="17"/>
      <c r="V182" s="17"/>
      <c r="W182" s="17"/>
      <c r="X182" s="17"/>
      <c r="Y182" s="17"/>
      <c r="Z182" s="17"/>
    </row>
    <row r="183" ht="12.75" customHeight="1">
      <c r="A183" s="28"/>
      <c r="B183" s="28"/>
      <c r="C183" s="28"/>
      <c r="D183" s="30"/>
      <c r="E183" s="32"/>
      <c r="F183" s="30"/>
      <c r="G183" s="30"/>
      <c r="H183" s="30"/>
      <c r="I183" s="17"/>
      <c r="J183" s="17"/>
      <c r="K183" s="17"/>
      <c r="L183" s="17"/>
      <c r="M183" s="17"/>
      <c r="N183" s="17"/>
      <c r="O183" s="17"/>
      <c r="P183" s="17"/>
      <c r="Q183" s="17"/>
      <c r="R183" s="17"/>
      <c r="S183" s="17"/>
      <c r="T183" s="17"/>
      <c r="U183" s="17"/>
      <c r="V183" s="17"/>
      <c r="W183" s="17"/>
      <c r="X183" s="17"/>
      <c r="Y183" s="17"/>
      <c r="Z183" s="17"/>
    </row>
    <row r="184" ht="12.75" customHeight="1">
      <c r="A184" s="28"/>
      <c r="B184" s="28"/>
      <c r="C184" s="28"/>
      <c r="D184" s="30"/>
      <c r="E184" s="32"/>
      <c r="F184" s="30"/>
      <c r="G184" s="30"/>
      <c r="H184" s="30"/>
      <c r="I184" s="17"/>
      <c r="J184" s="17"/>
      <c r="K184" s="17"/>
      <c r="L184" s="17"/>
      <c r="M184" s="17"/>
      <c r="N184" s="17"/>
      <c r="O184" s="17"/>
      <c r="P184" s="17"/>
      <c r="Q184" s="17"/>
      <c r="R184" s="17"/>
      <c r="S184" s="17"/>
      <c r="T184" s="17"/>
      <c r="U184" s="17"/>
      <c r="V184" s="17"/>
      <c r="W184" s="17"/>
      <c r="X184" s="17"/>
      <c r="Y184" s="17"/>
      <c r="Z184" s="17"/>
    </row>
    <row r="185" ht="12.75" customHeight="1">
      <c r="A185" s="28"/>
      <c r="B185" s="28"/>
      <c r="C185" s="28"/>
      <c r="D185" s="30"/>
      <c r="E185" s="32"/>
      <c r="F185" s="30"/>
      <c r="G185" s="30"/>
      <c r="H185" s="30"/>
      <c r="I185" s="17"/>
      <c r="J185" s="17"/>
      <c r="K185" s="17"/>
      <c r="L185" s="17"/>
      <c r="M185" s="17"/>
      <c r="N185" s="17"/>
      <c r="O185" s="17"/>
      <c r="P185" s="17"/>
      <c r="Q185" s="17"/>
      <c r="R185" s="17"/>
      <c r="S185" s="17"/>
      <c r="T185" s="17"/>
      <c r="U185" s="17"/>
      <c r="V185" s="17"/>
      <c r="W185" s="17"/>
      <c r="X185" s="17"/>
      <c r="Y185" s="17"/>
      <c r="Z185" s="17"/>
    </row>
    <row r="186" ht="12.75" customHeight="1">
      <c r="A186" s="28"/>
      <c r="B186" s="28"/>
      <c r="C186" s="28"/>
      <c r="D186" s="30"/>
      <c r="E186" s="32"/>
      <c r="F186" s="30"/>
      <c r="G186" s="30"/>
      <c r="H186" s="30"/>
      <c r="I186" s="17"/>
      <c r="J186" s="17"/>
      <c r="K186" s="17"/>
      <c r="L186" s="17"/>
      <c r="M186" s="17"/>
      <c r="N186" s="17"/>
      <c r="O186" s="17"/>
      <c r="P186" s="17"/>
      <c r="Q186" s="17"/>
      <c r="R186" s="17"/>
      <c r="S186" s="17"/>
      <c r="T186" s="17"/>
      <c r="U186" s="17"/>
      <c r="V186" s="17"/>
      <c r="W186" s="17"/>
      <c r="X186" s="17"/>
      <c r="Y186" s="17"/>
      <c r="Z186" s="17"/>
    </row>
    <row r="187" ht="12.75" customHeight="1">
      <c r="A187" s="28"/>
      <c r="B187" s="28"/>
      <c r="C187" s="28"/>
      <c r="D187" s="30"/>
      <c r="E187" s="32"/>
      <c r="F187" s="30"/>
      <c r="G187" s="30"/>
      <c r="H187" s="30"/>
      <c r="I187" s="17"/>
      <c r="J187" s="17"/>
      <c r="K187" s="17"/>
      <c r="L187" s="17"/>
      <c r="M187" s="17"/>
      <c r="N187" s="17"/>
      <c r="O187" s="17"/>
      <c r="P187" s="17"/>
      <c r="Q187" s="17"/>
      <c r="R187" s="17"/>
      <c r="S187" s="17"/>
      <c r="T187" s="17"/>
      <c r="U187" s="17"/>
      <c r="V187" s="17"/>
      <c r="W187" s="17"/>
      <c r="X187" s="17"/>
      <c r="Y187" s="17"/>
      <c r="Z187" s="17"/>
    </row>
    <row r="188" ht="12.75" customHeight="1">
      <c r="A188" s="28"/>
      <c r="B188" s="28"/>
      <c r="C188" s="28"/>
      <c r="D188" s="30"/>
      <c r="E188" s="32"/>
      <c r="F188" s="30"/>
      <c r="G188" s="30"/>
      <c r="H188" s="30"/>
      <c r="I188" s="17"/>
      <c r="J188" s="17"/>
      <c r="K188" s="17"/>
      <c r="L188" s="17"/>
      <c r="M188" s="17"/>
      <c r="N188" s="17"/>
      <c r="O188" s="17"/>
      <c r="P188" s="17"/>
      <c r="Q188" s="17"/>
      <c r="R188" s="17"/>
      <c r="S188" s="17"/>
      <c r="T188" s="17"/>
      <c r="U188" s="17"/>
      <c r="V188" s="17"/>
      <c r="W188" s="17"/>
      <c r="X188" s="17"/>
      <c r="Y188" s="17"/>
      <c r="Z188" s="17"/>
    </row>
    <row r="189" ht="12.75" customHeight="1">
      <c r="A189" s="28"/>
      <c r="B189" s="28"/>
      <c r="C189" s="28"/>
      <c r="D189" s="30"/>
      <c r="E189" s="32"/>
      <c r="F189" s="30"/>
      <c r="G189" s="30"/>
      <c r="H189" s="30"/>
      <c r="I189" s="17"/>
      <c r="J189" s="17"/>
      <c r="K189" s="17"/>
      <c r="L189" s="17"/>
      <c r="M189" s="17"/>
      <c r="N189" s="17"/>
      <c r="O189" s="17"/>
      <c r="P189" s="17"/>
      <c r="Q189" s="17"/>
      <c r="R189" s="17"/>
      <c r="S189" s="17"/>
      <c r="T189" s="17"/>
      <c r="U189" s="17"/>
      <c r="V189" s="17"/>
      <c r="W189" s="17"/>
      <c r="X189" s="17"/>
      <c r="Y189" s="17"/>
      <c r="Z189" s="17"/>
    </row>
    <row r="190" ht="12.75" customHeight="1">
      <c r="A190" s="28"/>
      <c r="B190" s="28"/>
      <c r="C190" s="28"/>
      <c r="D190" s="30"/>
      <c r="E190" s="32"/>
      <c r="F190" s="30"/>
      <c r="G190" s="30"/>
      <c r="H190" s="30"/>
      <c r="I190" s="17"/>
      <c r="J190" s="17"/>
      <c r="K190" s="17"/>
      <c r="L190" s="17"/>
      <c r="M190" s="17"/>
      <c r="N190" s="17"/>
      <c r="O190" s="17"/>
      <c r="P190" s="17"/>
      <c r="Q190" s="17"/>
      <c r="R190" s="17"/>
      <c r="S190" s="17"/>
      <c r="T190" s="17"/>
      <c r="U190" s="17"/>
      <c r="V190" s="17"/>
      <c r="W190" s="17"/>
      <c r="X190" s="17"/>
      <c r="Y190" s="17"/>
      <c r="Z190" s="17"/>
    </row>
    <row r="191" ht="12.75" customHeight="1">
      <c r="A191" s="28"/>
      <c r="B191" s="28"/>
      <c r="C191" s="28"/>
      <c r="D191" s="30"/>
      <c r="E191" s="32"/>
      <c r="F191" s="30"/>
      <c r="G191" s="30"/>
      <c r="H191" s="30"/>
      <c r="I191" s="17"/>
      <c r="J191" s="17"/>
      <c r="K191" s="17"/>
      <c r="L191" s="17"/>
      <c r="M191" s="17"/>
      <c r="N191" s="17"/>
      <c r="O191" s="17"/>
      <c r="P191" s="17"/>
      <c r="Q191" s="17"/>
      <c r="R191" s="17"/>
      <c r="S191" s="17"/>
      <c r="T191" s="17"/>
      <c r="U191" s="17"/>
      <c r="V191" s="17"/>
      <c r="W191" s="17"/>
      <c r="X191" s="17"/>
      <c r="Y191" s="17"/>
      <c r="Z191" s="17"/>
    </row>
    <row r="192" ht="12.75" customHeight="1">
      <c r="A192" s="28"/>
      <c r="B192" s="28"/>
      <c r="C192" s="28"/>
      <c r="D192" s="30"/>
      <c r="E192" s="32"/>
      <c r="F192" s="30"/>
      <c r="G192" s="30"/>
      <c r="H192" s="30"/>
      <c r="I192" s="17"/>
      <c r="J192" s="17"/>
      <c r="K192" s="17"/>
      <c r="L192" s="17"/>
      <c r="M192" s="17"/>
      <c r="N192" s="17"/>
      <c r="O192" s="17"/>
      <c r="P192" s="17"/>
      <c r="Q192" s="17"/>
      <c r="R192" s="17"/>
      <c r="S192" s="17"/>
      <c r="T192" s="17"/>
      <c r="U192" s="17"/>
      <c r="V192" s="17"/>
      <c r="W192" s="17"/>
      <c r="X192" s="17"/>
      <c r="Y192" s="17"/>
      <c r="Z192" s="17"/>
    </row>
    <row r="193" ht="12.75" customHeight="1">
      <c r="A193" s="28"/>
      <c r="B193" s="28"/>
      <c r="C193" s="28"/>
      <c r="D193" s="30"/>
      <c r="E193" s="32"/>
      <c r="F193" s="30"/>
      <c r="G193" s="30"/>
      <c r="H193" s="30"/>
      <c r="I193" s="17"/>
      <c r="J193" s="17"/>
      <c r="K193" s="17"/>
      <c r="L193" s="17"/>
      <c r="M193" s="17"/>
      <c r="N193" s="17"/>
      <c r="O193" s="17"/>
      <c r="P193" s="17"/>
      <c r="Q193" s="17"/>
      <c r="R193" s="17"/>
      <c r="S193" s="17"/>
      <c r="T193" s="17"/>
      <c r="U193" s="17"/>
      <c r="V193" s="17"/>
      <c r="W193" s="17"/>
      <c r="X193" s="17"/>
      <c r="Y193" s="17"/>
      <c r="Z193" s="17"/>
    </row>
    <row r="194" ht="12.75" customHeight="1">
      <c r="A194" s="28"/>
      <c r="B194" s="28"/>
      <c r="C194" s="28"/>
      <c r="D194" s="30"/>
      <c r="E194" s="32"/>
      <c r="F194" s="30"/>
      <c r="G194" s="30"/>
      <c r="H194" s="30"/>
      <c r="I194" s="17"/>
      <c r="J194" s="17"/>
      <c r="K194" s="17"/>
      <c r="L194" s="17"/>
      <c r="M194" s="17"/>
      <c r="N194" s="17"/>
      <c r="O194" s="17"/>
      <c r="P194" s="17"/>
      <c r="Q194" s="17"/>
      <c r="R194" s="17"/>
      <c r="S194" s="17"/>
      <c r="T194" s="17"/>
      <c r="U194" s="17"/>
      <c r="V194" s="17"/>
      <c r="W194" s="17"/>
      <c r="X194" s="17"/>
      <c r="Y194" s="17"/>
      <c r="Z194" s="17"/>
    </row>
    <row r="195" ht="12.75" customHeight="1">
      <c r="A195" s="28"/>
      <c r="B195" s="28"/>
      <c r="C195" s="28"/>
      <c r="D195" s="30"/>
      <c r="E195" s="32"/>
      <c r="F195" s="30"/>
      <c r="G195" s="30"/>
      <c r="H195" s="30"/>
      <c r="I195" s="17"/>
      <c r="J195" s="17"/>
      <c r="K195" s="17"/>
      <c r="L195" s="17"/>
      <c r="M195" s="17"/>
      <c r="N195" s="17"/>
      <c r="O195" s="17"/>
      <c r="P195" s="17"/>
      <c r="Q195" s="17"/>
      <c r="R195" s="17"/>
      <c r="S195" s="17"/>
      <c r="T195" s="17"/>
      <c r="U195" s="17"/>
      <c r="V195" s="17"/>
      <c r="W195" s="17"/>
      <c r="X195" s="17"/>
      <c r="Y195" s="17"/>
      <c r="Z195" s="17"/>
    </row>
    <row r="196" ht="12.75" customHeight="1">
      <c r="A196" s="28"/>
      <c r="B196" s="28"/>
      <c r="C196" s="28"/>
      <c r="D196" s="30"/>
      <c r="E196" s="32"/>
      <c r="F196" s="30"/>
      <c r="G196" s="30"/>
      <c r="H196" s="30"/>
      <c r="I196" s="17"/>
      <c r="J196" s="17"/>
      <c r="K196" s="17"/>
      <c r="L196" s="17"/>
      <c r="M196" s="17"/>
      <c r="N196" s="17"/>
      <c r="O196" s="17"/>
      <c r="P196" s="17"/>
      <c r="Q196" s="17"/>
      <c r="R196" s="17"/>
      <c r="S196" s="17"/>
      <c r="T196" s="17"/>
      <c r="U196" s="17"/>
      <c r="V196" s="17"/>
      <c r="W196" s="17"/>
      <c r="X196" s="17"/>
      <c r="Y196" s="17"/>
      <c r="Z196" s="17"/>
    </row>
    <row r="197" ht="12.75" customHeight="1">
      <c r="A197" s="28"/>
      <c r="B197" s="28"/>
      <c r="C197" s="28"/>
      <c r="D197" s="30"/>
      <c r="E197" s="32"/>
      <c r="F197" s="30"/>
      <c r="G197" s="30"/>
      <c r="H197" s="30"/>
      <c r="I197" s="17"/>
      <c r="J197" s="17"/>
      <c r="K197" s="17"/>
      <c r="L197" s="17"/>
      <c r="M197" s="17"/>
      <c r="N197" s="17"/>
      <c r="O197" s="17"/>
      <c r="P197" s="17"/>
      <c r="Q197" s="17"/>
      <c r="R197" s="17"/>
      <c r="S197" s="17"/>
      <c r="T197" s="17"/>
      <c r="U197" s="17"/>
      <c r="V197" s="17"/>
      <c r="W197" s="17"/>
      <c r="X197" s="17"/>
      <c r="Y197" s="17"/>
      <c r="Z197" s="17"/>
    </row>
    <row r="198" ht="12.75" customHeight="1">
      <c r="A198" s="28"/>
      <c r="B198" s="28"/>
      <c r="C198" s="28"/>
      <c r="D198" s="30"/>
      <c r="E198" s="32"/>
      <c r="F198" s="30"/>
      <c r="G198" s="30"/>
      <c r="H198" s="30"/>
      <c r="I198" s="17"/>
      <c r="J198" s="17"/>
      <c r="K198" s="17"/>
      <c r="L198" s="17"/>
      <c r="M198" s="17"/>
      <c r="N198" s="17"/>
      <c r="O198" s="17"/>
      <c r="P198" s="17"/>
      <c r="Q198" s="17"/>
      <c r="R198" s="17"/>
      <c r="S198" s="17"/>
      <c r="T198" s="17"/>
      <c r="U198" s="17"/>
      <c r="V198" s="17"/>
      <c r="W198" s="17"/>
      <c r="X198" s="17"/>
      <c r="Y198" s="17"/>
      <c r="Z198" s="17"/>
    </row>
    <row r="199" ht="12.75" customHeight="1">
      <c r="A199" s="28"/>
      <c r="B199" s="28"/>
      <c r="C199" s="28"/>
      <c r="D199" s="30"/>
      <c r="E199" s="32"/>
      <c r="F199" s="30"/>
      <c r="G199" s="30"/>
      <c r="H199" s="30"/>
      <c r="I199" s="17"/>
      <c r="J199" s="17"/>
      <c r="K199" s="17"/>
      <c r="L199" s="17"/>
      <c r="M199" s="17"/>
      <c r="N199" s="17"/>
      <c r="O199" s="17"/>
      <c r="P199" s="17"/>
      <c r="Q199" s="17"/>
      <c r="R199" s="17"/>
      <c r="S199" s="17"/>
      <c r="T199" s="17"/>
      <c r="U199" s="17"/>
      <c r="V199" s="17"/>
      <c r="W199" s="17"/>
      <c r="X199" s="17"/>
      <c r="Y199" s="17"/>
      <c r="Z199" s="17"/>
    </row>
    <row r="200" ht="12.75" customHeight="1">
      <c r="A200" s="28"/>
      <c r="B200" s="28"/>
      <c r="C200" s="28"/>
      <c r="D200" s="30"/>
      <c r="E200" s="32"/>
      <c r="F200" s="30"/>
      <c r="G200" s="30"/>
      <c r="H200" s="30"/>
      <c r="I200" s="17"/>
      <c r="J200" s="17"/>
      <c r="K200" s="17"/>
      <c r="L200" s="17"/>
      <c r="M200" s="17"/>
      <c r="N200" s="17"/>
      <c r="O200" s="17"/>
      <c r="P200" s="17"/>
      <c r="Q200" s="17"/>
      <c r="R200" s="17"/>
      <c r="S200" s="17"/>
      <c r="T200" s="17"/>
      <c r="U200" s="17"/>
      <c r="V200" s="17"/>
      <c r="W200" s="17"/>
      <c r="X200" s="17"/>
      <c r="Y200" s="17"/>
      <c r="Z200" s="17"/>
    </row>
    <row r="201" ht="12.75" customHeight="1">
      <c r="A201" s="28"/>
      <c r="B201" s="28"/>
      <c r="C201" s="28"/>
      <c r="D201" s="30"/>
      <c r="E201" s="32"/>
      <c r="F201" s="30"/>
      <c r="G201" s="30"/>
      <c r="H201" s="30"/>
      <c r="I201" s="17"/>
      <c r="J201" s="17"/>
      <c r="K201" s="17"/>
      <c r="L201" s="17"/>
      <c r="M201" s="17"/>
      <c r="N201" s="17"/>
      <c r="O201" s="17"/>
      <c r="P201" s="17"/>
      <c r="Q201" s="17"/>
      <c r="R201" s="17"/>
      <c r="S201" s="17"/>
      <c r="T201" s="17"/>
      <c r="U201" s="17"/>
      <c r="V201" s="17"/>
      <c r="W201" s="17"/>
      <c r="X201" s="17"/>
      <c r="Y201" s="17"/>
      <c r="Z201" s="17"/>
    </row>
    <row r="202" ht="12.75" customHeight="1">
      <c r="A202" s="28"/>
      <c r="B202" s="28"/>
      <c r="C202" s="28"/>
      <c r="D202" s="30"/>
      <c r="E202" s="32"/>
      <c r="F202" s="30"/>
      <c r="G202" s="30"/>
      <c r="H202" s="30"/>
      <c r="I202" s="17"/>
      <c r="J202" s="17"/>
      <c r="K202" s="17"/>
      <c r="L202" s="17"/>
      <c r="M202" s="17"/>
      <c r="N202" s="17"/>
      <c r="O202" s="17"/>
      <c r="P202" s="17"/>
      <c r="Q202" s="17"/>
      <c r="R202" s="17"/>
      <c r="S202" s="17"/>
      <c r="T202" s="17"/>
      <c r="U202" s="17"/>
      <c r="V202" s="17"/>
      <c r="W202" s="17"/>
      <c r="X202" s="17"/>
      <c r="Y202" s="17"/>
      <c r="Z202" s="17"/>
    </row>
    <row r="203" ht="12.75" customHeight="1">
      <c r="A203" s="28"/>
      <c r="B203" s="28"/>
      <c r="C203" s="28"/>
      <c r="D203" s="30"/>
      <c r="E203" s="32"/>
      <c r="F203" s="30"/>
      <c r="G203" s="30"/>
      <c r="H203" s="30"/>
      <c r="I203" s="17"/>
      <c r="J203" s="17"/>
      <c r="K203" s="17"/>
      <c r="L203" s="17"/>
      <c r="M203" s="17"/>
      <c r="N203" s="17"/>
      <c r="O203" s="17"/>
      <c r="P203" s="17"/>
      <c r="Q203" s="17"/>
      <c r="R203" s="17"/>
      <c r="S203" s="17"/>
      <c r="T203" s="17"/>
      <c r="U203" s="17"/>
      <c r="V203" s="17"/>
      <c r="W203" s="17"/>
      <c r="X203" s="17"/>
      <c r="Y203" s="17"/>
      <c r="Z203" s="17"/>
    </row>
    <row r="204" ht="12.75" customHeight="1">
      <c r="A204" s="28"/>
      <c r="B204" s="28"/>
      <c r="C204" s="28"/>
      <c r="D204" s="30"/>
      <c r="E204" s="32"/>
      <c r="F204" s="30"/>
      <c r="G204" s="30"/>
      <c r="H204" s="30"/>
      <c r="I204" s="17"/>
      <c r="J204" s="17"/>
      <c r="K204" s="17"/>
      <c r="L204" s="17"/>
      <c r="M204" s="17"/>
      <c r="N204" s="17"/>
      <c r="O204" s="17"/>
      <c r="P204" s="17"/>
      <c r="Q204" s="17"/>
      <c r="R204" s="17"/>
      <c r="S204" s="17"/>
      <c r="T204" s="17"/>
      <c r="U204" s="17"/>
      <c r="V204" s="17"/>
      <c r="W204" s="17"/>
      <c r="X204" s="17"/>
      <c r="Y204" s="17"/>
      <c r="Z204" s="17"/>
    </row>
    <row r="205" ht="12.75" customHeight="1">
      <c r="A205" s="28"/>
      <c r="B205" s="28"/>
      <c r="C205" s="28"/>
      <c r="D205" s="30"/>
      <c r="E205" s="32"/>
      <c r="F205" s="30"/>
      <c r="G205" s="30"/>
      <c r="H205" s="30"/>
      <c r="I205" s="17"/>
      <c r="J205" s="17"/>
      <c r="K205" s="17"/>
      <c r="L205" s="17"/>
      <c r="M205" s="17"/>
      <c r="N205" s="17"/>
      <c r="O205" s="17"/>
      <c r="P205" s="17"/>
      <c r="Q205" s="17"/>
      <c r="R205" s="17"/>
      <c r="S205" s="17"/>
      <c r="T205" s="17"/>
      <c r="U205" s="17"/>
      <c r="V205" s="17"/>
      <c r="W205" s="17"/>
      <c r="X205" s="17"/>
      <c r="Y205" s="17"/>
      <c r="Z205" s="17"/>
    </row>
    <row r="206" ht="12.75" customHeight="1">
      <c r="A206" s="28"/>
      <c r="B206" s="28"/>
      <c r="C206" s="28"/>
      <c r="D206" s="30"/>
      <c r="E206" s="32"/>
      <c r="F206" s="30"/>
      <c r="G206" s="30"/>
      <c r="H206" s="30"/>
      <c r="I206" s="17"/>
      <c r="J206" s="17"/>
      <c r="K206" s="17"/>
      <c r="L206" s="17"/>
      <c r="M206" s="17"/>
      <c r="N206" s="17"/>
      <c r="O206" s="17"/>
      <c r="P206" s="17"/>
      <c r="Q206" s="17"/>
      <c r="R206" s="17"/>
      <c r="S206" s="17"/>
      <c r="T206" s="17"/>
      <c r="U206" s="17"/>
      <c r="V206" s="17"/>
      <c r="W206" s="17"/>
      <c r="X206" s="17"/>
      <c r="Y206" s="17"/>
      <c r="Z206" s="17"/>
    </row>
    <row r="207" ht="12.75" customHeight="1">
      <c r="A207" s="28"/>
      <c r="B207" s="28"/>
      <c r="C207" s="28"/>
      <c r="D207" s="30"/>
      <c r="E207" s="32"/>
      <c r="F207" s="30"/>
      <c r="G207" s="30"/>
      <c r="H207" s="30"/>
      <c r="I207" s="17"/>
      <c r="J207" s="17"/>
      <c r="K207" s="17"/>
      <c r="L207" s="17"/>
      <c r="M207" s="17"/>
      <c r="N207" s="17"/>
      <c r="O207" s="17"/>
      <c r="P207" s="17"/>
      <c r="Q207" s="17"/>
      <c r="R207" s="17"/>
      <c r="S207" s="17"/>
      <c r="T207" s="17"/>
      <c r="U207" s="17"/>
      <c r="V207" s="17"/>
      <c r="W207" s="17"/>
      <c r="X207" s="17"/>
      <c r="Y207" s="17"/>
      <c r="Z207" s="17"/>
    </row>
    <row r="208" ht="12.75" customHeight="1">
      <c r="A208" s="28"/>
      <c r="B208" s="28"/>
      <c r="C208" s="28"/>
      <c r="D208" s="30"/>
      <c r="E208" s="32"/>
      <c r="F208" s="30"/>
      <c r="G208" s="30"/>
      <c r="H208" s="30"/>
      <c r="I208" s="17"/>
      <c r="J208" s="17"/>
      <c r="K208" s="17"/>
      <c r="L208" s="17"/>
      <c r="M208" s="17"/>
      <c r="N208" s="17"/>
      <c r="O208" s="17"/>
      <c r="P208" s="17"/>
      <c r="Q208" s="17"/>
      <c r="R208" s="17"/>
      <c r="S208" s="17"/>
      <c r="T208" s="17"/>
      <c r="U208" s="17"/>
      <c r="V208" s="17"/>
      <c r="W208" s="17"/>
      <c r="X208" s="17"/>
      <c r="Y208" s="17"/>
      <c r="Z208" s="17"/>
    </row>
    <row r="209" ht="12.75" customHeight="1">
      <c r="A209" s="28"/>
      <c r="B209" s="28"/>
      <c r="C209" s="28"/>
      <c r="D209" s="30"/>
      <c r="E209" s="32"/>
      <c r="F209" s="30"/>
      <c r="G209" s="30"/>
      <c r="H209" s="30"/>
      <c r="I209" s="17"/>
      <c r="J209" s="17"/>
      <c r="K209" s="17"/>
      <c r="L209" s="17"/>
      <c r="M209" s="17"/>
      <c r="N209" s="17"/>
      <c r="O209" s="17"/>
      <c r="P209" s="17"/>
      <c r="Q209" s="17"/>
      <c r="R209" s="17"/>
      <c r="S209" s="17"/>
      <c r="T209" s="17"/>
      <c r="U209" s="17"/>
      <c r="V209" s="17"/>
      <c r="W209" s="17"/>
      <c r="X209" s="17"/>
      <c r="Y209" s="17"/>
      <c r="Z209" s="17"/>
    </row>
    <row r="210" ht="12.75" customHeight="1">
      <c r="A210" s="28"/>
      <c r="B210" s="28"/>
      <c r="C210" s="28"/>
      <c r="D210" s="30"/>
      <c r="E210" s="32"/>
      <c r="F210" s="30"/>
      <c r="G210" s="30"/>
      <c r="H210" s="30"/>
      <c r="I210" s="17"/>
      <c r="J210" s="17"/>
      <c r="K210" s="17"/>
      <c r="L210" s="17"/>
      <c r="M210" s="17"/>
      <c r="N210" s="17"/>
      <c r="O210" s="17"/>
      <c r="P210" s="17"/>
      <c r="Q210" s="17"/>
      <c r="R210" s="17"/>
      <c r="S210" s="17"/>
      <c r="T210" s="17"/>
      <c r="U210" s="17"/>
      <c r="V210" s="17"/>
      <c r="W210" s="17"/>
      <c r="X210" s="17"/>
      <c r="Y210" s="17"/>
      <c r="Z210" s="17"/>
    </row>
    <row r="211" ht="12.75" customHeight="1">
      <c r="A211" s="28"/>
      <c r="B211" s="28"/>
      <c r="C211" s="28"/>
      <c r="D211" s="30"/>
      <c r="E211" s="32"/>
      <c r="F211" s="30"/>
      <c r="G211" s="30"/>
      <c r="H211" s="30"/>
      <c r="I211" s="17"/>
      <c r="J211" s="17"/>
      <c r="K211" s="17"/>
      <c r="L211" s="17"/>
      <c r="M211" s="17"/>
      <c r="N211" s="17"/>
      <c r="O211" s="17"/>
      <c r="P211" s="17"/>
      <c r="Q211" s="17"/>
      <c r="R211" s="17"/>
      <c r="S211" s="17"/>
      <c r="T211" s="17"/>
      <c r="U211" s="17"/>
      <c r="V211" s="17"/>
      <c r="W211" s="17"/>
      <c r="X211" s="17"/>
      <c r="Y211" s="17"/>
      <c r="Z211" s="17"/>
    </row>
    <row r="212" ht="12.75" customHeight="1">
      <c r="A212" s="28"/>
      <c r="B212" s="28"/>
      <c r="C212" s="28"/>
      <c r="D212" s="30"/>
      <c r="E212" s="32"/>
      <c r="F212" s="30"/>
      <c r="G212" s="30"/>
      <c r="H212" s="30"/>
      <c r="I212" s="17"/>
      <c r="J212" s="17"/>
      <c r="K212" s="17"/>
      <c r="L212" s="17"/>
      <c r="M212" s="17"/>
      <c r="N212" s="17"/>
      <c r="O212" s="17"/>
      <c r="P212" s="17"/>
      <c r="Q212" s="17"/>
      <c r="R212" s="17"/>
      <c r="S212" s="17"/>
      <c r="T212" s="17"/>
      <c r="U212" s="17"/>
      <c r="V212" s="17"/>
      <c r="W212" s="17"/>
      <c r="X212" s="17"/>
      <c r="Y212" s="17"/>
      <c r="Z212" s="17"/>
    </row>
    <row r="213" ht="12.75" customHeight="1">
      <c r="A213" s="28"/>
      <c r="B213" s="28"/>
      <c r="C213" s="28"/>
      <c r="D213" s="30"/>
      <c r="E213" s="32"/>
      <c r="F213" s="30"/>
      <c r="G213" s="30"/>
      <c r="H213" s="30"/>
      <c r="I213" s="17"/>
      <c r="J213" s="17"/>
      <c r="K213" s="17"/>
      <c r="L213" s="17"/>
      <c r="M213" s="17"/>
      <c r="N213" s="17"/>
      <c r="O213" s="17"/>
      <c r="P213" s="17"/>
      <c r="Q213" s="17"/>
      <c r="R213" s="17"/>
      <c r="S213" s="17"/>
      <c r="T213" s="17"/>
      <c r="U213" s="17"/>
      <c r="V213" s="17"/>
      <c r="W213" s="17"/>
      <c r="X213" s="17"/>
      <c r="Y213" s="17"/>
      <c r="Z213" s="17"/>
    </row>
    <row r="214" ht="12.75" customHeight="1">
      <c r="A214" s="28"/>
      <c r="B214" s="28"/>
      <c r="C214" s="28"/>
      <c r="D214" s="30"/>
      <c r="E214" s="32"/>
      <c r="F214" s="30"/>
      <c r="G214" s="30"/>
      <c r="H214" s="30"/>
      <c r="I214" s="17"/>
      <c r="J214" s="17"/>
      <c r="K214" s="17"/>
      <c r="L214" s="17"/>
      <c r="M214" s="17"/>
      <c r="N214" s="17"/>
      <c r="O214" s="17"/>
      <c r="P214" s="17"/>
      <c r="Q214" s="17"/>
      <c r="R214" s="17"/>
      <c r="S214" s="17"/>
      <c r="T214" s="17"/>
      <c r="U214" s="17"/>
      <c r="V214" s="17"/>
      <c r="W214" s="17"/>
      <c r="X214" s="17"/>
      <c r="Y214" s="17"/>
      <c r="Z214" s="17"/>
    </row>
    <row r="215" ht="12.75" customHeight="1">
      <c r="A215" s="28"/>
      <c r="B215" s="28"/>
      <c r="C215" s="28"/>
      <c r="D215" s="30"/>
      <c r="E215" s="32"/>
      <c r="F215" s="30"/>
      <c r="G215" s="30"/>
      <c r="H215" s="30"/>
      <c r="I215" s="17"/>
      <c r="J215" s="17"/>
      <c r="K215" s="17"/>
      <c r="L215" s="17"/>
      <c r="M215" s="17"/>
      <c r="N215" s="17"/>
      <c r="O215" s="17"/>
      <c r="P215" s="17"/>
      <c r="Q215" s="17"/>
      <c r="R215" s="17"/>
      <c r="S215" s="17"/>
      <c r="T215" s="17"/>
      <c r="U215" s="17"/>
      <c r="V215" s="17"/>
      <c r="W215" s="17"/>
      <c r="X215" s="17"/>
      <c r="Y215" s="17"/>
      <c r="Z215" s="17"/>
    </row>
    <row r="216" ht="12.75" customHeight="1">
      <c r="A216" s="28"/>
      <c r="B216" s="28"/>
      <c r="C216" s="28"/>
      <c r="D216" s="30"/>
      <c r="E216" s="32"/>
      <c r="F216" s="30"/>
      <c r="G216" s="30"/>
      <c r="H216" s="30"/>
      <c r="I216" s="17"/>
      <c r="J216" s="17"/>
      <c r="K216" s="17"/>
      <c r="L216" s="17"/>
      <c r="M216" s="17"/>
      <c r="N216" s="17"/>
      <c r="O216" s="17"/>
      <c r="P216" s="17"/>
      <c r="Q216" s="17"/>
      <c r="R216" s="17"/>
      <c r="S216" s="17"/>
      <c r="T216" s="17"/>
      <c r="U216" s="17"/>
      <c r="V216" s="17"/>
      <c r="W216" s="17"/>
      <c r="X216" s="17"/>
      <c r="Y216" s="17"/>
      <c r="Z216" s="17"/>
    </row>
    <row r="217" ht="12.75" customHeight="1">
      <c r="A217" s="28"/>
      <c r="B217" s="28"/>
      <c r="C217" s="28"/>
      <c r="D217" s="30"/>
      <c r="E217" s="32"/>
      <c r="F217" s="30"/>
      <c r="G217" s="30"/>
      <c r="H217" s="30"/>
      <c r="I217" s="17"/>
      <c r="J217" s="17"/>
      <c r="K217" s="17"/>
      <c r="L217" s="17"/>
      <c r="M217" s="17"/>
      <c r="N217" s="17"/>
      <c r="O217" s="17"/>
      <c r="P217" s="17"/>
      <c r="Q217" s="17"/>
      <c r="R217" s="17"/>
      <c r="S217" s="17"/>
      <c r="T217" s="17"/>
      <c r="U217" s="17"/>
      <c r="V217" s="17"/>
      <c r="W217" s="17"/>
      <c r="X217" s="17"/>
      <c r="Y217" s="17"/>
      <c r="Z217" s="17"/>
    </row>
    <row r="218" ht="12.75" customHeight="1">
      <c r="A218" s="28"/>
      <c r="B218" s="28"/>
      <c r="C218" s="28"/>
      <c r="D218" s="30"/>
      <c r="E218" s="32"/>
      <c r="F218" s="30"/>
      <c r="G218" s="30"/>
      <c r="H218" s="30"/>
      <c r="I218" s="17"/>
      <c r="J218" s="17"/>
      <c r="K218" s="17"/>
      <c r="L218" s="17"/>
      <c r="M218" s="17"/>
      <c r="N218" s="17"/>
      <c r="O218" s="17"/>
      <c r="P218" s="17"/>
      <c r="Q218" s="17"/>
      <c r="R218" s="17"/>
      <c r="S218" s="17"/>
      <c r="T218" s="17"/>
      <c r="U218" s="17"/>
      <c r="V218" s="17"/>
      <c r="W218" s="17"/>
      <c r="X218" s="17"/>
      <c r="Y218" s="17"/>
      <c r="Z218" s="17"/>
    </row>
    <row r="219" ht="12.75" customHeight="1">
      <c r="A219" s="28"/>
      <c r="B219" s="28"/>
      <c r="C219" s="28"/>
      <c r="D219" s="30"/>
      <c r="E219" s="32"/>
      <c r="F219" s="30"/>
      <c r="G219" s="30"/>
      <c r="H219" s="30"/>
      <c r="I219" s="17"/>
      <c r="J219" s="17"/>
      <c r="K219" s="17"/>
      <c r="L219" s="17"/>
      <c r="M219" s="17"/>
      <c r="N219" s="17"/>
      <c r="O219" s="17"/>
      <c r="P219" s="17"/>
      <c r="Q219" s="17"/>
      <c r="R219" s="17"/>
      <c r="S219" s="17"/>
      <c r="T219" s="17"/>
      <c r="U219" s="17"/>
      <c r="V219" s="17"/>
      <c r="W219" s="17"/>
      <c r="X219" s="17"/>
      <c r="Y219" s="17"/>
      <c r="Z219" s="17"/>
    </row>
    <row r="220" ht="12.75" customHeight="1">
      <c r="A220" s="28"/>
      <c r="B220" s="28"/>
      <c r="C220" s="28"/>
      <c r="D220" s="30"/>
      <c r="E220" s="32"/>
      <c r="F220" s="30"/>
      <c r="G220" s="30"/>
      <c r="H220" s="30"/>
      <c r="I220" s="17"/>
      <c r="J220" s="17"/>
      <c r="K220" s="17"/>
      <c r="L220" s="17"/>
      <c r="M220" s="17"/>
      <c r="N220" s="17"/>
      <c r="O220" s="17"/>
      <c r="P220" s="17"/>
      <c r="Q220" s="17"/>
      <c r="R220" s="17"/>
      <c r="S220" s="17"/>
      <c r="T220" s="17"/>
      <c r="U220" s="17"/>
      <c r="V220" s="17"/>
      <c r="W220" s="17"/>
      <c r="X220" s="17"/>
      <c r="Y220" s="17"/>
      <c r="Z220" s="17"/>
    </row>
    <row r="221" ht="12.75" customHeight="1">
      <c r="A221" s="28"/>
      <c r="B221" s="28"/>
      <c r="C221" s="28"/>
      <c r="D221" s="30"/>
      <c r="E221" s="32"/>
      <c r="F221" s="30"/>
      <c r="G221" s="30"/>
      <c r="H221" s="30"/>
      <c r="I221" s="17"/>
      <c r="J221" s="17"/>
      <c r="K221" s="17"/>
      <c r="L221" s="17"/>
      <c r="M221" s="17"/>
      <c r="N221" s="17"/>
      <c r="O221" s="17"/>
      <c r="P221" s="17"/>
      <c r="Q221" s="17"/>
      <c r="R221" s="17"/>
      <c r="S221" s="17"/>
      <c r="T221" s="17"/>
      <c r="U221" s="17"/>
      <c r="V221" s="17"/>
      <c r="W221" s="17"/>
      <c r="X221" s="17"/>
      <c r="Y221" s="17"/>
      <c r="Z221" s="17"/>
    </row>
    <row r="222" ht="12.75" customHeight="1">
      <c r="A222" s="28"/>
      <c r="B222" s="28"/>
      <c r="C222" s="28"/>
      <c r="D222" s="30"/>
      <c r="E222" s="32"/>
      <c r="F222" s="30"/>
      <c r="G222" s="30"/>
      <c r="H222" s="30"/>
      <c r="I222" s="17"/>
      <c r="J222" s="17"/>
      <c r="K222" s="17"/>
      <c r="L222" s="17"/>
      <c r="M222" s="17"/>
      <c r="N222" s="17"/>
      <c r="O222" s="17"/>
      <c r="P222" s="17"/>
      <c r="Q222" s="17"/>
      <c r="R222" s="17"/>
      <c r="S222" s="17"/>
      <c r="T222" s="17"/>
      <c r="U222" s="17"/>
      <c r="V222" s="17"/>
      <c r="W222" s="17"/>
      <c r="X222" s="17"/>
      <c r="Y222" s="17"/>
      <c r="Z222" s="17"/>
    </row>
    <row r="223" ht="12.75" customHeight="1">
      <c r="A223" s="28"/>
      <c r="B223" s="28"/>
      <c r="C223" s="28"/>
      <c r="D223" s="30"/>
      <c r="E223" s="32"/>
      <c r="F223" s="30"/>
      <c r="G223" s="30"/>
      <c r="H223" s="30"/>
      <c r="I223" s="17"/>
      <c r="J223" s="17"/>
      <c r="K223" s="17"/>
      <c r="L223" s="17"/>
      <c r="M223" s="17"/>
      <c r="N223" s="17"/>
      <c r="O223" s="17"/>
      <c r="P223" s="17"/>
      <c r="Q223" s="17"/>
      <c r="R223" s="17"/>
      <c r="S223" s="17"/>
      <c r="T223" s="17"/>
      <c r="U223" s="17"/>
      <c r="V223" s="17"/>
      <c r="W223" s="17"/>
      <c r="X223" s="17"/>
      <c r="Y223" s="17"/>
      <c r="Z223" s="17"/>
    </row>
    <row r="224" ht="12.75" customHeight="1">
      <c r="A224" s="28"/>
      <c r="B224" s="28"/>
      <c r="C224" s="28"/>
      <c r="D224" s="30"/>
      <c r="E224" s="32"/>
      <c r="F224" s="30"/>
      <c r="G224" s="30"/>
      <c r="H224" s="30"/>
      <c r="I224" s="17"/>
      <c r="J224" s="17"/>
      <c r="K224" s="17"/>
      <c r="L224" s="17"/>
      <c r="M224" s="17"/>
      <c r="N224" s="17"/>
      <c r="O224" s="17"/>
      <c r="P224" s="17"/>
      <c r="Q224" s="17"/>
      <c r="R224" s="17"/>
      <c r="S224" s="17"/>
      <c r="T224" s="17"/>
      <c r="U224" s="17"/>
      <c r="V224" s="17"/>
      <c r="W224" s="17"/>
      <c r="X224" s="17"/>
      <c r="Y224" s="17"/>
      <c r="Z224" s="17"/>
    </row>
    <row r="225" ht="12.75" customHeight="1">
      <c r="A225" s="28"/>
      <c r="B225" s="28"/>
      <c r="C225" s="28"/>
      <c r="D225" s="30"/>
      <c r="E225" s="32"/>
      <c r="F225" s="30"/>
      <c r="G225" s="30"/>
      <c r="H225" s="30"/>
      <c r="I225" s="17"/>
      <c r="J225" s="17"/>
      <c r="K225" s="17"/>
      <c r="L225" s="17"/>
      <c r="M225" s="17"/>
      <c r="N225" s="17"/>
      <c r="O225" s="17"/>
      <c r="P225" s="17"/>
      <c r="Q225" s="17"/>
      <c r="R225" s="17"/>
      <c r="S225" s="17"/>
      <c r="T225" s="17"/>
      <c r="U225" s="17"/>
      <c r="V225" s="17"/>
      <c r="W225" s="17"/>
      <c r="X225" s="17"/>
      <c r="Y225" s="17"/>
      <c r="Z225" s="17"/>
    </row>
    <row r="226" ht="12.75" customHeight="1">
      <c r="A226" s="28"/>
      <c r="B226" s="28"/>
      <c r="C226" s="28"/>
      <c r="D226" s="30"/>
      <c r="E226" s="32"/>
      <c r="F226" s="30"/>
      <c r="G226" s="30"/>
      <c r="H226" s="30"/>
      <c r="I226" s="17"/>
      <c r="J226" s="17"/>
      <c r="K226" s="17"/>
      <c r="L226" s="17"/>
      <c r="M226" s="17"/>
      <c r="N226" s="17"/>
      <c r="O226" s="17"/>
      <c r="P226" s="17"/>
      <c r="Q226" s="17"/>
      <c r="R226" s="17"/>
      <c r="S226" s="17"/>
      <c r="T226" s="17"/>
      <c r="U226" s="17"/>
      <c r="V226" s="17"/>
      <c r="W226" s="17"/>
      <c r="X226" s="17"/>
      <c r="Y226" s="17"/>
      <c r="Z226" s="17"/>
    </row>
    <row r="227" ht="12.75" customHeight="1">
      <c r="A227" s="28"/>
      <c r="B227" s="28"/>
      <c r="C227" s="28"/>
      <c r="D227" s="30"/>
      <c r="E227" s="32"/>
      <c r="F227" s="30"/>
      <c r="G227" s="30"/>
      <c r="H227" s="30"/>
      <c r="I227" s="17"/>
      <c r="J227" s="17"/>
      <c r="K227" s="17"/>
      <c r="L227" s="17"/>
      <c r="M227" s="17"/>
      <c r="N227" s="17"/>
      <c r="O227" s="17"/>
      <c r="P227" s="17"/>
      <c r="Q227" s="17"/>
      <c r="R227" s="17"/>
      <c r="S227" s="17"/>
      <c r="T227" s="17"/>
      <c r="U227" s="17"/>
      <c r="V227" s="17"/>
      <c r="W227" s="17"/>
      <c r="X227" s="17"/>
      <c r="Y227" s="17"/>
      <c r="Z227" s="17"/>
    </row>
    <row r="228" ht="12.75" customHeight="1">
      <c r="A228" s="28"/>
      <c r="B228" s="28"/>
      <c r="C228" s="28"/>
      <c r="D228" s="30"/>
      <c r="E228" s="32"/>
      <c r="F228" s="30"/>
      <c r="G228" s="30"/>
      <c r="H228" s="30"/>
      <c r="I228" s="17"/>
      <c r="J228" s="17"/>
      <c r="K228" s="17"/>
      <c r="L228" s="17"/>
      <c r="M228" s="17"/>
      <c r="N228" s="17"/>
      <c r="O228" s="17"/>
      <c r="P228" s="17"/>
      <c r="Q228" s="17"/>
      <c r="R228" s="17"/>
      <c r="S228" s="17"/>
      <c r="T228" s="17"/>
      <c r="U228" s="17"/>
      <c r="V228" s="17"/>
      <c r="W228" s="17"/>
      <c r="X228" s="17"/>
      <c r="Y228" s="17"/>
      <c r="Z228" s="17"/>
    </row>
    <row r="229" ht="12.75" customHeight="1">
      <c r="A229" s="28"/>
      <c r="B229" s="28"/>
      <c r="C229" s="28"/>
      <c r="D229" s="30"/>
      <c r="E229" s="32"/>
      <c r="F229" s="30"/>
      <c r="G229" s="30"/>
      <c r="H229" s="30"/>
      <c r="I229" s="17"/>
      <c r="J229" s="17"/>
      <c r="K229" s="17"/>
      <c r="L229" s="17"/>
      <c r="M229" s="17"/>
      <c r="N229" s="17"/>
      <c r="O229" s="17"/>
      <c r="P229" s="17"/>
      <c r="Q229" s="17"/>
      <c r="R229" s="17"/>
      <c r="S229" s="17"/>
      <c r="T229" s="17"/>
      <c r="U229" s="17"/>
      <c r="V229" s="17"/>
      <c r="W229" s="17"/>
      <c r="X229" s="17"/>
      <c r="Y229" s="17"/>
      <c r="Z229" s="17"/>
    </row>
    <row r="230" ht="12.75" customHeight="1">
      <c r="A230" s="28"/>
      <c r="B230" s="28"/>
      <c r="C230" s="28"/>
      <c r="D230" s="30"/>
      <c r="E230" s="32"/>
      <c r="F230" s="30"/>
      <c r="G230" s="30"/>
      <c r="H230" s="30"/>
      <c r="I230" s="17"/>
      <c r="J230" s="17"/>
      <c r="K230" s="17"/>
      <c r="L230" s="17"/>
      <c r="M230" s="17"/>
      <c r="N230" s="17"/>
      <c r="O230" s="17"/>
      <c r="P230" s="17"/>
      <c r="Q230" s="17"/>
      <c r="R230" s="17"/>
      <c r="S230" s="17"/>
      <c r="T230" s="17"/>
      <c r="U230" s="17"/>
      <c r="V230" s="17"/>
      <c r="W230" s="17"/>
      <c r="X230" s="17"/>
      <c r="Y230" s="17"/>
      <c r="Z230" s="17"/>
    </row>
    <row r="231" ht="12.75" customHeight="1">
      <c r="A231" s="28"/>
      <c r="B231" s="28"/>
      <c r="C231" s="28"/>
      <c r="D231" s="30"/>
      <c r="E231" s="32"/>
      <c r="F231" s="30"/>
      <c r="G231" s="30"/>
      <c r="H231" s="30"/>
      <c r="I231" s="17"/>
      <c r="J231" s="17"/>
      <c r="K231" s="17"/>
      <c r="L231" s="17"/>
      <c r="M231" s="17"/>
      <c r="N231" s="17"/>
      <c r="O231" s="17"/>
      <c r="P231" s="17"/>
      <c r="Q231" s="17"/>
      <c r="R231" s="17"/>
      <c r="S231" s="17"/>
      <c r="T231" s="17"/>
      <c r="U231" s="17"/>
      <c r="V231" s="17"/>
      <c r="W231" s="17"/>
      <c r="X231" s="17"/>
      <c r="Y231" s="17"/>
      <c r="Z231" s="17"/>
    </row>
    <row r="232" ht="12.75" customHeight="1">
      <c r="A232" s="28"/>
      <c r="B232" s="28"/>
      <c r="C232" s="28"/>
      <c r="D232" s="30"/>
      <c r="E232" s="32"/>
      <c r="F232" s="30"/>
      <c r="G232" s="30"/>
      <c r="H232" s="30"/>
      <c r="I232" s="17"/>
      <c r="J232" s="17"/>
      <c r="K232" s="17"/>
      <c r="L232" s="17"/>
      <c r="M232" s="17"/>
      <c r="N232" s="17"/>
      <c r="O232" s="17"/>
      <c r="P232" s="17"/>
      <c r="Q232" s="17"/>
      <c r="R232" s="17"/>
      <c r="S232" s="17"/>
      <c r="T232" s="17"/>
      <c r="U232" s="17"/>
      <c r="V232" s="17"/>
      <c r="W232" s="17"/>
      <c r="X232" s="17"/>
      <c r="Y232" s="17"/>
      <c r="Z232" s="17"/>
    </row>
    <row r="233" ht="12.75" customHeight="1">
      <c r="A233" s="28"/>
      <c r="B233" s="28"/>
      <c r="C233" s="28"/>
      <c r="D233" s="30"/>
      <c r="E233" s="32"/>
      <c r="F233" s="30"/>
      <c r="G233" s="30"/>
      <c r="H233" s="30"/>
      <c r="I233" s="17"/>
      <c r="J233" s="17"/>
      <c r="K233" s="17"/>
      <c r="L233" s="17"/>
      <c r="M233" s="17"/>
      <c r="N233" s="17"/>
      <c r="O233" s="17"/>
      <c r="P233" s="17"/>
      <c r="Q233" s="17"/>
      <c r="R233" s="17"/>
      <c r="S233" s="17"/>
      <c r="T233" s="17"/>
      <c r="U233" s="17"/>
      <c r="V233" s="17"/>
      <c r="W233" s="17"/>
      <c r="X233" s="17"/>
      <c r="Y233" s="17"/>
      <c r="Z233" s="17"/>
    </row>
    <row r="234" ht="12.75" customHeight="1">
      <c r="A234" s="28"/>
      <c r="B234" s="28"/>
      <c r="C234" s="28"/>
      <c r="D234" s="30"/>
      <c r="E234" s="32"/>
      <c r="F234" s="30"/>
      <c r="G234" s="30"/>
      <c r="H234" s="30"/>
      <c r="I234" s="17"/>
      <c r="J234" s="17"/>
      <c r="K234" s="17"/>
      <c r="L234" s="17"/>
      <c r="M234" s="17"/>
      <c r="N234" s="17"/>
      <c r="O234" s="17"/>
      <c r="P234" s="17"/>
      <c r="Q234" s="17"/>
      <c r="R234" s="17"/>
      <c r="S234" s="17"/>
      <c r="T234" s="17"/>
      <c r="U234" s="17"/>
      <c r="V234" s="17"/>
      <c r="W234" s="17"/>
      <c r="X234" s="17"/>
      <c r="Y234" s="17"/>
      <c r="Z234" s="17"/>
    </row>
    <row r="235" ht="12.75" customHeight="1">
      <c r="A235" s="28"/>
      <c r="B235" s="28"/>
      <c r="C235" s="28"/>
      <c r="D235" s="30"/>
      <c r="E235" s="32"/>
      <c r="F235" s="30"/>
      <c r="G235" s="30"/>
      <c r="H235" s="30"/>
      <c r="I235" s="17"/>
      <c r="J235" s="17"/>
      <c r="K235" s="17"/>
      <c r="L235" s="17"/>
      <c r="M235" s="17"/>
      <c r="N235" s="17"/>
      <c r="O235" s="17"/>
      <c r="P235" s="17"/>
      <c r="Q235" s="17"/>
      <c r="R235" s="17"/>
      <c r="S235" s="17"/>
      <c r="T235" s="17"/>
      <c r="U235" s="17"/>
      <c r="V235" s="17"/>
      <c r="W235" s="17"/>
      <c r="X235" s="17"/>
      <c r="Y235" s="17"/>
      <c r="Z235" s="17"/>
    </row>
    <row r="236" ht="12.75" customHeight="1">
      <c r="A236" s="28"/>
      <c r="B236" s="28"/>
      <c r="C236" s="28"/>
      <c r="D236" s="30"/>
      <c r="E236" s="32"/>
      <c r="F236" s="30"/>
      <c r="G236" s="30"/>
      <c r="H236" s="30"/>
      <c r="I236" s="17"/>
      <c r="J236" s="17"/>
      <c r="K236" s="17"/>
      <c r="L236" s="17"/>
      <c r="M236" s="17"/>
      <c r="N236" s="17"/>
      <c r="O236" s="17"/>
      <c r="P236" s="17"/>
      <c r="Q236" s="17"/>
      <c r="R236" s="17"/>
      <c r="S236" s="17"/>
      <c r="T236" s="17"/>
      <c r="U236" s="17"/>
      <c r="V236" s="17"/>
      <c r="W236" s="17"/>
      <c r="X236" s="17"/>
      <c r="Y236" s="17"/>
      <c r="Z236" s="17"/>
    </row>
    <row r="237" ht="12.75" customHeight="1">
      <c r="A237" s="28"/>
      <c r="B237" s="28"/>
      <c r="C237" s="28"/>
      <c r="D237" s="30"/>
      <c r="E237" s="32"/>
      <c r="F237" s="30"/>
      <c r="G237" s="30"/>
      <c r="H237" s="30"/>
      <c r="I237" s="17"/>
      <c r="J237" s="17"/>
      <c r="K237" s="17"/>
      <c r="L237" s="17"/>
      <c r="M237" s="17"/>
      <c r="N237" s="17"/>
      <c r="O237" s="17"/>
      <c r="P237" s="17"/>
      <c r="Q237" s="17"/>
      <c r="R237" s="17"/>
      <c r="S237" s="17"/>
      <c r="T237" s="17"/>
      <c r="U237" s="17"/>
      <c r="V237" s="17"/>
      <c r="W237" s="17"/>
      <c r="X237" s="17"/>
      <c r="Y237" s="17"/>
      <c r="Z237" s="17"/>
    </row>
    <row r="238" ht="12.75" customHeight="1">
      <c r="A238" s="28"/>
      <c r="B238" s="28"/>
      <c r="C238" s="28"/>
      <c r="D238" s="30"/>
      <c r="E238" s="32"/>
      <c r="F238" s="30"/>
      <c r="G238" s="30"/>
      <c r="H238" s="30"/>
      <c r="I238" s="17"/>
      <c r="J238" s="17"/>
      <c r="K238" s="17"/>
      <c r="L238" s="17"/>
      <c r="M238" s="17"/>
      <c r="N238" s="17"/>
      <c r="O238" s="17"/>
      <c r="P238" s="17"/>
      <c r="Q238" s="17"/>
      <c r="R238" s="17"/>
      <c r="S238" s="17"/>
      <c r="T238" s="17"/>
      <c r="U238" s="17"/>
      <c r="V238" s="17"/>
      <c r="W238" s="17"/>
      <c r="X238" s="17"/>
      <c r="Y238" s="17"/>
      <c r="Z238" s="17"/>
    </row>
    <row r="239" ht="12.75" customHeight="1">
      <c r="A239" s="28"/>
      <c r="B239" s="28"/>
      <c r="C239" s="28"/>
      <c r="D239" s="30"/>
      <c r="E239" s="32"/>
      <c r="F239" s="30"/>
      <c r="G239" s="30"/>
      <c r="H239" s="30"/>
      <c r="I239" s="17"/>
      <c r="J239" s="17"/>
      <c r="K239" s="17"/>
      <c r="L239" s="17"/>
      <c r="M239" s="17"/>
      <c r="N239" s="17"/>
      <c r="O239" s="17"/>
      <c r="P239" s="17"/>
      <c r="Q239" s="17"/>
      <c r="R239" s="17"/>
      <c r="S239" s="17"/>
      <c r="T239" s="17"/>
      <c r="U239" s="17"/>
      <c r="V239" s="17"/>
      <c r="W239" s="17"/>
      <c r="X239" s="17"/>
      <c r="Y239" s="17"/>
      <c r="Z239" s="17"/>
    </row>
    <row r="240" ht="12.75" customHeight="1">
      <c r="A240" s="28"/>
      <c r="B240" s="28"/>
      <c r="C240" s="28"/>
      <c r="D240" s="30"/>
      <c r="E240" s="32"/>
      <c r="F240" s="30"/>
      <c r="G240" s="30"/>
      <c r="H240" s="30"/>
      <c r="I240" s="17"/>
      <c r="J240" s="17"/>
      <c r="K240" s="17"/>
      <c r="L240" s="17"/>
      <c r="M240" s="17"/>
      <c r="N240" s="17"/>
      <c r="O240" s="17"/>
      <c r="P240" s="17"/>
      <c r="Q240" s="17"/>
      <c r="R240" s="17"/>
      <c r="S240" s="17"/>
      <c r="T240" s="17"/>
      <c r="U240" s="17"/>
      <c r="V240" s="17"/>
      <c r="W240" s="17"/>
      <c r="X240" s="17"/>
      <c r="Y240" s="17"/>
      <c r="Z240" s="17"/>
    </row>
    <row r="241" ht="12.75" customHeight="1">
      <c r="A241" s="28"/>
      <c r="B241" s="28"/>
      <c r="C241" s="28"/>
      <c r="D241" s="30"/>
      <c r="E241" s="32"/>
      <c r="F241" s="30"/>
      <c r="G241" s="30"/>
      <c r="H241" s="30"/>
      <c r="I241" s="17"/>
      <c r="J241" s="17"/>
      <c r="K241" s="17"/>
      <c r="L241" s="17"/>
      <c r="M241" s="17"/>
      <c r="N241" s="17"/>
      <c r="O241" s="17"/>
      <c r="P241" s="17"/>
      <c r="Q241" s="17"/>
      <c r="R241" s="17"/>
      <c r="S241" s="17"/>
      <c r="T241" s="17"/>
      <c r="U241" s="17"/>
      <c r="V241" s="17"/>
      <c r="W241" s="17"/>
      <c r="X241" s="17"/>
      <c r="Y241" s="17"/>
      <c r="Z241" s="17"/>
    </row>
    <row r="242" ht="12.75" customHeight="1">
      <c r="A242" s="28"/>
      <c r="B242" s="28"/>
      <c r="C242" s="28"/>
      <c r="D242" s="30"/>
      <c r="E242" s="32"/>
      <c r="F242" s="30"/>
      <c r="G242" s="30"/>
      <c r="H242" s="30"/>
      <c r="I242" s="17"/>
      <c r="J242" s="17"/>
      <c r="K242" s="17"/>
      <c r="L242" s="17"/>
      <c r="M242" s="17"/>
      <c r="N242" s="17"/>
      <c r="O242" s="17"/>
      <c r="P242" s="17"/>
      <c r="Q242" s="17"/>
      <c r="R242" s="17"/>
      <c r="S242" s="17"/>
      <c r="T242" s="17"/>
      <c r="U242" s="17"/>
      <c r="V242" s="17"/>
      <c r="W242" s="17"/>
      <c r="X242" s="17"/>
      <c r="Y242" s="17"/>
      <c r="Z242" s="17"/>
    </row>
    <row r="243" ht="12.75" customHeight="1">
      <c r="A243" s="28"/>
      <c r="B243" s="28"/>
      <c r="C243" s="28"/>
      <c r="D243" s="30"/>
      <c r="E243" s="32"/>
      <c r="F243" s="30"/>
      <c r="G243" s="30"/>
      <c r="H243" s="30"/>
      <c r="I243" s="17"/>
      <c r="J243" s="17"/>
      <c r="K243" s="17"/>
      <c r="L243" s="17"/>
      <c r="M243" s="17"/>
      <c r="N243" s="17"/>
      <c r="O243" s="17"/>
      <c r="P243" s="17"/>
      <c r="Q243" s="17"/>
      <c r="R243" s="17"/>
      <c r="S243" s="17"/>
      <c r="T243" s="17"/>
      <c r="U243" s="17"/>
      <c r="V243" s="17"/>
      <c r="W243" s="17"/>
      <c r="X243" s="17"/>
      <c r="Y243" s="17"/>
      <c r="Z243" s="17"/>
    </row>
    <row r="244" ht="12.75" customHeight="1">
      <c r="A244" s="28"/>
      <c r="B244" s="28"/>
      <c r="C244" s="28"/>
      <c r="D244" s="30"/>
      <c r="E244" s="32"/>
      <c r="F244" s="30"/>
      <c r="G244" s="30"/>
      <c r="H244" s="30"/>
      <c r="I244" s="17"/>
      <c r="J244" s="17"/>
      <c r="K244" s="17"/>
      <c r="L244" s="17"/>
      <c r="M244" s="17"/>
      <c r="N244" s="17"/>
      <c r="O244" s="17"/>
      <c r="P244" s="17"/>
      <c r="Q244" s="17"/>
      <c r="R244" s="17"/>
      <c r="S244" s="17"/>
      <c r="T244" s="17"/>
      <c r="U244" s="17"/>
      <c r="V244" s="17"/>
      <c r="W244" s="17"/>
      <c r="X244" s="17"/>
      <c r="Y244" s="17"/>
      <c r="Z244" s="17"/>
    </row>
    <row r="245" ht="12.75" customHeight="1">
      <c r="A245" s="28"/>
      <c r="B245" s="28"/>
      <c r="C245" s="28"/>
      <c r="D245" s="30"/>
      <c r="E245" s="32"/>
      <c r="F245" s="30"/>
      <c r="G245" s="30"/>
      <c r="H245" s="30"/>
      <c r="I245" s="17"/>
      <c r="J245" s="17"/>
      <c r="K245" s="17"/>
      <c r="L245" s="17"/>
      <c r="M245" s="17"/>
      <c r="N245" s="17"/>
      <c r="O245" s="17"/>
      <c r="P245" s="17"/>
      <c r="Q245" s="17"/>
      <c r="R245" s="17"/>
      <c r="S245" s="17"/>
      <c r="T245" s="17"/>
      <c r="U245" s="17"/>
      <c r="V245" s="17"/>
      <c r="W245" s="17"/>
      <c r="X245" s="17"/>
      <c r="Y245" s="17"/>
      <c r="Z245" s="17"/>
    </row>
    <row r="246" ht="12.75" customHeight="1">
      <c r="A246" s="28"/>
      <c r="B246" s="28"/>
      <c r="C246" s="28"/>
      <c r="D246" s="30"/>
      <c r="E246" s="32"/>
      <c r="F246" s="30"/>
      <c r="G246" s="30"/>
      <c r="H246" s="30"/>
      <c r="I246" s="17"/>
      <c r="J246" s="17"/>
      <c r="K246" s="17"/>
      <c r="L246" s="17"/>
      <c r="M246" s="17"/>
      <c r="N246" s="17"/>
      <c r="O246" s="17"/>
      <c r="P246" s="17"/>
      <c r="Q246" s="17"/>
      <c r="R246" s="17"/>
      <c r="S246" s="17"/>
      <c r="T246" s="17"/>
      <c r="U246" s="17"/>
      <c r="V246" s="17"/>
      <c r="W246" s="17"/>
      <c r="X246" s="17"/>
      <c r="Y246" s="17"/>
      <c r="Z246" s="17"/>
    </row>
    <row r="247" ht="12.75" customHeight="1">
      <c r="A247" s="28"/>
      <c r="B247" s="28"/>
      <c r="C247" s="28"/>
      <c r="D247" s="30"/>
      <c r="E247" s="32"/>
      <c r="F247" s="30"/>
      <c r="G247" s="30"/>
      <c r="H247" s="30"/>
      <c r="I247" s="17"/>
      <c r="J247" s="17"/>
      <c r="K247" s="17"/>
      <c r="L247" s="17"/>
      <c r="M247" s="17"/>
      <c r="N247" s="17"/>
      <c r="O247" s="17"/>
      <c r="P247" s="17"/>
      <c r="Q247" s="17"/>
      <c r="R247" s="17"/>
      <c r="S247" s="17"/>
      <c r="T247" s="17"/>
      <c r="U247" s="17"/>
      <c r="V247" s="17"/>
      <c r="W247" s="17"/>
      <c r="X247" s="17"/>
      <c r="Y247" s="17"/>
      <c r="Z247" s="17"/>
    </row>
    <row r="248" ht="12.75" customHeight="1">
      <c r="A248" s="28"/>
      <c r="B248" s="28"/>
      <c r="C248" s="28"/>
      <c r="D248" s="30"/>
      <c r="E248" s="32"/>
      <c r="F248" s="30"/>
      <c r="G248" s="30"/>
      <c r="H248" s="30"/>
      <c r="I248" s="17"/>
      <c r="J248" s="17"/>
      <c r="K248" s="17"/>
      <c r="L248" s="17"/>
      <c r="M248" s="17"/>
      <c r="N248" s="17"/>
      <c r="O248" s="17"/>
      <c r="P248" s="17"/>
      <c r="Q248" s="17"/>
      <c r="R248" s="17"/>
      <c r="S248" s="17"/>
      <c r="T248" s="17"/>
      <c r="U248" s="17"/>
      <c r="V248" s="17"/>
      <c r="W248" s="17"/>
      <c r="X248" s="17"/>
      <c r="Y248" s="17"/>
      <c r="Z248" s="17"/>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D4"/>
    <mergeCell ref="E4:H4"/>
    <mergeCell ref="A5:D5"/>
    <mergeCell ref="E5:H5"/>
    <mergeCell ref="A6:D6"/>
    <mergeCell ref="A7:D7"/>
    <mergeCell ref="E7:H7"/>
  </mergeCells>
  <hyperlinks>
    <hyperlink display="Allocation Plan Approval" location="'Allocation Plan Approval'!A1" ref="F11"/>
    <hyperlink display="Refund Service" location="'Refund Service'!A1" ref="F12"/>
    <hyperlink display="Allocation Planner" location="'Allocation Planner'!A1" ref="F13"/>
    <hyperlink display="Manual Payment" location="'Manual Payment'!A1" ref="F14"/>
    <hyperlink display="Inventory Service" location="'Inventory Service'!A1" ref="F15"/>
    <hyperlink display="QR Label Service" location="'QR Label Service'!A1" ref="F16"/>
    <hyperlink display="Allocation Run Planning" location="'Allocation Run Planning'!A1" ref="F17"/>
    <hyperlink display="Allocation Run Result" location="'Allocation Run Result'!A1" ref="F18"/>
    <hyperlink display="Warehouse Config" location="'Warehouse Config'!A1" ref="F19"/>
    <hyperlink display="Allocation Trace" location="'Allocation Trace'!A1" ref="F20"/>
    <hyperlink display="Allocation Engine + Benchmark" location="'Allocation Engine + Benchmark'!A1" ref="F21"/>
    <hyperlink display="Shelf Life Discount" location="'Shelf Life Discount'!A1" ref="F22"/>
    <hyperlink display="Order Service" location="'Order Service'!A1" ref="F23"/>
    <hyperlink display="Promotion Service" location="'Promotion Service'!A1" ref="F24"/>
    <hyperlink display="Report Service" location="'Report Service'!A1" ref="F25"/>
    <hyperlink display="Retailer Service" location="'Retailer Service'!A1" ref="F26"/>
    <hyperlink display="Loyalty &amp; Rewards" location="'Loyalty &amp; Rewards'!A1" ref="F27"/>
    <hyperlink display="Delivery ETA + Maps" location="'Delivery ETA + Maps'!A1" ref="F28"/>
    <hyperlink display="Delivery Service" location="'Delivery Service'!A1" ref="F29"/>
    <hyperlink display="Allocation Pricing" location="'Allocation Pricing'!A1" ref="F30"/>
    <hyperlink display="Picking Service" location="'Picking Service'!A1" ref="F31"/>
    <hyperlink display="Shipment Service" location="'Shipment Service'!A1" ref="F32"/>
    <hyperlink display="Allocation Reservation" location="'Allocation Reservation'!A1" ref="F33"/>
    <hyperlink display="Allocation Run Service" location="'Allocation Run Service'!A1" ref="F34"/>
    <hyperlink display="Expiry Sweep &amp; Outbox" location="'Expiry Sweep &amp; Outbox'!A1" ref="F35"/>
    <hyperlink display="Allocation Price Lookup" location="'Allocation Price Lookup'!A1" ref="F36"/>
    <hyperlink display="MB Money and Limits" location="'MB Money and Limits'!A1" ref="F37"/>
    <hyperlink display="Allocation Scenarios" location="'Allocation Scenarios'!A1" ref="F38"/>
    <hyperlink display="Transit Table" location="'Transit Table'!A1" ref="F39"/>
    <hyperlink display="MB Business IDs" location="'MB Business IDs'!A1" ref="F40"/>
    <hyperlink display="Payment Service" location="'Payment Service'!A1" ref="F41"/>
    <hyperlink display="Identity Service" location="'Identity Service'!A1" ref="F43"/>
    <hyperlink display="Offline Snapshot &amp; Queue" location="'Offline Snapshot &amp; Queue'!A1" ref="F44"/>
    <hyperlink display="Territory Service" location="'Territory Service'!A1" ref="F45"/>
    <hyperlink display="Inventory Lifecycle" location="'Inventory Lifecycle'!A1" ref="F46"/>
    <hyperlink display="Inventory Lock" location="'Inventory Lock'!A1" ref="F47"/>
    <hyperlink display="Catalog Service" location="'Catalog Service'!A1" ref="F48"/>
  </hyperlinks>
  <printOptions/>
  <pageMargins bottom="0.75" footer="0.0" header="0.0" left="0.7" right="0.7" top="0.75"/>
  <pageSetup orientation="landscape"/>
  <headerFooter>
    <oddFooter>&amp;L 02ae-BM/PM/HDCV/FSOFT v2/1&amp;CInternal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29.25"/>
    <col customWidth="1" min="3" max="3" width="12.13"/>
    <col customWidth="1" min="4" max="4" width="9.63"/>
    <col customWidth="1" min="5" max="5" width="9.88"/>
    <col customWidth="1" min="6" max="8" width="5.13"/>
    <col customWidth="1" min="9" max="9" width="21.0"/>
    <col customWidth="1" min="10" max="26" width="10.0"/>
  </cols>
  <sheetData>
    <row r="1" ht="12.75"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ht="25.5" customHeight="1">
      <c r="A2" s="78" t="s">
        <v>150</v>
      </c>
      <c r="B2" s="79"/>
      <c r="C2" s="79"/>
      <c r="D2" s="79"/>
      <c r="E2" s="79"/>
      <c r="F2" s="79"/>
      <c r="G2" s="79"/>
      <c r="H2" s="79"/>
      <c r="I2" s="79"/>
      <c r="J2" s="17"/>
      <c r="K2" s="17"/>
      <c r="L2" s="17"/>
      <c r="M2" s="17"/>
      <c r="N2" s="17"/>
      <c r="O2" s="17"/>
      <c r="P2" s="17"/>
      <c r="Q2" s="17"/>
      <c r="R2" s="17"/>
      <c r="S2" s="17"/>
      <c r="T2" s="17"/>
      <c r="U2" s="17"/>
      <c r="V2" s="17"/>
      <c r="W2" s="17"/>
      <c r="X2" s="17"/>
      <c r="Y2" s="17"/>
      <c r="Z2" s="17"/>
    </row>
    <row r="3" ht="14.25" customHeight="1">
      <c r="A3" s="81"/>
      <c r="B3" s="17"/>
      <c r="C3" s="17"/>
      <c r="D3" s="17"/>
      <c r="E3" s="17"/>
      <c r="F3" s="17"/>
      <c r="G3" s="17"/>
      <c r="H3" s="17"/>
      <c r="I3" s="82"/>
      <c r="J3" s="17"/>
      <c r="K3" s="17"/>
      <c r="L3" s="17"/>
      <c r="M3" s="17"/>
      <c r="N3" s="17"/>
      <c r="O3" s="17"/>
      <c r="P3" s="17"/>
      <c r="Q3" s="17"/>
      <c r="R3" s="17"/>
      <c r="S3" s="17"/>
      <c r="T3" s="17"/>
      <c r="U3" s="17"/>
      <c r="V3" s="17"/>
      <c r="W3" s="17"/>
      <c r="X3" s="17"/>
      <c r="Y3" s="17"/>
      <c r="Z3" s="17"/>
    </row>
    <row r="4" ht="13.5" customHeight="1">
      <c r="A4" s="83" t="s">
        <v>9</v>
      </c>
      <c r="B4" s="49" t="str">
        <f>Cover!B4</f>
        <v>FSCM – Short Shelf-Life FMCG Supply Chain Management</v>
      </c>
      <c r="C4" s="13"/>
      <c r="D4" s="84" t="s">
        <v>11</v>
      </c>
      <c r="E4" s="13"/>
      <c r="F4" s="49" t="s">
        <v>183</v>
      </c>
      <c r="G4" s="12"/>
      <c r="H4" s="12"/>
      <c r="I4" s="13"/>
      <c r="J4" s="17"/>
      <c r="K4" s="17"/>
      <c r="L4" s="17"/>
      <c r="M4" s="17"/>
      <c r="N4" s="17"/>
      <c r="O4" s="17"/>
      <c r="P4" s="17"/>
      <c r="Q4" s="17"/>
      <c r="R4" s="17"/>
      <c r="S4" s="17"/>
      <c r="T4" s="17"/>
      <c r="U4" s="17"/>
      <c r="V4" s="17"/>
      <c r="W4" s="17"/>
      <c r="X4" s="17"/>
      <c r="Y4" s="17"/>
      <c r="Z4" s="17"/>
    </row>
    <row r="5" ht="13.5" customHeight="1">
      <c r="A5" s="83" t="s">
        <v>14</v>
      </c>
      <c r="B5" s="49" t="str">
        <f>Cover!B5</f>
        <v>FA26SE083</v>
      </c>
      <c r="C5" s="13"/>
      <c r="D5" s="84" t="s">
        <v>195</v>
      </c>
      <c r="E5" s="13"/>
      <c r="F5" s="85"/>
      <c r="G5" s="12"/>
      <c r="H5" s="12"/>
      <c r="I5" s="13"/>
      <c r="J5" s="17"/>
      <c r="K5" s="17"/>
      <c r="L5" s="17"/>
      <c r="M5" s="17"/>
      <c r="N5" s="17"/>
      <c r="O5" s="17"/>
      <c r="P5" s="17"/>
      <c r="Q5" s="17"/>
      <c r="R5" s="17"/>
      <c r="S5" s="17"/>
      <c r="T5" s="17"/>
      <c r="U5" s="17"/>
      <c r="V5" s="17"/>
      <c r="W5" s="17"/>
      <c r="X5" s="17"/>
      <c r="Y5" s="17"/>
      <c r="Z5" s="17"/>
    </row>
    <row r="6" ht="12.75" customHeight="1">
      <c r="A6" s="26" t="s">
        <v>19</v>
      </c>
      <c r="B6" s="49" t="s">
        <v>204</v>
      </c>
      <c r="C6" s="13"/>
      <c r="D6" s="84" t="s">
        <v>17</v>
      </c>
      <c r="E6" s="13"/>
      <c r="F6" s="86">
        <v>46323.0</v>
      </c>
      <c r="G6" s="12"/>
      <c r="H6" s="12"/>
      <c r="I6" s="13"/>
      <c r="J6" s="17"/>
      <c r="K6" s="17"/>
      <c r="L6" s="17"/>
      <c r="M6" s="17"/>
      <c r="N6" s="17"/>
      <c r="O6" s="17"/>
      <c r="P6" s="17"/>
      <c r="Q6" s="17"/>
      <c r="R6" s="17"/>
      <c r="S6" s="17"/>
      <c r="T6" s="17"/>
      <c r="U6" s="17"/>
      <c r="V6" s="17"/>
      <c r="W6" s="17"/>
      <c r="X6" s="17"/>
      <c r="Y6" s="17"/>
      <c r="Z6" s="17"/>
    </row>
    <row r="7" ht="15.75" customHeight="1">
      <c r="A7" s="26" t="s">
        <v>208</v>
      </c>
      <c r="B7" s="87" t="s">
        <v>209</v>
      </c>
      <c r="C7" s="12"/>
      <c r="D7" s="12"/>
      <c r="E7" s="12"/>
      <c r="F7" s="12"/>
      <c r="G7" s="12"/>
      <c r="H7" s="12"/>
      <c r="I7" s="13"/>
      <c r="J7" s="17"/>
      <c r="K7" s="17"/>
      <c r="L7" s="17"/>
      <c r="M7" s="17"/>
      <c r="N7" s="17"/>
      <c r="O7" s="17"/>
      <c r="P7" s="17"/>
      <c r="Q7" s="17"/>
      <c r="R7" s="17"/>
      <c r="S7" s="17"/>
      <c r="T7" s="17"/>
      <c r="U7" s="17"/>
      <c r="V7" s="17"/>
      <c r="W7" s="17"/>
      <c r="X7" s="17"/>
      <c r="Y7" s="17"/>
      <c r="Z7" s="17"/>
    </row>
    <row r="8" ht="14.25" customHeight="1">
      <c r="A8" s="88"/>
      <c r="B8" s="89"/>
      <c r="C8" s="17"/>
      <c r="D8" s="17"/>
      <c r="E8" s="17"/>
      <c r="F8" s="17"/>
      <c r="G8" s="17"/>
      <c r="H8" s="17"/>
      <c r="I8" s="82"/>
      <c r="J8" s="17"/>
      <c r="K8" s="17"/>
      <c r="L8" s="17"/>
      <c r="M8" s="17"/>
      <c r="N8" s="17"/>
      <c r="O8" s="17"/>
      <c r="P8" s="17"/>
      <c r="Q8" s="17"/>
      <c r="R8" s="17"/>
      <c r="S8" s="17"/>
      <c r="T8" s="17"/>
      <c r="U8" s="17"/>
      <c r="V8" s="17"/>
      <c r="W8" s="17"/>
      <c r="X8" s="17"/>
      <c r="Y8" s="17"/>
      <c r="Z8" s="17"/>
    </row>
    <row r="9" ht="12.75" customHeight="1">
      <c r="A9" s="88"/>
      <c r="B9" s="89"/>
      <c r="C9" s="17"/>
      <c r="D9" s="17"/>
      <c r="E9" s="17"/>
      <c r="F9" s="17"/>
      <c r="G9" s="17"/>
      <c r="H9" s="17"/>
      <c r="I9" s="82"/>
      <c r="J9" s="17"/>
      <c r="K9" s="17"/>
      <c r="L9" s="17"/>
      <c r="M9" s="17"/>
      <c r="N9" s="17"/>
      <c r="O9" s="17"/>
      <c r="P9" s="17"/>
      <c r="Q9" s="17"/>
      <c r="R9" s="17"/>
      <c r="S9" s="17"/>
      <c r="T9" s="17"/>
      <c r="U9" s="17"/>
      <c r="V9" s="17"/>
      <c r="W9" s="17"/>
      <c r="X9" s="17"/>
      <c r="Y9" s="17"/>
      <c r="Z9" s="17"/>
    </row>
    <row r="10" ht="12.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4.25" customHeight="1">
      <c r="A11" s="90" t="s">
        <v>68</v>
      </c>
      <c r="B11" s="91" t="s">
        <v>216</v>
      </c>
      <c r="C11" s="92" t="s">
        <v>217</v>
      </c>
      <c r="D11" s="91" t="s">
        <v>218</v>
      </c>
      <c r="E11" s="93" t="s">
        <v>219</v>
      </c>
      <c r="F11" s="93" t="s">
        <v>220</v>
      </c>
      <c r="G11" s="93" t="s">
        <v>38</v>
      </c>
      <c r="H11" s="93" t="s">
        <v>221</v>
      </c>
      <c r="I11" s="94" t="s">
        <v>222</v>
      </c>
      <c r="J11" s="17"/>
      <c r="K11" s="17"/>
      <c r="L11" s="17"/>
      <c r="M11" s="17"/>
      <c r="N11" s="17"/>
      <c r="O11" s="17"/>
      <c r="P11" s="17"/>
      <c r="Q11" s="17"/>
      <c r="R11" s="17"/>
      <c r="S11" s="17"/>
      <c r="T11" s="17"/>
      <c r="U11" s="17"/>
      <c r="V11" s="17"/>
      <c r="W11" s="17"/>
      <c r="X11" s="17"/>
      <c r="Y11" s="17"/>
      <c r="Z11" s="17"/>
    </row>
    <row r="12" ht="12.75" customHeight="1">
      <c r="A12" s="95">
        <v>1.0</v>
      </c>
      <c r="B12" s="73" t="s">
        <v>84</v>
      </c>
      <c r="C12" s="96">
        <f>'Allocation Plan Approval'!A7</f>
        <v>0</v>
      </c>
      <c r="D12" s="96">
        <f>'Allocation Plan Approval'!C7</f>
        <v>0</v>
      </c>
      <c r="E12" s="97">
        <f>'Allocation Plan Approval'!F7</f>
        <v>6</v>
      </c>
      <c r="F12" s="97">
        <f>'Allocation Plan Approval'!L7</f>
        <v>3</v>
      </c>
      <c r="G12" s="97">
        <f>'Allocation Plan Approval'!M7</f>
        <v>3</v>
      </c>
      <c r="H12" s="97">
        <f>'Allocation Plan Approval'!N7</f>
        <v>0</v>
      </c>
      <c r="I12" s="97">
        <f>'Allocation Plan Approval'!O7</f>
        <v>6</v>
      </c>
      <c r="J12" s="76"/>
      <c r="K12" s="17"/>
      <c r="L12" s="17"/>
      <c r="M12" s="17"/>
      <c r="N12" s="17"/>
      <c r="O12" s="17"/>
      <c r="P12" s="17"/>
      <c r="Q12" s="17"/>
      <c r="R12" s="17"/>
      <c r="S12" s="17"/>
      <c r="T12" s="17"/>
      <c r="U12" s="17"/>
      <c r="V12" s="17"/>
      <c r="W12" s="17"/>
      <c r="X12" s="17"/>
      <c r="Y12" s="17"/>
      <c r="Z12" s="17"/>
    </row>
    <row r="13" ht="12.75" customHeight="1">
      <c r="A13" s="95">
        <v>2.0</v>
      </c>
      <c r="B13" s="73" t="s">
        <v>97</v>
      </c>
      <c r="C13" s="96">
        <f>'Refund Service'!A7</f>
        <v>0</v>
      </c>
      <c r="D13" s="96">
        <f>'Refund Service'!C7</f>
        <v>0</v>
      </c>
      <c r="E13" s="96">
        <f>'Refund Service'!F7</f>
        <v>4</v>
      </c>
      <c r="F13" s="96">
        <f>'Refund Service'!L7</f>
        <v>1</v>
      </c>
      <c r="G13" s="96">
        <f>'Refund Service'!M7</f>
        <v>2</v>
      </c>
      <c r="H13" s="96">
        <f>'Refund Service'!N7</f>
        <v>1</v>
      </c>
      <c r="I13" s="96">
        <f>'Refund Service'!O7</f>
        <v>4</v>
      </c>
      <c r="J13" s="76"/>
      <c r="K13" s="17"/>
      <c r="L13" s="17"/>
      <c r="M13" s="17"/>
      <c r="N13" s="17"/>
      <c r="O13" s="17"/>
      <c r="P13" s="17"/>
      <c r="Q13" s="17"/>
      <c r="R13" s="17"/>
      <c r="S13" s="17"/>
      <c r="T13" s="17"/>
      <c r="U13" s="17"/>
      <c r="V13" s="17"/>
      <c r="W13" s="17"/>
      <c r="X13" s="17"/>
      <c r="Y13" s="17"/>
      <c r="Z13" s="17"/>
    </row>
    <row r="14" ht="12.75" customHeight="1">
      <c r="A14" s="95">
        <v>3.0</v>
      </c>
      <c r="B14" s="73" t="s">
        <v>105</v>
      </c>
      <c r="C14" s="96">
        <f>'Allocation Planner'!A7</f>
        <v>0</v>
      </c>
      <c r="D14" s="96">
        <f>'Allocation Planner'!C7</f>
        <v>0</v>
      </c>
      <c r="E14" s="96">
        <f>'Allocation Planner'!F7</f>
        <v>5</v>
      </c>
      <c r="F14" s="96">
        <f>'Allocation Planner'!L7</f>
        <v>2</v>
      </c>
      <c r="G14" s="96">
        <f>'Allocation Planner'!M7</f>
        <v>2</v>
      </c>
      <c r="H14" s="96">
        <f>'Allocation Planner'!N7</f>
        <v>1</v>
      </c>
      <c r="I14" s="96">
        <f>'Allocation Planner'!O7</f>
        <v>5</v>
      </c>
      <c r="J14" s="76"/>
      <c r="K14" s="17"/>
      <c r="L14" s="17"/>
      <c r="M14" s="17"/>
      <c r="N14" s="17"/>
      <c r="O14" s="17"/>
      <c r="P14" s="17"/>
      <c r="Q14" s="17"/>
      <c r="R14" s="17"/>
      <c r="S14" s="17"/>
      <c r="T14" s="17"/>
      <c r="U14" s="17"/>
      <c r="V14" s="17"/>
      <c r="W14" s="17"/>
      <c r="X14" s="17"/>
      <c r="Y14" s="17"/>
      <c r="Z14" s="17"/>
    </row>
    <row r="15" ht="12.75" customHeight="1">
      <c r="A15" s="95">
        <v>4.0</v>
      </c>
      <c r="B15" s="73" t="s">
        <v>113</v>
      </c>
      <c r="C15" s="96">
        <f>'Manual Payment'!A7</f>
        <v>0</v>
      </c>
      <c r="D15" s="96">
        <f>'Manual Payment'!C7</f>
        <v>0</v>
      </c>
      <c r="E15" s="96">
        <f>'Manual Payment'!F7</f>
        <v>4</v>
      </c>
      <c r="F15" s="96">
        <f>'Manual Payment'!L7</f>
        <v>2</v>
      </c>
      <c r="G15" s="96">
        <f>'Manual Payment'!M7</f>
        <v>2</v>
      </c>
      <c r="H15" s="96">
        <f>'Manual Payment'!N7</f>
        <v>0</v>
      </c>
      <c r="I15" s="96">
        <f>'Manual Payment'!O7</f>
        <v>4</v>
      </c>
      <c r="J15" s="76"/>
      <c r="K15" s="17"/>
      <c r="L15" s="17"/>
      <c r="M15" s="17"/>
      <c r="N15" s="17"/>
      <c r="O15" s="17"/>
      <c r="P15" s="17"/>
      <c r="Q15" s="17"/>
      <c r="R15" s="17"/>
      <c r="S15" s="17"/>
      <c r="T15" s="17"/>
      <c r="U15" s="17"/>
      <c r="V15" s="17"/>
      <c r="W15" s="17"/>
      <c r="X15" s="17"/>
      <c r="Y15" s="17"/>
      <c r="Z15" s="17"/>
    </row>
    <row r="16" ht="12.75" customHeight="1">
      <c r="A16" s="95">
        <v>5.0</v>
      </c>
      <c r="B16" s="73" t="s">
        <v>121</v>
      </c>
      <c r="C16" s="96">
        <f>'Inventory Service'!A7</f>
        <v>0</v>
      </c>
      <c r="D16" s="96">
        <f>'Inventory Service'!C7</f>
        <v>0</v>
      </c>
      <c r="E16" s="96">
        <f>'Inventory Service'!F7</f>
        <v>5</v>
      </c>
      <c r="F16" s="96">
        <f>'Inventory Service'!L7</f>
        <v>3</v>
      </c>
      <c r="G16" s="96">
        <f>'Inventory Service'!M7</f>
        <v>2</v>
      </c>
      <c r="H16" s="96">
        <f>'Inventory Service'!N7</f>
        <v>0</v>
      </c>
      <c r="I16" s="96">
        <f>'Inventory Service'!O7</f>
        <v>5</v>
      </c>
      <c r="J16" s="76"/>
      <c r="K16" s="17"/>
      <c r="L16" s="17"/>
      <c r="M16" s="17"/>
      <c r="N16" s="17"/>
      <c r="O16" s="17"/>
      <c r="P16" s="17"/>
      <c r="Q16" s="17"/>
      <c r="R16" s="17"/>
      <c r="S16" s="17"/>
      <c r="T16" s="17"/>
      <c r="U16" s="17"/>
      <c r="V16" s="17"/>
      <c r="W16" s="17"/>
      <c r="X16" s="17"/>
      <c r="Y16" s="17"/>
      <c r="Z16" s="17"/>
    </row>
    <row r="17" ht="12.75" customHeight="1">
      <c r="A17" s="95">
        <v>6.0</v>
      </c>
      <c r="B17" s="73" t="s">
        <v>131</v>
      </c>
      <c r="C17" s="96">
        <f>'QR Label Service'!A7</f>
        <v>0</v>
      </c>
      <c r="D17" s="96">
        <f>'QR Label Service'!C7</f>
        <v>0</v>
      </c>
      <c r="E17" s="96">
        <f>'QR Label Service'!F7</f>
        <v>4</v>
      </c>
      <c r="F17" s="96">
        <f>'QR Label Service'!L7</f>
        <v>3</v>
      </c>
      <c r="G17" s="96">
        <f>'QR Label Service'!M7</f>
        <v>1</v>
      </c>
      <c r="H17" s="96">
        <f>'QR Label Service'!N7</f>
        <v>0</v>
      </c>
      <c r="I17" s="96">
        <f>'QR Label Service'!O7</f>
        <v>4</v>
      </c>
      <c r="J17" s="76"/>
      <c r="K17" s="17"/>
      <c r="L17" s="17"/>
      <c r="M17" s="17"/>
      <c r="N17" s="17"/>
      <c r="O17" s="17"/>
      <c r="P17" s="17"/>
      <c r="Q17" s="17"/>
      <c r="R17" s="17"/>
      <c r="S17" s="17"/>
      <c r="T17" s="17"/>
      <c r="U17" s="17"/>
      <c r="V17" s="17"/>
      <c r="W17" s="17"/>
      <c r="X17" s="17"/>
      <c r="Y17" s="17"/>
      <c r="Z17" s="17"/>
    </row>
    <row r="18" ht="12.75" customHeight="1">
      <c r="A18" s="95">
        <v>7.0</v>
      </c>
      <c r="B18" s="73" t="s">
        <v>137</v>
      </c>
      <c r="C18" s="96">
        <f>'Allocation Run Planning'!A7</f>
        <v>0</v>
      </c>
      <c r="D18" s="96">
        <f>'Allocation Run Planning'!C7</f>
        <v>0</v>
      </c>
      <c r="E18" s="96">
        <f>'Allocation Run Planning'!F7</f>
        <v>4</v>
      </c>
      <c r="F18" s="96">
        <f>'Allocation Run Planning'!L7</f>
        <v>1</v>
      </c>
      <c r="G18" s="96">
        <f>'Allocation Run Planning'!M7</f>
        <v>3</v>
      </c>
      <c r="H18" s="96">
        <f>'Allocation Run Planning'!N7</f>
        <v>0</v>
      </c>
      <c r="I18" s="96">
        <f>'Allocation Run Planning'!O7</f>
        <v>4</v>
      </c>
      <c r="J18" s="76"/>
      <c r="K18" s="17"/>
      <c r="L18" s="17"/>
      <c r="M18" s="17"/>
      <c r="N18" s="17"/>
      <c r="O18" s="17"/>
      <c r="P18" s="17"/>
      <c r="Q18" s="17"/>
      <c r="R18" s="17"/>
      <c r="S18" s="17"/>
      <c r="T18" s="17"/>
      <c r="U18" s="17"/>
      <c r="V18" s="17"/>
      <c r="W18" s="17"/>
      <c r="X18" s="17"/>
      <c r="Y18" s="17"/>
      <c r="Z18" s="17"/>
    </row>
    <row r="19" ht="12.75" customHeight="1">
      <c r="A19" s="95">
        <v>8.0</v>
      </c>
      <c r="B19" s="73" t="s">
        <v>143</v>
      </c>
      <c r="C19" s="96">
        <f>'Allocation Run Result'!A7</f>
        <v>0</v>
      </c>
      <c r="D19" s="96">
        <f>'Allocation Run Result'!C7</f>
        <v>0</v>
      </c>
      <c r="E19" s="96">
        <f>'Allocation Run Result'!F7</f>
        <v>4</v>
      </c>
      <c r="F19" s="96">
        <f>'Allocation Run Result'!L7</f>
        <v>2</v>
      </c>
      <c r="G19" s="96">
        <f>'Allocation Run Result'!M7</f>
        <v>2</v>
      </c>
      <c r="H19" s="96">
        <f>'Allocation Run Result'!N7</f>
        <v>0</v>
      </c>
      <c r="I19" s="96">
        <f>'Allocation Run Result'!O7</f>
        <v>4</v>
      </c>
      <c r="J19" s="76"/>
      <c r="K19" s="17"/>
      <c r="L19" s="17"/>
      <c r="M19" s="17"/>
      <c r="N19" s="17"/>
      <c r="O19" s="17"/>
      <c r="P19" s="17"/>
      <c r="Q19" s="17"/>
      <c r="R19" s="17"/>
      <c r="S19" s="17"/>
      <c r="T19" s="17"/>
      <c r="U19" s="17"/>
      <c r="V19" s="17"/>
      <c r="W19" s="17"/>
      <c r="X19" s="17"/>
      <c r="Y19" s="17"/>
      <c r="Z19" s="17"/>
    </row>
    <row r="20" ht="12.75" customHeight="1">
      <c r="A20" s="95">
        <v>9.0</v>
      </c>
      <c r="B20" s="73" t="s">
        <v>149</v>
      </c>
      <c r="C20" s="96">
        <f>'Warehouse Config'!A7</f>
        <v>0</v>
      </c>
      <c r="D20" s="96">
        <f>'Warehouse Config'!C7</f>
        <v>0</v>
      </c>
      <c r="E20" s="96">
        <f>'Warehouse Config'!F7</f>
        <v>4</v>
      </c>
      <c r="F20" s="96">
        <f>'Warehouse Config'!L7</f>
        <v>2</v>
      </c>
      <c r="G20" s="96">
        <f>'Warehouse Config'!M7</f>
        <v>1</v>
      </c>
      <c r="H20" s="96">
        <f>'Warehouse Config'!N7</f>
        <v>1</v>
      </c>
      <c r="I20" s="96">
        <f>'Warehouse Config'!O7</f>
        <v>4</v>
      </c>
      <c r="J20" s="76"/>
      <c r="K20" s="17"/>
      <c r="L20" s="17"/>
      <c r="M20" s="17"/>
      <c r="N20" s="17"/>
      <c r="O20" s="17"/>
      <c r="P20" s="17"/>
      <c r="Q20" s="17"/>
      <c r="R20" s="17"/>
      <c r="S20" s="17"/>
      <c r="T20" s="17"/>
      <c r="U20" s="17"/>
      <c r="V20" s="17"/>
      <c r="W20" s="17"/>
      <c r="X20" s="17"/>
      <c r="Y20" s="17"/>
      <c r="Z20" s="17"/>
    </row>
    <row r="21" ht="12.75" customHeight="1">
      <c r="A21" s="95">
        <v>10.0</v>
      </c>
      <c r="B21" s="73" t="s">
        <v>156</v>
      </c>
      <c r="C21" s="96">
        <f>'Allocation Trace'!A7</f>
        <v>0</v>
      </c>
      <c r="D21" s="96">
        <f>'Allocation Trace'!C7</f>
        <v>0</v>
      </c>
      <c r="E21" s="96">
        <f>'Allocation Trace'!F7</f>
        <v>4</v>
      </c>
      <c r="F21" s="96">
        <f>'Allocation Trace'!L7</f>
        <v>2</v>
      </c>
      <c r="G21" s="96">
        <f>'Allocation Trace'!M7</f>
        <v>2</v>
      </c>
      <c r="H21" s="96">
        <f>'Allocation Trace'!N7</f>
        <v>0</v>
      </c>
      <c r="I21" s="96">
        <f>'Allocation Trace'!O7</f>
        <v>4</v>
      </c>
      <c r="J21" s="76"/>
      <c r="K21" s="17"/>
      <c r="L21" s="17"/>
      <c r="M21" s="17"/>
      <c r="N21" s="17"/>
      <c r="O21" s="17"/>
      <c r="P21" s="17"/>
      <c r="Q21" s="17"/>
      <c r="R21" s="17"/>
      <c r="S21" s="17"/>
      <c r="T21" s="17"/>
      <c r="U21" s="17"/>
      <c r="V21" s="17"/>
      <c r="W21" s="17"/>
      <c r="X21" s="17"/>
      <c r="Y21" s="17"/>
      <c r="Z21" s="17"/>
    </row>
    <row r="22" ht="12.75" customHeight="1">
      <c r="A22" s="95">
        <v>11.0</v>
      </c>
      <c r="B22" s="73" t="s">
        <v>162</v>
      </c>
      <c r="C22" s="96">
        <f>'Allocation Engine + Benchmark'!A7</f>
        <v>0</v>
      </c>
      <c r="D22" s="96">
        <f>'Allocation Engine + Benchmark'!C7</f>
        <v>0</v>
      </c>
      <c r="E22" s="96">
        <f>'Allocation Engine + Benchmark'!F7</f>
        <v>7</v>
      </c>
      <c r="F22" s="96">
        <f>'Allocation Engine + Benchmark'!L7</f>
        <v>4</v>
      </c>
      <c r="G22" s="96">
        <f>'Allocation Engine + Benchmark'!M7</f>
        <v>1</v>
      </c>
      <c r="H22" s="96">
        <f>'Allocation Engine + Benchmark'!N7</f>
        <v>2</v>
      </c>
      <c r="I22" s="96">
        <f>'Allocation Engine + Benchmark'!O7</f>
        <v>7</v>
      </c>
      <c r="J22" s="76"/>
      <c r="K22" s="17"/>
      <c r="L22" s="17"/>
      <c r="M22" s="17"/>
      <c r="N22" s="17"/>
      <c r="O22" s="17"/>
      <c r="P22" s="17"/>
      <c r="Q22" s="17"/>
      <c r="R22" s="17"/>
      <c r="S22" s="17"/>
      <c r="T22" s="17"/>
      <c r="U22" s="17"/>
      <c r="V22" s="17"/>
      <c r="W22" s="17"/>
      <c r="X22" s="17"/>
      <c r="Y22" s="17"/>
      <c r="Z22" s="17"/>
    </row>
    <row r="23" ht="12.75" customHeight="1">
      <c r="A23" s="95">
        <v>12.0</v>
      </c>
      <c r="B23" s="73" t="s">
        <v>168</v>
      </c>
      <c r="C23" s="96">
        <f>'Shelf Life Discount'!A7</f>
        <v>0</v>
      </c>
      <c r="D23" s="96">
        <f>'Shelf Life Discount'!C7</f>
        <v>0</v>
      </c>
      <c r="E23" s="96">
        <f>'Shelf Life Discount'!F7</f>
        <v>4</v>
      </c>
      <c r="F23" s="96">
        <f>'Shelf Life Discount'!L7</f>
        <v>2</v>
      </c>
      <c r="G23" s="96">
        <f>'Shelf Life Discount'!M7</f>
        <v>0</v>
      </c>
      <c r="H23" s="96">
        <f>'Shelf Life Discount'!N7</f>
        <v>2</v>
      </c>
      <c r="I23" s="96">
        <f>'Shelf Life Discount'!O7</f>
        <v>4</v>
      </c>
      <c r="J23" s="76"/>
      <c r="K23" s="17"/>
      <c r="L23" s="17"/>
      <c r="M23" s="17"/>
      <c r="N23" s="17"/>
      <c r="O23" s="17"/>
      <c r="P23" s="17"/>
      <c r="Q23" s="17"/>
      <c r="R23" s="17"/>
      <c r="S23" s="17"/>
      <c r="T23" s="17"/>
      <c r="U23" s="17"/>
      <c r="V23" s="17"/>
      <c r="W23" s="17"/>
      <c r="X23" s="17"/>
      <c r="Y23" s="17"/>
      <c r="Z23" s="17"/>
    </row>
    <row r="24" ht="12.75" customHeight="1">
      <c r="A24" s="95">
        <v>13.0</v>
      </c>
      <c r="B24" s="73" t="s">
        <v>174</v>
      </c>
      <c r="C24" s="96">
        <f>'Order Service'!A7</f>
        <v>0</v>
      </c>
      <c r="D24" s="96">
        <f>'Order Service'!C7</f>
        <v>0</v>
      </c>
      <c r="E24" s="96">
        <f>'Order Service'!F7</f>
        <v>5</v>
      </c>
      <c r="F24" s="96">
        <f>'Order Service'!L7</f>
        <v>2</v>
      </c>
      <c r="G24" s="96">
        <f>'Order Service'!M7</f>
        <v>2</v>
      </c>
      <c r="H24" s="96">
        <f>'Order Service'!N7</f>
        <v>1</v>
      </c>
      <c r="I24" s="96">
        <f>'Order Service'!O7</f>
        <v>5</v>
      </c>
      <c r="J24" s="76"/>
      <c r="K24" s="17"/>
      <c r="L24" s="17"/>
      <c r="M24" s="17"/>
      <c r="N24" s="17"/>
      <c r="O24" s="17"/>
      <c r="P24" s="17"/>
      <c r="Q24" s="17"/>
      <c r="R24" s="17"/>
      <c r="S24" s="17"/>
      <c r="T24" s="17"/>
      <c r="U24" s="17"/>
      <c r="V24" s="17"/>
      <c r="W24" s="17"/>
      <c r="X24" s="17"/>
      <c r="Y24" s="17"/>
      <c r="Z24" s="17"/>
    </row>
    <row r="25" ht="12.75" customHeight="1">
      <c r="A25" s="95">
        <v>14.0</v>
      </c>
      <c r="B25" s="73" t="s">
        <v>180</v>
      </c>
      <c r="C25" s="96">
        <f>'Promotion Service'!A7</f>
        <v>0</v>
      </c>
      <c r="D25" s="96">
        <f>'Promotion Service'!C7</f>
        <v>0</v>
      </c>
      <c r="E25" s="96">
        <f>'Promotion Service'!F7</f>
        <v>5</v>
      </c>
      <c r="F25" s="96">
        <f>'Promotion Service'!L7</f>
        <v>3</v>
      </c>
      <c r="G25" s="96">
        <f>'Promotion Service'!M7</f>
        <v>1</v>
      </c>
      <c r="H25" s="96">
        <f>'Promotion Service'!N7</f>
        <v>1</v>
      </c>
      <c r="I25" s="96">
        <f>'Promotion Service'!O7</f>
        <v>5</v>
      </c>
      <c r="J25" s="76"/>
      <c r="K25" s="17"/>
      <c r="L25" s="17"/>
      <c r="M25" s="17"/>
      <c r="N25" s="17"/>
      <c r="O25" s="17"/>
      <c r="P25" s="17"/>
      <c r="Q25" s="17"/>
      <c r="R25" s="17"/>
      <c r="S25" s="17"/>
      <c r="T25" s="17"/>
      <c r="U25" s="17"/>
      <c r="V25" s="17"/>
      <c r="W25" s="17"/>
      <c r="X25" s="17"/>
      <c r="Y25" s="17"/>
      <c r="Z25" s="17"/>
    </row>
    <row r="26" ht="12.75" customHeight="1">
      <c r="A26" s="95">
        <v>15.0</v>
      </c>
      <c r="B26" s="73" t="s">
        <v>187</v>
      </c>
      <c r="C26" s="96">
        <f>'Report Service'!A7</f>
        <v>0</v>
      </c>
      <c r="D26" s="96">
        <f>'Report Service'!C7</f>
        <v>0</v>
      </c>
      <c r="E26" s="96">
        <f>'Report Service'!F7</f>
        <v>4</v>
      </c>
      <c r="F26" s="96">
        <f>'Report Service'!L7</f>
        <v>2</v>
      </c>
      <c r="G26" s="96">
        <f>'Report Service'!M7</f>
        <v>2</v>
      </c>
      <c r="H26" s="96">
        <f>'Report Service'!N7</f>
        <v>0</v>
      </c>
      <c r="I26" s="96">
        <f>'Report Service'!O7</f>
        <v>4</v>
      </c>
      <c r="J26" s="76"/>
      <c r="K26" s="17"/>
      <c r="L26" s="17"/>
      <c r="M26" s="17"/>
      <c r="N26" s="17"/>
      <c r="O26" s="17"/>
      <c r="P26" s="17"/>
      <c r="Q26" s="17"/>
      <c r="R26" s="17"/>
      <c r="S26" s="17"/>
      <c r="T26" s="17"/>
      <c r="U26" s="17"/>
      <c r="V26" s="17"/>
      <c r="W26" s="17"/>
      <c r="X26" s="17"/>
      <c r="Y26" s="17"/>
      <c r="Z26" s="17"/>
    </row>
    <row r="27" ht="12.75" customHeight="1">
      <c r="A27" s="95">
        <v>16.0</v>
      </c>
      <c r="B27" s="73" t="s">
        <v>193</v>
      </c>
      <c r="C27" s="96">
        <f>'Retailer Service'!A7</f>
        <v>0</v>
      </c>
      <c r="D27" s="96">
        <f>'Retailer Service'!C7</f>
        <v>0</v>
      </c>
      <c r="E27" s="96">
        <f>'Retailer Service'!F7</f>
        <v>5</v>
      </c>
      <c r="F27" s="96">
        <f>'Retailer Service'!L7</f>
        <v>3</v>
      </c>
      <c r="G27" s="96">
        <f>'Retailer Service'!M7</f>
        <v>2</v>
      </c>
      <c r="H27" s="96">
        <f>'Retailer Service'!N7</f>
        <v>0</v>
      </c>
      <c r="I27" s="96">
        <f>'Retailer Service'!O7</f>
        <v>5</v>
      </c>
      <c r="J27" s="76"/>
      <c r="K27" s="17"/>
      <c r="L27" s="17"/>
      <c r="M27" s="17"/>
      <c r="N27" s="17"/>
      <c r="O27" s="17"/>
      <c r="P27" s="17"/>
      <c r="Q27" s="17"/>
      <c r="R27" s="17"/>
      <c r="S27" s="17"/>
      <c r="T27" s="17"/>
      <c r="U27" s="17"/>
      <c r="V27" s="17"/>
      <c r="W27" s="17"/>
      <c r="X27" s="17"/>
      <c r="Y27" s="17"/>
      <c r="Z27" s="17"/>
    </row>
    <row r="28" ht="12.75" customHeight="1">
      <c r="A28" s="95">
        <v>17.0</v>
      </c>
      <c r="B28" s="73" t="s">
        <v>200</v>
      </c>
      <c r="C28" s="96">
        <f>'Loyalty &amp; Rewards'!A7</f>
        <v>0</v>
      </c>
      <c r="D28" s="96">
        <f>'Loyalty &amp; Rewards'!C7</f>
        <v>0</v>
      </c>
      <c r="E28" s="96">
        <f>'Loyalty &amp; Rewards'!F7</f>
        <v>5</v>
      </c>
      <c r="F28" s="96">
        <f>'Loyalty &amp; Rewards'!L7</f>
        <v>2</v>
      </c>
      <c r="G28" s="96">
        <f>'Loyalty &amp; Rewards'!M7</f>
        <v>2</v>
      </c>
      <c r="H28" s="96">
        <f>'Loyalty &amp; Rewards'!N7</f>
        <v>1</v>
      </c>
      <c r="I28" s="96">
        <f>'Loyalty &amp; Rewards'!O7</f>
        <v>5</v>
      </c>
      <c r="J28" s="76"/>
      <c r="K28" s="17"/>
      <c r="L28" s="17"/>
      <c r="M28" s="17"/>
      <c r="N28" s="17"/>
      <c r="O28" s="17"/>
      <c r="P28" s="17"/>
      <c r="Q28" s="17"/>
      <c r="R28" s="17"/>
      <c r="S28" s="17"/>
      <c r="T28" s="17"/>
      <c r="U28" s="17"/>
      <c r="V28" s="17"/>
      <c r="W28" s="17"/>
      <c r="X28" s="17"/>
      <c r="Y28" s="17"/>
      <c r="Z28" s="17"/>
    </row>
    <row r="29" ht="12.75" customHeight="1">
      <c r="A29" s="95">
        <v>18.0</v>
      </c>
      <c r="B29" s="73" t="s">
        <v>207</v>
      </c>
      <c r="C29" s="96">
        <f>'Delivery ETA + Maps'!A7</f>
        <v>0</v>
      </c>
      <c r="D29" s="96">
        <f>'Delivery ETA + Maps'!C7</f>
        <v>0</v>
      </c>
      <c r="E29" s="96">
        <f>'Delivery ETA + Maps'!F7</f>
        <v>5</v>
      </c>
      <c r="F29" s="96">
        <f>'Delivery ETA + Maps'!L7</f>
        <v>2</v>
      </c>
      <c r="G29" s="96">
        <f>'Delivery ETA + Maps'!M7</f>
        <v>1</v>
      </c>
      <c r="H29" s="96">
        <f>'Delivery ETA + Maps'!N7</f>
        <v>2</v>
      </c>
      <c r="I29" s="96">
        <f>'Delivery ETA + Maps'!O7</f>
        <v>5</v>
      </c>
      <c r="J29" s="76"/>
      <c r="K29" s="17"/>
      <c r="L29" s="17"/>
      <c r="M29" s="17"/>
      <c r="N29" s="17"/>
      <c r="O29" s="17"/>
      <c r="P29" s="17"/>
      <c r="Q29" s="17"/>
      <c r="R29" s="17"/>
      <c r="S29" s="17"/>
      <c r="T29" s="17"/>
      <c r="U29" s="17"/>
      <c r="V29" s="17"/>
      <c r="W29" s="17"/>
      <c r="X29" s="17"/>
      <c r="Y29" s="17"/>
      <c r="Z29" s="17"/>
    </row>
    <row r="30" ht="12.75" customHeight="1">
      <c r="A30" s="95">
        <v>19.0</v>
      </c>
      <c r="B30" s="73" t="s">
        <v>215</v>
      </c>
      <c r="C30" s="96">
        <f>'Delivery Service'!A7</f>
        <v>0</v>
      </c>
      <c r="D30" s="96">
        <f>'Delivery Service'!C7</f>
        <v>0</v>
      </c>
      <c r="E30" s="96">
        <f>'Delivery Service'!F7</f>
        <v>5</v>
      </c>
      <c r="F30" s="96">
        <f>'Delivery Service'!L7</f>
        <v>0</v>
      </c>
      <c r="G30" s="96">
        <f>'Delivery Service'!M7</f>
        <v>3</v>
      </c>
      <c r="H30" s="96">
        <f>'Delivery Service'!N7</f>
        <v>2</v>
      </c>
      <c r="I30" s="96">
        <f>'Delivery Service'!O7</f>
        <v>5</v>
      </c>
      <c r="J30" s="76"/>
      <c r="K30" s="17"/>
      <c r="L30" s="17"/>
      <c r="M30" s="17"/>
      <c r="N30" s="17"/>
      <c r="O30" s="17"/>
      <c r="P30" s="17"/>
      <c r="Q30" s="17"/>
      <c r="R30" s="17"/>
      <c r="S30" s="17"/>
      <c r="T30" s="17"/>
      <c r="U30" s="17"/>
      <c r="V30" s="17"/>
      <c r="W30" s="17"/>
      <c r="X30" s="17"/>
      <c r="Y30" s="17"/>
      <c r="Z30" s="17"/>
    </row>
    <row r="31" ht="12.75" customHeight="1">
      <c r="A31" s="95">
        <v>20.0</v>
      </c>
      <c r="B31" s="98" t="s">
        <v>228</v>
      </c>
      <c r="C31" s="96">
        <f>'Allocation Pricing'!A7</f>
        <v>0</v>
      </c>
      <c r="D31" s="96">
        <f>'Allocation Pricing'!C7</f>
        <v>0</v>
      </c>
      <c r="E31" s="96">
        <f>'Allocation Pricing'!F7</f>
        <v>5</v>
      </c>
      <c r="F31" s="96">
        <f>'Allocation Pricing'!L7</f>
        <v>3</v>
      </c>
      <c r="G31" s="96">
        <f>'Allocation Pricing'!M7</f>
        <v>1</v>
      </c>
      <c r="H31" s="96">
        <f>'Allocation Pricing'!N7</f>
        <v>1</v>
      </c>
      <c r="I31" s="96">
        <f>'Allocation Pricing'!O7</f>
        <v>5</v>
      </c>
      <c r="J31" s="76"/>
      <c r="K31" s="17"/>
      <c r="L31" s="17"/>
      <c r="M31" s="17"/>
      <c r="N31" s="17"/>
      <c r="O31" s="17"/>
      <c r="P31" s="17"/>
      <c r="Q31" s="17"/>
      <c r="R31" s="17"/>
      <c r="S31" s="17"/>
      <c r="T31" s="17"/>
      <c r="U31" s="17"/>
      <c r="V31" s="17"/>
      <c r="W31" s="17"/>
      <c r="X31" s="17"/>
      <c r="Y31" s="17"/>
      <c r="Z31" s="17"/>
    </row>
    <row r="32" ht="12.75" customHeight="1">
      <c r="A32" s="95">
        <v>21.0</v>
      </c>
      <c r="B32" s="98" t="s">
        <v>234</v>
      </c>
      <c r="C32" s="96">
        <f>'Picking Service'!A7</f>
        <v>0</v>
      </c>
      <c r="D32" s="96">
        <f>'Picking Service'!C7</f>
        <v>0</v>
      </c>
      <c r="E32" s="96">
        <f>'Picking Service'!F7</f>
        <v>5</v>
      </c>
      <c r="F32" s="96">
        <f>'Picking Service'!L7</f>
        <v>2</v>
      </c>
      <c r="G32" s="96">
        <f>'Picking Service'!M7</f>
        <v>3</v>
      </c>
      <c r="H32" s="96">
        <f>'Picking Service'!N7</f>
        <v>0</v>
      </c>
      <c r="I32" s="96">
        <f>'Picking Service'!O7</f>
        <v>5</v>
      </c>
      <c r="J32" s="76"/>
      <c r="K32" s="17"/>
      <c r="L32" s="17"/>
      <c r="M32" s="17"/>
      <c r="N32" s="17"/>
      <c r="O32" s="17"/>
      <c r="P32" s="17"/>
      <c r="Q32" s="17"/>
      <c r="R32" s="17"/>
      <c r="S32" s="17"/>
      <c r="T32" s="17"/>
      <c r="U32" s="17"/>
      <c r="V32" s="17"/>
      <c r="W32" s="17"/>
      <c r="X32" s="17"/>
      <c r="Y32" s="17"/>
      <c r="Z32" s="17"/>
    </row>
    <row r="33" ht="12.75" customHeight="1">
      <c r="A33" s="95">
        <v>22.0</v>
      </c>
      <c r="B33" s="98" t="s">
        <v>240</v>
      </c>
      <c r="C33" s="96">
        <f>'Shipment Service'!A7</f>
        <v>0</v>
      </c>
      <c r="D33" s="96">
        <f>'Shipment Service'!C7</f>
        <v>0</v>
      </c>
      <c r="E33" s="96">
        <f>'Shipment Service'!F7</f>
        <v>5</v>
      </c>
      <c r="F33" s="96">
        <f>'Shipment Service'!L7</f>
        <v>2</v>
      </c>
      <c r="G33" s="96">
        <f>'Shipment Service'!M7</f>
        <v>3</v>
      </c>
      <c r="H33" s="96">
        <f>'Shipment Service'!N7</f>
        <v>0</v>
      </c>
      <c r="I33" s="96">
        <f>'Shipment Service'!O7</f>
        <v>5</v>
      </c>
      <c r="J33" s="76"/>
      <c r="K33" s="17"/>
      <c r="L33" s="17"/>
      <c r="M33" s="17"/>
      <c r="N33" s="17"/>
      <c r="O33" s="17"/>
      <c r="P33" s="17"/>
      <c r="Q33" s="17"/>
      <c r="R33" s="17"/>
      <c r="S33" s="17"/>
      <c r="T33" s="17"/>
      <c r="U33" s="17"/>
      <c r="V33" s="17"/>
      <c r="W33" s="17"/>
      <c r="X33" s="17"/>
      <c r="Y33" s="17"/>
      <c r="Z33" s="17"/>
    </row>
    <row r="34" ht="12.75" customHeight="1">
      <c r="A34" s="95">
        <v>23.0</v>
      </c>
      <c r="B34" s="98" t="s">
        <v>246</v>
      </c>
      <c r="C34" s="96">
        <f>'Allocation Reservation'!A7</f>
        <v>0</v>
      </c>
      <c r="D34" s="96">
        <f>'Allocation Reservation'!C7</f>
        <v>0</v>
      </c>
      <c r="E34" s="96">
        <f>'Allocation Reservation'!F7</f>
        <v>5</v>
      </c>
      <c r="F34" s="96">
        <f>'Allocation Reservation'!L7</f>
        <v>3</v>
      </c>
      <c r="G34" s="96">
        <f>'Allocation Reservation'!M7</f>
        <v>2</v>
      </c>
      <c r="H34" s="96">
        <f>'Allocation Reservation'!N7</f>
        <v>0</v>
      </c>
      <c r="I34" s="96">
        <f>'Allocation Reservation'!O7</f>
        <v>5</v>
      </c>
      <c r="J34" s="76"/>
      <c r="K34" s="17"/>
      <c r="L34" s="17"/>
      <c r="M34" s="17"/>
      <c r="N34" s="17"/>
      <c r="O34" s="17"/>
      <c r="P34" s="17"/>
      <c r="Q34" s="17"/>
      <c r="R34" s="17"/>
      <c r="S34" s="17"/>
      <c r="T34" s="17"/>
      <c r="U34" s="17"/>
      <c r="V34" s="17"/>
      <c r="W34" s="17"/>
      <c r="X34" s="17"/>
      <c r="Y34" s="17"/>
      <c r="Z34" s="17"/>
    </row>
    <row r="35" ht="12.75" customHeight="1">
      <c r="A35" s="95">
        <v>24.0</v>
      </c>
      <c r="B35" s="98" t="s">
        <v>252</v>
      </c>
      <c r="C35" s="96">
        <f>'Allocation Run Service'!A7</f>
        <v>0</v>
      </c>
      <c r="D35" s="96">
        <f>'Allocation Run Service'!C7</f>
        <v>0</v>
      </c>
      <c r="E35" s="96">
        <f>'Allocation Run Service'!F7</f>
        <v>5</v>
      </c>
      <c r="F35" s="96">
        <f>'Allocation Run Service'!L7</f>
        <v>0</v>
      </c>
      <c r="G35" s="96">
        <f>'Allocation Run Service'!M7</f>
        <v>2</v>
      </c>
      <c r="H35" s="96">
        <f>'Allocation Run Service'!N7</f>
        <v>3</v>
      </c>
      <c r="I35" s="96">
        <f>'Allocation Run Service'!O7</f>
        <v>5</v>
      </c>
      <c r="J35" s="76"/>
      <c r="K35" s="17"/>
      <c r="L35" s="17"/>
      <c r="M35" s="17"/>
      <c r="N35" s="17"/>
      <c r="O35" s="17"/>
      <c r="P35" s="17"/>
      <c r="Q35" s="17"/>
      <c r="R35" s="17"/>
      <c r="S35" s="17"/>
      <c r="T35" s="17"/>
      <c r="U35" s="17"/>
      <c r="V35" s="17"/>
      <c r="W35" s="17"/>
      <c r="X35" s="17"/>
      <c r="Y35" s="17"/>
      <c r="Z35" s="17"/>
    </row>
    <row r="36" ht="12.75" customHeight="1">
      <c r="A36" s="95">
        <v>25.0</v>
      </c>
      <c r="B36" s="98" t="s">
        <v>258</v>
      </c>
      <c r="C36" s="96">
        <f>'Expiry Sweep &amp; Outbox'!A7</f>
        <v>0</v>
      </c>
      <c r="D36" s="96">
        <f>'Expiry Sweep &amp; Outbox'!C7</f>
        <v>0</v>
      </c>
      <c r="E36" s="96">
        <f>'Expiry Sweep &amp; Outbox'!F7</f>
        <v>7</v>
      </c>
      <c r="F36" s="96">
        <f>'Expiry Sweep &amp; Outbox'!L7</f>
        <v>3</v>
      </c>
      <c r="G36" s="96">
        <f>'Expiry Sweep &amp; Outbox'!M7</f>
        <v>3</v>
      </c>
      <c r="H36" s="96">
        <f>'Expiry Sweep &amp; Outbox'!N7</f>
        <v>1</v>
      </c>
      <c r="I36" s="96">
        <f>'Expiry Sweep &amp; Outbox'!O7</f>
        <v>7</v>
      </c>
      <c r="J36" s="76"/>
      <c r="K36" s="17"/>
      <c r="L36" s="17"/>
      <c r="M36" s="17"/>
      <c r="N36" s="17"/>
      <c r="O36" s="17"/>
      <c r="P36" s="17"/>
      <c r="Q36" s="17"/>
      <c r="R36" s="17"/>
      <c r="S36" s="17"/>
      <c r="T36" s="17"/>
      <c r="U36" s="17"/>
      <c r="V36" s="17"/>
      <c r="W36" s="17"/>
      <c r="X36" s="17"/>
      <c r="Y36" s="17"/>
      <c r="Z36" s="17"/>
    </row>
    <row r="37" ht="12.75" customHeight="1">
      <c r="A37" s="95">
        <v>26.0</v>
      </c>
      <c r="B37" s="98" t="s">
        <v>264</v>
      </c>
      <c r="C37" s="96">
        <f>'Allocation Price Lookup'!A7</f>
        <v>0</v>
      </c>
      <c r="D37" s="96">
        <f>'Allocation Price Lookup'!C7</f>
        <v>0</v>
      </c>
      <c r="E37" s="96">
        <f>'Allocation Price Lookup'!F7</f>
        <v>4</v>
      </c>
      <c r="F37" s="96">
        <f>'Allocation Price Lookup'!L7</f>
        <v>2</v>
      </c>
      <c r="G37" s="96">
        <f>'Allocation Price Lookup'!M7</f>
        <v>1</v>
      </c>
      <c r="H37" s="96">
        <f>'Allocation Price Lookup'!N7</f>
        <v>1</v>
      </c>
      <c r="I37" s="96">
        <f>'Allocation Price Lookup'!O7</f>
        <v>4</v>
      </c>
      <c r="J37" s="76"/>
      <c r="K37" s="17"/>
      <c r="L37" s="17"/>
      <c r="M37" s="17"/>
      <c r="N37" s="17"/>
      <c r="O37" s="17"/>
      <c r="P37" s="17"/>
      <c r="Q37" s="17"/>
      <c r="R37" s="17"/>
      <c r="S37" s="17"/>
      <c r="T37" s="17"/>
      <c r="U37" s="17"/>
      <c r="V37" s="17"/>
      <c r="W37" s="17"/>
      <c r="X37" s="17"/>
      <c r="Y37" s="17"/>
      <c r="Z37" s="17"/>
    </row>
    <row r="38" ht="12.75" customHeight="1">
      <c r="A38" s="95">
        <v>27.0</v>
      </c>
      <c r="B38" s="98" t="s">
        <v>270</v>
      </c>
      <c r="C38" s="96">
        <f>'MB Money and Limits'!A7</f>
        <v>0</v>
      </c>
      <c r="D38" s="96">
        <f>'MB Money and Limits'!C7</f>
        <v>0</v>
      </c>
      <c r="E38" s="96">
        <f>'MB Money and Limits'!F7</f>
        <v>7</v>
      </c>
      <c r="F38" s="96">
        <f>'MB Money and Limits'!L7</f>
        <v>4</v>
      </c>
      <c r="G38" s="96">
        <f>'MB Money and Limits'!M7</f>
        <v>1</v>
      </c>
      <c r="H38" s="96">
        <f>'MB Money and Limits'!N7</f>
        <v>2</v>
      </c>
      <c r="I38" s="96">
        <f>'MB Money and Limits'!O7</f>
        <v>7</v>
      </c>
      <c r="J38" s="76"/>
      <c r="K38" s="17"/>
      <c r="L38" s="17"/>
      <c r="M38" s="17"/>
      <c r="N38" s="17"/>
      <c r="O38" s="17"/>
      <c r="P38" s="17"/>
      <c r="Q38" s="17"/>
      <c r="R38" s="17"/>
      <c r="S38" s="17"/>
      <c r="T38" s="17"/>
      <c r="U38" s="17"/>
      <c r="V38" s="17"/>
      <c r="W38" s="17"/>
      <c r="X38" s="17"/>
      <c r="Y38" s="17"/>
      <c r="Z38" s="17"/>
    </row>
    <row r="39" ht="12.75" customHeight="1">
      <c r="A39" s="95">
        <v>28.0</v>
      </c>
      <c r="B39" s="98" t="s">
        <v>276</v>
      </c>
      <c r="C39" s="96">
        <f>'Allocation Scenarios'!A7</f>
        <v>0</v>
      </c>
      <c r="D39" s="96">
        <f>'Allocation Scenarios'!C7</f>
        <v>0</v>
      </c>
      <c r="E39" s="96">
        <f>'Allocation Scenarios'!F7</f>
        <v>5</v>
      </c>
      <c r="F39" s="96">
        <f>'Allocation Scenarios'!L7</f>
        <v>0</v>
      </c>
      <c r="G39" s="96">
        <f>'Allocation Scenarios'!M7</f>
        <v>3</v>
      </c>
      <c r="H39" s="96">
        <f>'Allocation Scenarios'!N7</f>
        <v>2</v>
      </c>
      <c r="I39" s="96">
        <f>'Allocation Scenarios'!O7</f>
        <v>5</v>
      </c>
      <c r="J39" s="76"/>
      <c r="K39" s="17"/>
      <c r="L39" s="17"/>
      <c r="M39" s="17"/>
      <c r="N39" s="17"/>
      <c r="O39" s="17"/>
      <c r="P39" s="17"/>
      <c r="Q39" s="17"/>
      <c r="R39" s="17"/>
      <c r="S39" s="17"/>
      <c r="T39" s="17"/>
      <c r="U39" s="17"/>
      <c r="V39" s="17"/>
      <c r="W39" s="17"/>
      <c r="X39" s="17"/>
      <c r="Y39" s="17"/>
      <c r="Z39" s="17"/>
    </row>
    <row r="40" ht="12.75" customHeight="1">
      <c r="A40" s="95">
        <v>29.0</v>
      </c>
      <c r="B40" s="98" t="s">
        <v>282</v>
      </c>
      <c r="C40" s="96">
        <f>'Transit Table'!A7</f>
        <v>0</v>
      </c>
      <c r="D40" s="96">
        <f>'Transit Table'!C7</f>
        <v>0</v>
      </c>
      <c r="E40" s="96">
        <f>'Transit Table'!F7</f>
        <v>4</v>
      </c>
      <c r="F40" s="96">
        <f>'Transit Table'!L7</f>
        <v>2</v>
      </c>
      <c r="G40" s="96">
        <f>'Transit Table'!M7</f>
        <v>0</v>
      </c>
      <c r="H40" s="96">
        <f>'Transit Table'!N7</f>
        <v>2</v>
      </c>
      <c r="I40" s="96">
        <f>'Transit Table'!O7</f>
        <v>4</v>
      </c>
      <c r="J40" s="76"/>
      <c r="K40" s="17"/>
      <c r="L40" s="17"/>
      <c r="M40" s="17"/>
      <c r="N40" s="17"/>
      <c r="O40" s="17"/>
      <c r="P40" s="17"/>
      <c r="Q40" s="17"/>
      <c r="R40" s="17"/>
      <c r="S40" s="17"/>
      <c r="T40" s="17"/>
      <c r="U40" s="17"/>
      <c r="V40" s="17"/>
      <c r="W40" s="17"/>
      <c r="X40" s="17"/>
      <c r="Y40" s="17"/>
      <c r="Z40" s="17"/>
    </row>
    <row r="41" ht="12.75" customHeight="1">
      <c r="A41" s="95">
        <v>30.0</v>
      </c>
      <c r="B41" s="98" t="s">
        <v>287</v>
      </c>
      <c r="C41" s="96">
        <f>'MB Business IDs'!A7</f>
        <v>0</v>
      </c>
      <c r="D41" s="96">
        <f>'MB Business IDs'!C7</f>
        <v>0</v>
      </c>
      <c r="E41" s="96">
        <f>'MB Business IDs'!F7</f>
        <v>9</v>
      </c>
      <c r="F41" s="96">
        <f>'MB Business IDs'!L7</f>
        <v>6</v>
      </c>
      <c r="G41" s="96">
        <f>'MB Business IDs'!M7</f>
        <v>2</v>
      </c>
      <c r="H41" s="96">
        <f>'MB Business IDs'!N7</f>
        <v>1</v>
      </c>
      <c r="I41" s="96">
        <f>'MB Business IDs'!O7</f>
        <v>9</v>
      </c>
      <c r="J41" s="76"/>
      <c r="K41" s="17"/>
      <c r="L41" s="17"/>
      <c r="M41" s="17"/>
      <c r="N41" s="17"/>
      <c r="O41" s="17"/>
      <c r="P41" s="17"/>
      <c r="Q41" s="17"/>
      <c r="R41" s="17"/>
      <c r="S41" s="17"/>
      <c r="T41" s="17"/>
      <c r="U41" s="17"/>
      <c r="V41" s="17"/>
      <c r="W41" s="17"/>
      <c r="X41" s="17"/>
      <c r="Y41" s="17"/>
      <c r="Z41" s="17"/>
    </row>
    <row r="42" ht="12.75" customHeight="1">
      <c r="A42" s="95">
        <v>31.0</v>
      </c>
      <c r="B42" s="98" t="s">
        <v>293</v>
      </c>
      <c r="C42" s="149">
        <f>'Payment Service'!A7</f>
        <v>0</v>
      </c>
      <c r="D42" s="149">
        <f>'Payment Service'!C7</f>
        <v>0</v>
      </c>
      <c r="E42" s="149">
        <f>'Payment Service'!F7</f>
        <v>5</v>
      </c>
      <c r="F42" s="149">
        <f>'Payment Service'!L7</f>
        <v>2</v>
      </c>
      <c r="G42" s="149">
        <f>'Payment Service'!M7</f>
        <v>2</v>
      </c>
      <c r="H42" s="149">
        <f>'Payment Service'!N7</f>
        <v>1</v>
      </c>
      <c r="I42" s="149">
        <f>'Payment Service'!O7</f>
        <v>5</v>
      </c>
      <c r="J42" s="76"/>
      <c r="K42" s="17"/>
      <c r="L42" s="17"/>
      <c r="M42" s="17"/>
      <c r="N42" s="17"/>
      <c r="O42" s="17"/>
      <c r="P42" s="17"/>
      <c r="Q42" s="17"/>
      <c r="R42" s="17"/>
      <c r="S42" s="17"/>
      <c r="T42" s="17"/>
      <c r="U42" s="17"/>
      <c r="V42" s="17"/>
      <c r="W42" s="17"/>
      <c r="X42" s="17"/>
      <c r="Y42" s="17"/>
      <c r="Z42" s="17"/>
    </row>
    <row r="43" ht="12.75" customHeight="1">
      <c r="A43" s="95">
        <v>32.0</v>
      </c>
      <c r="B43" s="100" t="s">
        <v>299</v>
      </c>
      <c r="C43" s="149">
        <f>'Run Picking Issue'!A7</f>
        <v>0</v>
      </c>
      <c r="D43" s="149">
        <f>'Run Picking Issue'!C7</f>
        <v>0</v>
      </c>
      <c r="E43" s="149">
        <f>'Run Picking Issue'!E7</f>
        <v>5</v>
      </c>
      <c r="F43" s="149">
        <f>'Run Picking Issue'!K7</f>
        <v>3</v>
      </c>
      <c r="G43" s="149">
        <f>'Run Picking Issue'!L7</f>
        <v>2</v>
      </c>
      <c r="H43" s="149">
        <f>'Run Picking Issue'!M7</f>
        <v>0</v>
      </c>
      <c r="I43" s="149">
        <f>'Run Picking Issue'!N7</f>
        <v>5</v>
      </c>
      <c r="J43" s="76"/>
      <c r="K43" s="17"/>
      <c r="L43" s="17"/>
      <c r="M43" s="17"/>
      <c r="N43" s="17"/>
      <c r="O43" s="17"/>
      <c r="P43" s="17"/>
      <c r="Q43" s="17"/>
      <c r="R43" s="17"/>
      <c r="S43" s="17"/>
      <c r="T43" s="17"/>
      <c r="U43" s="17"/>
      <c r="V43" s="17"/>
      <c r="W43" s="17"/>
      <c r="X43" s="17"/>
      <c r="Y43" s="17"/>
      <c r="Z43" s="17"/>
    </row>
    <row r="44" ht="12.75" customHeight="1">
      <c r="A44" s="95">
        <v>33.0</v>
      </c>
      <c r="B44" s="98" t="s">
        <v>305</v>
      </c>
      <c r="C44" s="149">
        <f>'Identity Service'!A7</f>
        <v>0</v>
      </c>
      <c r="D44" s="149">
        <f>'Identity Service'!C7</f>
        <v>0</v>
      </c>
      <c r="E44" s="149">
        <f>'Identity Service'!E7</f>
        <v>5</v>
      </c>
      <c r="F44" s="149">
        <f>'Identity Service'!K7</f>
        <v>4</v>
      </c>
      <c r="G44" s="149">
        <f>'Identity Service'!L7</f>
        <v>1</v>
      </c>
      <c r="H44" s="149">
        <f>'Identity Service'!M7</f>
        <v>0</v>
      </c>
      <c r="I44" s="149">
        <f>'Identity Service'!N7</f>
        <v>5</v>
      </c>
      <c r="J44" s="76"/>
      <c r="K44" s="17"/>
      <c r="L44" s="17"/>
      <c r="M44" s="17"/>
      <c r="N44" s="17"/>
      <c r="O44" s="17"/>
      <c r="P44" s="17"/>
      <c r="Q44" s="17"/>
      <c r="R44" s="17"/>
      <c r="S44" s="17"/>
      <c r="T44" s="17"/>
      <c r="U44" s="17"/>
      <c r="V44" s="17"/>
      <c r="W44" s="17"/>
      <c r="X44" s="17"/>
      <c r="Y44" s="17"/>
      <c r="Z44" s="17"/>
    </row>
    <row r="45" ht="12.75" customHeight="1">
      <c r="A45" s="95">
        <v>34.0</v>
      </c>
      <c r="B45" s="98" t="s">
        <v>311</v>
      </c>
      <c r="C45" s="96">
        <f>'Offline Snapshot &amp; Queue'!A7</f>
        <v>0</v>
      </c>
      <c r="D45" s="96">
        <f>'Offline Snapshot &amp; Queue'!C7</f>
        <v>0</v>
      </c>
      <c r="E45" s="96">
        <f>'Offline Snapshot &amp; Queue'!E7</f>
        <v>10</v>
      </c>
      <c r="F45" s="96">
        <f>'Offline Snapshot &amp; Queue'!K7</f>
        <v>3</v>
      </c>
      <c r="G45" s="96">
        <f>'Offline Snapshot &amp; Queue'!L7</f>
        <v>6</v>
      </c>
      <c r="H45" s="96">
        <f>'Offline Snapshot &amp; Queue'!M7</f>
        <v>1</v>
      </c>
      <c r="I45" s="96">
        <f>'Offline Snapshot &amp; Queue'!N7</f>
        <v>10</v>
      </c>
      <c r="J45" s="76"/>
      <c r="K45" s="17"/>
      <c r="L45" s="17"/>
      <c r="M45" s="17"/>
      <c r="N45" s="17"/>
      <c r="O45" s="17"/>
      <c r="P45" s="17"/>
      <c r="Q45" s="17"/>
      <c r="R45" s="17"/>
      <c r="S45" s="17"/>
      <c r="T45" s="17"/>
      <c r="U45" s="17"/>
      <c r="V45" s="17"/>
      <c r="W45" s="17"/>
      <c r="X45" s="17"/>
      <c r="Y45" s="17"/>
      <c r="Z45" s="17"/>
    </row>
    <row r="46" ht="12.75" customHeight="1">
      <c r="A46" s="95">
        <v>35.0</v>
      </c>
      <c r="B46" s="98" t="s">
        <v>317</v>
      </c>
      <c r="C46" s="149">
        <f>'Territory Service'!A7</f>
        <v>0</v>
      </c>
      <c r="D46" s="149">
        <f>'Territory Service'!C7</f>
        <v>0</v>
      </c>
      <c r="E46" s="149">
        <f>'Territory Service'!E7</f>
        <v>4</v>
      </c>
      <c r="F46" s="149">
        <f>'Territory Service'!K7</f>
        <v>1</v>
      </c>
      <c r="G46" s="149">
        <f>'Territory Service'!L7</f>
        <v>2</v>
      </c>
      <c r="H46" s="149">
        <f>'Territory Service'!M7</f>
        <v>1</v>
      </c>
      <c r="I46" s="149">
        <f>'Territory Service'!N7</f>
        <v>4</v>
      </c>
      <c r="J46" s="76"/>
      <c r="K46" s="17"/>
      <c r="L46" s="17"/>
      <c r="M46" s="17"/>
      <c r="N46" s="17"/>
      <c r="O46" s="17"/>
      <c r="P46" s="17"/>
      <c r="Q46" s="17"/>
      <c r="R46" s="17"/>
      <c r="S46" s="17"/>
      <c r="T46" s="17"/>
      <c r="U46" s="17"/>
      <c r="V46" s="17"/>
      <c r="W46" s="17"/>
      <c r="X46" s="17"/>
      <c r="Y46" s="17"/>
      <c r="Z46" s="17"/>
    </row>
    <row r="47" ht="12.75" customHeight="1">
      <c r="A47" s="95">
        <v>36.0</v>
      </c>
      <c r="B47" s="98" t="s">
        <v>323</v>
      </c>
      <c r="C47" s="149">
        <f>'Inventory Lifecycle'!A7</f>
        <v>0</v>
      </c>
      <c r="D47" s="149">
        <f>'Inventory Lifecycle'!C7</f>
        <v>0</v>
      </c>
      <c r="E47" s="149">
        <f>'Inventory Lifecycle'!E7</f>
        <v>4</v>
      </c>
      <c r="F47" s="149">
        <f>'Inventory Lifecycle'!K7</f>
        <v>2</v>
      </c>
      <c r="G47" s="149">
        <f>'Inventory Lifecycle'!L7</f>
        <v>2</v>
      </c>
      <c r="H47" s="149">
        <f>'Inventory Lifecycle'!M7</f>
        <v>0</v>
      </c>
      <c r="I47" s="149">
        <f>'Inventory Lifecycle'!N7</f>
        <v>4</v>
      </c>
      <c r="J47" s="76"/>
      <c r="K47" s="17"/>
      <c r="L47" s="17"/>
      <c r="M47" s="17"/>
      <c r="N47" s="17"/>
      <c r="O47" s="17"/>
      <c r="P47" s="17"/>
      <c r="Q47" s="17"/>
      <c r="R47" s="17"/>
      <c r="S47" s="17"/>
      <c r="T47" s="17"/>
      <c r="U47" s="17"/>
      <c r="V47" s="17"/>
      <c r="W47" s="17"/>
      <c r="X47" s="17"/>
      <c r="Y47" s="17"/>
      <c r="Z47" s="17"/>
    </row>
    <row r="48" ht="12.75" customHeight="1">
      <c r="A48" s="95">
        <v>37.0</v>
      </c>
      <c r="B48" s="98" t="s">
        <v>329</v>
      </c>
      <c r="C48" s="149">
        <f>'Inventory Lock'!A7</f>
        <v>0</v>
      </c>
      <c r="D48" s="149">
        <f>'Inventory Lock'!C7</f>
        <v>0</v>
      </c>
      <c r="E48" s="149">
        <f>'Inventory Lock'!E7</f>
        <v>4</v>
      </c>
      <c r="F48" s="149">
        <f>'Inventory Lock'!K7</f>
        <v>1</v>
      </c>
      <c r="G48" s="149">
        <f>'Inventory Lock'!L7</f>
        <v>2</v>
      </c>
      <c r="H48" s="149">
        <f>'Inventory Lock'!M7</f>
        <v>1</v>
      </c>
      <c r="I48" s="149">
        <f>'Inventory Lock'!N7</f>
        <v>4</v>
      </c>
      <c r="J48" s="76"/>
      <c r="K48" s="17"/>
      <c r="L48" s="17"/>
      <c r="M48" s="17"/>
      <c r="N48" s="17"/>
      <c r="O48" s="17"/>
      <c r="P48" s="17"/>
      <c r="Q48" s="17"/>
      <c r="R48" s="17"/>
      <c r="S48" s="17"/>
      <c r="T48" s="17"/>
      <c r="U48" s="17"/>
      <c r="V48" s="17"/>
      <c r="W48" s="17"/>
      <c r="X48" s="17"/>
      <c r="Y48" s="17"/>
      <c r="Z48" s="17"/>
    </row>
    <row r="49" ht="13.5" customHeight="1">
      <c r="A49" s="95">
        <v>38.0</v>
      </c>
      <c r="B49" s="98" t="s">
        <v>335</v>
      </c>
      <c r="C49" s="149">
        <f>'Catalog Service'!A7</f>
        <v>0</v>
      </c>
      <c r="D49" s="149">
        <f>'Catalog Service'!C7</f>
        <v>0</v>
      </c>
      <c r="E49" s="149">
        <f>'Catalog Service'!E7</f>
        <v>5</v>
      </c>
      <c r="F49" s="149">
        <f>'Catalog Service'!K7</f>
        <v>3</v>
      </c>
      <c r="G49" s="149">
        <f>'Catalog Service'!L7</f>
        <v>2</v>
      </c>
      <c r="H49" s="149">
        <f>'Catalog Service'!M7</f>
        <v>0</v>
      </c>
      <c r="I49" s="149">
        <f>'Catalog Service'!N7</f>
        <v>5</v>
      </c>
      <c r="J49" s="76"/>
      <c r="K49" s="17"/>
      <c r="L49" s="17"/>
      <c r="M49" s="17"/>
      <c r="N49" s="17"/>
      <c r="O49" s="17"/>
      <c r="P49" s="17"/>
      <c r="Q49" s="17"/>
      <c r="R49" s="17"/>
      <c r="S49" s="17"/>
      <c r="T49" s="17"/>
      <c r="U49" s="17"/>
      <c r="V49" s="17"/>
      <c r="W49" s="17"/>
      <c r="X49" s="17"/>
      <c r="Y49" s="17"/>
      <c r="Z49" s="17"/>
    </row>
    <row r="50" ht="13.5" customHeight="1">
      <c r="A50" s="202"/>
      <c r="B50" s="203" t="s">
        <v>370</v>
      </c>
      <c r="C50" s="207">
        <f t="shared" ref="C50:I50" si="1">SUM(C12:C49)</f>
        <v>0</v>
      </c>
      <c r="D50" s="207">
        <f t="shared" si="1"/>
        <v>0</v>
      </c>
      <c r="E50" s="207">
        <f t="shared" si="1"/>
        <v>192</v>
      </c>
      <c r="F50" s="207">
        <f t="shared" si="1"/>
        <v>87</v>
      </c>
      <c r="G50" s="207">
        <f t="shared" si="1"/>
        <v>74</v>
      </c>
      <c r="H50" s="207">
        <f t="shared" si="1"/>
        <v>31</v>
      </c>
      <c r="I50" s="207">
        <f t="shared" si="1"/>
        <v>192</v>
      </c>
      <c r="J50" s="17"/>
      <c r="K50" s="17"/>
      <c r="L50" s="17"/>
      <c r="M50" s="17"/>
      <c r="N50" s="17"/>
      <c r="O50" s="17"/>
      <c r="P50" s="17"/>
      <c r="Q50" s="17"/>
      <c r="R50" s="17"/>
      <c r="S50" s="17"/>
      <c r="T50" s="17"/>
      <c r="U50" s="17"/>
      <c r="V50" s="17"/>
      <c r="W50" s="17"/>
      <c r="X50" s="17"/>
      <c r="Y50" s="17"/>
      <c r="Z50" s="17"/>
    </row>
    <row r="51" ht="12.75" customHeight="1">
      <c r="A51" s="211"/>
      <c r="B51" s="17"/>
      <c r="C51" s="213"/>
      <c r="D51" s="214"/>
      <c r="E51" s="214"/>
      <c r="F51" s="214"/>
      <c r="G51" s="214"/>
      <c r="H51" s="214"/>
      <c r="I51" s="214"/>
      <c r="J51" s="17"/>
      <c r="K51" s="17"/>
      <c r="L51" s="17"/>
      <c r="M51" s="17"/>
      <c r="N51" s="17"/>
      <c r="O51" s="17"/>
      <c r="P51" s="17"/>
      <c r="Q51" s="17"/>
      <c r="R51" s="17"/>
      <c r="S51" s="17"/>
      <c r="T51" s="17"/>
      <c r="U51" s="17"/>
      <c r="V51" s="17"/>
      <c r="W51" s="17"/>
      <c r="X51" s="17"/>
      <c r="Y51" s="17"/>
      <c r="Z51" s="17"/>
    </row>
    <row r="52" ht="12.75" customHeight="1">
      <c r="A52" s="17"/>
      <c r="B52" s="220" t="s">
        <v>373</v>
      </c>
      <c r="C52" s="17"/>
      <c r="D52" s="222">
        <f>IFERROR((C50+D50)*100/I50,0)</f>
        <v>0</v>
      </c>
      <c r="E52" s="17" t="s">
        <v>374</v>
      </c>
      <c r="F52" s="17"/>
      <c r="G52" s="17"/>
      <c r="H52" s="17"/>
      <c r="I52" s="223"/>
      <c r="J52" s="17"/>
      <c r="K52" s="17"/>
      <c r="L52" s="17"/>
      <c r="M52" s="17"/>
      <c r="N52" s="17"/>
      <c r="O52" s="17"/>
      <c r="P52" s="17"/>
      <c r="Q52" s="17"/>
      <c r="R52" s="17"/>
      <c r="S52" s="17"/>
      <c r="T52" s="17"/>
      <c r="U52" s="17"/>
      <c r="V52" s="17"/>
      <c r="W52" s="17"/>
      <c r="X52" s="17"/>
      <c r="Y52" s="17"/>
      <c r="Z52" s="17"/>
    </row>
    <row r="53" ht="12.75" customHeight="1">
      <c r="A53" s="17"/>
      <c r="B53" s="220" t="s">
        <v>375</v>
      </c>
      <c r="C53" s="17"/>
      <c r="D53" s="222">
        <f>IFERROR(C50*100/I50,0)</f>
        <v>0</v>
      </c>
      <c r="E53" s="17" t="s">
        <v>374</v>
      </c>
      <c r="F53" s="17"/>
      <c r="G53" s="17"/>
      <c r="H53" s="17"/>
      <c r="I53" s="223"/>
      <c r="J53" s="17"/>
      <c r="K53" s="17"/>
      <c r="L53" s="17"/>
      <c r="M53" s="17"/>
      <c r="N53" s="17"/>
      <c r="O53" s="17"/>
      <c r="P53" s="17"/>
      <c r="Q53" s="17"/>
      <c r="R53" s="17"/>
      <c r="S53" s="17"/>
      <c r="T53" s="17"/>
      <c r="U53" s="17"/>
      <c r="V53" s="17"/>
      <c r="W53" s="17"/>
      <c r="X53" s="17"/>
      <c r="Y53" s="17"/>
      <c r="Z53" s="17"/>
    </row>
    <row r="54" ht="12.75" customHeight="1">
      <c r="A54" s="17"/>
      <c r="B54" s="220" t="s">
        <v>376</v>
      </c>
      <c r="C54" s="17"/>
      <c r="D54" s="222">
        <f>IFERROR(F50*100/I50,0)</f>
        <v>45.3125</v>
      </c>
      <c r="E54" s="17" t="s">
        <v>374</v>
      </c>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220" t="s">
        <v>377</v>
      </c>
      <c r="C55" s="17"/>
      <c r="D55" s="222">
        <f>IFERROR(G50*100/I50,0)</f>
        <v>38.54166667</v>
      </c>
      <c r="E55" s="17" t="s">
        <v>374</v>
      </c>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220" t="s">
        <v>378</v>
      </c>
      <c r="C56" s="17"/>
      <c r="D56" s="222">
        <f>IFERROR(H50*100/I50,0)</f>
        <v>16.14583333</v>
      </c>
      <c r="E56" s="17" t="s">
        <v>374</v>
      </c>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6:C6"/>
    <mergeCell ref="D6:E6"/>
    <mergeCell ref="F6:I6"/>
    <mergeCell ref="B7:I7"/>
    <mergeCell ref="A2:I2"/>
    <mergeCell ref="B4:C4"/>
    <mergeCell ref="D4:E4"/>
    <mergeCell ref="F4:I4"/>
    <mergeCell ref="B5:C5"/>
    <mergeCell ref="D5:E5"/>
    <mergeCell ref="F5:I5"/>
  </mergeCells>
  <hyperlinks>
    <hyperlink display="Allocation Plan Approval" location="'Allocation Plan Approval'!A1" ref="B12"/>
    <hyperlink display="Refund Service" location="'Refund Service'!A1" ref="B13"/>
    <hyperlink display="Allocation Planner" location="'Allocation Planner'!A1" ref="B14"/>
    <hyperlink display="Manual Payment" location="'Manual Payment'!A1" ref="B15"/>
    <hyperlink display="Inventory Service" location="'Inventory Service'!A1" ref="B16"/>
    <hyperlink display="QR Label Service" location="'QR Label Service'!A1" ref="B17"/>
    <hyperlink display="Allocation Run Planning" location="'Allocation Run Planning'!A1" ref="B18"/>
    <hyperlink display="Allocation Run Result" location="'Allocation Run Result'!A1" ref="B19"/>
    <hyperlink display="Warehouse Config" location="'Warehouse Config'!A1" ref="B20"/>
    <hyperlink display="Allocation Trace" location="'Allocation Trace'!A1" ref="B21"/>
    <hyperlink display="Allocation Engine + Benchmark" location="'Allocation Engine + Benchmark'!A1" ref="B22"/>
    <hyperlink display="Shelf Life Discount" location="'Shelf Life Discount'!A1" ref="B23"/>
    <hyperlink display="Order Service" location="'Order Service'!A1" ref="B24"/>
    <hyperlink display="Promotion Service" location="'Promotion Service'!A1" ref="B25"/>
    <hyperlink display="Report Service" location="'Report Service'!A1" ref="B26"/>
    <hyperlink display="Retailer Service" location="'Retailer Service'!A1" ref="B27"/>
    <hyperlink display="Loyalty &amp; Rewards" location="'Loyalty &amp; Rewards'!A1" ref="B28"/>
    <hyperlink display="Delivery ETA + Maps" location="'Delivery ETA + Maps'!A1" ref="B29"/>
    <hyperlink display="Delivery Service" location="'Delivery Service'!A1" ref="B30"/>
    <hyperlink display="Allocation Pricing" location="'Allocation Pricing'!A1" ref="B31"/>
    <hyperlink display="Picking Service" location="'Picking Service'!A1" ref="B32"/>
    <hyperlink display="Shipment Service" location="'Shipment Service'!A1" ref="B33"/>
    <hyperlink display="Allocation Reservation" location="'Allocation Reservation'!A1" ref="B34"/>
    <hyperlink display="Allocation Run Service" location="'Allocation Run Service'!A1" ref="B35"/>
    <hyperlink display="Expiry Sweep &amp; Outbox" location="'Expiry Sweep &amp; Outbox'!A1" ref="B36"/>
    <hyperlink display="Allocation Price Lookup" location="'Allocation Price Lookup'!A1" ref="B37"/>
    <hyperlink display="MB Money and Limits" location="'MB Money and Limits'!A1" ref="B38"/>
    <hyperlink display="Allocation Scenarios" location="'Allocation Scenarios'!A1" ref="B39"/>
    <hyperlink display="Transit Table" location="'Transit Table'!A1" ref="B40"/>
    <hyperlink display="MB Business IDs" location="'MB Business IDs'!A1" ref="B41"/>
    <hyperlink display="Payment Service" location="'Payment Service'!A1" ref="B42"/>
    <hyperlink display="Identity Service" location="'Identity Service'!A1" ref="B44"/>
    <hyperlink display="Offline Snapshot &amp; Queue" location="'Offline Snapshot &amp; Queue'!A1" ref="B45"/>
    <hyperlink display="Territory Service" location="'Territory Service'!A1" ref="B46"/>
    <hyperlink display="Inventory Lifecycle" location="'Inventory Lifecycle'!A1" ref="B47"/>
    <hyperlink display="Inventory Lock" location="'Inventory Lock'!A1" ref="B48"/>
    <hyperlink display="Catalog Service" location="'Catalog Service'!A1" ref="B49"/>
  </hyperlinks>
  <printOptions/>
  <pageMargins bottom="0.75" footer="0.0" header="0.0" left="0.7" right="0.7" top="0.75"/>
  <pageSetup orientation="landscape"/>
  <headerFooter>
    <oddFooter>&amp;L 02ae-BM/PM/HDCV/FSOFT v2/1&amp;CInternal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9.5"/>
    <col customWidth="1" hidden="1" min="5" max="5" width="1.88"/>
    <col customWidth="1" min="6" max="6" width="4.0"/>
    <col customWidth="1" min="7" max="8" width="4.13"/>
    <col customWidth="1" min="9" max="9" width="4.25"/>
    <col customWidth="1" min="10" max="10" width="4.5"/>
    <col customWidth="1" min="11" max="11" width="4.0"/>
    <col customWidth="1" min="12" max="12" width="4.63"/>
    <col customWidth="1" min="13" max="13" width="4.13"/>
    <col customWidth="1" min="14" max="14" width="4.25"/>
    <col customWidth="1" min="15" max="15" width="17.75"/>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row>
    <row r="2" ht="13.5" customHeight="1">
      <c r="A2" s="112" t="s">
        <v>337</v>
      </c>
      <c r="B2" s="113"/>
      <c r="C2" s="114" t="str">
        <f>Functions!E11</f>
        <v>F-01</v>
      </c>
      <c r="D2" s="113"/>
      <c r="E2" s="115"/>
      <c r="F2" s="116" t="s">
        <v>71</v>
      </c>
      <c r="G2" s="117"/>
      <c r="H2" s="117"/>
      <c r="I2" s="117"/>
      <c r="J2" s="117"/>
      <c r="K2" s="117"/>
      <c r="L2" s="118" t="str">
        <f>Functions!D11</f>
        <v>Allocation proposal review, approval and revision</v>
      </c>
      <c r="M2" s="113"/>
      <c r="N2" s="113"/>
      <c r="O2" s="119"/>
      <c r="P2" s="110"/>
      <c r="Q2" s="120"/>
      <c r="R2" s="110"/>
      <c r="S2" s="110"/>
      <c r="T2" s="110"/>
      <c r="U2" s="110"/>
    </row>
    <row r="3" ht="13.5" customHeight="1">
      <c r="A3" s="121" t="s">
        <v>338</v>
      </c>
      <c r="B3" s="13"/>
      <c r="C3" s="122" t="s">
        <v>183</v>
      </c>
      <c r="D3" s="123"/>
      <c r="E3" s="124"/>
      <c r="F3" s="125" t="s">
        <v>339</v>
      </c>
      <c r="G3" s="12"/>
      <c r="H3" s="12"/>
      <c r="I3" s="12"/>
      <c r="J3" s="12"/>
      <c r="K3" s="13"/>
      <c r="L3" s="126"/>
      <c r="M3" s="123"/>
      <c r="N3" s="123"/>
      <c r="O3" s="127"/>
      <c r="P3" s="110"/>
      <c r="Q3" s="110"/>
      <c r="R3" s="110"/>
      <c r="S3" s="110"/>
      <c r="T3" s="110"/>
      <c r="U3" s="110"/>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row>
    <row r="5" ht="13.5" customHeight="1">
      <c r="A5" s="121" t="s">
        <v>342</v>
      </c>
      <c r="B5" s="13"/>
      <c r="C5" s="132" t="s">
        <v>87</v>
      </c>
      <c r="D5" s="12"/>
      <c r="E5" s="12"/>
      <c r="F5" s="12"/>
      <c r="G5" s="12"/>
      <c r="H5" s="12"/>
      <c r="I5" s="12"/>
      <c r="J5" s="12"/>
      <c r="K5" s="12"/>
      <c r="L5" s="12"/>
      <c r="M5" s="12"/>
      <c r="N5" s="12"/>
      <c r="O5" s="131"/>
      <c r="P5" s="110"/>
      <c r="Q5" s="110"/>
      <c r="R5" s="110"/>
      <c r="S5" s="110"/>
      <c r="T5" s="110"/>
      <c r="U5" s="110"/>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row>
    <row r="7" ht="13.5" customHeight="1">
      <c r="A7" s="137">
        <f>COUNTIF(F39:O39,"P")</f>
        <v>0</v>
      </c>
      <c r="B7" s="138"/>
      <c r="C7" s="139">
        <f>COUNTIF(F39:O39,"F")</f>
        <v>0</v>
      </c>
      <c r="D7" s="140"/>
      <c r="E7" s="138"/>
      <c r="F7" s="139">
        <f>SUM(O7,-A7,-C7)</f>
        <v>6</v>
      </c>
      <c r="G7" s="140"/>
      <c r="H7" s="140"/>
      <c r="I7" s="140"/>
      <c r="J7" s="140"/>
      <c r="K7" s="138"/>
      <c r="L7" s="141">
        <f>COUNTIF(F38:O38,"N")</f>
        <v>3</v>
      </c>
      <c r="M7" s="141">
        <f>COUNTIF(F38:O38,"A")</f>
        <v>3</v>
      </c>
      <c r="N7" s="141">
        <f>COUNTIF(F38:O38,"B")</f>
        <v>0</v>
      </c>
      <c r="O7" s="142">
        <f>COUNTA(F9:O9)</f>
        <v>6</v>
      </c>
      <c r="P7" s="110"/>
      <c r="Q7" s="110"/>
      <c r="R7" s="110"/>
      <c r="S7" s="110"/>
      <c r="T7" s="110"/>
      <c r="U7" s="110"/>
    </row>
    <row r="8" ht="12.0" customHeight="1">
      <c r="A8" s="110"/>
      <c r="B8" s="143"/>
      <c r="C8" s="110"/>
      <c r="D8" s="111"/>
      <c r="E8" s="110"/>
      <c r="F8" s="110"/>
      <c r="G8" s="110"/>
      <c r="H8" s="110"/>
      <c r="I8" s="110"/>
      <c r="J8" s="110"/>
      <c r="K8" s="110"/>
      <c r="L8" s="110"/>
      <c r="M8" s="110"/>
      <c r="N8" s="110"/>
      <c r="O8" s="110"/>
      <c r="P8" s="110"/>
      <c r="Q8" s="110"/>
      <c r="R8" s="110"/>
      <c r="S8" s="110"/>
      <c r="T8" s="110"/>
      <c r="U8" s="110"/>
    </row>
    <row r="9" ht="46.5" customHeight="1">
      <c r="A9" s="144"/>
      <c r="B9" s="145"/>
      <c r="C9" s="146"/>
      <c r="D9" s="147"/>
      <c r="E9" s="146"/>
      <c r="F9" s="148" t="s">
        <v>344</v>
      </c>
      <c r="G9" s="148" t="s">
        <v>345</v>
      </c>
      <c r="H9" s="148" t="s">
        <v>346</v>
      </c>
      <c r="I9" s="148" t="s">
        <v>347</v>
      </c>
      <c r="J9" s="148" t="s">
        <v>348</v>
      </c>
      <c r="K9" s="148" t="s">
        <v>349</v>
      </c>
      <c r="L9" s="148"/>
      <c r="M9" s="148"/>
      <c r="N9" s="148"/>
      <c r="O9" s="148"/>
      <c r="P9" s="150"/>
      <c r="Q9" s="120"/>
      <c r="R9" s="110"/>
      <c r="S9" s="110"/>
      <c r="T9" s="110"/>
      <c r="U9" s="110"/>
    </row>
    <row r="10" ht="13.5" customHeight="1">
      <c r="A10" s="151" t="s">
        <v>350</v>
      </c>
      <c r="B10" s="152" t="s">
        <v>351</v>
      </c>
      <c r="C10" s="153"/>
      <c r="D10" s="154"/>
      <c r="E10" s="155"/>
      <c r="F10" s="156"/>
      <c r="G10" s="156"/>
      <c r="H10" s="156"/>
      <c r="I10" s="156"/>
      <c r="J10" s="156"/>
      <c r="K10" s="156"/>
      <c r="L10" s="156"/>
      <c r="M10" s="156"/>
      <c r="N10" s="156"/>
      <c r="O10" s="156"/>
      <c r="P10" s="110"/>
      <c r="Q10" s="110"/>
      <c r="R10" s="110"/>
      <c r="S10" s="110"/>
      <c r="T10" s="110"/>
      <c r="U10" s="110"/>
    </row>
    <row r="11" ht="13.5" customHeight="1">
      <c r="A11" s="157"/>
      <c r="B11" s="158"/>
      <c r="C11" s="159"/>
      <c r="D11" s="160" t="s">
        <v>352</v>
      </c>
      <c r="E11" s="161"/>
      <c r="F11" s="156" t="s">
        <v>353</v>
      </c>
      <c r="G11" s="156"/>
      <c r="H11" s="156"/>
      <c r="I11" s="156"/>
      <c r="J11" s="156"/>
      <c r="K11" s="156"/>
      <c r="L11" s="156"/>
      <c r="M11" s="156"/>
      <c r="N11" s="156"/>
      <c r="O11" s="156"/>
      <c r="P11" s="110"/>
      <c r="Q11" s="110"/>
      <c r="R11" s="110"/>
      <c r="S11" s="110"/>
      <c r="T11" s="110"/>
      <c r="U11" s="110"/>
    </row>
    <row r="12" ht="13.5" customHeight="1">
      <c r="A12" s="162"/>
      <c r="B12" s="163"/>
      <c r="C12" s="159"/>
      <c r="D12" s="164" t="s">
        <v>354</v>
      </c>
      <c r="E12" s="161"/>
      <c r="F12" s="165"/>
      <c r="G12" s="165" t="s">
        <v>353</v>
      </c>
      <c r="H12" s="165"/>
      <c r="I12" s="165"/>
      <c r="J12" s="165"/>
      <c r="K12" s="165"/>
      <c r="L12" s="165"/>
      <c r="M12" s="165"/>
      <c r="N12" s="165"/>
      <c r="O12" s="165"/>
      <c r="P12" s="110"/>
      <c r="Q12" s="120"/>
      <c r="R12" s="110"/>
      <c r="S12" s="110"/>
      <c r="T12" s="110"/>
      <c r="U12" s="110"/>
    </row>
    <row r="13" ht="13.5" customHeight="1">
      <c r="A13" s="162"/>
      <c r="B13" s="166"/>
      <c r="C13" s="167"/>
      <c r="D13" s="168" t="s">
        <v>355</v>
      </c>
      <c r="E13" s="161"/>
      <c r="F13" s="165"/>
      <c r="G13" s="165"/>
      <c r="H13" s="165" t="s">
        <v>353</v>
      </c>
      <c r="I13" s="165"/>
      <c r="J13" s="165"/>
      <c r="K13" s="165"/>
      <c r="L13" s="165"/>
      <c r="M13" s="165"/>
      <c r="N13" s="165"/>
      <c r="O13" s="165"/>
      <c r="P13" s="110"/>
      <c r="Q13" s="110"/>
      <c r="R13" s="110"/>
      <c r="S13" s="110"/>
      <c r="T13" s="110"/>
      <c r="U13" s="110"/>
    </row>
    <row r="14" ht="13.5" customHeight="1">
      <c r="A14" s="162"/>
      <c r="B14" s="163"/>
      <c r="C14" s="169"/>
      <c r="D14" s="164" t="s">
        <v>356</v>
      </c>
      <c r="E14" s="170"/>
      <c r="F14" s="165"/>
      <c r="G14" s="165"/>
      <c r="H14" s="165"/>
      <c r="I14" s="165" t="s">
        <v>353</v>
      </c>
      <c r="J14" s="165"/>
      <c r="K14" s="165"/>
      <c r="L14" s="165"/>
      <c r="M14" s="165"/>
      <c r="N14" s="165"/>
      <c r="O14" s="165"/>
      <c r="P14" s="110"/>
      <c r="Q14" s="110"/>
      <c r="R14" s="110"/>
      <c r="S14" s="110"/>
      <c r="T14" s="110"/>
      <c r="U14" s="110"/>
    </row>
    <row r="15" ht="13.5" customHeight="1">
      <c r="A15" s="162"/>
      <c r="B15" s="163"/>
      <c r="C15" s="171"/>
      <c r="D15" s="172"/>
      <c r="E15" s="173"/>
      <c r="F15" s="165"/>
      <c r="G15" s="165"/>
      <c r="H15" s="165"/>
      <c r="I15" s="165"/>
      <c r="J15" s="165"/>
      <c r="K15" s="165"/>
      <c r="L15" s="165"/>
      <c r="M15" s="165"/>
      <c r="N15" s="165"/>
      <c r="O15" s="165"/>
      <c r="P15" s="110"/>
      <c r="Q15" s="110"/>
      <c r="R15" s="110"/>
      <c r="S15" s="110"/>
      <c r="T15" s="110"/>
      <c r="U15" s="110"/>
    </row>
    <row r="16" ht="13.5" customHeight="1">
      <c r="A16" s="162"/>
      <c r="B16" s="163"/>
      <c r="C16" s="171"/>
      <c r="D16" s="174" t="s">
        <v>357</v>
      </c>
      <c r="E16" s="173"/>
      <c r="F16" s="165"/>
      <c r="G16" s="165"/>
      <c r="H16" s="165"/>
      <c r="I16" s="165"/>
      <c r="J16" s="165" t="s">
        <v>353</v>
      </c>
      <c r="K16" s="165"/>
      <c r="L16" s="165"/>
      <c r="M16" s="165"/>
      <c r="N16" s="165"/>
      <c r="O16" s="165"/>
      <c r="P16" s="110"/>
      <c r="Q16" s="110"/>
      <c r="R16" s="110"/>
      <c r="S16" s="110"/>
      <c r="T16" s="110"/>
      <c r="U16" s="110"/>
    </row>
    <row r="17" ht="13.5" customHeight="1">
      <c r="A17" s="162"/>
      <c r="B17" s="163"/>
      <c r="C17" s="171"/>
      <c r="D17" s="174" t="s">
        <v>358</v>
      </c>
      <c r="E17" s="173"/>
      <c r="F17" s="165"/>
      <c r="G17" s="165"/>
      <c r="H17" s="165"/>
      <c r="I17" s="165"/>
      <c r="J17" s="165"/>
      <c r="K17" s="165" t="s">
        <v>353</v>
      </c>
      <c r="L17" s="165"/>
      <c r="M17" s="165"/>
      <c r="N17" s="165"/>
      <c r="O17" s="165"/>
      <c r="P17" s="110"/>
      <c r="Q17" s="110"/>
      <c r="R17" s="110"/>
      <c r="S17" s="110"/>
      <c r="T17" s="110"/>
      <c r="U17" s="110"/>
    </row>
    <row r="18" ht="13.5" customHeight="1">
      <c r="A18" s="162"/>
      <c r="B18" s="163"/>
      <c r="C18" s="171"/>
      <c r="D18" s="174"/>
      <c r="E18" s="173"/>
      <c r="F18" s="165"/>
      <c r="G18" s="165"/>
      <c r="H18" s="165"/>
      <c r="I18" s="165"/>
      <c r="J18" s="165"/>
      <c r="K18" s="165"/>
      <c r="L18" s="165"/>
      <c r="M18" s="165"/>
      <c r="N18" s="165"/>
      <c r="O18" s="165"/>
      <c r="P18" s="110"/>
      <c r="Q18" s="110"/>
      <c r="R18" s="110"/>
      <c r="S18" s="110"/>
      <c r="T18" s="110"/>
      <c r="U18" s="110"/>
    </row>
    <row r="19" ht="13.5" customHeight="1">
      <c r="A19" s="162"/>
      <c r="B19" s="163"/>
      <c r="C19" s="171"/>
      <c r="D19" s="174"/>
      <c r="E19" s="173"/>
      <c r="F19" s="165"/>
      <c r="G19" s="165"/>
      <c r="H19" s="165"/>
      <c r="I19" s="165"/>
      <c r="J19" s="165"/>
      <c r="K19" s="165"/>
      <c r="L19" s="165"/>
      <c r="M19" s="165"/>
      <c r="N19" s="165"/>
      <c r="O19" s="165"/>
      <c r="P19" s="110"/>
      <c r="Q19" s="110"/>
      <c r="R19" s="110"/>
      <c r="S19" s="110"/>
      <c r="T19" s="110"/>
      <c r="U19" s="110"/>
    </row>
    <row r="20" ht="13.5" customHeight="1">
      <c r="A20" s="162"/>
      <c r="B20" s="163"/>
      <c r="C20" s="171"/>
      <c r="D20" s="174"/>
      <c r="E20" s="173"/>
      <c r="F20" s="165"/>
      <c r="G20" s="165"/>
      <c r="H20" s="165"/>
      <c r="I20" s="165"/>
      <c r="J20" s="165"/>
      <c r="K20" s="165"/>
      <c r="L20" s="165"/>
      <c r="M20" s="165"/>
      <c r="N20" s="165"/>
      <c r="O20" s="165"/>
      <c r="P20" s="110"/>
      <c r="Q20" s="110"/>
      <c r="R20" s="110"/>
      <c r="S20" s="110"/>
      <c r="T20" s="110"/>
      <c r="U20" s="110"/>
    </row>
    <row r="21" ht="13.5" customHeight="1">
      <c r="A21" s="162"/>
      <c r="B21" s="163"/>
      <c r="C21" s="171"/>
      <c r="D21" s="174"/>
      <c r="E21" s="173"/>
      <c r="F21" s="165"/>
      <c r="G21" s="165"/>
      <c r="H21" s="165"/>
      <c r="I21" s="165"/>
      <c r="J21" s="165"/>
      <c r="K21" s="165"/>
      <c r="L21" s="165"/>
      <c r="M21" s="165"/>
      <c r="N21" s="165"/>
      <c r="O21" s="165"/>
      <c r="P21" s="110"/>
      <c r="Q21" s="110"/>
      <c r="R21" s="110"/>
      <c r="S21" s="110"/>
      <c r="T21" s="110"/>
      <c r="U21" s="110"/>
    </row>
    <row r="22" ht="13.5" customHeight="1">
      <c r="A22" s="162"/>
      <c r="B22" s="163"/>
      <c r="C22" s="171"/>
      <c r="D22" s="174"/>
      <c r="E22" s="173"/>
      <c r="F22" s="165"/>
      <c r="G22" s="165"/>
      <c r="H22" s="165"/>
      <c r="I22" s="165"/>
      <c r="J22" s="165"/>
      <c r="K22" s="165"/>
      <c r="L22" s="165"/>
      <c r="M22" s="165"/>
      <c r="N22" s="165"/>
      <c r="O22" s="165"/>
      <c r="P22" s="110"/>
      <c r="Q22" s="110"/>
      <c r="R22" s="110"/>
      <c r="S22" s="110"/>
      <c r="T22" s="110"/>
      <c r="U22" s="110"/>
    </row>
    <row r="23" ht="13.5" customHeight="1">
      <c r="A23" s="162"/>
      <c r="B23" s="163"/>
      <c r="C23" s="171"/>
      <c r="D23" s="174"/>
      <c r="E23" s="173"/>
      <c r="F23" s="165"/>
      <c r="G23" s="165"/>
      <c r="H23" s="165"/>
      <c r="I23" s="165"/>
      <c r="J23" s="165"/>
      <c r="K23" s="165"/>
      <c r="L23" s="165"/>
      <c r="M23" s="165"/>
      <c r="N23" s="165"/>
      <c r="O23" s="165"/>
      <c r="P23" s="175"/>
      <c r="Q23" s="110"/>
      <c r="R23" s="110"/>
      <c r="S23" s="110"/>
      <c r="T23" s="110"/>
      <c r="U23" s="110"/>
    </row>
    <row r="24" ht="13.5" customHeight="1">
      <c r="A24" s="162"/>
      <c r="B24" s="163"/>
      <c r="C24" s="171"/>
      <c r="D24" s="174"/>
      <c r="E24" s="173"/>
      <c r="F24" s="165"/>
      <c r="G24" s="165"/>
      <c r="H24" s="165"/>
      <c r="I24" s="165"/>
      <c r="J24" s="165"/>
      <c r="K24" s="165"/>
      <c r="L24" s="165"/>
      <c r="M24" s="165"/>
      <c r="N24" s="165"/>
      <c r="O24" s="165"/>
      <c r="P24" s="175"/>
      <c r="Q24" s="110"/>
      <c r="R24" s="110"/>
      <c r="S24" s="110"/>
      <c r="T24" s="110"/>
      <c r="U24" s="110"/>
    </row>
    <row r="25" ht="13.5" customHeight="1">
      <c r="A25" s="162"/>
      <c r="B25" s="163"/>
      <c r="C25" s="171"/>
      <c r="D25" s="111"/>
      <c r="F25" s="165"/>
      <c r="G25" s="165"/>
      <c r="H25" s="165"/>
      <c r="I25" s="165"/>
      <c r="J25" s="165"/>
      <c r="K25" s="165"/>
      <c r="L25" s="165"/>
      <c r="M25" s="165"/>
      <c r="N25" s="165"/>
      <c r="O25" s="165"/>
      <c r="P25" s="110"/>
      <c r="Q25" s="110"/>
      <c r="R25" s="110"/>
      <c r="S25" s="110"/>
      <c r="T25" s="110"/>
      <c r="U25" s="110"/>
    </row>
    <row r="26" ht="13.5" customHeight="1">
      <c r="A26" s="162"/>
      <c r="B26" s="163"/>
      <c r="C26" s="171"/>
      <c r="D26" s="174"/>
      <c r="E26" s="173"/>
      <c r="F26" s="165"/>
      <c r="G26" s="165"/>
      <c r="H26" s="165"/>
      <c r="I26" s="165"/>
      <c r="J26" s="165"/>
      <c r="K26" s="165"/>
      <c r="L26" s="165"/>
      <c r="M26" s="165"/>
      <c r="N26" s="165"/>
      <c r="O26" s="165"/>
      <c r="P26" s="110"/>
      <c r="Q26" s="110"/>
      <c r="R26" s="110"/>
      <c r="S26" s="110"/>
      <c r="T26" s="110"/>
      <c r="U26" s="110"/>
    </row>
    <row r="27" ht="13.5" customHeight="1">
      <c r="A27" s="162"/>
      <c r="B27" s="163"/>
      <c r="C27" s="171"/>
      <c r="D27" s="174"/>
      <c r="E27" s="173"/>
      <c r="F27" s="165"/>
      <c r="G27" s="165"/>
      <c r="H27" s="165"/>
      <c r="I27" s="165"/>
      <c r="J27" s="165"/>
      <c r="K27" s="165"/>
      <c r="L27" s="165"/>
      <c r="M27" s="165"/>
      <c r="N27" s="165"/>
      <c r="O27" s="165"/>
      <c r="P27" s="110"/>
      <c r="Q27" s="110"/>
      <c r="R27" s="110"/>
      <c r="S27" s="110"/>
      <c r="T27" s="110"/>
      <c r="U27" s="110"/>
    </row>
    <row r="28" ht="13.5" customHeight="1">
      <c r="A28" s="162"/>
      <c r="B28" s="163"/>
      <c r="C28" s="171"/>
      <c r="D28" s="174"/>
      <c r="E28" s="173"/>
      <c r="F28" s="165"/>
      <c r="G28" s="165"/>
      <c r="H28" s="165"/>
      <c r="I28" s="165"/>
      <c r="J28" s="165"/>
      <c r="K28" s="165"/>
      <c r="L28" s="165"/>
      <c r="M28" s="165"/>
      <c r="N28" s="165"/>
      <c r="O28" s="165"/>
      <c r="P28" s="110"/>
      <c r="Q28" s="110"/>
      <c r="R28" s="110"/>
      <c r="S28" s="110"/>
      <c r="T28" s="110"/>
      <c r="U28" s="110"/>
    </row>
    <row r="29" ht="13.5" customHeight="1">
      <c r="A29" s="176" t="s">
        <v>359</v>
      </c>
      <c r="B29" s="177" t="s">
        <v>360</v>
      </c>
      <c r="C29" s="178"/>
      <c r="D29" s="179"/>
      <c r="E29" s="180"/>
      <c r="F29" s="156"/>
      <c r="G29" s="156"/>
      <c r="H29" s="156"/>
      <c r="I29" s="156"/>
      <c r="J29" s="156"/>
      <c r="K29" s="156"/>
      <c r="L29" s="156"/>
      <c r="M29" s="156"/>
      <c r="N29" s="156"/>
      <c r="O29" s="156"/>
      <c r="P29" s="110"/>
      <c r="Q29" s="110"/>
      <c r="R29" s="110"/>
      <c r="S29" s="110"/>
      <c r="T29" s="110"/>
      <c r="U29" s="110"/>
    </row>
    <row r="30" ht="13.5" customHeight="1">
      <c r="A30" s="181"/>
      <c r="B30" s="182"/>
      <c r="C30" s="183"/>
      <c r="D30" s="184" t="s">
        <v>361</v>
      </c>
      <c r="E30" s="185"/>
      <c r="F30" s="165" t="s">
        <v>353</v>
      </c>
      <c r="G30" s="165"/>
      <c r="H30" s="165"/>
      <c r="I30" s="165"/>
      <c r="J30" s="165"/>
      <c r="K30" s="165"/>
      <c r="L30" s="165"/>
      <c r="M30" s="165"/>
      <c r="N30" s="165"/>
      <c r="O30" s="165"/>
      <c r="P30" s="110"/>
      <c r="Q30" s="110"/>
      <c r="R30" s="110"/>
      <c r="S30" s="110"/>
      <c r="T30" s="110"/>
      <c r="U30" s="110"/>
    </row>
    <row r="31" ht="13.5" customHeight="1">
      <c r="A31" s="181"/>
      <c r="B31" s="182"/>
      <c r="C31" s="186"/>
      <c r="D31" s="187" t="s">
        <v>362</v>
      </c>
      <c r="E31" s="188"/>
      <c r="F31" s="189"/>
      <c r="G31" s="165" t="s">
        <v>353</v>
      </c>
      <c r="H31" s="165"/>
      <c r="I31" s="165"/>
      <c r="J31" s="165"/>
      <c r="K31" s="165"/>
      <c r="L31" s="165"/>
      <c r="M31" s="165"/>
      <c r="N31" s="165"/>
      <c r="O31" s="165"/>
      <c r="P31" s="110"/>
      <c r="Q31" s="110"/>
      <c r="R31" s="110"/>
      <c r="S31" s="110"/>
      <c r="T31" s="110"/>
      <c r="U31" s="110"/>
    </row>
    <row r="32" ht="13.5" customHeight="1">
      <c r="A32" s="181"/>
      <c r="B32" s="182"/>
      <c r="C32" s="183"/>
      <c r="D32" s="190"/>
      <c r="E32" s="188"/>
      <c r="F32" s="165"/>
      <c r="G32" s="165"/>
      <c r="H32" s="165"/>
      <c r="I32" s="165"/>
      <c r="J32" s="165"/>
      <c r="K32" s="165"/>
      <c r="L32" s="165"/>
      <c r="M32" s="165"/>
      <c r="N32" s="165"/>
      <c r="O32" s="165"/>
      <c r="P32" s="110"/>
      <c r="Q32" s="110"/>
      <c r="R32" s="110"/>
      <c r="S32" s="110"/>
      <c r="T32" s="110"/>
      <c r="U32" s="110"/>
    </row>
    <row r="33" ht="13.5" customHeight="1">
      <c r="A33" s="181"/>
      <c r="B33" s="182"/>
      <c r="C33" s="183"/>
      <c r="D33" s="191" t="s">
        <v>363</v>
      </c>
      <c r="E33" s="188"/>
      <c r="F33" s="165"/>
      <c r="G33" s="165"/>
      <c r="H33" s="165" t="s">
        <v>353</v>
      </c>
      <c r="I33" s="165"/>
      <c r="J33" s="165"/>
      <c r="K33" s="165"/>
      <c r="L33" s="165"/>
      <c r="M33" s="165"/>
      <c r="N33" s="165"/>
      <c r="O33" s="165"/>
      <c r="P33" s="110"/>
      <c r="Q33" s="110"/>
      <c r="R33" s="110"/>
      <c r="S33" s="110"/>
      <c r="T33" s="110"/>
      <c r="U33" s="110"/>
    </row>
    <row r="34" ht="13.5" customHeight="1">
      <c r="A34" s="181"/>
      <c r="B34" s="182"/>
      <c r="C34" s="183"/>
      <c r="D34" s="184"/>
      <c r="E34" s="188"/>
      <c r="F34" s="165"/>
      <c r="G34" s="165"/>
      <c r="H34" s="165"/>
      <c r="I34" s="165"/>
      <c r="J34" s="165"/>
      <c r="K34" s="165"/>
      <c r="L34" s="165"/>
      <c r="M34" s="165"/>
      <c r="N34" s="165"/>
      <c r="O34" s="165"/>
      <c r="P34" s="110"/>
      <c r="Q34" s="110"/>
      <c r="R34" s="110"/>
      <c r="S34" s="110"/>
      <c r="T34" s="110"/>
      <c r="U34" s="110"/>
    </row>
    <row r="35" ht="13.5" customHeight="1">
      <c r="A35" s="181"/>
      <c r="B35" s="182"/>
      <c r="C35" s="183"/>
      <c r="D35" s="184" t="s">
        <v>364</v>
      </c>
      <c r="E35" s="188"/>
      <c r="F35" s="165"/>
      <c r="G35" s="165"/>
      <c r="H35" s="165"/>
      <c r="I35" s="165" t="s">
        <v>353</v>
      </c>
      <c r="J35" s="165"/>
      <c r="K35" s="165"/>
      <c r="L35" s="165"/>
      <c r="M35" s="165"/>
      <c r="N35" s="165"/>
      <c r="O35" s="165"/>
      <c r="P35" s="110"/>
      <c r="Q35" s="110"/>
      <c r="R35" s="110"/>
      <c r="S35" s="110"/>
      <c r="T35" s="110"/>
      <c r="U35" s="110"/>
    </row>
    <row r="36" ht="13.5" customHeight="1">
      <c r="A36" s="181"/>
      <c r="B36" s="182"/>
      <c r="C36" s="183"/>
      <c r="D36" s="184" t="s">
        <v>365</v>
      </c>
      <c r="E36" s="188"/>
      <c r="F36" s="165"/>
      <c r="G36" s="165"/>
      <c r="H36" s="165"/>
      <c r="I36" s="165"/>
      <c r="J36" s="165" t="s">
        <v>353</v>
      </c>
      <c r="K36" s="165"/>
      <c r="L36" s="165"/>
      <c r="M36" s="165"/>
      <c r="N36" s="165"/>
      <c r="O36" s="165"/>
      <c r="P36" s="110"/>
      <c r="Q36" s="110"/>
      <c r="R36" s="110"/>
      <c r="S36" s="110"/>
      <c r="T36" s="110"/>
      <c r="U36" s="110"/>
    </row>
    <row r="37" ht="13.5" customHeight="1">
      <c r="A37" s="181"/>
      <c r="B37" s="192"/>
      <c r="C37" s="193"/>
      <c r="D37" s="194" t="s">
        <v>366</v>
      </c>
      <c r="E37" s="195"/>
      <c r="F37" s="196"/>
      <c r="G37" s="196"/>
      <c r="H37" s="196"/>
      <c r="I37" s="196"/>
      <c r="J37" s="196"/>
      <c r="K37" s="196" t="s">
        <v>353</v>
      </c>
      <c r="L37" s="196"/>
      <c r="M37" s="196"/>
      <c r="N37" s="196"/>
      <c r="O37" s="196"/>
      <c r="P37" s="110"/>
      <c r="Q37" s="110"/>
      <c r="R37" s="110"/>
      <c r="S37" s="110"/>
      <c r="T37" s="110"/>
      <c r="U37" s="110"/>
    </row>
    <row r="38" ht="13.5" customHeight="1">
      <c r="A38" s="176" t="s">
        <v>367</v>
      </c>
      <c r="B38" s="197" t="s">
        <v>368</v>
      </c>
      <c r="C38" s="198"/>
      <c r="D38" s="199"/>
      <c r="E38" s="200"/>
      <c r="F38" s="201" t="s">
        <v>220</v>
      </c>
      <c r="G38" s="201" t="s">
        <v>220</v>
      </c>
      <c r="H38" s="201" t="s">
        <v>38</v>
      </c>
      <c r="I38" s="201" t="s">
        <v>38</v>
      </c>
      <c r="J38" s="201" t="s">
        <v>220</v>
      </c>
      <c r="K38" s="201" t="s">
        <v>38</v>
      </c>
      <c r="L38" s="201"/>
      <c r="M38" s="201"/>
      <c r="N38" s="201"/>
      <c r="O38" s="201"/>
      <c r="P38" s="110"/>
      <c r="Q38" s="110"/>
      <c r="R38" s="110"/>
      <c r="S38" s="110"/>
      <c r="T38" s="110"/>
      <c r="U38" s="110"/>
    </row>
    <row r="39" ht="13.5" customHeight="1">
      <c r="A39" s="181"/>
      <c r="B39" s="204" t="s">
        <v>369</v>
      </c>
      <c r="C39" s="12"/>
      <c r="D39" s="13"/>
      <c r="E39" s="205"/>
      <c r="F39" s="206"/>
      <c r="G39" s="206"/>
      <c r="H39" s="206"/>
      <c r="I39" s="206"/>
      <c r="J39" s="206"/>
      <c r="K39" s="206"/>
      <c r="L39" s="206"/>
      <c r="M39" s="206"/>
      <c r="N39" s="206"/>
      <c r="O39" s="206"/>
      <c r="P39" s="110"/>
      <c r="Q39" s="110"/>
      <c r="R39" s="110"/>
      <c r="S39" s="110"/>
      <c r="T39" s="110"/>
      <c r="U39" s="110"/>
    </row>
    <row r="40" ht="13.5" customHeight="1">
      <c r="A40" s="181"/>
      <c r="B40" s="208" t="s">
        <v>371</v>
      </c>
      <c r="C40" s="12"/>
      <c r="D40" s="13"/>
      <c r="E40" s="209"/>
      <c r="F40" s="210"/>
      <c r="G40" s="210"/>
      <c r="H40" s="210"/>
      <c r="I40" s="210"/>
      <c r="J40" s="210"/>
      <c r="K40" s="210"/>
      <c r="L40" s="210"/>
      <c r="M40" s="210"/>
      <c r="N40" s="210"/>
      <c r="O40" s="210"/>
      <c r="P40" s="110"/>
      <c r="Q40" s="110"/>
      <c r="R40" s="110"/>
      <c r="S40" s="110"/>
      <c r="T40" s="110"/>
      <c r="U40" s="110"/>
    </row>
    <row r="41" ht="16.5" customHeight="1">
      <c r="A41" s="212"/>
      <c r="B41" s="215" t="s">
        <v>372</v>
      </c>
      <c r="C41" s="216"/>
      <c r="D41" s="217"/>
      <c r="E41" s="218"/>
      <c r="F41" s="219"/>
      <c r="G41" s="219"/>
      <c r="H41" s="219"/>
      <c r="I41" s="219"/>
      <c r="J41" s="219"/>
      <c r="K41" s="219"/>
      <c r="L41" s="219"/>
      <c r="M41" s="219"/>
      <c r="N41" s="219"/>
      <c r="O41" s="219"/>
      <c r="P41" s="110"/>
      <c r="Q41" s="110"/>
      <c r="R41" s="110"/>
      <c r="S41" s="110"/>
      <c r="T41" s="110"/>
      <c r="U41" s="110"/>
    </row>
    <row r="42" ht="12.0" customHeight="1">
      <c r="A42" s="221"/>
      <c r="B42" s="143"/>
      <c r="C42" s="110"/>
      <c r="D42" s="111"/>
      <c r="E42" s="110"/>
      <c r="F42" s="110"/>
      <c r="G42" s="110"/>
      <c r="H42" s="110"/>
      <c r="I42" s="110"/>
      <c r="J42" s="110"/>
      <c r="K42" s="110"/>
      <c r="L42" s="110"/>
      <c r="M42" s="110"/>
      <c r="N42" s="110"/>
      <c r="O42" s="110"/>
      <c r="P42" s="110"/>
      <c r="Q42" s="110"/>
      <c r="R42" s="110"/>
      <c r="S42" s="110"/>
      <c r="T42" s="110"/>
      <c r="U42" s="110"/>
    </row>
    <row r="43" ht="13.5" customHeight="1">
      <c r="A43" s="110"/>
      <c r="B43" s="143"/>
      <c r="C43" s="110"/>
      <c r="D43" s="111"/>
      <c r="E43" s="110"/>
      <c r="F43" s="110"/>
      <c r="G43" s="110"/>
      <c r="H43" s="110"/>
      <c r="I43" s="110"/>
      <c r="J43" s="110"/>
      <c r="K43" s="110"/>
      <c r="L43" s="110"/>
      <c r="M43" s="110"/>
      <c r="N43" s="110"/>
      <c r="O43" s="110"/>
      <c r="P43" s="110"/>
      <c r="Q43" s="110"/>
      <c r="R43" s="110"/>
      <c r="S43" s="110"/>
      <c r="T43" s="110"/>
      <c r="U43" s="110"/>
    </row>
    <row r="44" ht="13.5" customHeight="1">
      <c r="A44" s="110"/>
      <c r="B44" s="143"/>
      <c r="C44" s="110"/>
      <c r="D44" s="111"/>
      <c r="E44" s="110"/>
      <c r="F44" s="110"/>
      <c r="G44" s="110"/>
      <c r="H44" s="110"/>
      <c r="I44" s="110"/>
      <c r="J44" s="110"/>
      <c r="K44" s="110"/>
      <c r="L44" s="110"/>
      <c r="M44" s="110"/>
      <c r="N44" s="110"/>
      <c r="O44" s="110"/>
      <c r="P44" s="110"/>
      <c r="Q44" s="110"/>
      <c r="R44" s="110"/>
      <c r="S44" s="110"/>
      <c r="T44" s="110"/>
      <c r="U44" s="110"/>
    </row>
    <row r="45" ht="13.5" customHeight="1">
      <c r="A45" s="110"/>
      <c r="B45" s="143"/>
      <c r="C45" s="110"/>
      <c r="D45" s="111"/>
      <c r="E45" s="110"/>
      <c r="F45" s="110"/>
      <c r="G45" s="110"/>
      <c r="H45" s="110"/>
      <c r="I45" s="110"/>
      <c r="J45" s="110"/>
      <c r="K45" s="110"/>
      <c r="L45" s="110"/>
      <c r="M45" s="110"/>
      <c r="N45" s="110"/>
      <c r="O45" s="110"/>
      <c r="P45" s="110"/>
      <c r="Q45" s="110"/>
      <c r="R45" s="110"/>
      <c r="S45" s="110"/>
      <c r="T45" s="110"/>
      <c r="U45" s="110"/>
    </row>
    <row r="46" ht="13.5" customHeight="1">
      <c r="A46" s="110"/>
      <c r="B46" s="143"/>
      <c r="C46" s="110"/>
      <c r="D46" s="111"/>
      <c r="E46" s="110"/>
      <c r="F46" s="110"/>
      <c r="G46" s="110"/>
      <c r="H46" s="110"/>
      <c r="I46" s="110"/>
      <c r="J46" s="110"/>
      <c r="K46" s="110"/>
      <c r="L46" s="110"/>
      <c r="M46" s="110"/>
      <c r="N46" s="110"/>
      <c r="O46" s="110"/>
      <c r="P46" s="110"/>
      <c r="Q46" s="110"/>
      <c r="R46" s="110"/>
      <c r="S46" s="110"/>
      <c r="T46" s="110"/>
      <c r="U46" s="110"/>
    </row>
    <row r="47" ht="13.5" customHeight="1">
      <c r="A47" s="110"/>
      <c r="B47" s="143"/>
      <c r="C47" s="110"/>
      <c r="D47" s="111"/>
      <c r="E47" s="110"/>
      <c r="F47" s="110"/>
      <c r="G47" s="110"/>
      <c r="H47" s="110"/>
      <c r="I47" s="110"/>
      <c r="J47" s="110"/>
      <c r="K47" s="110"/>
      <c r="L47" s="110"/>
      <c r="M47" s="110"/>
      <c r="N47" s="110"/>
      <c r="O47" s="110"/>
      <c r="P47" s="110"/>
      <c r="Q47" s="110"/>
      <c r="R47" s="110"/>
      <c r="S47" s="110"/>
      <c r="T47" s="110"/>
      <c r="U47" s="110"/>
    </row>
    <row r="48" ht="13.5" customHeight="1">
      <c r="A48" s="110"/>
      <c r="B48" s="143"/>
      <c r="C48" s="110"/>
      <c r="D48" s="111"/>
      <c r="E48" s="110"/>
      <c r="F48" s="110"/>
      <c r="G48" s="110"/>
      <c r="H48" s="110"/>
      <c r="I48" s="110"/>
      <c r="J48" s="110"/>
      <c r="K48" s="110"/>
      <c r="L48" s="110"/>
      <c r="M48" s="110"/>
      <c r="N48" s="110"/>
      <c r="O48" s="110"/>
      <c r="P48" s="110"/>
      <c r="Q48" s="110"/>
      <c r="R48" s="110"/>
      <c r="S48" s="110"/>
      <c r="T48" s="110"/>
      <c r="U48" s="110"/>
    </row>
    <row r="49" ht="13.5" customHeight="1">
      <c r="A49" s="110"/>
      <c r="B49" s="143"/>
      <c r="C49" s="110"/>
      <c r="D49" s="111"/>
      <c r="E49" s="110"/>
      <c r="F49" s="110"/>
      <c r="G49" s="110"/>
      <c r="H49" s="110"/>
      <c r="I49" s="110"/>
      <c r="J49" s="110"/>
      <c r="K49" s="110"/>
      <c r="L49" s="110"/>
      <c r="M49" s="110"/>
      <c r="N49" s="110"/>
      <c r="O49" s="110"/>
      <c r="P49" s="110"/>
      <c r="Q49" s="110"/>
      <c r="R49" s="110"/>
      <c r="S49" s="110"/>
      <c r="T49" s="110"/>
      <c r="U49" s="110"/>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B2"/>
    <mergeCell ref="C2:E2"/>
    <mergeCell ref="F2:K2"/>
    <mergeCell ref="L2:O2"/>
    <mergeCell ref="C3:E3"/>
    <mergeCell ref="F3:K3"/>
    <mergeCell ref="L3:N3"/>
    <mergeCell ref="A3:B3"/>
    <mergeCell ref="A4:B4"/>
    <mergeCell ref="C4:D4"/>
    <mergeCell ref="F4:K4"/>
    <mergeCell ref="L4:O4"/>
    <mergeCell ref="A5:B5"/>
    <mergeCell ref="C5:O5"/>
    <mergeCell ref="D25:E25"/>
    <mergeCell ref="B38:D38"/>
    <mergeCell ref="B39:D39"/>
    <mergeCell ref="B40:D40"/>
    <mergeCell ref="B41:D41"/>
    <mergeCell ref="A6:B6"/>
    <mergeCell ref="C6:E6"/>
    <mergeCell ref="F6:K6"/>
    <mergeCell ref="L6:N6"/>
    <mergeCell ref="A7:B7"/>
    <mergeCell ref="C7:E7"/>
    <mergeCell ref="F7:K7"/>
  </mergeCells>
  <dataValidations>
    <dataValidation type="list" allowBlank="1" showInputMessage="1" showErrorMessage="1" prompt=" - " sqref="F39:O39">
      <formula1>"P,F"</formula1>
    </dataValidation>
    <dataValidation type="list" allowBlank="1" showInputMessage="1" showErrorMessage="1" prompt=" - " sqref="F10:O30 G31:O31 F32:O37">
      <formula1>"O"</formula1>
    </dataValidation>
    <dataValidation type="list" allowBlank="1" showInputMessage="1" showErrorMessage="1" prompt=" - " sqref="F38:O38">
      <formula1>"N,A,B"</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9.5"/>
    <col customWidth="1" hidden="1" min="5" max="5" width="1.88"/>
    <col customWidth="1" min="6" max="6" width="4.0"/>
    <col customWidth="1" min="7" max="8" width="4.13"/>
    <col customWidth="1" min="9" max="9" width="4.25"/>
    <col customWidth="1" min="10" max="10" width="4.5"/>
    <col customWidth="1" min="11" max="11" width="4.0"/>
    <col customWidth="1" min="12" max="12" width="4.63"/>
    <col customWidth="1" min="13" max="13" width="4.13"/>
    <col customWidth="1" min="14" max="14" width="4.25"/>
    <col customWidth="1" min="15" max="15" width="17.75"/>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row>
    <row r="2" ht="13.5" customHeight="1">
      <c r="A2" s="112" t="s">
        <v>337</v>
      </c>
      <c r="B2" s="113"/>
      <c r="C2" s="114" t="str">
        <f>Functions!E12</f>
        <v>F-02</v>
      </c>
      <c r="D2" s="113"/>
      <c r="E2" s="115"/>
      <c r="F2" s="116" t="s">
        <v>71</v>
      </c>
      <c r="G2" s="117"/>
      <c r="H2" s="117"/>
      <c r="I2" s="117"/>
      <c r="J2" s="117"/>
      <c r="K2" s="117"/>
      <c r="L2" s="118" t="str">
        <f>Functions!D12</f>
        <v>Manual refund state, evidence and separation of duties</v>
      </c>
      <c r="M2" s="113"/>
      <c r="N2" s="113"/>
      <c r="O2" s="119"/>
      <c r="P2" s="110"/>
      <c r="Q2" s="120"/>
      <c r="R2" s="110"/>
      <c r="S2" s="110"/>
      <c r="T2" s="110"/>
      <c r="U2" s="110"/>
    </row>
    <row r="3" ht="13.5" customHeight="1">
      <c r="A3" s="121" t="s">
        <v>338</v>
      </c>
      <c r="B3" s="13"/>
      <c r="C3" s="122" t="s">
        <v>183</v>
      </c>
      <c r="D3" s="123"/>
      <c r="E3" s="124"/>
      <c r="F3" s="125" t="s">
        <v>339</v>
      </c>
      <c r="G3" s="12"/>
      <c r="H3" s="12"/>
      <c r="I3" s="12"/>
      <c r="J3" s="12"/>
      <c r="K3" s="13"/>
      <c r="L3" s="126"/>
      <c r="M3" s="123"/>
      <c r="N3" s="123"/>
      <c r="O3" s="127"/>
      <c r="P3" s="110"/>
      <c r="Q3" s="110"/>
      <c r="R3" s="110"/>
      <c r="S3" s="110"/>
      <c r="T3" s="110"/>
      <c r="U3" s="110"/>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row>
    <row r="5">
      <c r="A5" s="121" t="s">
        <v>342</v>
      </c>
      <c r="B5" s="13"/>
      <c r="C5" s="132" t="s">
        <v>99</v>
      </c>
      <c r="D5" s="12"/>
      <c r="E5" s="12"/>
      <c r="F5" s="12"/>
      <c r="G5" s="12"/>
      <c r="H5" s="12"/>
      <c r="I5" s="12"/>
      <c r="J5" s="12"/>
      <c r="K5" s="12"/>
      <c r="L5" s="12"/>
      <c r="M5" s="12"/>
      <c r="N5" s="12"/>
      <c r="O5" s="131"/>
      <c r="P5" s="110"/>
      <c r="Q5" s="110"/>
      <c r="R5" s="110"/>
      <c r="S5" s="110"/>
      <c r="T5" s="110"/>
      <c r="U5" s="110"/>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row>
    <row r="7" ht="13.5" customHeight="1">
      <c r="A7" s="137">
        <f>COUNTIF(F51:O51,"P")</f>
        <v>0</v>
      </c>
      <c r="B7" s="138"/>
      <c r="C7" s="139">
        <f>COUNTIF(F51:O51,"F")</f>
        <v>0</v>
      </c>
      <c r="D7" s="140"/>
      <c r="E7" s="138"/>
      <c r="F7" s="139">
        <f>SUM(O7,-A7,-C7)</f>
        <v>4</v>
      </c>
      <c r="G7" s="140"/>
      <c r="H7" s="140"/>
      <c r="I7" s="140"/>
      <c r="J7" s="140"/>
      <c r="K7" s="138"/>
      <c r="L7" s="141">
        <f>COUNTIF(F50:O50,"N")</f>
        <v>1</v>
      </c>
      <c r="M7" s="141">
        <f>COUNTIF(F50:O50,"A")</f>
        <v>2</v>
      </c>
      <c r="N7" s="141">
        <f>COUNTIF(F50:O50,"B")</f>
        <v>1</v>
      </c>
      <c r="O7" s="142">
        <f>COUNTA(F9:O9)</f>
        <v>4</v>
      </c>
      <c r="P7" s="110"/>
      <c r="Q7" s="110"/>
      <c r="R7" s="110"/>
      <c r="S7" s="110"/>
      <c r="T7" s="110"/>
      <c r="U7" s="110"/>
    </row>
    <row r="8" ht="12.0" customHeight="1">
      <c r="A8" s="110"/>
      <c r="B8" s="143"/>
      <c r="C8" s="110"/>
      <c r="D8" s="111"/>
      <c r="E8" s="110"/>
      <c r="F8" s="110"/>
      <c r="G8" s="110"/>
      <c r="H8" s="110"/>
      <c r="I8" s="110"/>
      <c r="J8" s="110"/>
      <c r="K8" s="110"/>
      <c r="L8" s="110"/>
      <c r="M8" s="110"/>
      <c r="N8" s="110"/>
      <c r="O8" s="110"/>
      <c r="P8" s="110"/>
      <c r="Q8" s="110"/>
      <c r="R8" s="110"/>
      <c r="S8" s="110"/>
      <c r="T8" s="110"/>
      <c r="U8" s="110"/>
    </row>
    <row r="9" ht="46.5" customHeight="1">
      <c r="A9" s="144"/>
      <c r="B9" s="145"/>
      <c r="C9" s="146"/>
      <c r="D9" s="147"/>
      <c r="E9" s="146"/>
      <c r="F9" s="148" t="s">
        <v>344</v>
      </c>
      <c r="G9" s="148" t="s">
        <v>345</v>
      </c>
      <c r="H9" s="148" t="s">
        <v>346</v>
      </c>
      <c r="I9" s="148" t="s">
        <v>347</v>
      </c>
      <c r="J9" s="148"/>
      <c r="K9" s="148"/>
      <c r="L9" s="148"/>
      <c r="M9" s="148"/>
      <c r="N9" s="148"/>
      <c r="O9" s="148"/>
      <c r="P9" s="150"/>
      <c r="Q9" s="120"/>
      <c r="R9" s="110"/>
      <c r="S9" s="110"/>
      <c r="T9" s="110"/>
      <c r="U9" s="110"/>
    </row>
    <row r="10" ht="13.5" customHeight="1">
      <c r="A10" s="151" t="s">
        <v>350</v>
      </c>
      <c r="B10" s="152" t="s">
        <v>351</v>
      </c>
      <c r="C10" s="153"/>
      <c r="D10" s="154"/>
      <c r="E10" s="155"/>
      <c r="F10" s="156"/>
      <c r="G10" s="156"/>
      <c r="H10" s="156"/>
      <c r="I10" s="156"/>
      <c r="J10" s="156"/>
      <c r="K10" s="156"/>
      <c r="L10" s="156"/>
      <c r="M10" s="156"/>
      <c r="N10" s="156"/>
      <c r="O10" s="156"/>
      <c r="P10" s="110"/>
      <c r="Q10" s="110"/>
      <c r="R10" s="110"/>
      <c r="S10" s="110"/>
      <c r="T10" s="110"/>
      <c r="U10" s="110"/>
    </row>
    <row r="11" ht="13.5" customHeight="1">
      <c r="A11" s="157"/>
      <c r="B11" s="158"/>
      <c r="C11" s="159"/>
      <c r="D11" s="160" t="s">
        <v>379</v>
      </c>
      <c r="E11" s="161"/>
      <c r="F11" s="156" t="s">
        <v>353</v>
      </c>
      <c r="G11" s="156"/>
      <c r="H11" s="156"/>
      <c r="I11" s="156"/>
      <c r="J11" s="156"/>
      <c r="K11" s="156"/>
      <c r="L11" s="156"/>
      <c r="M11" s="156"/>
      <c r="N11" s="156"/>
      <c r="O11" s="156"/>
      <c r="P11" s="110"/>
      <c r="Q11" s="110"/>
      <c r="R11" s="110"/>
      <c r="S11" s="110"/>
      <c r="T11" s="110"/>
      <c r="U11" s="110"/>
    </row>
    <row r="12" ht="13.5" customHeight="1">
      <c r="A12" s="162"/>
      <c r="B12" s="163"/>
      <c r="C12" s="159"/>
      <c r="D12" s="164" t="s">
        <v>380</v>
      </c>
      <c r="E12" s="161"/>
      <c r="F12" s="165"/>
      <c r="G12" s="165" t="s">
        <v>353</v>
      </c>
      <c r="H12" s="165"/>
      <c r="I12" s="165"/>
      <c r="J12" s="165"/>
      <c r="K12" s="165"/>
      <c r="L12" s="165"/>
      <c r="M12" s="165"/>
      <c r="N12" s="165"/>
      <c r="O12" s="165"/>
      <c r="P12" s="110"/>
      <c r="Q12" s="120"/>
      <c r="R12" s="110"/>
      <c r="S12" s="110"/>
      <c r="T12" s="110"/>
      <c r="U12" s="110"/>
    </row>
    <row r="13" ht="13.5" customHeight="1">
      <c r="A13" s="162"/>
      <c r="B13" s="166"/>
      <c r="C13" s="167"/>
      <c r="D13" s="168"/>
      <c r="E13" s="161"/>
      <c r="F13" s="165"/>
      <c r="G13" s="165"/>
      <c r="H13" s="165"/>
      <c r="I13" s="165"/>
      <c r="J13" s="165"/>
      <c r="K13" s="165"/>
      <c r="L13" s="165"/>
      <c r="M13" s="165"/>
      <c r="N13" s="165"/>
      <c r="O13" s="165"/>
      <c r="P13" s="110"/>
      <c r="Q13" s="110"/>
      <c r="R13" s="110"/>
      <c r="S13" s="110"/>
      <c r="T13" s="110"/>
      <c r="U13" s="110"/>
    </row>
    <row r="14" ht="13.5" customHeight="1">
      <c r="A14" s="162"/>
      <c r="B14" s="163"/>
      <c r="C14" s="169"/>
      <c r="D14" s="164" t="s">
        <v>381</v>
      </c>
      <c r="E14" s="170"/>
      <c r="F14" s="165"/>
      <c r="G14" s="165"/>
      <c r="H14" s="165" t="s">
        <v>353</v>
      </c>
      <c r="I14" s="165"/>
      <c r="J14" s="165"/>
      <c r="K14" s="165"/>
      <c r="L14" s="165"/>
      <c r="M14" s="165"/>
      <c r="N14" s="165"/>
      <c r="O14" s="165"/>
      <c r="P14" s="110"/>
      <c r="Q14" s="110"/>
      <c r="R14" s="110"/>
      <c r="S14" s="110"/>
      <c r="T14" s="110"/>
      <c r="U14" s="110"/>
    </row>
    <row r="15" ht="13.5" customHeight="1">
      <c r="A15" s="162"/>
      <c r="B15" s="163"/>
      <c r="C15" s="171"/>
      <c r="D15" s="172" t="s">
        <v>382</v>
      </c>
      <c r="E15" s="173"/>
      <c r="F15" s="165"/>
      <c r="G15" s="165"/>
      <c r="H15" s="165"/>
      <c r="I15" s="165" t="s">
        <v>353</v>
      </c>
      <c r="J15" s="165"/>
      <c r="K15" s="165"/>
      <c r="L15" s="165"/>
      <c r="M15" s="165"/>
      <c r="N15" s="165"/>
      <c r="O15" s="165"/>
      <c r="P15" s="110"/>
      <c r="Q15" s="110"/>
      <c r="R15" s="110"/>
      <c r="S15" s="110"/>
      <c r="T15" s="110"/>
      <c r="U15" s="110"/>
    </row>
    <row r="16" ht="13.5" customHeight="1">
      <c r="A16" s="162"/>
      <c r="B16" s="163"/>
      <c r="C16" s="171"/>
      <c r="D16" s="174"/>
      <c r="E16" s="173"/>
      <c r="F16" s="165"/>
      <c r="G16" s="165"/>
      <c r="H16" s="165"/>
      <c r="I16" s="165"/>
      <c r="J16" s="165"/>
      <c r="K16" s="165"/>
      <c r="L16" s="165"/>
      <c r="M16" s="165"/>
      <c r="N16" s="165"/>
      <c r="O16" s="165"/>
      <c r="P16" s="110"/>
      <c r="Q16" s="110"/>
      <c r="R16" s="110"/>
      <c r="S16" s="110"/>
      <c r="T16" s="110"/>
      <c r="U16" s="110"/>
    </row>
    <row r="17" ht="13.5" customHeight="1">
      <c r="A17" s="162"/>
      <c r="B17" s="163"/>
      <c r="C17" s="171"/>
      <c r="D17" s="174"/>
      <c r="E17" s="173"/>
      <c r="F17" s="165"/>
      <c r="G17" s="165"/>
      <c r="H17" s="165"/>
      <c r="I17" s="165"/>
      <c r="J17" s="165"/>
      <c r="K17" s="165"/>
      <c r="L17" s="165"/>
      <c r="M17" s="165"/>
      <c r="N17" s="165"/>
      <c r="O17" s="165"/>
      <c r="P17" s="110"/>
      <c r="Q17" s="110"/>
      <c r="R17" s="110"/>
      <c r="S17" s="110"/>
      <c r="T17" s="110"/>
      <c r="U17" s="110"/>
    </row>
    <row r="18" ht="13.5" customHeight="1">
      <c r="A18" s="162"/>
      <c r="B18" s="163"/>
      <c r="C18" s="171"/>
      <c r="D18" s="174"/>
      <c r="E18" s="173"/>
      <c r="F18" s="165"/>
      <c r="G18" s="165"/>
      <c r="H18" s="165"/>
      <c r="I18" s="165"/>
      <c r="J18" s="165"/>
      <c r="K18" s="165"/>
      <c r="L18" s="165"/>
      <c r="M18" s="165"/>
      <c r="N18" s="165"/>
      <c r="O18" s="165"/>
      <c r="P18" s="110"/>
      <c r="Q18" s="110"/>
      <c r="R18" s="110"/>
      <c r="S18" s="110"/>
      <c r="T18" s="110"/>
      <c r="U18" s="110"/>
    </row>
    <row r="19" ht="13.5" customHeight="1">
      <c r="A19" s="162"/>
      <c r="B19" s="163"/>
      <c r="C19" s="171"/>
      <c r="D19" s="174"/>
      <c r="E19" s="173"/>
      <c r="F19" s="165"/>
      <c r="G19" s="165"/>
      <c r="H19" s="165"/>
      <c r="I19" s="165"/>
      <c r="J19" s="165"/>
      <c r="K19" s="165"/>
      <c r="L19" s="165"/>
      <c r="M19" s="165"/>
      <c r="N19" s="165"/>
      <c r="O19" s="165"/>
      <c r="P19" s="175"/>
      <c r="Q19" s="110"/>
      <c r="R19" s="110"/>
      <c r="S19" s="110"/>
      <c r="T19" s="110"/>
      <c r="U19" s="110"/>
    </row>
    <row r="20" ht="13.5" customHeight="1">
      <c r="A20" s="162"/>
      <c r="B20" s="163"/>
      <c r="C20" s="171"/>
      <c r="D20" s="174"/>
      <c r="E20" s="173"/>
      <c r="F20" s="165"/>
      <c r="G20" s="165"/>
      <c r="H20" s="165"/>
      <c r="I20" s="165"/>
      <c r="J20" s="165"/>
      <c r="K20" s="165"/>
      <c r="L20" s="165"/>
      <c r="M20" s="165"/>
      <c r="N20" s="165"/>
      <c r="O20" s="165"/>
      <c r="P20" s="175"/>
      <c r="Q20" s="110"/>
      <c r="R20" s="110"/>
      <c r="S20" s="110"/>
      <c r="T20" s="110"/>
      <c r="U20" s="110"/>
    </row>
    <row r="21" ht="13.5" customHeight="1">
      <c r="A21" s="162"/>
      <c r="B21" s="163"/>
      <c r="C21" s="171"/>
      <c r="D21" s="224"/>
      <c r="E21" s="225"/>
      <c r="F21" s="165"/>
      <c r="G21" s="165"/>
      <c r="H21" s="165"/>
      <c r="I21" s="165"/>
      <c r="J21" s="165"/>
      <c r="K21" s="165"/>
      <c r="L21" s="165"/>
      <c r="M21" s="165"/>
      <c r="N21" s="165"/>
      <c r="O21" s="165"/>
      <c r="P21" s="110"/>
      <c r="Q21" s="110"/>
      <c r="R21" s="110"/>
      <c r="S21" s="110"/>
      <c r="T21" s="110"/>
      <c r="U21" s="110"/>
    </row>
    <row r="22" ht="13.5" customHeight="1">
      <c r="A22" s="162"/>
      <c r="B22" s="163"/>
      <c r="C22" s="171"/>
      <c r="D22" s="111"/>
      <c r="E22" s="111"/>
      <c r="F22" s="165"/>
      <c r="G22" s="165"/>
      <c r="H22" s="165"/>
      <c r="I22" s="165"/>
      <c r="J22" s="165"/>
      <c r="K22" s="165"/>
      <c r="L22" s="165"/>
      <c r="M22" s="165"/>
      <c r="N22" s="165"/>
      <c r="O22" s="165"/>
      <c r="P22" s="110"/>
      <c r="Q22" s="110"/>
      <c r="R22" s="110"/>
      <c r="S22" s="110"/>
      <c r="T22" s="110"/>
      <c r="U22" s="110"/>
    </row>
    <row r="23" ht="13.5" customHeight="1">
      <c r="A23" s="162"/>
      <c r="B23" s="163"/>
      <c r="C23" s="171"/>
      <c r="D23" s="174"/>
      <c r="E23" s="173"/>
      <c r="F23" s="165"/>
      <c r="G23" s="165"/>
      <c r="H23" s="165"/>
      <c r="I23" s="165"/>
      <c r="J23" s="165"/>
      <c r="K23" s="165"/>
      <c r="L23" s="165"/>
      <c r="M23" s="165"/>
      <c r="N23" s="165"/>
      <c r="O23" s="165"/>
      <c r="P23" s="110"/>
      <c r="Q23" s="110"/>
      <c r="R23" s="110"/>
      <c r="S23" s="110"/>
      <c r="T23" s="110"/>
      <c r="U23" s="110"/>
    </row>
    <row r="24" ht="13.5" customHeight="1">
      <c r="A24" s="157"/>
      <c r="B24" s="158"/>
      <c r="C24" s="226"/>
      <c r="D24" s="172"/>
      <c r="E24" s="227"/>
      <c r="F24" s="156"/>
      <c r="G24" s="156"/>
      <c r="H24" s="156"/>
      <c r="I24" s="156"/>
      <c r="J24" s="156"/>
      <c r="K24" s="156"/>
      <c r="L24" s="156"/>
      <c r="M24" s="156"/>
      <c r="N24" s="156"/>
      <c r="O24" s="156"/>
      <c r="P24" s="110"/>
      <c r="Q24" s="110"/>
      <c r="R24" s="110"/>
      <c r="S24" s="110"/>
      <c r="T24" s="110"/>
      <c r="U24" s="110"/>
    </row>
    <row r="25" ht="13.5" customHeight="1">
      <c r="A25" s="157"/>
      <c r="B25" s="158"/>
      <c r="C25" s="226"/>
      <c r="D25" s="172"/>
      <c r="E25" s="227"/>
      <c r="F25" s="156"/>
      <c r="G25" s="156"/>
      <c r="H25" s="156"/>
      <c r="I25" s="156"/>
      <c r="J25" s="156"/>
      <c r="K25" s="156"/>
      <c r="L25" s="156"/>
      <c r="M25" s="156"/>
      <c r="N25" s="156"/>
      <c r="O25" s="156"/>
      <c r="P25" s="110"/>
      <c r="Q25" s="110"/>
      <c r="R25" s="110"/>
      <c r="S25" s="110"/>
      <c r="T25" s="110"/>
      <c r="U25" s="110"/>
    </row>
    <row r="26" ht="13.5" customHeight="1">
      <c r="A26" s="157"/>
      <c r="B26" s="158"/>
      <c r="C26" s="226"/>
      <c r="D26" s="172"/>
      <c r="E26" s="227"/>
      <c r="F26" s="156"/>
      <c r="G26" s="156"/>
      <c r="H26" s="156"/>
      <c r="I26" s="156"/>
      <c r="J26" s="156"/>
      <c r="K26" s="156"/>
      <c r="L26" s="156"/>
      <c r="M26" s="156"/>
      <c r="N26" s="156"/>
      <c r="O26" s="156"/>
      <c r="P26" s="110"/>
      <c r="Q26" s="110"/>
      <c r="R26" s="110"/>
      <c r="S26" s="110"/>
      <c r="T26" s="110"/>
      <c r="U26" s="110"/>
    </row>
    <row r="27" ht="13.5" customHeight="1">
      <c r="A27" s="157"/>
      <c r="B27" s="158"/>
      <c r="C27" s="226"/>
      <c r="D27" s="172"/>
      <c r="E27" s="227"/>
      <c r="F27" s="156"/>
      <c r="G27" s="156"/>
      <c r="H27" s="156"/>
      <c r="I27" s="156"/>
      <c r="J27" s="156"/>
      <c r="K27" s="156"/>
      <c r="L27" s="156"/>
      <c r="M27" s="156"/>
      <c r="N27" s="156"/>
      <c r="O27" s="156"/>
      <c r="P27" s="110"/>
      <c r="Q27" s="110"/>
      <c r="R27" s="110"/>
      <c r="S27" s="110"/>
      <c r="T27" s="110"/>
      <c r="U27" s="110"/>
    </row>
    <row r="28" ht="13.5" customHeight="1">
      <c r="A28" s="157"/>
      <c r="B28" s="158"/>
      <c r="C28" s="226"/>
      <c r="D28" s="172"/>
      <c r="E28" s="227"/>
      <c r="F28" s="156"/>
      <c r="G28" s="156"/>
      <c r="H28" s="156"/>
      <c r="I28" s="156"/>
      <c r="J28" s="156"/>
      <c r="K28" s="156"/>
      <c r="L28" s="156"/>
      <c r="M28" s="156"/>
      <c r="N28" s="156"/>
      <c r="O28" s="156"/>
      <c r="P28" s="110"/>
      <c r="Q28" s="110"/>
      <c r="R28" s="110"/>
      <c r="S28" s="110"/>
      <c r="T28" s="110"/>
      <c r="U28" s="110"/>
    </row>
    <row r="29" ht="13.5" customHeight="1">
      <c r="A29" s="157"/>
      <c r="B29" s="158"/>
      <c r="C29" s="226"/>
      <c r="D29" s="172"/>
      <c r="E29" s="227"/>
      <c r="F29" s="156"/>
      <c r="G29" s="156"/>
      <c r="H29" s="156"/>
      <c r="I29" s="156"/>
      <c r="J29" s="156"/>
      <c r="K29" s="156"/>
      <c r="L29" s="156"/>
      <c r="M29" s="156"/>
      <c r="N29" s="156"/>
      <c r="O29" s="156"/>
      <c r="P29" s="110"/>
      <c r="Q29" s="110"/>
      <c r="R29" s="110"/>
      <c r="S29" s="110"/>
      <c r="T29" s="110"/>
      <c r="U29" s="110"/>
    </row>
    <row r="30" ht="13.5" customHeight="1">
      <c r="A30" s="157"/>
      <c r="B30" s="158"/>
      <c r="C30" s="226"/>
      <c r="D30" s="172"/>
      <c r="E30" s="227"/>
      <c r="F30" s="156"/>
      <c r="G30" s="156"/>
      <c r="H30" s="156"/>
      <c r="I30" s="156"/>
      <c r="J30" s="156"/>
      <c r="K30" s="156"/>
      <c r="L30" s="156"/>
      <c r="M30" s="156"/>
      <c r="N30" s="156"/>
      <c r="O30" s="156"/>
      <c r="P30" s="110"/>
      <c r="Q30" s="110"/>
      <c r="R30" s="110"/>
      <c r="S30" s="110"/>
      <c r="T30" s="110"/>
      <c r="U30" s="110"/>
    </row>
    <row r="31" ht="13.5" customHeight="1">
      <c r="A31" s="157"/>
      <c r="B31" s="158"/>
      <c r="C31" s="226"/>
      <c r="D31" s="172"/>
      <c r="E31" s="227"/>
      <c r="F31" s="156"/>
      <c r="G31" s="156"/>
      <c r="H31" s="156"/>
      <c r="I31" s="156"/>
      <c r="J31" s="156"/>
      <c r="K31" s="156"/>
      <c r="L31" s="156"/>
      <c r="M31" s="156"/>
      <c r="N31" s="156"/>
      <c r="O31" s="156"/>
      <c r="P31" s="110"/>
      <c r="Q31" s="110"/>
      <c r="R31" s="110"/>
      <c r="S31" s="110"/>
      <c r="T31" s="110"/>
      <c r="U31" s="110"/>
    </row>
    <row r="32" ht="13.5" customHeight="1">
      <c r="A32" s="157"/>
      <c r="B32" s="158"/>
      <c r="C32" s="226"/>
      <c r="D32" s="172"/>
      <c r="E32" s="227"/>
      <c r="F32" s="156"/>
      <c r="G32" s="156"/>
      <c r="H32" s="156"/>
      <c r="I32" s="156"/>
      <c r="J32" s="156"/>
      <c r="K32" s="156"/>
      <c r="L32" s="156"/>
      <c r="M32" s="156"/>
      <c r="N32" s="156"/>
      <c r="O32" s="156"/>
      <c r="P32" s="110"/>
      <c r="Q32" s="110"/>
      <c r="R32" s="110"/>
      <c r="S32" s="110"/>
      <c r="T32" s="110"/>
      <c r="U32" s="110"/>
    </row>
    <row r="33" ht="13.5" customHeight="1">
      <c r="A33" s="176" t="s">
        <v>359</v>
      </c>
      <c r="B33" s="177" t="s">
        <v>360</v>
      </c>
      <c r="C33" s="178"/>
      <c r="D33" s="179"/>
      <c r="E33" s="180"/>
      <c r="F33" s="156"/>
      <c r="G33" s="156"/>
      <c r="H33" s="156"/>
      <c r="I33" s="156"/>
      <c r="J33" s="156"/>
      <c r="K33" s="156"/>
      <c r="L33" s="156"/>
      <c r="M33" s="156"/>
      <c r="N33" s="156"/>
      <c r="O33" s="156"/>
      <c r="P33" s="110"/>
      <c r="Q33" s="110"/>
      <c r="R33" s="110"/>
      <c r="S33" s="110"/>
      <c r="T33" s="110"/>
      <c r="U33" s="110"/>
    </row>
    <row r="34" ht="13.5" customHeight="1">
      <c r="A34" s="181"/>
      <c r="B34" s="182"/>
      <c r="C34" s="183"/>
      <c r="D34" s="184" t="s">
        <v>384</v>
      </c>
      <c r="E34" s="185"/>
      <c r="F34" s="165" t="s">
        <v>353</v>
      </c>
      <c r="G34" s="165"/>
      <c r="H34" s="165"/>
      <c r="I34" s="165"/>
      <c r="J34" s="165"/>
      <c r="K34" s="165"/>
      <c r="L34" s="165"/>
      <c r="M34" s="165"/>
      <c r="N34" s="165"/>
      <c r="O34" s="165"/>
      <c r="P34" s="110"/>
      <c r="Q34" s="110"/>
      <c r="R34" s="110"/>
      <c r="S34" s="110"/>
      <c r="T34" s="110"/>
      <c r="U34" s="110"/>
    </row>
    <row r="35" ht="13.5" customHeight="1">
      <c r="A35" s="181"/>
      <c r="B35" s="182"/>
      <c r="C35" s="186"/>
      <c r="D35" s="187" t="s">
        <v>385</v>
      </c>
      <c r="E35" s="188"/>
      <c r="F35" s="189"/>
      <c r="G35" s="165" t="s">
        <v>353</v>
      </c>
      <c r="H35" s="165"/>
      <c r="I35" s="165"/>
      <c r="J35" s="165"/>
      <c r="K35" s="165"/>
      <c r="L35" s="165"/>
      <c r="M35" s="165"/>
      <c r="N35" s="165"/>
      <c r="O35" s="165"/>
      <c r="P35" s="110"/>
      <c r="Q35" s="110"/>
      <c r="R35" s="110"/>
      <c r="S35" s="110"/>
      <c r="T35" s="110"/>
      <c r="U35" s="110"/>
    </row>
    <row r="36" ht="13.5" customHeight="1">
      <c r="A36" s="181"/>
      <c r="B36" s="182"/>
      <c r="C36" s="183"/>
      <c r="D36" s="190"/>
      <c r="E36" s="188"/>
      <c r="F36" s="165"/>
      <c r="G36" s="165"/>
      <c r="H36" s="165"/>
      <c r="I36" s="165"/>
      <c r="J36" s="165"/>
      <c r="K36" s="165"/>
      <c r="L36" s="165"/>
      <c r="M36" s="165"/>
      <c r="N36" s="165"/>
      <c r="O36" s="165"/>
      <c r="P36" s="110"/>
      <c r="Q36" s="110"/>
      <c r="R36" s="110"/>
      <c r="S36" s="110"/>
      <c r="T36" s="110"/>
      <c r="U36" s="110"/>
    </row>
    <row r="37" ht="13.5" customHeight="1">
      <c r="A37" s="181"/>
      <c r="B37" s="182"/>
      <c r="C37" s="183"/>
      <c r="D37" s="191" t="s">
        <v>386</v>
      </c>
      <c r="E37" s="188"/>
      <c r="F37" s="165"/>
      <c r="G37" s="165"/>
      <c r="H37" s="165" t="s">
        <v>353</v>
      </c>
      <c r="I37" s="165"/>
      <c r="J37" s="165"/>
      <c r="K37" s="165"/>
      <c r="L37" s="165"/>
      <c r="M37" s="165"/>
      <c r="N37" s="165"/>
      <c r="O37" s="165"/>
      <c r="P37" s="110"/>
      <c r="Q37" s="110"/>
      <c r="R37" s="110"/>
      <c r="S37" s="110"/>
      <c r="T37" s="110"/>
      <c r="U37" s="110"/>
    </row>
    <row r="38" ht="13.5" customHeight="1">
      <c r="A38" s="181"/>
      <c r="B38" s="182"/>
      <c r="C38" s="183"/>
      <c r="D38" s="184" t="s">
        <v>387</v>
      </c>
      <c r="E38" s="188"/>
      <c r="F38" s="165"/>
      <c r="G38" s="165"/>
      <c r="H38" s="165"/>
      <c r="I38" s="165" t="s">
        <v>353</v>
      </c>
      <c r="J38" s="165"/>
      <c r="K38" s="165"/>
      <c r="L38" s="165"/>
      <c r="M38" s="165"/>
      <c r="N38" s="165"/>
      <c r="O38" s="165"/>
      <c r="P38" s="110"/>
      <c r="Q38" s="110"/>
      <c r="R38" s="110"/>
      <c r="S38" s="110"/>
      <c r="T38" s="110"/>
      <c r="U38" s="110"/>
    </row>
    <row r="39" ht="13.5" customHeight="1">
      <c r="A39" s="181"/>
      <c r="B39" s="182"/>
      <c r="C39" s="183"/>
      <c r="D39" s="184"/>
      <c r="E39" s="188"/>
      <c r="F39" s="165"/>
      <c r="G39" s="165"/>
      <c r="H39" s="165"/>
      <c r="I39" s="165"/>
      <c r="J39" s="165"/>
      <c r="K39" s="165"/>
      <c r="L39" s="165"/>
      <c r="M39" s="165"/>
      <c r="N39" s="165"/>
      <c r="O39" s="165"/>
      <c r="P39" s="110"/>
      <c r="Q39" s="110"/>
      <c r="R39" s="110"/>
      <c r="S39" s="110"/>
      <c r="T39" s="110"/>
      <c r="U39" s="110"/>
    </row>
    <row r="40" ht="13.5" customHeight="1">
      <c r="A40" s="181"/>
      <c r="B40" s="182"/>
      <c r="C40" s="183"/>
      <c r="D40" s="184"/>
      <c r="E40" s="188"/>
      <c r="F40" s="165"/>
      <c r="G40" s="165"/>
      <c r="H40" s="165"/>
      <c r="I40" s="165"/>
      <c r="J40" s="165"/>
      <c r="K40" s="165"/>
      <c r="L40" s="165"/>
      <c r="M40" s="165"/>
      <c r="N40" s="165"/>
      <c r="O40" s="165"/>
      <c r="P40" s="110"/>
      <c r="Q40" s="110"/>
      <c r="R40" s="110"/>
      <c r="S40" s="110"/>
      <c r="T40" s="110"/>
      <c r="U40" s="110"/>
    </row>
    <row r="41" ht="13.5" customHeight="1">
      <c r="A41" s="181"/>
      <c r="B41" s="182"/>
      <c r="C41" s="183"/>
      <c r="D41" s="184"/>
      <c r="E41" s="188"/>
      <c r="F41" s="165"/>
      <c r="G41" s="165"/>
      <c r="H41" s="165"/>
      <c r="I41" s="165"/>
      <c r="J41" s="165"/>
      <c r="K41" s="165"/>
      <c r="L41" s="165"/>
      <c r="M41" s="165"/>
      <c r="N41" s="165"/>
      <c r="O41" s="165"/>
      <c r="P41" s="110"/>
      <c r="Q41" s="110"/>
      <c r="R41" s="110"/>
      <c r="S41" s="110"/>
      <c r="T41" s="110"/>
      <c r="U41" s="110"/>
    </row>
    <row r="42" ht="13.5" customHeight="1">
      <c r="A42" s="181"/>
      <c r="B42" s="182"/>
      <c r="C42" s="183"/>
      <c r="D42" s="184"/>
      <c r="E42" s="188"/>
      <c r="F42" s="165"/>
      <c r="G42" s="165"/>
      <c r="H42" s="165"/>
      <c r="I42" s="165"/>
      <c r="J42" s="165"/>
      <c r="K42" s="165"/>
      <c r="L42" s="165"/>
      <c r="M42" s="165"/>
      <c r="N42" s="165"/>
      <c r="O42" s="165"/>
      <c r="P42" s="110"/>
      <c r="Q42" s="110"/>
      <c r="R42" s="110"/>
      <c r="S42" s="110"/>
      <c r="T42" s="110"/>
      <c r="U42" s="110"/>
    </row>
    <row r="43" ht="13.5" customHeight="1">
      <c r="A43" s="181"/>
      <c r="B43" s="182"/>
      <c r="C43" s="183"/>
      <c r="D43" s="184"/>
      <c r="E43" s="188"/>
      <c r="F43" s="165"/>
      <c r="G43" s="165"/>
      <c r="H43" s="165"/>
      <c r="I43" s="165"/>
      <c r="J43" s="165"/>
      <c r="K43" s="165"/>
      <c r="L43" s="165"/>
      <c r="M43" s="165"/>
      <c r="N43" s="165"/>
      <c r="O43" s="165"/>
      <c r="P43" s="110"/>
      <c r="Q43" s="110"/>
      <c r="R43" s="110"/>
      <c r="S43" s="110"/>
      <c r="T43" s="110"/>
      <c r="U43" s="110"/>
    </row>
    <row r="44" ht="13.5" customHeight="1">
      <c r="A44" s="181"/>
      <c r="B44" s="192"/>
      <c r="C44" s="193"/>
      <c r="D44" s="194"/>
      <c r="E44" s="195"/>
      <c r="F44" s="196"/>
      <c r="G44" s="196"/>
      <c r="H44" s="196"/>
      <c r="I44" s="196"/>
      <c r="J44" s="196"/>
      <c r="K44" s="196"/>
      <c r="L44" s="196"/>
      <c r="M44" s="196"/>
      <c r="N44" s="196"/>
      <c r="O44" s="196"/>
      <c r="P44" s="110"/>
      <c r="Q44" s="110"/>
      <c r="R44" s="110"/>
      <c r="S44" s="110"/>
      <c r="T44" s="110"/>
      <c r="U44" s="110"/>
    </row>
    <row r="45" ht="13.5" customHeight="1">
      <c r="A45" s="228"/>
      <c r="B45" s="229"/>
      <c r="C45" s="230"/>
      <c r="D45" s="231"/>
      <c r="E45" s="232"/>
      <c r="F45" s="233"/>
      <c r="G45" s="233"/>
      <c r="H45" s="233"/>
      <c r="I45" s="233"/>
      <c r="J45" s="233"/>
      <c r="K45" s="233"/>
      <c r="L45" s="233"/>
      <c r="M45" s="233"/>
      <c r="N45" s="233"/>
      <c r="O45" s="233"/>
      <c r="P45" s="110"/>
      <c r="Q45" s="110"/>
      <c r="R45" s="110"/>
      <c r="S45" s="110"/>
      <c r="T45" s="110"/>
      <c r="U45" s="110"/>
    </row>
    <row r="46" ht="13.5" customHeight="1">
      <c r="A46" s="228"/>
      <c r="B46" s="234"/>
      <c r="C46" s="235"/>
      <c r="D46" s="236"/>
      <c r="E46" s="232"/>
      <c r="F46" s="233"/>
      <c r="G46" s="233"/>
      <c r="H46" s="233"/>
      <c r="I46" s="233"/>
      <c r="J46" s="233"/>
      <c r="K46" s="233"/>
      <c r="L46" s="233"/>
      <c r="M46" s="233"/>
      <c r="N46" s="233"/>
      <c r="O46" s="233"/>
      <c r="P46" s="110"/>
      <c r="Q46" s="110"/>
      <c r="R46" s="110"/>
      <c r="S46" s="110"/>
      <c r="T46" s="110"/>
      <c r="U46" s="110"/>
    </row>
    <row r="47" ht="13.5" customHeight="1">
      <c r="A47" s="228"/>
      <c r="B47" s="229"/>
      <c r="C47" s="230"/>
      <c r="D47" s="231"/>
      <c r="E47" s="232"/>
      <c r="F47" s="233"/>
      <c r="G47" s="233"/>
      <c r="H47" s="233"/>
      <c r="I47" s="233"/>
      <c r="J47" s="233"/>
      <c r="K47" s="233"/>
      <c r="L47" s="233"/>
      <c r="M47" s="233"/>
      <c r="N47" s="233"/>
      <c r="O47" s="233"/>
      <c r="P47" s="110"/>
      <c r="Q47" s="110"/>
      <c r="R47" s="110"/>
      <c r="S47" s="110"/>
      <c r="T47" s="110"/>
      <c r="U47" s="110"/>
    </row>
    <row r="48" ht="13.5" customHeight="1">
      <c r="A48" s="228"/>
      <c r="B48" s="229"/>
      <c r="C48" s="230"/>
      <c r="D48" s="231"/>
      <c r="E48" s="232"/>
      <c r="F48" s="233"/>
      <c r="G48" s="233"/>
      <c r="H48" s="233"/>
      <c r="I48" s="233"/>
      <c r="J48" s="233"/>
      <c r="K48" s="233"/>
      <c r="L48" s="233"/>
      <c r="M48" s="233"/>
      <c r="N48" s="233"/>
      <c r="O48" s="233"/>
      <c r="P48" s="110"/>
      <c r="Q48" s="110"/>
      <c r="R48" s="110"/>
      <c r="S48" s="110"/>
      <c r="T48" s="110"/>
      <c r="U48" s="110"/>
    </row>
    <row r="49" ht="13.5" customHeight="1">
      <c r="A49" s="228"/>
      <c r="B49" s="237"/>
      <c r="C49" s="238"/>
      <c r="D49" s="239"/>
      <c r="E49" s="232"/>
      <c r="F49" s="233"/>
      <c r="G49" s="233"/>
      <c r="H49" s="233"/>
      <c r="I49" s="233"/>
      <c r="J49" s="233"/>
      <c r="K49" s="233"/>
      <c r="L49" s="233"/>
      <c r="M49" s="233"/>
      <c r="N49" s="233"/>
      <c r="O49" s="233"/>
      <c r="P49" s="110"/>
      <c r="Q49" s="110"/>
      <c r="R49" s="110"/>
      <c r="S49" s="110"/>
      <c r="T49" s="110"/>
      <c r="U49" s="110"/>
    </row>
    <row r="50" ht="13.5" customHeight="1">
      <c r="A50" s="176" t="s">
        <v>367</v>
      </c>
      <c r="B50" s="240" t="s">
        <v>368</v>
      </c>
      <c r="C50" s="225"/>
      <c r="D50" s="241"/>
      <c r="E50" s="200"/>
      <c r="F50" s="201" t="s">
        <v>220</v>
      </c>
      <c r="G50" s="201" t="s">
        <v>221</v>
      </c>
      <c r="H50" s="201" t="s">
        <v>38</v>
      </c>
      <c r="I50" s="201" t="s">
        <v>38</v>
      </c>
      <c r="J50" s="201"/>
      <c r="K50" s="201"/>
      <c r="L50" s="201"/>
      <c r="M50" s="201"/>
      <c r="N50" s="201"/>
      <c r="O50" s="201"/>
      <c r="P50" s="110"/>
      <c r="Q50" s="110"/>
      <c r="R50" s="110"/>
      <c r="S50" s="110"/>
      <c r="T50" s="110"/>
      <c r="U50" s="110"/>
    </row>
    <row r="51" ht="13.5" customHeight="1">
      <c r="A51" s="181"/>
      <c r="B51" s="204" t="s">
        <v>369</v>
      </c>
      <c r="C51" s="12"/>
      <c r="D51" s="13"/>
      <c r="E51" s="205"/>
      <c r="F51" s="206"/>
      <c r="G51" s="206"/>
      <c r="H51" s="206"/>
      <c r="I51" s="206"/>
      <c r="J51" s="206"/>
      <c r="K51" s="206"/>
      <c r="L51" s="206"/>
      <c r="M51" s="206"/>
      <c r="N51" s="206"/>
      <c r="O51" s="206"/>
      <c r="P51" s="110"/>
      <c r="Q51" s="110"/>
      <c r="R51" s="110"/>
      <c r="S51" s="110"/>
      <c r="T51" s="110"/>
      <c r="U51" s="110"/>
    </row>
    <row r="52" ht="13.5" customHeight="1">
      <c r="A52" s="181"/>
      <c r="B52" s="208" t="s">
        <v>371</v>
      </c>
      <c r="C52" s="12"/>
      <c r="D52" s="13"/>
      <c r="E52" s="209"/>
      <c r="F52" s="210"/>
      <c r="G52" s="210"/>
      <c r="H52" s="210"/>
      <c r="I52" s="210"/>
      <c r="J52" s="210"/>
      <c r="K52" s="210"/>
      <c r="L52" s="210"/>
      <c r="M52" s="210"/>
      <c r="N52" s="210"/>
      <c r="O52" s="210"/>
      <c r="P52" s="110"/>
      <c r="Q52" s="110"/>
      <c r="R52" s="110"/>
      <c r="S52" s="110"/>
      <c r="T52" s="110"/>
      <c r="U52" s="110"/>
    </row>
    <row r="53" ht="16.5" customHeight="1">
      <c r="A53" s="212"/>
      <c r="B53" s="215" t="s">
        <v>372</v>
      </c>
      <c r="C53" s="216"/>
      <c r="D53" s="217"/>
      <c r="E53" s="218"/>
      <c r="F53" s="219"/>
      <c r="G53" s="219"/>
      <c r="H53" s="219"/>
      <c r="I53" s="219"/>
      <c r="J53" s="219"/>
      <c r="K53" s="219"/>
      <c r="L53" s="219"/>
      <c r="M53" s="219"/>
      <c r="N53" s="219"/>
      <c r="O53" s="219"/>
      <c r="P53" s="110"/>
      <c r="Q53" s="110"/>
      <c r="R53" s="110"/>
      <c r="S53" s="110"/>
      <c r="T53" s="110"/>
      <c r="U53" s="110"/>
    </row>
    <row r="54" ht="12.0" customHeight="1">
      <c r="A54" s="221"/>
      <c r="B54" s="143"/>
      <c r="C54" s="110"/>
      <c r="D54" s="111"/>
      <c r="E54" s="110"/>
      <c r="F54" s="110"/>
      <c r="G54" s="110"/>
      <c r="H54" s="110"/>
      <c r="I54" s="110"/>
      <c r="J54" s="110"/>
      <c r="K54" s="110"/>
      <c r="L54" s="110"/>
      <c r="M54" s="110"/>
      <c r="N54" s="110"/>
      <c r="O54" s="110"/>
      <c r="P54" s="110"/>
      <c r="Q54" s="110"/>
      <c r="R54" s="110"/>
      <c r="S54" s="110"/>
      <c r="T54" s="110"/>
      <c r="U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row>
    <row r="251" ht="13.5" customHeight="1">
      <c r="A251" s="110"/>
      <c r="B251" s="143"/>
      <c r="C251" s="110"/>
      <c r="D251" s="111"/>
      <c r="E251" s="110"/>
      <c r="F251" s="110"/>
      <c r="G251" s="110"/>
      <c r="H251" s="110"/>
      <c r="I251" s="110"/>
      <c r="J251" s="110"/>
      <c r="K251" s="110"/>
      <c r="L251" s="110"/>
      <c r="M251" s="110"/>
      <c r="N251" s="110"/>
      <c r="O251" s="110"/>
      <c r="P251" s="110"/>
      <c r="Q251" s="110"/>
      <c r="R251" s="110"/>
      <c r="S251" s="110"/>
      <c r="T251" s="110"/>
      <c r="U251" s="110"/>
    </row>
    <row r="252" ht="13.5" customHeight="1">
      <c r="A252" s="110"/>
      <c r="B252" s="143"/>
      <c r="C252" s="110"/>
      <c r="D252" s="111"/>
      <c r="E252" s="110"/>
      <c r="F252" s="110"/>
      <c r="G252" s="110"/>
      <c r="H252" s="110"/>
      <c r="I252" s="110"/>
      <c r="J252" s="110"/>
      <c r="K252" s="110"/>
      <c r="L252" s="110"/>
      <c r="M252" s="110"/>
      <c r="N252" s="110"/>
      <c r="O252" s="110"/>
      <c r="P252" s="110"/>
      <c r="Q252" s="110"/>
      <c r="R252" s="110"/>
      <c r="S252" s="110"/>
      <c r="T252" s="110"/>
      <c r="U252" s="110"/>
    </row>
    <row r="253" ht="13.5" customHeight="1">
      <c r="A253" s="110"/>
      <c r="B253" s="143"/>
      <c r="C253" s="110"/>
      <c r="D253" s="111"/>
      <c r="E253" s="110"/>
      <c r="F253" s="110"/>
      <c r="G253" s="110"/>
      <c r="H253" s="110"/>
      <c r="I253" s="110"/>
      <c r="J253" s="110"/>
      <c r="K253" s="110"/>
      <c r="L253" s="110"/>
      <c r="M253" s="110"/>
      <c r="N253" s="110"/>
      <c r="O253" s="110"/>
      <c r="P253" s="110"/>
      <c r="Q253" s="110"/>
      <c r="R253" s="110"/>
      <c r="S253" s="110"/>
      <c r="T253" s="110"/>
      <c r="U253" s="110"/>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B2"/>
    <mergeCell ref="C2:E2"/>
    <mergeCell ref="F2:K2"/>
    <mergeCell ref="L2:O2"/>
    <mergeCell ref="C3:E3"/>
    <mergeCell ref="F3:K3"/>
    <mergeCell ref="L3:N3"/>
    <mergeCell ref="A3:B3"/>
    <mergeCell ref="A4:B4"/>
    <mergeCell ref="C4:D4"/>
    <mergeCell ref="F4:K4"/>
    <mergeCell ref="L4:O4"/>
    <mergeCell ref="A5:B5"/>
    <mergeCell ref="C5:O5"/>
    <mergeCell ref="D21:E21"/>
    <mergeCell ref="B50:D50"/>
    <mergeCell ref="B51:D51"/>
    <mergeCell ref="B52:D52"/>
    <mergeCell ref="B53:D53"/>
    <mergeCell ref="A6:B6"/>
    <mergeCell ref="C6:E6"/>
    <mergeCell ref="F6:K6"/>
    <mergeCell ref="L6:N6"/>
    <mergeCell ref="A7:B7"/>
    <mergeCell ref="C7:E7"/>
    <mergeCell ref="F7:K7"/>
  </mergeCells>
  <dataValidations>
    <dataValidation type="list" allowBlank="1" showInputMessage="1" showErrorMessage="1" prompt=" - " sqref="F51:O51">
      <formula1>"P,F"</formula1>
    </dataValidation>
    <dataValidation type="list" allowBlank="1" showInputMessage="1" showErrorMessage="1" prompt=" - " sqref="F10:O34 G35:O35 F36:O49">
      <formula1>"O"</formula1>
    </dataValidation>
    <dataValidation type="list" allowBlank="1" showInputMessage="1" showErrorMessage="1" prompt=" - " sqref="F50:O50">
      <formula1>"N,A,B"</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9.5"/>
    <col customWidth="1" hidden="1" min="5" max="5" width="1.88"/>
    <col customWidth="1" min="6" max="6" width="4.0"/>
    <col customWidth="1" min="7" max="8" width="4.13"/>
    <col customWidth="1" min="9" max="9" width="4.25"/>
    <col customWidth="1" min="10" max="10" width="4.5"/>
    <col customWidth="1" min="11" max="11" width="4.0"/>
    <col customWidth="1" min="12" max="12" width="4.63"/>
    <col customWidth="1" min="13" max="13" width="4.13"/>
    <col customWidth="1" min="14" max="14" width="4.25"/>
    <col customWidth="1" min="15" max="15" width="17.75"/>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row>
    <row r="2" ht="13.5" customHeight="1">
      <c r="A2" s="112" t="s">
        <v>337</v>
      </c>
      <c r="B2" s="113"/>
      <c r="C2" s="114" t="str">
        <f>Functions!E13</f>
        <v>F-03</v>
      </c>
      <c r="D2" s="113"/>
      <c r="E2" s="115"/>
      <c r="F2" s="116" t="s">
        <v>71</v>
      </c>
      <c r="G2" s="117"/>
      <c r="H2" s="117"/>
      <c r="I2" s="117"/>
      <c r="J2" s="117"/>
      <c r="K2" s="117"/>
      <c r="L2" s="118" t="str">
        <f>Functions!D13</f>
        <v>Order priority, multi-batch allocation and whole-order shortfall</v>
      </c>
      <c r="M2" s="113"/>
      <c r="N2" s="113"/>
      <c r="O2" s="119"/>
      <c r="P2" s="110"/>
      <c r="Q2" s="120"/>
      <c r="R2" s="110"/>
      <c r="S2" s="110"/>
      <c r="T2" s="110"/>
      <c r="U2" s="110"/>
    </row>
    <row r="3" ht="13.5" customHeight="1">
      <c r="A3" s="121" t="s">
        <v>338</v>
      </c>
      <c r="B3" s="13"/>
      <c r="C3" s="122" t="s">
        <v>183</v>
      </c>
      <c r="D3" s="123"/>
      <c r="E3" s="124"/>
      <c r="F3" s="125" t="s">
        <v>339</v>
      </c>
      <c r="G3" s="12"/>
      <c r="H3" s="12"/>
      <c r="I3" s="12"/>
      <c r="J3" s="12"/>
      <c r="K3" s="13"/>
      <c r="L3" s="126"/>
      <c r="M3" s="123"/>
      <c r="N3" s="123"/>
      <c r="O3" s="127"/>
      <c r="P3" s="110"/>
      <c r="Q3" s="110"/>
      <c r="R3" s="110"/>
      <c r="S3" s="110"/>
      <c r="T3" s="110"/>
      <c r="U3" s="110"/>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row>
    <row r="5" ht="13.5" customHeight="1">
      <c r="A5" s="121" t="s">
        <v>342</v>
      </c>
      <c r="B5" s="13"/>
      <c r="C5" s="132" t="s">
        <v>383</v>
      </c>
      <c r="D5" s="12"/>
      <c r="E5" s="12"/>
      <c r="F5" s="12"/>
      <c r="G5" s="12"/>
      <c r="H5" s="12"/>
      <c r="I5" s="12"/>
      <c r="J5" s="12"/>
      <c r="K5" s="12"/>
      <c r="L5" s="12"/>
      <c r="M5" s="12"/>
      <c r="N5" s="12"/>
      <c r="O5" s="131"/>
      <c r="P5" s="110"/>
      <c r="Q5" s="110"/>
      <c r="R5" s="110"/>
      <c r="S5" s="110"/>
      <c r="T5" s="110"/>
      <c r="U5" s="110"/>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row>
    <row r="7" ht="13.5" customHeight="1">
      <c r="A7" s="137">
        <f>COUNTIF(F27:O27,"P")</f>
        <v>0</v>
      </c>
      <c r="B7" s="138"/>
      <c r="C7" s="139">
        <f>COUNTIF(F27:O27,"F")</f>
        <v>0</v>
      </c>
      <c r="D7" s="140"/>
      <c r="E7" s="138"/>
      <c r="F7" s="139">
        <f>SUM(O7,-A7,-C7)</f>
        <v>5</v>
      </c>
      <c r="G7" s="140"/>
      <c r="H7" s="140"/>
      <c r="I7" s="140"/>
      <c r="J7" s="140"/>
      <c r="K7" s="138"/>
      <c r="L7" s="141">
        <f>COUNTIF(F26:O26,"N")</f>
        <v>2</v>
      </c>
      <c r="M7" s="141">
        <f>COUNTIF(F26:O26,"A")</f>
        <v>2</v>
      </c>
      <c r="N7" s="141">
        <f>COUNTIF(F26:O26,"B")</f>
        <v>1</v>
      </c>
      <c r="O7" s="142">
        <f>COUNTA(F9:O9)</f>
        <v>5</v>
      </c>
      <c r="P7" s="110"/>
      <c r="Q7" s="110"/>
      <c r="R7" s="110"/>
      <c r="S7" s="110"/>
      <c r="T7" s="110"/>
      <c r="U7" s="110"/>
    </row>
    <row r="8" ht="12.0" customHeight="1">
      <c r="A8" s="110"/>
      <c r="B8" s="143"/>
      <c r="C8" s="110"/>
      <c r="D8" s="111"/>
      <c r="E8" s="110"/>
      <c r="F8" s="110"/>
      <c r="G8" s="110"/>
      <c r="H8" s="110"/>
      <c r="I8" s="110"/>
      <c r="J8" s="110"/>
      <c r="K8" s="110"/>
      <c r="L8" s="110"/>
      <c r="M8" s="110"/>
      <c r="N8" s="110"/>
      <c r="O8" s="110"/>
      <c r="P8" s="110"/>
      <c r="Q8" s="110"/>
      <c r="R8" s="110"/>
      <c r="S8" s="110"/>
      <c r="T8" s="110"/>
      <c r="U8" s="110"/>
    </row>
    <row r="9" ht="46.5" customHeight="1">
      <c r="A9" s="144"/>
      <c r="B9" s="145"/>
      <c r="C9" s="146"/>
      <c r="D9" s="147"/>
      <c r="E9" s="146"/>
      <c r="F9" s="148" t="s">
        <v>344</v>
      </c>
      <c r="G9" s="148" t="s">
        <v>345</v>
      </c>
      <c r="H9" s="148" t="s">
        <v>346</v>
      </c>
      <c r="I9" s="148" t="s">
        <v>347</v>
      </c>
      <c r="J9" s="148" t="s">
        <v>348</v>
      </c>
      <c r="K9" s="148"/>
      <c r="L9" s="148"/>
      <c r="M9" s="148"/>
      <c r="N9" s="148"/>
      <c r="O9" s="148"/>
      <c r="P9" s="150"/>
      <c r="Q9" s="120"/>
      <c r="R9" s="110"/>
      <c r="S9" s="110"/>
      <c r="T9" s="110"/>
      <c r="U9" s="110"/>
    </row>
    <row r="10" ht="13.5" customHeight="1">
      <c r="A10" s="151" t="s">
        <v>350</v>
      </c>
      <c r="B10" s="152" t="s">
        <v>351</v>
      </c>
      <c r="C10" s="153"/>
      <c r="D10" s="154"/>
      <c r="E10" s="155"/>
      <c r="F10" s="156"/>
      <c r="G10" s="156"/>
      <c r="H10" s="156"/>
      <c r="I10" s="156"/>
      <c r="J10" s="156"/>
      <c r="K10" s="156"/>
      <c r="L10" s="156"/>
      <c r="M10" s="156"/>
      <c r="N10" s="156"/>
      <c r="O10" s="156"/>
      <c r="P10" s="110"/>
      <c r="Q10" s="110"/>
      <c r="R10" s="110"/>
      <c r="S10" s="110"/>
      <c r="T10" s="110"/>
      <c r="U10" s="110"/>
    </row>
    <row r="11" ht="13.5" customHeight="1">
      <c r="A11" s="157"/>
      <c r="B11" s="158"/>
      <c r="C11" s="159"/>
      <c r="D11" s="160" t="s">
        <v>388</v>
      </c>
      <c r="E11" s="161"/>
      <c r="F11" s="156" t="s">
        <v>353</v>
      </c>
      <c r="G11" s="156"/>
      <c r="H11" s="156"/>
      <c r="I11" s="156"/>
      <c r="J11" s="156"/>
      <c r="K11" s="156"/>
      <c r="L11" s="156"/>
      <c r="M11" s="156"/>
      <c r="N11" s="156"/>
      <c r="O11" s="156"/>
      <c r="P11" s="110"/>
      <c r="Q11" s="110"/>
      <c r="R11" s="110"/>
      <c r="S11" s="110"/>
      <c r="T11" s="110"/>
      <c r="U11" s="110"/>
    </row>
    <row r="12" ht="13.5" customHeight="1">
      <c r="A12" s="162"/>
      <c r="B12" s="163"/>
      <c r="C12" s="159"/>
      <c r="D12" s="164" t="s">
        <v>389</v>
      </c>
      <c r="E12" s="161"/>
      <c r="F12" s="165"/>
      <c r="G12" s="165" t="s">
        <v>353</v>
      </c>
      <c r="H12" s="165"/>
      <c r="I12" s="165"/>
      <c r="J12" s="165"/>
      <c r="K12" s="165"/>
      <c r="L12" s="165"/>
      <c r="M12" s="165"/>
      <c r="N12" s="165"/>
      <c r="O12" s="165"/>
      <c r="P12" s="110"/>
      <c r="Q12" s="120"/>
      <c r="R12" s="110"/>
      <c r="S12" s="110"/>
      <c r="T12" s="110"/>
      <c r="U12" s="110"/>
    </row>
    <row r="13" ht="13.5" customHeight="1">
      <c r="A13" s="162"/>
      <c r="B13" s="166"/>
      <c r="C13" s="167"/>
      <c r="D13" s="168"/>
      <c r="E13" s="161"/>
      <c r="F13" s="165"/>
      <c r="G13" s="165"/>
      <c r="H13" s="165"/>
      <c r="I13" s="165"/>
      <c r="J13" s="165"/>
      <c r="K13" s="165"/>
      <c r="L13" s="165"/>
      <c r="M13" s="165"/>
      <c r="N13" s="165"/>
      <c r="O13" s="165"/>
      <c r="P13" s="110"/>
      <c r="Q13" s="110"/>
      <c r="R13" s="110"/>
      <c r="S13" s="110"/>
      <c r="T13" s="110"/>
      <c r="U13" s="110"/>
    </row>
    <row r="14" ht="13.5" customHeight="1">
      <c r="A14" s="162"/>
      <c r="B14" s="163"/>
      <c r="C14" s="169"/>
      <c r="D14" s="164" t="s">
        <v>390</v>
      </c>
      <c r="E14" s="170"/>
      <c r="F14" s="165"/>
      <c r="G14" s="165"/>
      <c r="H14" s="165" t="s">
        <v>353</v>
      </c>
      <c r="I14" s="165"/>
      <c r="J14" s="165"/>
      <c r="K14" s="165"/>
      <c r="L14" s="165"/>
      <c r="M14" s="165"/>
      <c r="N14" s="165"/>
      <c r="O14" s="165"/>
      <c r="P14" s="110"/>
      <c r="Q14" s="110"/>
      <c r="R14" s="110"/>
      <c r="S14" s="110"/>
      <c r="T14" s="110"/>
      <c r="U14" s="110"/>
    </row>
    <row r="15" ht="13.5" customHeight="1">
      <c r="A15" s="162"/>
      <c r="B15" s="163"/>
      <c r="C15" s="171"/>
      <c r="D15" s="172" t="s">
        <v>391</v>
      </c>
      <c r="E15" s="173"/>
      <c r="F15" s="165"/>
      <c r="G15" s="165"/>
      <c r="H15" s="165"/>
      <c r="I15" s="165" t="s">
        <v>353</v>
      </c>
      <c r="J15" s="165"/>
      <c r="K15" s="165"/>
      <c r="L15" s="165"/>
      <c r="M15" s="165"/>
      <c r="N15" s="165"/>
      <c r="O15" s="165"/>
      <c r="P15" s="110"/>
      <c r="Q15" s="110"/>
      <c r="R15" s="110"/>
      <c r="S15" s="110"/>
      <c r="T15" s="110"/>
      <c r="U15" s="110"/>
    </row>
    <row r="16" ht="13.5" customHeight="1">
      <c r="A16" s="162"/>
      <c r="B16" s="163"/>
      <c r="C16" s="171"/>
      <c r="D16" s="174"/>
      <c r="E16" s="173"/>
      <c r="F16" s="165"/>
      <c r="G16" s="165"/>
      <c r="H16" s="165"/>
      <c r="I16" s="165"/>
      <c r="J16" s="165"/>
      <c r="K16" s="165"/>
      <c r="L16" s="165"/>
      <c r="M16" s="165"/>
      <c r="N16" s="165"/>
      <c r="O16" s="165"/>
      <c r="P16" s="110"/>
      <c r="Q16" s="110"/>
      <c r="R16" s="110"/>
      <c r="S16" s="110"/>
      <c r="T16" s="110"/>
      <c r="U16" s="110"/>
    </row>
    <row r="17" ht="13.5" customHeight="1">
      <c r="A17" s="162"/>
      <c r="B17" s="163"/>
      <c r="C17" s="171"/>
      <c r="D17" s="174" t="s">
        <v>392</v>
      </c>
      <c r="E17" s="173"/>
      <c r="F17" s="165"/>
      <c r="G17" s="165"/>
      <c r="H17" s="165"/>
      <c r="I17" s="165"/>
      <c r="J17" s="165" t="s">
        <v>353</v>
      </c>
      <c r="K17" s="165"/>
      <c r="L17" s="165"/>
      <c r="M17" s="165"/>
      <c r="N17" s="165"/>
      <c r="O17" s="165"/>
      <c r="P17" s="110"/>
      <c r="Q17" s="110"/>
      <c r="R17" s="110"/>
      <c r="S17" s="110"/>
      <c r="T17" s="110"/>
      <c r="U17" s="110"/>
    </row>
    <row r="18" ht="13.5" customHeight="1">
      <c r="A18" s="162"/>
      <c r="B18" s="163"/>
      <c r="C18" s="171"/>
      <c r="D18" s="174"/>
      <c r="E18" s="173"/>
      <c r="F18" s="165"/>
      <c r="G18" s="165"/>
      <c r="H18" s="165"/>
      <c r="I18" s="165"/>
      <c r="J18" s="165"/>
      <c r="K18" s="165"/>
      <c r="L18" s="165"/>
      <c r="M18" s="165"/>
      <c r="N18" s="165"/>
      <c r="O18" s="165"/>
      <c r="P18" s="175"/>
      <c r="Q18" s="110"/>
      <c r="R18" s="110"/>
      <c r="S18" s="110"/>
      <c r="T18" s="110"/>
      <c r="U18" s="110"/>
    </row>
    <row r="19" ht="13.5" customHeight="1">
      <c r="A19" s="176" t="s">
        <v>359</v>
      </c>
      <c r="B19" s="177" t="s">
        <v>360</v>
      </c>
      <c r="C19" s="178"/>
      <c r="D19" s="179"/>
      <c r="E19" s="180"/>
      <c r="F19" s="156"/>
      <c r="G19" s="156"/>
      <c r="H19" s="156"/>
      <c r="I19" s="156"/>
      <c r="J19" s="156"/>
      <c r="K19" s="156"/>
      <c r="L19" s="156"/>
      <c r="M19" s="156"/>
      <c r="N19" s="156"/>
      <c r="O19" s="156"/>
      <c r="P19" s="110"/>
      <c r="Q19" s="110"/>
      <c r="R19" s="110"/>
      <c r="S19" s="110"/>
      <c r="T19" s="110"/>
      <c r="U19" s="110"/>
    </row>
    <row r="20" ht="13.5" customHeight="1">
      <c r="A20" s="181"/>
      <c r="B20" s="182"/>
      <c r="C20" s="183"/>
      <c r="D20" s="184" t="s">
        <v>393</v>
      </c>
      <c r="E20" s="185"/>
      <c r="F20" s="165" t="s">
        <v>353</v>
      </c>
      <c r="G20" s="165"/>
      <c r="H20" s="165"/>
      <c r="I20" s="165"/>
      <c r="J20" s="165"/>
      <c r="K20" s="165"/>
      <c r="L20" s="165"/>
      <c r="M20" s="165"/>
      <c r="N20" s="165"/>
      <c r="O20" s="165"/>
      <c r="P20" s="110"/>
      <c r="Q20" s="110"/>
      <c r="R20" s="110"/>
      <c r="S20" s="110"/>
      <c r="T20" s="110"/>
      <c r="U20" s="110"/>
    </row>
    <row r="21" ht="13.5" customHeight="1">
      <c r="A21" s="181"/>
      <c r="B21" s="182"/>
      <c r="C21" s="186"/>
      <c r="D21" s="187" t="s">
        <v>394</v>
      </c>
      <c r="E21" s="188"/>
      <c r="F21" s="189"/>
      <c r="G21" s="165" t="s">
        <v>353</v>
      </c>
      <c r="H21" s="165"/>
      <c r="I21" s="165"/>
      <c r="J21" s="165"/>
      <c r="K21" s="165"/>
      <c r="L21" s="165"/>
      <c r="M21" s="165"/>
      <c r="N21" s="165"/>
      <c r="O21" s="165"/>
      <c r="P21" s="110"/>
      <c r="Q21" s="110"/>
      <c r="R21" s="110"/>
      <c r="S21" s="110"/>
      <c r="T21" s="110"/>
      <c r="U21" s="110"/>
    </row>
    <row r="22" ht="13.5" customHeight="1">
      <c r="A22" s="181"/>
      <c r="B22" s="182"/>
      <c r="C22" s="183"/>
      <c r="D22" s="190"/>
      <c r="E22" s="188"/>
      <c r="F22" s="165"/>
      <c r="G22" s="165"/>
      <c r="H22" s="165"/>
      <c r="I22" s="165"/>
      <c r="J22" s="165"/>
      <c r="K22" s="165"/>
      <c r="L22" s="165"/>
      <c r="M22" s="165"/>
      <c r="N22" s="165"/>
      <c r="O22" s="165"/>
      <c r="P22" s="110"/>
      <c r="Q22" s="110"/>
      <c r="R22" s="110"/>
      <c r="S22" s="110"/>
      <c r="T22" s="110"/>
      <c r="U22" s="110"/>
    </row>
    <row r="23" ht="13.5" customHeight="1">
      <c r="A23" s="181"/>
      <c r="B23" s="182"/>
      <c r="C23" s="183"/>
      <c r="D23" s="191" t="s">
        <v>395</v>
      </c>
      <c r="E23" s="188"/>
      <c r="F23" s="165"/>
      <c r="G23" s="165"/>
      <c r="H23" s="165" t="s">
        <v>353</v>
      </c>
      <c r="I23" s="165"/>
      <c r="J23" s="165"/>
      <c r="K23" s="165"/>
      <c r="L23" s="165"/>
      <c r="M23" s="165"/>
      <c r="N23" s="165"/>
      <c r="O23" s="165"/>
      <c r="P23" s="110"/>
      <c r="Q23" s="110"/>
      <c r="R23" s="110"/>
      <c r="S23" s="110"/>
      <c r="T23" s="110"/>
      <c r="U23" s="110"/>
    </row>
    <row r="24" ht="13.5" customHeight="1">
      <c r="A24" s="181"/>
      <c r="B24" s="182"/>
      <c r="C24" s="183"/>
      <c r="D24" s="191" t="s">
        <v>396</v>
      </c>
      <c r="E24" s="188"/>
      <c r="F24" s="165"/>
      <c r="G24" s="165"/>
      <c r="H24" s="165"/>
      <c r="I24" s="165" t="s">
        <v>353</v>
      </c>
      <c r="J24" s="165"/>
      <c r="K24" s="165"/>
      <c r="L24" s="165"/>
      <c r="M24" s="165"/>
      <c r="N24" s="165"/>
      <c r="O24" s="165"/>
      <c r="P24" s="110"/>
      <c r="Q24" s="110"/>
      <c r="R24" s="110"/>
      <c r="S24" s="110"/>
      <c r="T24" s="110"/>
      <c r="U24" s="110"/>
    </row>
    <row r="25" ht="13.5" customHeight="1">
      <c r="A25" s="181"/>
      <c r="B25" s="182"/>
      <c r="C25" s="183"/>
      <c r="D25" s="184" t="s">
        <v>397</v>
      </c>
      <c r="E25" s="188"/>
      <c r="F25" s="165"/>
      <c r="G25" s="165"/>
      <c r="H25" s="165"/>
      <c r="I25" s="165"/>
      <c r="J25" s="165" t="s">
        <v>353</v>
      </c>
      <c r="K25" s="165"/>
      <c r="L25" s="165"/>
      <c r="M25" s="165"/>
      <c r="N25" s="165"/>
      <c r="O25" s="165"/>
      <c r="P25" s="110"/>
      <c r="Q25" s="110"/>
      <c r="R25" s="110"/>
      <c r="S25" s="110"/>
      <c r="T25" s="110"/>
      <c r="U25" s="110"/>
    </row>
    <row r="26" ht="13.5" customHeight="1">
      <c r="A26" s="176" t="s">
        <v>367</v>
      </c>
      <c r="B26" s="197" t="s">
        <v>368</v>
      </c>
      <c r="C26" s="198"/>
      <c r="D26" s="199"/>
      <c r="E26" s="200"/>
      <c r="F26" s="201" t="s">
        <v>220</v>
      </c>
      <c r="G26" s="201" t="s">
        <v>38</v>
      </c>
      <c r="H26" s="201" t="s">
        <v>38</v>
      </c>
      <c r="I26" s="201" t="s">
        <v>220</v>
      </c>
      <c r="J26" s="201" t="s">
        <v>221</v>
      </c>
      <c r="K26" s="201"/>
      <c r="L26" s="201"/>
      <c r="M26" s="201"/>
      <c r="N26" s="201"/>
      <c r="O26" s="201"/>
      <c r="P26" s="110"/>
      <c r="Q26" s="110"/>
      <c r="R26" s="110"/>
      <c r="S26" s="110"/>
      <c r="T26" s="110"/>
      <c r="U26" s="110"/>
    </row>
    <row r="27" ht="13.5" customHeight="1">
      <c r="A27" s="181"/>
      <c r="B27" s="204" t="s">
        <v>369</v>
      </c>
      <c r="C27" s="12"/>
      <c r="D27" s="13"/>
      <c r="E27" s="205"/>
      <c r="F27" s="206"/>
      <c r="G27" s="206"/>
      <c r="H27" s="206"/>
      <c r="I27" s="206"/>
      <c r="J27" s="206"/>
      <c r="K27" s="206"/>
      <c r="L27" s="206"/>
      <c r="M27" s="206"/>
      <c r="N27" s="206"/>
      <c r="O27" s="206"/>
      <c r="P27" s="110"/>
      <c r="Q27" s="110"/>
      <c r="R27" s="110"/>
      <c r="S27" s="110"/>
      <c r="T27" s="110"/>
      <c r="U27" s="110"/>
    </row>
    <row r="28" ht="13.5" customHeight="1">
      <c r="A28" s="181"/>
      <c r="B28" s="208" t="s">
        <v>371</v>
      </c>
      <c r="C28" s="12"/>
      <c r="D28" s="13"/>
      <c r="E28" s="209"/>
      <c r="F28" s="210"/>
      <c r="G28" s="210"/>
      <c r="H28" s="210"/>
      <c r="I28" s="210"/>
      <c r="J28" s="210"/>
      <c r="K28" s="210"/>
      <c r="L28" s="210"/>
      <c r="M28" s="210"/>
      <c r="N28" s="210"/>
      <c r="O28" s="210"/>
      <c r="P28" s="110"/>
      <c r="Q28" s="110"/>
      <c r="R28" s="110"/>
      <c r="S28" s="110"/>
      <c r="T28" s="110"/>
      <c r="U28" s="110"/>
    </row>
    <row r="29" ht="16.5" customHeight="1">
      <c r="A29" s="212"/>
      <c r="B29" s="215" t="s">
        <v>372</v>
      </c>
      <c r="C29" s="216"/>
      <c r="D29" s="217"/>
      <c r="E29" s="218"/>
      <c r="F29" s="219"/>
      <c r="G29" s="219"/>
      <c r="H29" s="219"/>
      <c r="I29" s="219"/>
      <c r="J29" s="219"/>
      <c r="K29" s="219"/>
      <c r="L29" s="219"/>
      <c r="M29" s="219"/>
      <c r="N29" s="219"/>
      <c r="O29" s="219"/>
      <c r="P29" s="110"/>
      <c r="Q29" s="110"/>
      <c r="R29" s="110"/>
      <c r="S29" s="110"/>
      <c r="T29" s="110"/>
      <c r="U29" s="110"/>
    </row>
    <row r="30" ht="12.0" customHeight="1">
      <c r="A30" s="221"/>
      <c r="B30" s="143"/>
      <c r="C30" s="110"/>
      <c r="D30" s="111"/>
      <c r="E30" s="110"/>
      <c r="F30" s="110"/>
      <c r="G30" s="110"/>
      <c r="H30" s="110"/>
      <c r="I30" s="110"/>
      <c r="J30" s="110"/>
      <c r="K30" s="110"/>
      <c r="L30" s="110"/>
      <c r="M30" s="110"/>
      <c r="N30" s="110"/>
      <c r="O30" s="110"/>
      <c r="P30" s="110"/>
      <c r="Q30" s="110"/>
      <c r="R30" s="110"/>
      <c r="S30" s="110"/>
      <c r="T30" s="110"/>
      <c r="U30" s="110"/>
    </row>
    <row r="31" ht="13.5" customHeight="1">
      <c r="A31" s="110"/>
      <c r="B31" s="143"/>
      <c r="C31" s="110"/>
      <c r="D31" s="111"/>
      <c r="E31" s="110"/>
      <c r="F31" s="110"/>
      <c r="G31" s="110"/>
      <c r="H31" s="110"/>
      <c r="I31" s="110"/>
      <c r="J31" s="110"/>
      <c r="K31" s="110"/>
      <c r="L31" s="110"/>
      <c r="M31" s="110"/>
      <c r="N31" s="110"/>
      <c r="O31" s="110"/>
      <c r="P31" s="110"/>
      <c r="Q31" s="110"/>
      <c r="R31" s="110"/>
      <c r="S31" s="110"/>
      <c r="T31" s="110"/>
      <c r="U31" s="110"/>
    </row>
    <row r="32" ht="13.5" customHeight="1">
      <c r="A32" s="110"/>
      <c r="B32" s="143"/>
      <c r="C32" s="110"/>
      <c r="D32" s="111"/>
      <c r="E32" s="110"/>
      <c r="F32" s="110"/>
      <c r="G32" s="110"/>
      <c r="H32" s="110"/>
      <c r="I32" s="110"/>
      <c r="J32" s="110"/>
      <c r="K32" s="110"/>
      <c r="L32" s="110"/>
      <c r="M32" s="110"/>
      <c r="N32" s="110"/>
      <c r="O32" s="110"/>
      <c r="P32" s="110"/>
      <c r="Q32" s="110"/>
      <c r="R32" s="110"/>
      <c r="S32" s="110"/>
      <c r="T32" s="110"/>
      <c r="U32" s="110"/>
    </row>
    <row r="33" ht="13.5" customHeight="1">
      <c r="A33" s="110"/>
      <c r="B33" s="143"/>
      <c r="C33" s="110"/>
      <c r="D33" s="111"/>
      <c r="E33" s="110"/>
      <c r="F33" s="110"/>
      <c r="G33" s="110"/>
      <c r="H33" s="110"/>
      <c r="I33" s="110"/>
      <c r="J33" s="110"/>
      <c r="K33" s="110"/>
      <c r="L33" s="110"/>
      <c r="M33" s="110"/>
      <c r="N33" s="110"/>
      <c r="O33" s="110"/>
      <c r="P33" s="110"/>
      <c r="Q33" s="110"/>
      <c r="R33" s="110"/>
      <c r="S33" s="110"/>
      <c r="T33" s="110"/>
      <c r="U33" s="110"/>
    </row>
    <row r="34" ht="13.5" customHeight="1">
      <c r="A34" s="110"/>
      <c r="B34" s="143"/>
      <c r="C34" s="110"/>
      <c r="D34" s="111"/>
      <c r="E34" s="110"/>
      <c r="F34" s="110"/>
      <c r="G34" s="110"/>
      <c r="H34" s="110"/>
      <c r="I34" s="110"/>
      <c r="J34" s="110"/>
      <c r="K34" s="110"/>
      <c r="L34" s="110"/>
      <c r="M34" s="110"/>
      <c r="N34" s="110"/>
      <c r="O34" s="110"/>
      <c r="P34" s="110"/>
      <c r="Q34" s="110"/>
      <c r="R34" s="110"/>
      <c r="S34" s="110"/>
      <c r="T34" s="110"/>
      <c r="U34" s="110"/>
    </row>
    <row r="35" ht="13.5" customHeight="1">
      <c r="A35" s="110"/>
      <c r="B35" s="143"/>
      <c r="C35" s="110"/>
      <c r="D35" s="111"/>
      <c r="E35" s="110"/>
      <c r="F35" s="110"/>
      <c r="G35" s="110"/>
      <c r="H35" s="110"/>
      <c r="I35" s="110"/>
      <c r="J35" s="110"/>
      <c r="K35" s="110"/>
      <c r="L35" s="110"/>
      <c r="M35" s="110"/>
      <c r="N35" s="110"/>
      <c r="O35" s="110"/>
      <c r="P35" s="110"/>
      <c r="Q35" s="110"/>
      <c r="R35" s="110"/>
      <c r="S35" s="110"/>
      <c r="T35" s="110"/>
      <c r="U35" s="110"/>
    </row>
    <row r="36" ht="13.5" customHeight="1">
      <c r="A36" s="110"/>
      <c r="B36" s="143"/>
      <c r="C36" s="110"/>
      <c r="D36" s="111"/>
      <c r="E36" s="110"/>
      <c r="F36" s="110"/>
      <c r="G36" s="110"/>
      <c r="H36" s="110"/>
      <c r="I36" s="110"/>
      <c r="J36" s="110"/>
      <c r="K36" s="110"/>
      <c r="L36" s="110"/>
      <c r="M36" s="110"/>
      <c r="N36" s="110"/>
      <c r="O36" s="110"/>
      <c r="P36" s="110"/>
      <c r="Q36" s="110"/>
      <c r="R36" s="110"/>
      <c r="S36" s="110"/>
      <c r="T36" s="110"/>
      <c r="U36" s="110"/>
    </row>
    <row r="37" ht="13.5" customHeight="1">
      <c r="A37" s="110"/>
      <c r="B37" s="143"/>
      <c r="C37" s="110"/>
      <c r="D37" s="111"/>
      <c r="E37" s="110"/>
      <c r="F37" s="110"/>
      <c r="G37" s="110"/>
      <c r="H37" s="110"/>
      <c r="I37" s="110"/>
      <c r="J37" s="110"/>
      <c r="K37" s="110"/>
      <c r="L37" s="110"/>
      <c r="M37" s="110"/>
      <c r="N37" s="110"/>
      <c r="O37" s="110"/>
      <c r="P37" s="110"/>
      <c r="Q37" s="110"/>
      <c r="R37" s="110"/>
      <c r="S37" s="110"/>
      <c r="T37" s="110"/>
      <c r="U37" s="110"/>
    </row>
    <row r="38" ht="13.5" customHeight="1">
      <c r="A38" s="110"/>
      <c r="B38" s="143"/>
      <c r="C38" s="110"/>
      <c r="D38" s="111"/>
      <c r="E38" s="110"/>
      <c r="F38" s="110"/>
      <c r="G38" s="110"/>
      <c r="H38" s="110"/>
      <c r="I38" s="110"/>
      <c r="J38" s="110"/>
      <c r="K38" s="110"/>
      <c r="L38" s="110"/>
      <c r="M38" s="110"/>
      <c r="N38" s="110"/>
      <c r="O38" s="110"/>
      <c r="P38" s="110"/>
      <c r="Q38" s="110"/>
      <c r="R38" s="110"/>
      <c r="S38" s="110"/>
      <c r="T38" s="110"/>
      <c r="U38" s="110"/>
    </row>
    <row r="39" ht="13.5" customHeight="1">
      <c r="A39" s="110"/>
      <c r="B39" s="143"/>
      <c r="C39" s="110"/>
      <c r="D39" s="111"/>
      <c r="E39" s="110"/>
      <c r="F39" s="110"/>
      <c r="G39" s="110"/>
      <c r="H39" s="110"/>
      <c r="I39" s="110"/>
      <c r="J39" s="110"/>
      <c r="K39" s="110"/>
      <c r="L39" s="110"/>
      <c r="M39" s="110"/>
      <c r="N39" s="110"/>
      <c r="O39" s="110"/>
      <c r="P39" s="110"/>
      <c r="Q39" s="110"/>
      <c r="R39" s="110"/>
      <c r="S39" s="110"/>
      <c r="T39" s="110"/>
      <c r="U39" s="110"/>
    </row>
    <row r="40" ht="13.5" customHeight="1">
      <c r="A40" s="110"/>
      <c r="B40" s="143"/>
      <c r="C40" s="110"/>
      <c r="D40" s="111"/>
      <c r="E40" s="110"/>
      <c r="F40" s="110"/>
      <c r="G40" s="110"/>
      <c r="H40" s="110"/>
      <c r="I40" s="110"/>
      <c r="J40" s="110"/>
      <c r="K40" s="110"/>
      <c r="L40" s="110"/>
      <c r="M40" s="110"/>
      <c r="N40" s="110"/>
      <c r="O40" s="110"/>
      <c r="P40" s="110"/>
      <c r="Q40" s="110"/>
      <c r="R40" s="110"/>
      <c r="S40" s="110"/>
      <c r="T40" s="110"/>
      <c r="U40" s="110"/>
    </row>
    <row r="41" ht="13.5" customHeight="1">
      <c r="A41" s="110"/>
      <c r="B41" s="143"/>
      <c r="C41" s="110"/>
      <c r="D41" s="111"/>
      <c r="E41" s="110"/>
      <c r="F41" s="110"/>
      <c r="G41" s="110"/>
      <c r="H41" s="110"/>
      <c r="I41" s="110"/>
      <c r="J41" s="110"/>
      <c r="K41" s="110"/>
      <c r="L41" s="110"/>
      <c r="M41" s="110"/>
      <c r="N41" s="110"/>
      <c r="O41" s="110"/>
      <c r="P41" s="110"/>
      <c r="Q41" s="110"/>
      <c r="R41" s="110"/>
      <c r="S41" s="110"/>
      <c r="T41" s="110"/>
      <c r="U41" s="110"/>
    </row>
    <row r="42" ht="13.5" customHeight="1">
      <c r="A42" s="110"/>
      <c r="B42" s="143"/>
      <c r="C42" s="110"/>
      <c r="D42" s="111"/>
      <c r="E42" s="110"/>
      <c r="F42" s="110"/>
      <c r="G42" s="110"/>
      <c r="H42" s="110"/>
      <c r="I42" s="110"/>
      <c r="J42" s="110"/>
      <c r="K42" s="110"/>
      <c r="L42" s="110"/>
      <c r="M42" s="110"/>
      <c r="N42" s="110"/>
      <c r="O42" s="110"/>
      <c r="P42" s="110"/>
      <c r="Q42" s="110"/>
      <c r="R42" s="110"/>
      <c r="S42" s="110"/>
      <c r="T42" s="110"/>
      <c r="U42" s="110"/>
    </row>
    <row r="43" ht="13.5" customHeight="1">
      <c r="A43" s="110"/>
      <c r="B43" s="143"/>
      <c r="C43" s="110"/>
      <c r="D43" s="111"/>
      <c r="E43" s="110"/>
      <c r="F43" s="110"/>
      <c r="G43" s="110"/>
      <c r="H43" s="110"/>
      <c r="I43" s="110"/>
      <c r="J43" s="110"/>
      <c r="K43" s="110"/>
      <c r="L43" s="110"/>
      <c r="M43" s="110"/>
      <c r="N43" s="110"/>
      <c r="O43" s="110"/>
      <c r="P43" s="110"/>
      <c r="Q43" s="110"/>
      <c r="R43" s="110"/>
      <c r="S43" s="110"/>
      <c r="T43" s="110"/>
      <c r="U43" s="110"/>
    </row>
    <row r="44" ht="13.5" customHeight="1">
      <c r="A44" s="110"/>
      <c r="B44" s="143"/>
      <c r="C44" s="110"/>
      <c r="D44" s="111"/>
      <c r="E44" s="110"/>
      <c r="F44" s="110"/>
      <c r="G44" s="110"/>
      <c r="H44" s="110"/>
      <c r="I44" s="110"/>
      <c r="J44" s="110"/>
      <c r="K44" s="110"/>
      <c r="L44" s="110"/>
      <c r="M44" s="110"/>
      <c r="N44" s="110"/>
      <c r="O44" s="110"/>
      <c r="P44" s="110"/>
      <c r="Q44" s="110"/>
      <c r="R44" s="110"/>
      <c r="S44" s="110"/>
      <c r="T44" s="110"/>
      <c r="U44" s="110"/>
    </row>
    <row r="45" ht="13.5" customHeight="1">
      <c r="A45" s="110"/>
      <c r="B45" s="143"/>
      <c r="C45" s="110"/>
      <c r="D45" s="111"/>
      <c r="E45" s="110"/>
      <c r="F45" s="110"/>
      <c r="G45" s="110"/>
      <c r="H45" s="110"/>
      <c r="I45" s="110"/>
      <c r="J45" s="110"/>
      <c r="K45" s="110"/>
      <c r="L45" s="110"/>
      <c r="M45" s="110"/>
      <c r="N45" s="110"/>
      <c r="O45" s="110"/>
      <c r="P45" s="110"/>
      <c r="Q45" s="110"/>
      <c r="R45" s="110"/>
      <c r="S45" s="110"/>
      <c r="T45" s="110"/>
      <c r="U45" s="110"/>
    </row>
    <row r="46" ht="13.5" customHeight="1">
      <c r="A46" s="110"/>
      <c r="B46" s="143"/>
      <c r="C46" s="110"/>
      <c r="D46" s="111"/>
      <c r="E46" s="110"/>
      <c r="F46" s="110"/>
      <c r="G46" s="110"/>
      <c r="H46" s="110"/>
      <c r="I46" s="110"/>
      <c r="J46" s="110"/>
      <c r="K46" s="110"/>
      <c r="L46" s="110"/>
      <c r="M46" s="110"/>
      <c r="N46" s="110"/>
      <c r="O46" s="110"/>
      <c r="P46" s="110"/>
      <c r="Q46" s="110"/>
      <c r="R46" s="110"/>
      <c r="S46" s="110"/>
      <c r="T46" s="110"/>
      <c r="U46" s="110"/>
    </row>
    <row r="47" ht="13.5" customHeight="1">
      <c r="A47" s="110"/>
      <c r="B47" s="143"/>
      <c r="C47" s="110"/>
      <c r="D47" s="111"/>
      <c r="E47" s="110"/>
      <c r="F47" s="110"/>
      <c r="G47" s="110"/>
      <c r="H47" s="110"/>
      <c r="I47" s="110"/>
      <c r="J47" s="110"/>
      <c r="K47" s="110"/>
      <c r="L47" s="110"/>
      <c r="M47" s="110"/>
      <c r="N47" s="110"/>
      <c r="O47" s="110"/>
      <c r="P47" s="110"/>
      <c r="Q47" s="110"/>
      <c r="R47" s="110"/>
      <c r="S47" s="110"/>
      <c r="T47" s="110"/>
      <c r="U47" s="110"/>
    </row>
    <row r="48" ht="13.5" customHeight="1">
      <c r="A48" s="110"/>
      <c r="B48" s="143"/>
      <c r="C48" s="110"/>
      <c r="D48" s="111"/>
      <c r="E48" s="110"/>
      <c r="F48" s="110"/>
      <c r="G48" s="110"/>
      <c r="H48" s="110"/>
      <c r="I48" s="110"/>
      <c r="J48" s="110"/>
      <c r="K48" s="110"/>
      <c r="L48" s="110"/>
      <c r="M48" s="110"/>
      <c r="N48" s="110"/>
      <c r="O48" s="110"/>
      <c r="P48" s="110"/>
      <c r="Q48" s="110"/>
      <c r="R48" s="110"/>
      <c r="S48" s="110"/>
      <c r="T48" s="110"/>
      <c r="U48" s="110"/>
    </row>
    <row r="49" ht="13.5" customHeight="1">
      <c r="A49" s="110"/>
      <c r="B49" s="143"/>
      <c r="C49" s="110"/>
      <c r="D49" s="111"/>
      <c r="E49" s="110"/>
      <c r="F49" s="110"/>
      <c r="G49" s="110"/>
      <c r="H49" s="110"/>
      <c r="I49" s="110"/>
      <c r="J49" s="110"/>
      <c r="K49" s="110"/>
      <c r="L49" s="110"/>
      <c r="M49" s="110"/>
      <c r="N49" s="110"/>
      <c r="O49" s="110"/>
      <c r="P49" s="110"/>
      <c r="Q49" s="110"/>
      <c r="R49" s="110"/>
      <c r="S49" s="110"/>
      <c r="T49" s="110"/>
      <c r="U49" s="110"/>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C2:E2"/>
    <mergeCell ref="F2:K2"/>
    <mergeCell ref="L2:O2"/>
    <mergeCell ref="C3:E3"/>
    <mergeCell ref="F3:K3"/>
    <mergeCell ref="L3:N3"/>
    <mergeCell ref="A3:B3"/>
    <mergeCell ref="A4:B4"/>
    <mergeCell ref="C4:D4"/>
    <mergeCell ref="F4:K4"/>
    <mergeCell ref="L4:O4"/>
    <mergeCell ref="A5:B5"/>
    <mergeCell ref="C5:O5"/>
    <mergeCell ref="B26:D26"/>
    <mergeCell ref="B27:D27"/>
    <mergeCell ref="B28:D28"/>
    <mergeCell ref="B29:D29"/>
    <mergeCell ref="A6:B6"/>
    <mergeCell ref="C6:E6"/>
    <mergeCell ref="F6:K6"/>
    <mergeCell ref="L6:N6"/>
    <mergeCell ref="A7:B7"/>
    <mergeCell ref="C7:E7"/>
    <mergeCell ref="F7:K7"/>
  </mergeCells>
  <dataValidations>
    <dataValidation type="list" allowBlank="1" showInputMessage="1" showErrorMessage="1" prompt=" - " sqref="F27:O27">
      <formula1>"P,F"</formula1>
    </dataValidation>
    <dataValidation type="list" allowBlank="1" showInputMessage="1" showErrorMessage="1" prompt=" - " sqref="F10:O20 G21:O21 F22:O25">
      <formula1>"O"</formula1>
    </dataValidation>
    <dataValidation type="list" allowBlank="1" showInputMessage="1" showErrorMessage="1" prompt=" - " sqref="F26:O26">
      <formula1>"N,A,B"</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3.7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row>
    <row r="2" ht="13.5" customHeight="1">
      <c r="A2" s="112" t="s">
        <v>337</v>
      </c>
      <c r="B2" s="113"/>
      <c r="C2" s="114" t="str">
        <f>Functions!E14</f>
        <v>F-04</v>
      </c>
      <c r="D2" s="113"/>
      <c r="E2" s="115"/>
      <c r="F2" s="116" t="s">
        <v>71</v>
      </c>
      <c r="G2" s="117"/>
      <c r="H2" s="117"/>
      <c r="I2" s="117"/>
      <c r="J2" s="117"/>
      <c r="K2" s="117"/>
      <c r="L2" s="118" t="str">
        <f>Functions!D14</f>
        <v>Prepaid transfer, deferred cash collection, actor scope; reject COD</v>
      </c>
      <c r="M2" s="113"/>
      <c r="N2" s="113"/>
      <c r="O2" s="119"/>
      <c r="P2" s="110"/>
      <c r="Q2" s="120"/>
      <c r="R2" s="110"/>
      <c r="S2" s="110"/>
      <c r="T2" s="110"/>
      <c r="U2" s="110"/>
    </row>
    <row r="3" ht="13.5" customHeight="1">
      <c r="A3" s="121" t="s">
        <v>338</v>
      </c>
      <c r="B3" s="13"/>
      <c r="C3" s="122" t="s">
        <v>183</v>
      </c>
      <c r="D3" s="123"/>
      <c r="E3" s="124"/>
      <c r="F3" s="125" t="s">
        <v>339</v>
      </c>
      <c r="G3" s="12"/>
      <c r="H3" s="12"/>
      <c r="I3" s="12"/>
      <c r="J3" s="12"/>
      <c r="K3" s="13"/>
      <c r="L3" s="126"/>
      <c r="M3" s="123"/>
      <c r="N3" s="123"/>
      <c r="O3" s="127"/>
      <c r="P3" s="110"/>
      <c r="Q3" s="110"/>
      <c r="R3" s="110"/>
      <c r="S3" s="110"/>
      <c r="T3" s="110"/>
      <c r="U3" s="110"/>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row>
    <row r="5">
      <c r="A5" s="121" t="s">
        <v>342</v>
      </c>
      <c r="B5" s="13"/>
      <c r="C5" s="132" t="s">
        <v>398</v>
      </c>
      <c r="D5" s="12"/>
      <c r="E5" s="12"/>
      <c r="F5" s="12"/>
      <c r="G5" s="12"/>
      <c r="H5" s="12"/>
      <c r="I5" s="12"/>
      <c r="J5" s="12"/>
      <c r="K5" s="12"/>
      <c r="L5" s="12"/>
      <c r="M5" s="12"/>
      <c r="N5" s="12"/>
      <c r="O5" s="131"/>
      <c r="P5" s="110"/>
      <c r="Q5" s="110"/>
      <c r="R5" s="110"/>
      <c r="S5" s="110"/>
      <c r="T5" s="110"/>
      <c r="U5" s="110"/>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row>
    <row r="7" ht="13.5" customHeight="1">
      <c r="A7" s="137">
        <f>COUNTIF(F54:O54,"P")</f>
        <v>0</v>
      </c>
      <c r="B7" s="138"/>
      <c r="C7" s="139">
        <f>COUNTIF(F54:O54,"F")</f>
        <v>0</v>
      </c>
      <c r="D7" s="140"/>
      <c r="E7" s="138"/>
      <c r="F7" s="139">
        <f>SUM(O7,-A7,-C7)</f>
        <v>4</v>
      </c>
      <c r="G7" s="140"/>
      <c r="H7" s="140"/>
      <c r="I7" s="140"/>
      <c r="J7" s="140"/>
      <c r="K7" s="138"/>
      <c r="L7" s="141">
        <f>COUNTIF(F53:O53,"N")</f>
        <v>2</v>
      </c>
      <c r="M7" s="141">
        <f>COUNTIF(F53:O53,"A")</f>
        <v>2</v>
      </c>
      <c r="N7" s="141">
        <f>COUNTIF(F53:O53,"B")</f>
        <v>0</v>
      </c>
      <c r="O7" s="142">
        <f>COUNTA(F9:O9)</f>
        <v>4</v>
      </c>
      <c r="P7" s="242"/>
      <c r="Q7" s="110"/>
      <c r="R7" s="110"/>
      <c r="S7" s="110"/>
      <c r="T7" s="110"/>
      <c r="U7" s="110"/>
    </row>
    <row r="8" ht="12.0" customHeight="1">
      <c r="A8" s="110"/>
      <c r="B8" s="143"/>
      <c r="C8" s="110"/>
      <c r="D8" s="111"/>
      <c r="E8" s="110"/>
      <c r="F8" s="110"/>
      <c r="G8" s="110"/>
      <c r="H8" s="110"/>
      <c r="I8" s="110"/>
      <c r="J8" s="110"/>
      <c r="K8" s="110"/>
      <c r="L8" s="110"/>
      <c r="M8" s="110"/>
      <c r="N8" s="110"/>
      <c r="O8" s="110"/>
      <c r="P8" s="110"/>
      <c r="Q8" s="110"/>
      <c r="R8" s="110"/>
      <c r="S8" s="110"/>
      <c r="T8" s="110"/>
      <c r="U8" s="110"/>
    </row>
    <row r="9" ht="45.0" customHeight="1">
      <c r="A9" s="243"/>
      <c r="B9" s="244"/>
      <c r="C9" s="245"/>
      <c r="D9" s="246"/>
      <c r="E9" s="245"/>
      <c r="F9" s="247" t="s">
        <v>344</v>
      </c>
      <c r="G9" s="247" t="s">
        <v>345</v>
      </c>
      <c r="H9" s="247" t="s">
        <v>346</v>
      </c>
      <c r="I9" s="247" t="s">
        <v>347</v>
      </c>
      <c r="J9" s="247"/>
      <c r="K9" s="247"/>
      <c r="L9" s="247"/>
      <c r="M9" s="247"/>
      <c r="N9" s="247"/>
      <c r="O9" s="247"/>
      <c r="P9" s="150"/>
      <c r="Q9" s="120"/>
      <c r="R9" s="110"/>
      <c r="S9" s="110"/>
      <c r="T9" s="110"/>
      <c r="U9" s="110"/>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row>
    <row r="11" ht="13.5" customHeight="1">
      <c r="A11" s="162"/>
      <c r="B11" s="163"/>
      <c r="C11" s="171"/>
      <c r="D11" s="174" t="s">
        <v>399</v>
      </c>
      <c r="E11" s="155"/>
      <c r="F11" s="165" t="s">
        <v>353</v>
      </c>
      <c r="G11" s="165"/>
      <c r="H11" s="165"/>
      <c r="I11" s="165"/>
      <c r="J11" s="165"/>
      <c r="K11" s="165"/>
      <c r="L11" s="165"/>
      <c r="M11" s="165"/>
      <c r="N11" s="165"/>
      <c r="O11" s="165"/>
      <c r="P11" s="110"/>
      <c r="Q11" s="120"/>
      <c r="R11" s="110"/>
      <c r="S11" s="110"/>
      <c r="T11" s="110"/>
      <c r="U11" s="110"/>
    </row>
    <row r="12" ht="13.5" customHeight="1">
      <c r="A12" s="162"/>
      <c r="B12" s="163"/>
      <c r="C12" s="171"/>
      <c r="D12" s="174" t="s">
        <v>400</v>
      </c>
      <c r="E12" s="155"/>
      <c r="F12" s="165"/>
      <c r="G12" s="165" t="s">
        <v>353</v>
      </c>
      <c r="H12" s="165"/>
      <c r="I12" s="165"/>
      <c r="J12" s="165"/>
      <c r="K12" s="165"/>
      <c r="L12" s="165"/>
      <c r="M12" s="165"/>
      <c r="N12" s="165"/>
      <c r="O12" s="165"/>
      <c r="P12" s="110"/>
      <c r="Q12" s="110"/>
      <c r="R12" s="110"/>
      <c r="S12" s="110"/>
      <c r="T12" s="110"/>
      <c r="U12" s="110"/>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row>
    <row r="14" ht="13.5" customHeight="1">
      <c r="A14" s="162"/>
      <c r="B14" s="163"/>
      <c r="C14" s="171"/>
      <c r="D14" s="174" t="s">
        <v>401</v>
      </c>
      <c r="E14" s="173"/>
      <c r="F14" s="165"/>
      <c r="G14" s="165"/>
      <c r="H14" s="165" t="s">
        <v>353</v>
      </c>
      <c r="I14" s="165"/>
      <c r="J14" s="165"/>
      <c r="K14" s="165"/>
      <c r="L14" s="165"/>
      <c r="M14" s="165"/>
      <c r="N14" s="165"/>
      <c r="O14" s="165"/>
      <c r="P14" s="110"/>
      <c r="Q14" s="110"/>
      <c r="R14" s="110"/>
      <c r="S14" s="110"/>
      <c r="T14" s="110"/>
      <c r="U14" s="110"/>
    </row>
    <row r="15" ht="13.5" customHeight="1">
      <c r="A15" s="162"/>
      <c r="B15" s="163"/>
      <c r="C15" s="171"/>
      <c r="D15" s="174" t="s">
        <v>402</v>
      </c>
      <c r="E15" s="173"/>
      <c r="F15" s="165"/>
      <c r="G15" s="165"/>
      <c r="H15" s="165"/>
      <c r="I15" s="165" t="s">
        <v>353</v>
      </c>
      <c r="J15" s="165"/>
      <c r="K15" s="165"/>
      <c r="L15" s="165"/>
      <c r="M15" s="165"/>
      <c r="N15" s="165"/>
      <c r="O15" s="165"/>
      <c r="P15" s="110"/>
      <c r="Q15" s="110"/>
      <c r="R15" s="110"/>
      <c r="S15" s="110"/>
      <c r="T15" s="110"/>
      <c r="U15" s="110"/>
    </row>
    <row r="16" ht="13.5" customHeight="1">
      <c r="A16" s="162"/>
      <c r="B16" s="163"/>
      <c r="C16" s="171"/>
      <c r="D16" s="174"/>
      <c r="E16" s="173"/>
      <c r="F16" s="165"/>
      <c r="G16" s="165"/>
      <c r="H16" s="165"/>
      <c r="I16" s="165"/>
      <c r="J16" s="165"/>
      <c r="K16" s="165"/>
      <c r="L16" s="165"/>
      <c r="M16" s="165"/>
      <c r="N16" s="165"/>
      <c r="O16" s="165"/>
      <c r="P16" s="110"/>
      <c r="Q16" s="110"/>
      <c r="R16" s="110"/>
      <c r="S16" s="110"/>
      <c r="T16" s="110"/>
      <c r="U16" s="110"/>
    </row>
    <row r="17" ht="13.5" customHeight="1">
      <c r="A17" s="162"/>
      <c r="B17" s="163"/>
      <c r="C17" s="171"/>
      <c r="D17" s="174"/>
      <c r="E17" s="173"/>
      <c r="F17" s="165"/>
      <c r="G17" s="165"/>
      <c r="H17" s="165"/>
      <c r="I17" s="165"/>
      <c r="J17" s="165"/>
      <c r="K17" s="165"/>
      <c r="L17" s="165"/>
      <c r="M17" s="165"/>
      <c r="N17" s="165"/>
      <c r="O17" s="165"/>
      <c r="P17" s="175"/>
      <c r="Q17" s="110"/>
      <c r="R17" s="110"/>
      <c r="S17" s="110"/>
      <c r="T17" s="110"/>
      <c r="U17" s="110"/>
    </row>
    <row r="18" ht="13.5" customHeight="1">
      <c r="A18" s="162"/>
      <c r="B18" s="163"/>
      <c r="C18" s="171"/>
      <c r="D18" s="174"/>
      <c r="E18" s="173"/>
      <c r="F18" s="165"/>
      <c r="G18" s="165"/>
      <c r="H18" s="165"/>
      <c r="I18" s="165"/>
      <c r="J18" s="165"/>
      <c r="K18" s="165"/>
      <c r="L18" s="165"/>
      <c r="M18" s="165"/>
      <c r="N18" s="165"/>
      <c r="O18" s="165"/>
      <c r="P18" s="175"/>
      <c r="Q18" s="110"/>
      <c r="R18" s="110"/>
      <c r="S18" s="110"/>
      <c r="T18" s="110"/>
      <c r="U18" s="110"/>
    </row>
    <row r="19" ht="13.5" customHeight="1">
      <c r="A19" s="162"/>
      <c r="B19" s="163"/>
      <c r="C19" s="171"/>
      <c r="D19" s="174"/>
      <c r="E19" s="173"/>
      <c r="F19" s="165"/>
      <c r="G19" s="165"/>
      <c r="H19" s="165"/>
      <c r="I19" s="165"/>
      <c r="J19" s="165"/>
      <c r="K19" s="165"/>
      <c r="L19" s="165"/>
      <c r="M19" s="165"/>
      <c r="N19" s="165"/>
      <c r="O19" s="165"/>
      <c r="P19" s="175"/>
      <c r="Q19" s="110"/>
      <c r="R19" s="110"/>
      <c r="S19" s="110"/>
      <c r="T19" s="110"/>
      <c r="U19" s="110"/>
    </row>
    <row r="20" ht="13.5" customHeight="1">
      <c r="A20" s="162"/>
      <c r="B20" s="163"/>
      <c r="C20" s="171"/>
      <c r="D20" s="111"/>
      <c r="F20" s="165"/>
      <c r="G20" s="165"/>
      <c r="H20" s="165"/>
      <c r="I20" s="165"/>
      <c r="J20" s="165"/>
      <c r="K20" s="165"/>
      <c r="L20" s="165"/>
      <c r="M20" s="165"/>
      <c r="N20" s="165"/>
      <c r="O20" s="165"/>
      <c r="P20" s="110"/>
      <c r="Q20" s="110"/>
      <c r="R20" s="110"/>
      <c r="S20" s="110"/>
      <c r="T20" s="110"/>
      <c r="U20" s="110"/>
    </row>
    <row r="21" ht="13.5" customHeight="1">
      <c r="A21" s="162"/>
      <c r="B21" s="163"/>
      <c r="C21" s="171"/>
      <c r="D21" s="174"/>
      <c r="E21" s="173"/>
      <c r="F21" s="165"/>
      <c r="G21" s="165"/>
      <c r="H21" s="165"/>
      <c r="I21" s="165"/>
      <c r="J21" s="165"/>
      <c r="K21" s="165"/>
      <c r="L21" s="165"/>
      <c r="M21" s="165"/>
      <c r="N21" s="165"/>
      <c r="O21" s="165"/>
      <c r="P21" s="110"/>
      <c r="Q21" s="110"/>
      <c r="R21" s="110"/>
      <c r="S21" s="110"/>
      <c r="T21" s="110"/>
      <c r="U21" s="110"/>
    </row>
    <row r="22" ht="13.5" customHeight="1">
      <c r="A22" s="162"/>
      <c r="B22" s="163"/>
      <c r="C22" s="171"/>
      <c r="D22" s="174"/>
      <c r="E22" s="173"/>
      <c r="F22" s="165"/>
      <c r="G22" s="165"/>
      <c r="H22" s="165"/>
      <c r="I22" s="165"/>
      <c r="J22" s="165"/>
      <c r="K22" s="165"/>
      <c r="L22" s="165"/>
      <c r="M22" s="165"/>
      <c r="N22" s="165"/>
      <c r="O22" s="165"/>
      <c r="P22" s="110"/>
      <c r="Q22" s="110"/>
      <c r="R22" s="110"/>
      <c r="S22" s="110"/>
      <c r="T22" s="110"/>
      <c r="U22" s="110"/>
    </row>
    <row r="23" ht="13.5" customHeight="1">
      <c r="A23" s="162"/>
      <c r="B23" s="163"/>
      <c r="C23" s="171"/>
      <c r="D23" s="174"/>
      <c r="E23" s="173"/>
      <c r="F23" s="165"/>
      <c r="G23" s="165"/>
      <c r="H23" s="165"/>
      <c r="I23" s="165"/>
      <c r="J23" s="165"/>
      <c r="K23" s="165"/>
      <c r="L23" s="165"/>
      <c r="M23" s="165"/>
      <c r="N23" s="165"/>
      <c r="O23" s="165"/>
      <c r="P23" s="110"/>
      <c r="Q23" s="110"/>
      <c r="R23" s="110"/>
      <c r="S23" s="110"/>
      <c r="T23" s="110"/>
      <c r="U23" s="110"/>
    </row>
    <row r="24" ht="13.5" customHeight="1">
      <c r="A24" s="162"/>
      <c r="B24" s="163"/>
      <c r="C24" s="171"/>
      <c r="D24" s="174"/>
      <c r="E24" s="173"/>
      <c r="F24" s="165"/>
      <c r="G24" s="165"/>
      <c r="H24" s="165"/>
      <c r="I24" s="165"/>
      <c r="J24" s="165"/>
      <c r="K24" s="165"/>
      <c r="L24" s="165"/>
      <c r="M24" s="165"/>
      <c r="N24" s="165"/>
      <c r="O24" s="165"/>
      <c r="P24" s="110"/>
      <c r="Q24" s="110"/>
      <c r="R24" s="110"/>
      <c r="S24" s="110"/>
      <c r="T24" s="110"/>
      <c r="U24" s="110"/>
    </row>
    <row r="25" ht="13.5" customHeight="1">
      <c r="A25" s="162"/>
      <c r="B25" s="163"/>
      <c r="C25" s="171"/>
      <c r="D25" s="174"/>
      <c r="E25" s="173"/>
      <c r="F25" s="165"/>
      <c r="G25" s="165"/>
      <c r="H25" s="165"/>
      <c r="I25" s="165"/>
      <c r="J25" s="165"/>
      <c r="K25" s="165"/>
      <c r="L25" s="165"/>
      <c r="M25" s="165"/>
      <c r="N25" s="165"/>
      <c r="O25" s="165"/>
      <c r="P25" s="110"/>
      <c r="Q25" s="110"/>
      <c r="R25" s="110"/>
      <c r="S25" s="110"/>
      <c r="T25" s="110"/>
      <c r="U25" s="110"/>
    </row>
    <row r="26" ht="13.5" customHeight="1">
      <c r="A26" s="162"/>
      <c r="B26" s="163"/>
      <c r="C26" s="171"/>
      <c r="D26" s="174"/>
      <c r="E26" s="173"/>
      <c r="F26" s="165"/>
      <c r="G26" s="165"/>
      <c r="H26" s="165"/>
      <c r="I26" s="165"/>
      <c r="J26" s="165"/>
      <c r="K26" s="165"/>
      <c r="L26" s="165"/>
      <c r="M26" s="165"/>
      <c r="N26" s="165"/>
      <c r="O26" s="165"/>
      <c r="P26" s="110"/>
      <c r="Q26" s="110"/>
      <c r="R26" s="110"/>
      <c r="S26" s="110"/>
      <c r="T26" s="110"/>
      <c r="U26" s="110"/>
    </row>
    <row r="27" ht="13.5" customHeight="1">
      <c r="A27" s="162"/>
      <c r="B27" s="163"/>
      <c r="C27" s="171"/>
      <c r="D27" s="174"/>
      <c r="E27" s="173"/>
      <c r="F27" s="165"/>
      <c r="G27" s="165"/>
      <c r="H27" s="165"/>
      <c r="I27" s="165"/>
      <c r="J27" s="165"/>
      <c r="K27" s="165"/>
      <c r="L27" s="165"/>
      <c r="M27" s="165"/>
      <c r="N27" s="165"/>
      <c r="O27" s="165"/>
      <c r="P27" s="110"/>
      <c r="Q27" s="110"/>
      <c r="R27" s="110"/>
      <c r="S27" s="110"/>
      <c r="T27" s="110"/>
      <c r="U27" s="110"/>
    </row>
    <row r="28" ht="13.5" customHeight="1">
      <c r="A28" s="162"/>
      <c r="B28" s="163"/>
      <c r="C28" s="171"/>
      <c r="D28" s="174"/>
      <c r="E28" s="173"/>
      <c r="F28" s="165"/>
      <c r="G28" s="165"/>
      <c r="H28" s="165"/>
      <c r="I28" s="165"/>
      <c r="J28" s="165"/>
      <c r="K28" s="165"/>
      <c r="L28" s="165"/>
      <c r="M28" s="165"/>
      <c r="N28" s="165"/>
      <c r="O28" s="165"/>
      <c r="P28" s="110"/>
      <c r="Q28" s="110"/>
      <c r="R28" s="110"/>
      <c r="S28" s="110"/>
      <c r="T28" s="110"/>
      <c r="U28" s="110"/>
    </row>
    <row r="29" ht="13.5" customHeight="1">
      <c r="A29" s="162"/>
      <c r="B29" s="163"/>
      <c r="C29" s="171"/>
      <c r="D29" s="174"/>
      <c r="E29" s="173"/>
      <c r="F29" s="165"/>
      <c r="G29" s="165"/>
      <c r="H29" s="165"/>
      <c r="I29" s="165"/>
      <c r="J29" s="165"/>
      <c r="K29" s="165"/>
      <c r="L29" s="165"/>
      <c r="M29" s="165"/>
      <c r="N29" s="165"/>
      <c r="O29" s="165"/>
      <c r="P29" s="110"/>
      <c r="Q29" s="110"/>
      <c r="R29" s="110"/>
      <c r="S29" s="110"/>
      <c r="T29" s="110"/>
      <c r="U29" s="110"/>
    </row>
    <row r="30" ht="13.5" customHeight="1">
      <c r="A30" s="162"/>
      <c r="B30" s="163"/>
      <c r="C30" s="171"/>
      <c r="D30" s="174"/>
      <c r="E30" s="173"/>
      <c r="F30" s="165"/>
      <c r="G30" s="165"/>
      <c r="H30" s="165"/>
      <c r="I30" s="165"/>
      <c r="J30" s="165"/>
      <c r="K30" s="165"/>
      <c r="L30" s="165"/>
      <c r="M30" s="165"/>
      <c r="N30" s="165"/>
      <c r="O30" s="165"/>
      <c r="P30" s="110"/>
      <c r="Q30" s="110"/>
      <c r="R30" s="110"/>
      <c r="S30" s="110"/>
      <c r="T30" s="110"/>
      <c r="U30" s="110"/>
    </row>
    <row r="31" ht="13.5" customHeight="1">
      <c r="A31" s="162"/>
      <c r="B31" s="163"/>
      <c r="C31" s="171"/>
      <c r="D31" s="174"/>
      <c r="E31" s="173"/>
      <c r="F31" s="165"/>
      <c r="G31" s="165"/>
      <c r="H31" s="165"/>
      <c r="I31" s="165"/>
      <c r="J31" s="165"/>
      <c r="K31" s="165"/>
      <c r="L31" s="165"/>
      <c r="M31" s="165"/>
      <c r="N31" s="165"/>
      <c r="O31" s="165"/>
      <c r="P31" s="110"/>
      <c r="Q31" s="110"/>
      <c r="R31" s="110"/>
      <c r="S31" s="110"/>
      <c r="T31" s="110"/>
      <c r="U31" s="110"/>
    </row>
    <row r="32" ht="13.5" customHeight="1">
      <c r="A32" s="176" t="s">
        <v>359</v>
      </c>
      <c r="B32" s="177" t="s">
        <v>360</v>
      </c>
      <c r="C32" s="178"/>
      <c r="D32" s="179"/>
      <c r="E32" s="180"/>
      <c r="F32" s="156"/>
      <c r="G32" s="156"/>
      <c r="H32" s="156"/>
      <c r="I32" s="156"/>
      <c r="J32" s="156"/>
      <c r="K32" s="156"/>
      <c r="L32" s="156"/>
      <c r="M32" s="156"/>
      <c r="N32" s="156"/>
      <c r="O32" s="156"/>
      <c r="P32" s="110"/>
      <c r="Q32" s="110"/>
      <c r="R32" s="110"/>
      <c r="S32" s="110"/>
      <c r="T32" s="110"/>
      <c r="U32" s="110"/>
    </row>
    <row r="33" ht="13.5" customHeight="1">
      <c r="A33" s="181"/>
      <c r="B33" s="254"/>
      <c r="C33" s="183"/>
      <c r="D33" s="184" t="s">
        <v>403</v>
      </c>
      <c r="E33" s="185"/>
      <c r="F33" s="165" t="s">
        <v>353</v>
      </c>
      <c r="G33" s="165"/>
      <c r="H33" s="165"/>
      <c r="I33" s="165"/>
      <c r="J33" s="165"/>
      <c r="K33" s="165"/>
      <c r="L33" s="165"/>
      <c r="M33" s="165"/>
      <c r="N33" s="165"/>
      <c r="O33" s="165"/>
      <c r="P33" s="110"/>
      <c r="Q33" s="110"/>
      <c r="R33" s="110"/>
      <c r="S33" s="110"/>
      <c r="T33" s="110"/>
      <c r="U33" s="110"/>
    </row>
    <row r="34" ht="13.5" customHeight="1">
      <c r="A34" s="181"/>
      <c r="B34" s="255"/>
      <c r="C34" s="183"/>
      <c r="D34" s="184"/>
      <c r="E34" s="185"/>
      <c r="F34" s="165"/>
      <c r="G34" s="165"/>
      <c r="H34" s="165"/>
      <c r="I34" s="165"/>
      <c r="J34" s="165"/>
      <c r="K34" s="165"/>
      <c r="L34" s="165"/>
      <c r="M34" s="165"/>
      <c r="N34" s="165"/>
      <c r="O34" s="165"/>
      <c r="P34" s="110"/>
      <c r="Q34" s="110"/>
      <c r="R34" s="110"/>
      <c r="S34" s="110"/>
      <c r="T34" s="110"/>
      <c r="U34" s="110"/>
    </row>
    <row r="35" ht="13.5" customHeight="1">
      <c r="A35" s="181"/>
      <c r="B35" s="254"/>
      <c r="C35" s="183"/>
      <c r="D35" s="184" t="s">
        <v>404</v>
      </c>
      <c r="E35" s="185"/>
      <c r="F35" s="165"/>
      <c r="G35" s="165" t="s">
        <v>353</v>
      </c>
      <c r="H35" s="165"/>
      <c r="I35" s="165"/>
      <c r="J35" s="165"/>
      <c r="K35" s="165"/>
      <c r="L35" s="165"/>
      <c r="M35" s="165"/>
      <c r="N35" s="165"/>
      <c r="O35" s="165"/>
      <c r="P35" s="110"/>
      <c r="Q35" s="110"/>
      <c r="R35" s="110"/>
      <c r="S35" s="110"/>
      <c r="T35" s="110"/>
      <c r="U35" s="110"/>
    </row>
    <row r="36" ht="13.5" customHeight="1">
      <c r="A36" s="181"/>
      <c r="B36" s="254"/>
      <c r="C36" s="183"/>
      <c r="D36" s="184" t="s">
        <v>405</v>
      </c>
      <c r="E36" s="185"/>
      <c r="F36" s="165"/>
      <c r="G36" s="165"/>
      <c r="H36" s="165" t="s">
        <v>353</v>
      </c>
      <c r="I36" s="165"/>
      <c r="J36" s="165"/>
      <c r="K36" s="165"/>
      <c r="L36" s="165"/>
      <c r="M36" s="165"/>
      <c r="N36" s="165"/>
      <c r="O36" s="165"/>
      <c r="P36" s="110"/>
      <c r="Q36" s="110"/>
      <c r="R36" s="110"/>
      <c r="S36" s="110"/>
      <c r="T36" s="110"/>
      <c r="U36" s="110"/>
    </row>
    <row r="37" ht="13.5" customHeight="1">
      <c r="A37" s="181"/>
      <c r="B37" s="254"/>
      <c r="C37" s="183"/>
      <c r="D37" s="184" t="s">
        <v>406</v>
      </c>
      <c r="E37" s="185"/>
      <c r="F37" s="165"/>
      <c r="G37" s="165"/>
      <c r="H37" s="165"/>
      <c r="I37" s="165" t="s">
        <v>353</v>
      </c>
      <c r="J37" s="165"/>
      <c r="K37" s="165"/>
      <c r="L37" s="165"/>
      <c r="M37" s="165"/>
      <c r="N37" s="165"/>
      <c r="O37" s="165"/>
      <c r="P37" s="110"/>
      <c r="Q37" s="110"/>
      <c r="R37" s="110"/>
      <c r="S37" s="110"/>
      <c r="T37" s="110"/>
      <c r="U37" s="110"/>
    </row>
    <row r="38" ht="13.5" customHeight="1">
      <c r="A38" s="181"/>
      <c r="B38" s="254"/>
      <c r="C38" s="183"/>
      <c r="D38" s="184"/>
      <c r="E38" s="185"/>
      <c r="F38" s="165"/>
      <c r="G38" s="165"/>
      <c r="H38" s="165"/>
      <c r="I38" s="165"/>
      <c r="J38" s="165"/>
      <c r="K38" s="165"/>
      <c r="L38" s="165"/>
      <c r="M38" s="165"/>
      <c r="N38" s="165"/>
      <c r="O38" s="165"/>
      <c r="P38" s="110"/>
      <c r="Q38" s="110"/>
      <c r="R38" s="110"/>
      <c r="S38" s="110"/>
      <c r="T38" s="110"/>
      <c r="U38" s="110"/>
    </row>
    <row r="39" ht="13.5" customHeight="1">
      <c r="A39" s="181"/>
      <c r="B39" s="182"/>
      <c r="C39" s="183"/>
      <c r="D39" s="184"/>
      <c r="E39" s="188"/>
      <c r="F39" s="165"/>
      <c r="G39" s="165"/>
      <c r="H39" s="165"/>
      <c r="I39" s="165"/>
      <c r="J39" s="165"/>
      <c r="K39" s="165"/>
      <c r="L39" s="165"/>
      <c r="M39" s="165"/>
      <c r="N39" s="165"/>
      <c r="O39" s="165"/>
      <c r="P39" s="110"/>
      <c r="Q39" s="110"/>
      <c r="R39" s="110"/>
      <c r="S39" s="110"/>
      <c r="T39" s="110"/>
      <c r="U39" s="110"/>
    </row>
    <row r="40" ht="13.5" customHeight="1">
      <c r="A40" s="181"/>
      <c r="B40" s="182"/>
      <c r="C40" s="183"/>
      <c r="D40" s="184"/>
      <c r="E40" s="188"/>
      <c r="F40" s="165"/>
      <c r="G40" s="165"/>
      <c r="H40" s="165"/>
      <c r="I40" s="165"/>
      <c r="J40" s="165"/>
      <c r="K40" s="165"/>
      <c r="L40" s="165"/>
      <c r="M40" s="165"/>
      <c r="N40" s="165"/>
      <c r="O40" s="165"/>
      <c r="P40" s="110"/>
      <c r="Q40" s="110"/>
      <c r="R40" s="110"/>
      <c r="S40" s="110"/>
      <c r="T40" s="110"/>
      <c r="U40" s="110"/>
    </row>
    <row r="41" ht="13.5" customHeight="1">
      <c r="A41" s="181"/>
      <c r="B41" s="182"/>
      <c r="C41" s="183"/>
      <c r="D41" s="184"/>
      <c r="E41" s="188"/>
      <c r="F41" s="165"/>
      <c r="G41" s="165"/>
      <c r="H41" s="165"/>
      <c r="I41" s="165"/>
      <c r="J41" s="165"/>
      <c r="K41" s="165"/>
      <c r="L41" s="165"/>
      <c r="M41" s="165"/>
      <c r="N41" s="165"/>
      <c r="O41" s="165"/>
      <c r="P41" s="110"/>
      <c r="Q41" s="110"/>
      <c r="R41" s="110"/>
      <c r="S41" s="110"/>
      <c r="T41" s="110"/>
      <c r="U41" s="110"/>
    </row>
    <row r="42" ht="13.5" customHeight="1">
      <c r="A42" s="181"/>
      <c r="B42" s="182"/>
      <c r="C42" s="183"/>
      <c r="D42" s="184"/>
      <c r="E42" s="188"/>
      <c r="F42" s="165"/>
      <c r="G42" s="165"/>
      <c r="H42" s="165"/>
      <c r="I42" s="165"/>
      <c r="J42" s="165"/>
      <c r="K42" s="165"/>
      <c r="L42" s="165"/>
      <c r="M42" s="165"/>
      <c r="N42" s="165"/>
      <c r="O42" s="165"/>
      <c r="P42" s="110"/>
      <c r="Q42" s="110"/>
      <c r="R42" s="110"/>
      <c r="S42" s="110"/>
      <c r="T42" s="110"/>
      <c r="U42" s="110"/>
    </row>
    <row r="43" ht="13.5" customHeight="1">
      <c r="A43" s="181"/>
      <c r="B43" s="182"/>
      <c r="C43" s="183"/>
      <c r="D43" s="184"/>
      <c r="E43" s="188"/>
      <c r="F43" s="165"/>
      <c r="G43" s="165"/>
      <c r="H43" s="165"/>
      <c r="I43" s="165"/>
      <c r="J43" s="165"/>
      <c r="K43" s="165"/>
      <c r="L43" s="165"/>
      <c r="M43" s="165"/>
      <c r="N43" s="165"/>
      <c r="O43" s="165"/>
      <c r="P43" s="110"/>
      <c r="Q43" s="110"/>
      <c r="R43" s="110"/>
      <c r="S43" s="110"/>
      <c r="T43" s="110"/>
      <c r="U43" s="110"/>
    </row>
    <row r="44" ht="13.5" customHeight="1">
      <c r="A44" s="181"/>
      <c r="B44" s="192"/>
      <c r="C44" s="193"/>
      <c r="D44" s="194"/>
      <c r="E44" s="195"/>
      <c r="F44" s="196"/>
      <c r="G44" s="196"/>
      <c r="H44" s="196"/>
      <c r="I44" s="196"/>
      <c r="J44" s="196"/>
      <c r="K44" s="196"/>
      <c r="L44" s="196"/>
      <c r="M44" s="196"/>
      <c r="N44" s="196"/>
      <c r="O44" s="196"/>
      <c r="P44" s="110"/>
      <c r="Q44" s="110"/>
      <c r="R44" s="110"/>
      <c r="S44" s="110"/>
      <c r="T44" s="110"/>
      <c r="U44" s="110"/>
    </row>
    <row r="45" ht="13.5" customHeight="1">
      <c r="A45" s="228"/>
      <c r="B45" s="229"/>
      <c r="C45" s="230"/>
      <c r="D45" s="231"/>
      <c r="E45" s="232"/>
      <c r="F45" s="233"/>
      <c r="G45" s="233"/>
      <c r="H45" s="233"/>
      <c r="I45" s="233"/>
      <c r="J45" s="233"/>
      <c r="K45" s="233"/>
      <c r="L45" s="233"/>
      <c r="M45" s="233"/>
      <c r="N45" s="233"/>
      <c r="O45" s="233"/>
      <c r="P45" s="110"/>
      <c r="Q45" s="110"/>
      <c r="R45" s="110"/>
      <c r="S45" s="110"/>
      <c r="T45" s="110"/>
      <c r="U45" s="110"/>
    </row>
    <row r="46" ht="13.5" customHeight="1">
      <c r="A46" s="228"/>
      <c r="B46" s="229"/>
      <c r="C46" s="230"/>
      <c r="D46" s="231"/>
      <c r="E46" s="232"/>
      <c r="F46" s="233"/>
      <c r="G46" s="233"/>
      <c r="H46" s="233"/>
      <c r="I46" s="233"/>
      <c r="J46" s="233"/>
      <c r="K46" s="233"/>
      <c r="L46" s="233"/>
      <c r="M46" s="233"/>
      <c r="N46" s="233"/>
      <c r="O46" s="233"/>
      <c r="P46" s="110"/>
      <c r="Q46" s="110"/>
      <c r="R46" s="110"/>
      <c r="S46" s="110"/>
      <c r="T46" s="110"/>
      <c r="U46" s="110"/>
    </row>
    <row r="47" ht="13.5" customHeight="1">
      <c r="A47" s="228"/>
      <c r="B47" s="229"/>
      <c r="C47" s="230"/>
      <c r="D47" s="231"/>
      <c r="E47" s="232"/>
      <c r="F47" s="233"/>
      <c r="G47" s="233"/>
      <c r="H47" s="233"/>
      <c r="I47" s="233"/>
      <c r="J47" s="233"/>
      <c r="K47" s="233"/>
      <c r="L47" s="233"/>
      <c r="M47" s="233"/>
      <c r="N47" s="233"/>
      <c r="O47" s="233"/>
      <c r="P47" s="110"/>
      <c r="Q47" s="110"/>
      <c r="R47" s="110"/>
      <c r="S47" s="110"/>
      <c r="T47" s="110"/>
      <c r="U47" s="110"/>
    </row>
    <row r="48" ht="13.5" customHeight="1">
      <c r="A48" s="228"/>
      <c r="B48" s="256"/>
      <c r="C48" s="257"/>
      <c r="D48" s="258"/>
      <c r="E48" s="232"/>
      <c r="F48" s="233"/>
      <c r="G48" s="233"/>
      <c r="H48" s="233"/>
      <c r="I48" s="233"/>
      <c r="J48" s="233"/>
      <c r="K48" s="233"/>
      <c r="L48" s="233"/>
      <c r="M48" s="233"/>
      <c r="N48" s="233"/>
      <c r="O48" s="233"/>
      <c r="P48" s="110"/>
      <c r="Q48" s="110"/>
      <c r="R48" s="110"/>
      <c r="S48" s="110"/>
      <c r="T48" s="110"/>
      <c r="U48" s="110"/>
    </row>
    <row r="49" ht="13.5" customHeight="1">
      <c r="A49" s="228"/>
      <c r="B49" s="229"/>
      <c r="C49" s="230"/>
      <c r="D49" s="231"/>
      <c r="E49" s="232"/>
      <c r="F49" s="233"/>
      <c r="G49" s="233"/>
      <c r="H49" s="233"/>
      <c r="I49" s="233"/>
      <c r="J49" s="233"/>
      <c r="K49" s="233"/>
      <c r="L49" s="233"/>
      <c r="M49" s="233"/>
      <c r="N49" s="233"/>
      <c r="O49" s="233"/>
      <c r="P49" s="110"/>
      <c r="Q49" s="110"/>
      <c r="R49" s="110"/>
      <c r="S49" s="110"/>
      <c r="T49" s="110"/>
      <c r="U49" s="110"/>
    </row>
    <row r="50" ht="13.5" customHeight="1">
      <c r="A50" s="228"/>
      <c r="B50" s="237"/>
      <c r="C50" s="238"/>
      <c r="D50" s="239"/>
      <c r="E50" s="232"/>
      <c r="F50" s="233"/>
      <c r="G50" s="233"/>
      <c r="H50" s="233"/>
      <c r="I50" s="233"/>
      <c r="J50" s="233"/>
      <c r="K50" s="233"/>
      <c r="L50" s="233"/>
      <c r="M50" s="233"/>
      <c r="N50" s="233"/>
      <c r="O50" s="233"/>
      <c r="P50" s="110"/>
      <c r="Q50" s="110"/>
      <c r="R50" s="110"/>
      <c r="S50" s="110"/>
      <c r="T50" s="110"/>
      <c r="U50" s="110"/>
    </row>
    <row r="51" ht="13.5" customHeight="1">
      <c r="A51" s="228"/>
      <c r="B51" s="237"/>
      <c r="C51" s="238"/>
      <c r="D51" s="239"/>
      <c r="E51" s="232"/>
      <c r="F51" s="233"/>
      <c r="G51" s="233"/>
      <c r="H51" s="233"/>
      <c r="I51" s="233"/>
      <c r="J51" s="233"/>
      <c r="K51" s="233"/>
      <c r="L51" s="233"/>
      <c r="M51" s="233"/>
      <c r="N51" s="233"/>
      <c r="O51" s="233"/>
      <c r="P51" s="110"/>
      <c r="Q51" s="110"/>
      <c r="R51" s="110"/>
      <c r="S51" s="110"/>
      <c r="T51" s="110"/>
      <c r="U51" s="110"/>
    </row>
    <row r="52" ht="13.5" customHeight="1">
      <c r="A52" s="228"/>
      <c r="B52" s="237"/>
      <c r="C52" s="238"/>
      <c r="D52" s="239"/>
      <c r="E52" s="232"/>
      <c r="F52" s="233"/>
      <c r="G52" s="233"/>
      <c r="H52" s="233"/>
      <c r="I52" s="233"/>
      <c r="J52" s="233"/>
      <c r="K52" s="233"/>
      <c r="L52" s="233"/>
      <c r="M52" s="233"/>
      <c r="N52" s="233"/>
      <c r="O52" s="233"/>
      <c r="P52" s="110"/>
      <c r="Q52" s="110"/>
      <c r="R52" s="110"/>
      <c r="S52" s="110"/>
      <c r="T52" s="110"/>
      <c r="U52" s="110"/>
    </row>
    <row r="53" ht="13.5" customHeight="1">
      <c r="A53" s="176" t="s">
        <v>367</v>
      </c>
      <c r="B53" s="240" t="s">
        <v>368</v>
      </c>
      <c r="C53" s="225"/>
      <c r="D53" s="241"/>
      <c r="E53" s="200"/>
      <c r="F53" s="201" t="s">
        <v>38</v>
      </c>
      <c r="G53" s="201" t="s">
        <v>220</v>
      </c>
      <c r="H53" s="201" t="s">
        <v>220</v>
      </c>
      <c r="I53" s="201" t="s">
        <v>38</v>
      </c>
      <c r="J53" s="201"/>
      <c r="K53" s="201"/>
      <c r="L53" s="201"/>
      <c r="M53" s="201"/>
      <c r="N53" s="201"/>
      <c r="O53" s="201"/>
      <c r="P53" s="110"/>
      <c r="Q53" s="110"/>
      <c r="R53" s="110"/>
      <c r="S53" s="110"/>
      <c r="T53" s="110"/>
      <c r="U53" s="110"/>
    </row>
    <row r="54" ht="13.5" customHeight="1">
      <c r="A54" s="260"/>
      <c r="B54" s="204" t="s">
        <v>369</v>
      </c>
      <c r="C54" s="12"/>
      <c r="D54" s="13"/>
      <c r="E54" s="205"/>
      <c r="F54" s="206"/>
      <c r="G54" s="206"/>
      <c r="H54" s="206"/>
      <c r="I54" s="206"/>
      <c r="J54" s="206"/>
      <c r="K54" s="206"/>
      <c r="L54" s="206"/>
      <c r="M54" s="206"/>
      <c r="N54" s="206"/>
      <c r="O54" s="206"/>
      <c r="P54" s="110"/>
      <c r="Q54" s="110"/>
      <c r="R54" s="110"/>
      <c r="S54" s="110"/>
      <c r="T54" s="110"/>
      <c r="U54" s="110"/>
    </row>
    <row r="55" ht="13.5" customHeight="1">
      <c r="A55" s="260"/>
      <c r="B55" s="208" t="s">
        <v>371</v>
      </c>
      <c r="C55" s="12"/>
      <c r="D55" s="13"/>
      <c r="E55" s="209"/>
      <c r="F55" s="210"/>
      <c r="G55" s="210"/>
      <c r="H55" s="210"/>
      <c r="I55" s="210"/>
      <c r="J55" s="210"/>
      <c r="K55" s="210"/>
      <c r="L55" s="210"/>
      <c r="M55" s="210"/>
      <c r="N55" s="210"/>
      <c r="O55" s="210"/>
      <c r="P55" s="110"/>
      <c r="Q55" s="110"/>
      <c r="R55" s="110"/>
      <c r="S55" s="110"/>
      <c r="T55" s="110"/>
      <c r="U55" s="110"/>
    </row>
    <row r="56" ht="12.0" customHeight="1">
      <c r="A56" s="261"/>
      <c r="B56" s="215" t="s">
        <v>372</v>
      </c>
      <c r="C56" s="216"/>
      <c r="D56" s="217"/>
      <c r="E56" s="218"/>
      <c r="F56" s="219"/>
      <c r="G56" s="219"/>
      <c r="H56" s="219"/>
      <c r="I56" s="219"/>
      <c r="J56" s="219"/>
      <c r="K56" s="219"/>
      <c r="L56" s="219"/>
      <c r="M56" s="219"/>
      <c r="N56" s="219"/>
      <c r="O56" s="219"/>
      <c r="P56" s="110"/>
      <c r="Q56" s="110"/>
      <c r="R56" s="110"/>
      <c r="S56" s="110"/>
      <c r="T56" s="110"/>
      <c r="U56" s="110"/>
    </row>
    <row r="57" ht="12.0" customHeight="1">
      <c r="A57" s="143"/>
      <c r="B57" s="110"/>
      <c r="C57" s="111"/>
      <c r="D57" s="110"/>
      <c r="E57" s="110"/>
      <c r="F57" s="110"/>
      <c r="G57" s="110"/>
      <c r="H57" s="110"/>
      <c r="I57" s="110"/>
      <c r="J57" s="110"/>
      <c r="K57" s="110"/>
      <c r="L57" s="110"/>
      <c r="M57" s="110"/>
      <c r="N57" s="110"/>
      <c r="O57" s="110"/>
      <c r="P57" s="110"/>
      <c r="Q57" s="110"/>
      <c r="R57" s="110"/>
      <c r="S57" s="110"/>
      <c r="T57" s="110"/>
      <c r="U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row>
    <row r="251" ht="13.5" customHeight="1">
      <c r="A251" s="110"/>
      <c r="B251" s="143"/>
      <c r="C251" s="110"/>
      <c r="D251" s="111"/>
      <c r="E251" s="110"/>
      <c r="F251" s="110"/>
      <c r="G251" s="110"/>
      <c r="H251" s="110"/>
      <c r="I251" s="110"/>
      <c r="J251" s="110"/>
      <c r="K251" s="110"/>
      <c r="L251" s="110"/>
      <c r="M251" s="110"/>
      <c r="N251" s="110"/>
      <c r="O251" s="110"/>
      <c r="P251" s="110"/>
      <c r="Q251" s="110"/>
      <c r="R251" s="110"/>
      <c r="S251" s="110"/>
      <c r="T251" s="110"/>
      <c r="U251" s="110"/>
    </row>
    <row r="252" ht="13.5" customHeight="1">
      <c r="A252" s="110"/>
      <c r="B252" s="143"/>
      <c r="C252" s="110"/>
      <c r="D252" s="111"/>
      <c r="E252" s="110"/>
      <c r="F252" s="110"/>
      <c r="G252" s="110"/>
      <c r="H252" s="110"/>
      <c r="I252" s="110"/>
      <c r="J252" s="110"/>
      <c r="K252" s="110"/>
      <c r="L252" s="110"/>
      <c r="M252" s="110"/>
      <c r="N252" s="110"/>
      <c r="O252" s="110"/>
      <c r="P252" s="110"/>
      <c r="Q252" s="110"/>
      <c r="R252" s="110"/>
      <c r="S252" s="110"/>
      <c r="T252" s="110"/>
      <c r="U252" s="110"/>
    </row>
    <row r="253" ht="13.5" customHeight="1">
      <c r="A253" s="110"/>
      <c r="B253" s="143"/>
      <c r="C253" s="110"/>
      <c r="D253" s="111"/>
      <c r="E253" s="110"/>
      <c r="F253" s="110"/>
      <c r="G253" s="110"/>
      <c r="H253" s="110"/>
      <c r="I253" s="110"/>
      <c r="J253" s="110"/>
      <c r="K253" s="110"/>
      <c r="L253" s="110"/>
      <c r="M253" s="110"/>
      <c r="N253" s="110"/>
      <c r="O253" s="110"/>
      <c r="P253" s="110"/>
      <c r="Q253" s="110"/>
      <c r="R253" s="110"/>
      <c r="S253" s="110"/>
      <c r="T253" s="110"/>
      <c r="U253" s="110"/>
    </row>
    <row r="254" ht="13.5" customHeight="1">
      <c r="A254" s="110"/>
      <c r="B254" s="143"/>
      <c r="C254" s="110"/>
      <c r="D254" s="111"/>
      <c r="E254" s="110"/>
      <c r="F254" s="110"/>
      <c r="G254" s="110"/>
      <c r="H254" s="110"/>
      <c r="I254" s="110"/>
      <c r="J254" s="110"/>
      <c r="K254" s="110"/>
      <c r="L254" s="110"/>
      <c r="M254" s="110"/>
      <c r="N254" s="110"/>
      <c r="O254" s="110"/>
      <c r="P254" s="110"/>
      <c r="Q254" s="110"/>
      <c r="R254" s="110"/>
      <c r="S254" s="110"/>
      <c r="T254" s="110"/>
      <c r="U254" s="110"/>
    </row>
    <row r="255" ht="13.5" customHeight="1">
      <c r="A255" s="110"/>
      <c r="B255" s="143"/>
      <c r="C255" s="110"/>
      <c r="D255" s="111"/>
      <c r="E255" s="110"/>
      <c r="F255" s="110"/>
      <c r="G255" s="110"/>
      <c r="H255" s="110"/>
      <c r="I255" s="110"/>
      <c r="J255" s="110"/>
      <c r="K255" s="110"/>
      <c r="L255" s="110"/>
      <c r="M255" s="110"/>
      <c r="N255" s="110"/>
      <c r="O255" s="110"/>
      <c r="P255" s="110"/>
      <c r="Q255" s="110"/>
      <c r="R255" s="110"/>
      <c r="S255" s="110"/>
      <c r="T255" s="110"/>
      <c r="U255" s="110"/>
    </row>
    <row r="256" ht="13.5" customHeight="1">
      <c r="A256" s="110"/>
      <c r="B256" s="143"/>
      <c r="C256" s="110"/>
      <c r="D256" s="111"/>
      <c r="E256" s="110"/>
      <c r="F256" s="110"/>
      <c r="G256" s="110"/>
      <c r="H256" s="110"/>
      <c r="I256" s="110"/>
      <c r="J256" s="110"/>
      <c r="K256" s="110"/>
      <c r="L256" s="110"/>
      <c r="M256" s="110"/>
      <c r="N256" s="110"/>
      <c r="O256" s="110"/>
      <c r="P256" s="110"/>
      <c r="Q256" s="110"/>
      <c r="R256" s="110"/>
      <c r="S256" s="110"/>
      <c r="T256" s="110"/>
      <c r="U256" s="110"/>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B2"/>
    <mergeCell ref="C2:E2"/>
    <mergeCell ref="F2:K2"/>
    <mergeCell ref="L2:O2"/>
    <mergeCell ref="C3:E3"/>
    <mergeCell ref="F3:K3"/>
    <mergeCell ref="L3:N3"/>
    <mergeCell ref="A3:B3"/>
    <mergeCell ref="A4:B4"/>
    <mergeCell ref="C4:D4"/>
    <mergeCell ref="F4:K4"/>
    <mergeCell ref="L4:O4"/>
    <mergeCell ref="A5:B5"/>
    <mergeCell ref="C5:O5"/>
    <mergeCell ref="D20:E20"/>
    <mergeCell ref="B53:D53"/>
    <mergeCell ref="B54:D54"/>
    <mergeCell ref="B55:D55"/>
    <mergeCell ref="B56:D56"/>
    <mergeCell ref="A6:B6"/>
    <mergeCell ref="C6:E6"/>
    <mergeCell ref="F6:K6"/>
    <mergeCell ref="L6:N6"/>
    <mergeCell ref="A7:B7"/>
    <mergeCell ref="C7:E7"/>
    <mergeCell ref="F7:K7"/>
  </mergeCells>
  <dataValidations>
    <dataValidation type="list" allowBlank="1" showInputMessage="1" showErrorMessage="1" prompt=" - " sqref="F54:O54">
      <formula1>"P,F"</formula1>
    </dataValidation>
    <dataValidation type="list" allowBlank="1" showInputMessage="1" showErrorMessage="1" prompt=" - " sqref="F10:O52">
      <formula1>"O"</formula1>
    </dataValidation>
    <dataValidation type="list" allowBlank="1" showInputMessage="1" showErrorMessage="1" prompt=" - " sqref="F53:O53">
      <formula1>"N,A,B"</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3.7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249"/>
      <c r="W1" s="249"/>
      <c r="X1" s="249"/>
      <c r="Y1" s="249"/>
      <c r="Z1" s="249"/>
    </row>
    <row r="2" ht="13.5" customHeight="1">
      <c r="A2" s="112" t="s">
        <v>337</v>
      </c>
      <c r="B2" s="113"/>
      <c r="C2" s="250" t="str">
        <f>Functions!E15</f>
        <v>F-05</v>
      </c>
      <c r="D2" s="251"/>
      <c r="E2" s="252"/>
      <c r="F2" s="116" t="s">
        <v>71</v>
      </c>
      <c r="G2" s="117"/>
      <c r="H2" s="117"/>
      <c r="I2" s="117"/>
      <c r="J2" s="117"/>
      <c r="K2" s="117"/>
      <c r="L2" s="118" t="str">
        <f>Functions!D15</f>
        <v>Goods receipt posting and warehouse balances</v>
      </c>
      <c r="M2" s="113"/>
      <c r="N2" s="113"/>
      <c r="O2" s="119"/>
      <c r="P2" s="110"/>
      <c r="Q2" s="120"/>
      <c r="R2" s="110"/>
      <c r="S2" s="110"/>
      <c r="T2" s="110"/>
      <c r="U2" s="110"/>
      <c r="V2" s="249"/>
      <c r="W2" s="249"/>
      <c r="X2" s="249"/>
      <c r="Y2" s="249"/>
      <c r="Z2" s="249"/>
    </row>
    <row r="3" ht="13.5" customHeight="1">
      <c r="A3" s="121" t="s">
        <v>338</v>
      </c>
      <c r="B3" s="13"/>
      <c r="C3" s="253" t="s">
        <v>183</v>
      </c>
      <c r="D3" s="123"/>
      <c r="E3" s="124"/>
      <c r="F3" s="125" t="s">
        <v>339</v>
      </c>
      <c r="G3" s="12"/>
      <c r="H3" s="12"/>
      <c r="I3" s="12"/>
      <c r="J3" s="12"/>
      <c r="K3" s="13"/>
      <c r="L3" s="126"/>
      <c r="M3" s="123"/>
      <c r="N3" s="123"/>
      <c r="O3" s="127"/>
      <c r="P3" s="110"/>
      <c r="Q3" s="110"/>
      <c r="R3" s="110"/>
      <c r="S3" s="110"/>
      <c r="T3" s="110"/>
      <c r="U3" s="110"/>
      <c r="V3" s="249"/>
      <c r="W3" s="249"/>
      <c r="X3" s="249"/>
      <c r="Y3" s="249"/>
      <c r="Z3" s="249"/>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c r="V4" s="249"/>
      <c r="W4" s="249"/>
      <c r="X4" s="249"/>
      <c r="Y4" s="249"/>
      <c r="Z4" s="249"/>
    </row>
    <row r="5" ht="13.5" customHeight="1">
      <c r="A5" s="121" t="s">
        <v>342</v>
      </c>
      <c r="B5" s="13"/>
      <c r="C5" s="132" t="s">
        <v>123</v>
      </c>
      <c r="D5" s="12"/>
      <c r="E5" s="12"/>
      <c r="F5" s="12"/>
      <c r="G5" s="12"/>
      <c r="H5" s="12"/>
      <c r="I5" s="12"/>
      <c r="J5" s="12"/>
      <c r="K5" s="12"/>
      <c r="L5" s="12"/>
      <c r="M5" s="12"/>
      <c r="N5" s="12"/>
      <c r="O5" s="131"/>
      <c r="P5" s="110"/>
      <c r="Q5" s="110"/>
      <c r="R5" s="110"/>
      <c r="S5" s="110"/>
      <c r="T5" s="110"/>
      <c r="U5" s="110"/>
      <c r="V5" s="249"/>
      <c r="W5" s="249"/>
      <c r="X5" s="249"/>
      <c r="Y5" s="249"/>
      <c r="Z5" s="249"/>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c r="V6" s="249"/>
      <c r="W6" s="249"/>
      <c r="X6" s="249"/>
      <c r="Y6" s="249"/>
      <c r="Z6" s="249"/>
    </row>
    <row r="7" ht="13.5" customHeight="1">
      <c r="A7" s="137">
        <f>COUNTIF(F44:O44,"P")</f>
        <v>0</v>
      </c>
      <c r="B7" s="138"/>
      <c r="C7" s="139">
        <f>COUNTIF(F44:O44,"F")</f>
        <v>0</v>
      </c>
      <c r="D7" s="140"/>
      <c r="E7" s="138"/>
      <c r="F7" s="139">
        <f>SUM(O7,-A7,-C7)</f>
        <v>5</v>
      </c>
      <c r="G7" s="140"/>
      <c r="H7" s="140"/>
      <c r="I7" s="140"/>
      <c r="J7" s="140"/>
      <c r="K7" s="138"/>
      <c r="L7" s="141">
        <f>COUNTIF(F43:O43,"N")</f>
        <v>3</v>
      </c>
      <c r="M7" s="141">
        <f>COUNTIF(F43:O43,"A")</f>
        <v>2</v>
      </c>
      <c r="N7" s="141">
        <f>COUNTIF(F43:O43,"B")</f>
        <v>0</v>
      </c>
      <c r="O7" s="142">
        <f>COUNTA(F9:O9)</f>
        <v>5</v>
      </c>
      <c r="P7" s="242"/>
      <c r="Q7" s="110"/>
      <c r="R7" s="110"/>
      <c r="S7" s="110"/>
      <c r="T7" s="110"/>
      <c r="U7" s="110"/>
      <c r="V7" s="249"/>
      <c r="W7" s="249"/>
      <c r="X7" s="249"/>
      <c r="Y7" s="249"/>
      <c r="Z7" s="249"/>
    </row>
    <row r="8" ht="12.0" customHeight="1">
      <c r="A8" s="110"/>
      <c r="B8" s="143"/>
      <c r="C8" s="110"/>
      <c r="D8" s="111"/>
      <c r="E8" s="110"/>
      <c r="F8" s="110"/>
      <c r="G8" s="110"/>
      <c r="H8" s="110"/>
      <c r="I8" s="110"/>
      <c r="J8" s="110"/>
      <c r="K8" s="110"/>
      <c r="L8" s="110"/>
      <c r="M8" s="110"/>
      <c r="N8" s="110"/>
      <c r="O8" s="110"/>
      <c r="P8" s="110"/>
      <c r="Q8" s="110"/>
      <c r="R8" s="110"/>
      <c r="S8" s="110"/>
      <c r="T8" s="110"/>
      <c r="U8" s="110"/>
      <c r="V8" s="249"/>
      <c r="W8" s="249"/>
      <c r="X8" s="249"/>
      <c r="Y8" s="249"/>
      <c r="Z8" s="249"/>
    </row>
    <row r="9" ht="45.0" customHeight="1">
      <c r="A9" s="243"/>
      <c r="B9" s="244"/>
      <c r="C9" s="245"/>
      <c r="D9" s="246"/>
      <c r="E9" s="245"/>
      <c r="F9" s="247" t="s">
        <v>344</v>
      </c>
      <c r="G9" s="247" t="s">
        <v>345</v>
      </c>
      <c r="H9" s="247" t="s">
        <v>346</v>
      </c>
      <c r="I9" s="247" t="s">
        <v>347</v>
      </c>
      <c r="J9" s="247" t="s">
        <v>348</v>
      </c>
      <c r="K9" s="247"/>
      <c r="L9" s="247"/>
      <c r="M9" s="247"/>
      <c r="N9" s="247"/>
      <c r="O9" s="247"/>
      <c r="P9" s="150"/>
      <c r="Q9" s="120"/>
      <c r="R9" s="110"/>
      <c r="S9" s="110"/>
      <c r="T9" s="110"/>
      <c r="U9" s="110"/>
      <c r="V9" s="249"/>
      <c r="W9" s="249"/>
      <c r="X9" s="249"/>
      <c r="Y9" s="249"/>
      <c r="Z9" s="249"/>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c r="V10" s="249"/>
      <c r="W10" s="249"/>
      <c r="X10" s="249"/>
      <c r="Y10" s="249"/>
      <c r="Z10" s="249"/>
    </row>
    <row r="11" ht="13.5" customHeight="1">
      <c r="A11" s="162"/>
      <c r="B11" s="163"/>
      <c r="C11" s="171"/>
      <c r="D11" s="174" t="s">
        <v>407</v>
      </c>
      <c r="E11" s="155"/>
      <c r="F11" s="165" t="s">
        <v>353</v>
      </c>
      <c r="G11" s="165"/>
      <c r="H11" s="165"/>
      <c r="I11" s="165"/>
      <c r="J11" s="165"/>
      <c r="K11" s="165"/>
      <c r="L11" s="165"/>
      <c r="M11" s="165"/>
      <c r="N11" s="165"/>
      <c r="O11" s="165"/>
      <c r="P11" s="110"/>
      <c r="Q11" s="120"/>
      <c r="R11" s="110"/>
      <c r="S11" s="110"/>
      <c r="T11" s="110"/>
      <c r="U11" s="110"/>
      <c r="V11" s="249"/>
      <c r="W11" s="249"/>
      <c r="X11" s="249"/>
      <c r="Y11" s="249"/>
      <c r="Z11" s="249"/>
    </row>
    <row r="12" ht="13.5" customHeight="1">
      <c r="A12" s="162"/>
      <c r="B12" s="163"/>
      <c r="C12" s="171"/>
      <c r="D12" s="174" t="s">
        <v>408</v>
      </c>
      <c r="E12" s="155"/>
      <c r="F12" s="165"/>
      <c r="G12" s="165" t="s">
        <v>353</v>
      </c>
      <c r="H12" s="165"/>
      <c r="I12" s="165"/>
      <c r="J12" s="165"/>
      <c r="K12" s="165"/>
      <c r="L12" s="165"/>
      <c r="M12" s="165"/>
      <c r="N12" s="165"/>
      <c r="O12" s="165"/>
      <c r="P12" s="110"/>
      <c r="Q12" s="110"/>
      <c r="R12" s="110"/>
      <c r="S12" s="110"/>
      <c r="T12" s="110"/>
      <c r="U12" s="110"/>
      <c r="V12" s="249"/>
      <c r="W12" s="249"/>
      <c r="X12" s="249"/>
      <c r="Y12" s="249"/>
      <c r="Z12" s="249"/>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c r="V13" s="249"/>
      <c r="W13" s="249"/>
      <c r="X13" s="249"/>
      <c r="Y13" s="249"/>
      <c r="Z13" s="249"/>
    </row>
    <row r="14" ht="13.5" customHeight="1">
      <c r="A14" s="162"/>
      <c r="B14" s="163"/>
      <c r="C14" s="171"/>
      <c r="D14" s="174" t="s">
        <v>409</v>
      </c>
      <c r="E14" s="173"/>
      <c r="F14" s="165"/>
      <c r="G14" s="165"/>
      <c r="H14" s="165" t="s">
        <v>353</v>
      </c>
      <c r="I14" s="165"/>
      <c r="J14" s="165"/>
      <c r="K14" s="165"/>
      <c r="L14" s="165"/>
      <c r="M14" s="165"/>
      <c r="N14" s="165"/>
      <c r="O14" s="165"/>
      <c r="P14" s="110"/>
      <c r="Q14" s="110"/>
      <c r="R14" s="110"/>
      <c r="S14" s="110"/>
      <c r="T14" s="110"/>
      <c r="U14" s="110"/>
      <c r="V14" s="249"/>
      <c r="W14" s="249"/>
      <c r="X14" s="249"/>
      <c r="Y14" s="249"/>
      <c r="Z14" s="249"/>
    </row>
    <row r="15" ht="13.5" customHeight="1">
      <c r="A15" s="162"/>
      <c r="B15" s="163"/>
      <c r="C15" s="171"/>
      <c r="D15" s="174" t="s">
        <v>410</v>
      </c>
      <c r="E15" s="173"/>
      <c r="F15" s="165"/>
      <c r="G15" s="165"/>
      <c r="H15" s="165"/>
      <c r="I15" s="165" t="s">
        <v>353</v>
      </c>
      <c r="J15" s="165"/>
      <c r="K15" s="165"/>
      <c r="L15" s="165"/>
      <c r="M15" s="165"/>
      <c r="N15" s="165"/>
      <c r="O15" s="165"/>
      <c r="P15" s="110"/>
      <c r="Q15" s="110"/>
      <c r="R15" s="110"/>
      <c r="S15" s="110"/>
      <c r="T15" s="110"/>
      <c r="U15" s="110"/>
      <c r="V15" s="249"/>
      <c r="W15" s="249"/>
      <c r="X15" s="249"/>
      <c r="Y15" s="249"/>
      <c r="Z15" s="249"/>
    </row>
    <row r="16" ht="13.5" customHeight="1">
      <c r="A16" s="162"/>
      <c r="B16" s="163"/>
      <c r="C16" s="171"/>
      <c r="D16" s="174" t="s">
        <v>411</v>
      </c>
      <c r="E16" s="173"/>
      <c r="F16" s="165"/>
      <c r="G16" s="165"/>
      <c r="H16" s="165"/>
      <c r="I16" s="165"/>
      <c r="J16" s="165" t="s">
        <v>353</v>
      </c>
      <c r="K16" s="165"/>
      <c r="L16" s="165"/>
      <c r="M16" s="165"/>
      <c r="N16" s="165"/>
      <c r="O16" s="165"/>
      <c r="P16" s="110"/>
      <c r="Q16" s="110"/>
      <c r="R16" s="110"/>
      <c r="S16" s="110"/>
      <c r="T16" s="110"/>
      <c r="U16" s="110"/>
      <c r="V16" s="249"/>
      <c r="W16" s="249"/>
      <c r="X16" s="249"/>
      <c r="Y16" s="249"/>
      <c r="Z16" s="249"/>
    </row>
    <row r="17" ht="13.5" customHeight="1">
      <c r="A17" s="162"/>
      <c r="B17" s="163"/>
      <c r="C17" s="171"/>
      <c r="D17" s="174"/>
      <c r="E17" s="173"/>
      <c r="F17" s="165"/>
      <c r="G17" s="165"/>
      <c r="H17" s="165"/>
      <c r="I17" s="165"/>
      <c r="J17" s="165"/>
      <c r="K17" s="165"/>
      <c r="L17" s="165"/>
      <c r="M17" s="165"/>
      <c r="N17" s="165"/>
      <c r="O17" s="165"/>
      <c r="P17" s="175"/>
      <c r="Q17" s="110"/>
      <c r="R17" s="110"/>
      <c r="S17" s="110"/>
      <c r="T17" s="110"/>
      <c r="U17" s="110"/>
      <c r="V17" s="249"/>
      <c r="W17" s="249"/>
      <c r="X17" s="249"/>
      <c r="Y17" s="249"/>
      <c r="Z17" s="249"/>
    </row>
    <row r="18" ht="13.5" customHeight="1">
      <c r="A18" s="162"/>
      <c r="B18" s="163"/>
      <c r="C18" s="171"/>
      <c r="D18" s="174"/>
      <c r="E18" s="173"/>
      <c r="F18" s="165"/>
      <c r="G18" s="165"/>
      <c r="H18" s="165"/>
      <c r="I18" s="165"/>
      <c r="J18" s="165"/>
      <c r="K18" s="165"/>
      <c r="L18" s="165"/>
      <c r="M18" s="165"/>
      <c r="N18" s="165"/>
      <c r="O18" s="165"/>
      <c r="P18" s="175"/>
      <c r="Q18" s="110"/>
      <c r="R18" s="110"/>
      <c r="S18" s="110"/>
      <c r="T18" s="110"/>
      <c r="U18" s="110"/>
      <c r="V18" s="249"/>
      <c r="W18" s="249"/>
      <c r="X18" s="249"/>
      <c r="Y18" s="249"/>
      <c r="Z18" s="249"/>
    </row>
    <row r="19" ht="13.5" customHeight="1">
      <c r="A19" s="162"/>
      <c r="B19" s="163"/>
      <c r="C19" s="171"/>
      <c r="D19" s="111"/>
      <c r="F19" s="165"/>
      <c r="G19" s="165"/>
      <c r="H19" s="165"/>
      <c r="I19" s="165"/>
      <c r="J19" s="165"/>
      <c r="K19" s="165"/>
      <c r="L19" s="165"/>
      <c r="M19" s="165"/>
      <c r="N19" s="165"/>
      <c r="O19" s="165"/>
      <c r="P19" s="175"/>
      <c r="Q19" s="110"/>
      <c r="R19" s="110"/>
      <c r="S19" s="110"/>
      <c r="T19" s="110"/>
      <c r="U19" s="110"/>
      <c r="V19" s="249"/>
      <c r="W19" s="249"/>
      <c r="X19" s="249"/>
      <c r="Y19" s="249"/>
      <c r="Z19" s="249"/>
    </row>
    <row r="20" ht="13.5" customHeight="1">
      <c r="A20" s="162"/>
      <c r="B20" s="163"/>
      <c r="C20" s="171"/>
      <c r="D20" s="259"/>
      <c r="E20" s="13"/>
      <c r="F20" s="165"/>
      <c r="G20" s="165"/>
      <c r="H20" s="165"/>
      <c r="I20" s="165"/>
      <c r="J20" s="165"/>
      <c r="K20" s="165"/>
      <c r="L20" s="165"/>
      <c r="M20" s="165"/>
      <c r="N20" s="165"/>
      <c r="O20" s="165"/>
      <c r="P20" s="110"/>
      <c r="Q20" s="110"/>
      <c r="R20" s="110"/>
      <c r="S20" s="110"/>
      <c r="T20" s="110"/>
      <c r="U20" s="110"/>
      <c r="V20" s="249"/>
      <c r="W20" s="249"/>
      <c r="X20" s="249"/>
      <c r="Y20" s="249"/>
      <c r="Z20" s="249"/>
    </row>
    <row r="21" ht="13.5" customHeight="1">
      <c r="A21" s="162"/>
      <c r="B21" s="163"/>
      <c r="C21" s="171"/>
      <c r="D21" s="174"/>
      <c r="E21" s="173"/>
      <c r="F21" s="165"/>
      <c r="G21" s="165"/>
      <c r="H21" s="165"/>
      <c r="I21" s="165"/>
      <c r="J21" s="165"/>
      <c r="K21" s="165"/>
      <c r="L21" s="165"/>
      <c r="M21" s="165"/>
      <c r="N21" s="165"/>
      <c r="O21" s="165"/>
      <c r="P21" s="110"/>
      <c r="Q21" s="110"/>
      <c r="R21" s="110"/>
      <c r="S21" s="110"/>
      <c r="T21" s="110"/>
      <c r="U21" s="110"/>
      <c r="V21" s="249"/>
      <c r="W21" s="249"/>
      <c r="X21" s="249"/>
      <c r="Y21" s="249"/>
      <c r="Z21" s="249"/>
    </row>
    <row r="22" ht="13.5" customHeight="1">
      <c r="A22" s="162"/>
      <c r="B22" s="163"/>
      <c r="C22" s="171"/>
      <c r="D22" s="174"/>
      <c r="E22" s="173"/>
      <c r="F22" s="165"/>
      <c r="G22" s="165"/>
      <c r="H22" s="165"/>
      <c r="I22" s="165"/>
      <c r="J22" s="165"/>
      <c r="K22" s="165"/>
      <c r="L22" s="165"/>
      <c r="M22" s="165"/>
      <c r="N22" s="165"/>
      <c r="O22" s="165"/>
      <c r="P22" s="110"/>
      <c r="Q22" s="110"/>
      <c r="R22" s="110"/>
      <c r="S22" s="110"/>
      <c r="T22" s="110"/>
      <c r="U22" s="110"/>
      <c r="V22" s="249"/>
      <c r="W22" s="249"/>
      <c r="X22" s="249"/>
      <c r="Y22" s="249"/>
      <c r="Z22" s="249"/>
    </row>
    <row r="23" ht="13.5" customHeight="1">
      <c r="A23" s="162"/>
      <c r="B23" s="163"/>
      <c r="C23" s="171"/>
      <c r="D23" s="174"/>
      <c r="E23" s="173"/>
      <c r="F23" s="165"/>
      <c r="G23" s="165"/>
      <c r="H23" s="165"/>
      <c r="I23" s="165"/>
      <c r="J23" s="165"/>
      <c r="K23" s="165"/>
      <c r="L23" s="165"/>
      <c r="M23" s="165"/>
      <c r="N23" s="165"/>
      <c r="O23" s="165"/>
      <c r="P23" s="110"/>
      <c r="Q23" s="110"/>
      <c r="R23" s="110"/>
      <c r="S23" s="110"/>
      <c r="T23" s="110"/>
      <c r="U23" s="110"/>
      <c r="V23" s="249"/>
      <c r="W23" s="249"/>
      <c r="X23" s="249"/>
      <c r="Y23" s="249"/>
      <c r="Z23" s="249"/>
    </row>
    <row r="24" ht="13.5" customHeight="1">
      <c r="A24" s="162"/>
      <c r="B24" s="163"/>
      <c r="C24" s="171"/>
      <c r="D24" s="174"/>
      <c r="E24" s="173"/>
      <c r="F24" s="165"/>
      <c r="G24" s="165"/>
      <c r="H24" s="165"/>
      <c r="I24" s="165"/>
      <c r="J24" s="165"/>
      <c r="K24" s="165"/>
      <c r="L24" s="165"/>
      <c r="M24" s="165"/>
      <c r="N24" s="165"/>
      <c r="O24" s="165"/>
      <c r="P24" s="110"/>
      <c r="Q24" s="110"/>
      <c r="R24" s="110"/>
      <c r="S24" s="110"/>
      <c r="T24" s="110"/>
      <c r="U24" s="110"/>
      <c r="V24" s="249"/>
      <c r="W24" s="249"/>
      <c r="X24" s="249"/>
      <c r="Y24" s="249"/>
      <c r="Z24" s="249"/>
    </row>
    <row r="25" ht="13.5" customHeight="1">
      <c r="A25" s="162"/>
      <c r="B25" s="163"/>
      <c r="C25" s="171"/>
      <c r="D25" s="174"/>
      <c r="E25" s="173"/>
      <c r="F25" s="165"/>
      <c r="G25" s="165"/>
      <c r="H25" s="165"/>
      <c r="I25" s="165"/>
      <c r="J25" s="165"/>
      <c r="K25" s="165"/>
      <c r="L25" s="165"/>
      <c r="M25" s="165"/>
      <c r="N25" s="165"/>
      <c r="O25" s="165"/>
      <c r="P25" s="110"/>
      <c r="Q25" s="110"/>
      <c r="R25" s="110"/>
      <c r="S25" s="110"/>
      <c r="T25" s="110"/>
      <c r="U25" s="110"/>
      <c r="V25" s="249"/>
      <c r="W25" s="249"/>
      <c r="X25" s="249"/>
      <c r="Y25" s="249"/>
      <c r="Z25" s="249"/>
    </row>
    <row r="26" ht="13.5" customHeight="1">
      <c r="A26" s="162"/>
      <c r="B26" s="163"/>
      <c r="C26" s="171"/>
      <c r="D26" s="174"/>
      <c r="E26" s="173"/>
      <c r="F26" s="165"/>
      <c r="G26" s="165"/>
      <c r="H26" s="165"/>
      <c r="I26" s="165"/>
      <c r="J26" s="165"/>
      <c r="K26" s="165"/>
      <c r="L26" s="165"/>
      <c r="M26" s="165"/>
      <c r="N26" s="165"/>
      <c r="O26" s="165"/>
      <c r="P26" s="110"/>
      <c r="Q26" s="110"/>
      <c r="R26" s="110"/>
      <c r="S26" s="110"/>
      <c r="T26" s="110"/>
      <c r="U26" s="110"/>
      <c r="V26" s="249"/>
      <c r="W26" s="249"/>
      <c r="X26" s="249"/>
      <c r="Y26" s="249"/>
      <c r="Z26" s="249"/>
    </row>
    <row r="27" ht="13.5" customHeight="1">
      <c r="A27" s="157"/>
      <c r="B27" s="158"/>
      <c r="C27" s="226"/>
      <c r="D27" s="172"/>
      <c r="E27" s="227"/>
      <c r="F27" s="156"/>
      <c r="G27" s="156"/>
      <c r="H27" s="156"/>
      <c r="I27" s="156"/>
      <c r="J27" s="156"/>
      <c r="K27" s="156"/>
      <c r="L27" s="156"/>
      <c r="M27" s="156"/>
      <c r="N27" s="156"/>
      <c r="O27" s="156"/>
      <c r="P27" s="110"/>
      <c r="Q27" s="110"/>
      <c r="R27" s="110"/>
      <c r="S27" s="110"/>
      <c r="T27" s="110"/>
      <c r="U27" s="110"/>
      <c r="V27" s="249"/>
      <c r="W27" s="249"/>
      <c r="X27" s="249"/>
      <c r="Y27" s="249"/>
      <c r="Z27" s="249"/>
    </row>
    <row r="28" ht="13.5" customHeight="1">
      <c r="A28" s="157"/>
      <c r="B28" s="158"/>
      <c r="C28" s="226"/>
      <c r="D28" s="172"/>
      <c r="E28" s="227"/>
      <c r="F28" s="156"/>
      <c r="G28" s="156"/>
      <c r="H28" s="156"/>
      <c r="I28" s="156"/>
      <c r="J28" s="156"/>
      <c r="K28" s="156"/>
      <c r="L28" s="156"/>
      <c r="M28" s="156"/>
      <c r="N28" s="156"/>
      <c r="O28" s="156"/>
      <c r="P28" s="110"/>
      <c r="Q28" s="110"/>
      <c r="R28" s="110"/>
      <c r="S28" s="110"/>
      <c r="T28" s="110"/>
      <c r="U28" s="110"/>
      <c r="V28" s="249"/>
      <c r="W28" s="249"/>
      <c r="X28" s="249"/>
      <c r="Y28" s="249"/>
      <c r="Z28" s="249"/>
    </row>
    <row r="29" ht="13.5" customHeight="1">
      <c r="A29" s="157"/>
      <c r="B29" s="158"/>
      <c r="C29" s="226"/>
      <c r="D29" s="172"/>
      <c r="E29" s="227"/>
      <c r="F29" s="156"/>
      <c r="G29" s="156"/>
      <c r="H29" s="156"/>
      <c r="I29" s="156"/>
      <c r="J29" s="156"/>
      <c r="K29" s="156"/>
      <c r="L29" s="156"/>
      <c r="M29" s="156"/>
      <c r="N29" s="156"/>
      <c r="O29" s="156"/>
      <c r="P29" s="110"/>
      <c r="Q29" s="110"/>
      <c r="R29" s="110"/>
      <c r="S29" s="110"/>
      <c r="T29" s="110"/>
      <c r="U29" s="110"/>
      <c r="V29" s="249"/>
      <c r="W29" s="249"/>
      <c r="X29" s="249"/>
      <c r="Y29" s="249"/>
      <c r="Z29" s="249"/>
    </row>
    <row r="30" ht="13.5" customHeight="1">
      <c r="A30" s="157"/>
      <c r="B30" s="158"/>
      <c r="C30" s="226"/>
      <c r="D30" s="172"/>
      <c r="E30" s="227"/>
      <c r="F30" s="156"/>
      <c r="G30" s="156"/>
      <c r="H30" s="156"/>
      <c r="I30" s="156"/>
      <c r="J30" s="156"/>
      <c r="K30" s="156"/>
      <c r="L30" s="156"/>
      <c r="M30" s="156"/>
      <c r="N30" s="156"/>
      <c r="O30" s="156"/>
      <c r="P30" s="110"/>
      <c r="Q30" s="110"/>
      <c r="R30" s="110"/>
      <c r="S30" s="110"/>
      <c r="T30" s="110"/>
      <c r="U30" s="110"/>
      <c r="V30" s="249"/>
      <c r="W30" s="249"/>
      <c r="X30" s="249"/>
      <c r="Y30" s="249"/>
      <c r="Z30" s="249"/>
    </row>
    <row r="31" ht="13.5" customHeight="1">
      <c r="A31" s="176" t="s">
        <v>359</v>
      </c>
      <c r="B31" s="177" t="s">
        <v>360</v>
      </c>
      <c r="C31" s="178"/>
      <c r="D31" s="179"/>
      <c r="E31" s="180"/>
      <c r="F31" s="156"/>
      <c r="G31" s="156"/>
      <c r="H31" s="156"/>
      <c r="I31" s="156"/>
      <c r="J31" s="156"/>
      <c r="K31" s="156"/>
      <c r="L31" s="156"/>
      <c r="M31" s="156"/>
      <c r="N31" s="156"/>
      <c r="O31" s="156"/>
      <c r="P31" s="110"/>
      <c r="Q31" s="110"/>
      <c r="R31" s="110"/>
      <c r="S31" s="110"/>
      <c r="T31" s="110"/>
      <c r="U31" s="110"/>
      <c r="V31" s="249"/>
      <c r="W31" s="249"/>
      <c r="X31" s="249"/>
      <c r="Y31" s="249"/>
      <c r="Z31" s="249"/>
    </row>
    <row r="32" ht="13.5" customHeight="1">
      <c r="A32" s="181"/>
      <c r="B32" s="254"/>
      <c r="C32" s="183"/>
      <c r="D32" s="184" t="s">
        <v>412</v>
      </c>
      <c r="E32" s="185"/>
      <c r="F32" s="165" t="s">
        <v>353</v>
      </c>
      <c r="G32" s="165"/>
      <c r="H32" s="165"/>
      <c r="I32" s="165"/>
      <c r="J32" s="165"/>
      <c r="K32" s="165"/>
      <c r="L32" s="165"/>
      <c r="M32" s="165"/>
      <c r="N32" s="165"/>
      <c r="O32" s="165"/>
      <c r="P32" s="110"/>
      <c r="Q32" s="110"/>
      <c r="R32" s="110"/>
      <c r="S32" s="110"/>
      <c r="T32" s="110"/>
      <c r="U32" s="110"/>
      <c r="V32" s="249"/>
      <c r="W32" s="249"/>
      <c r="X32" s="249"/>
      <c r="Y32" s="249"/>
      <c r="Z32" s="249"/>
    </row>
    <row r="33" ht="13.5" customHeight="1">
      <c r="A33" s="181"/>
      <c r="B33" s="255"/>
      <c r="C33" s="183"/>
      <c r="D33" s="184"/>
      <c r="E33" s="185"/>
      <c r="F33" s="165"/>
      <c r="G33" s="165"/>
      <c r="H33" s="165"/>
      <c r="I33" s="165"/>
      <c r="J33" s="165"/>
      <c r="K33" s="165"/>
      <c r="L33" s="165"/>
      <c r="M33" s="165"/>
      <c r="N33" s="165"/>
      <c r="O33" s="165"/>
      <c r="P33" s="110"/>
      <c r="Q33" s="110"/>
      <c r="R33" s="110"/>
      <c r="S33" s="110"/>
      <c r="T33" s="110"/>
      <c r="U33" s="110"/>
      <c r="V33" s="249"/>
      <c r="W33" s="249"/>
      <c r="X33" s="249"/>
      <c r="Y33" s="249"/>
      <c r="Z33" s="249"/>
    </row>
    <row r="34" ht="13.5" customHeight="1">
      <c r="A34" s="181"/>
      <c r="B34" s="254"/>
      <c r="C34" s="183"/>
      <c r="D34" s="184" t="s">
        <v>413</v>
      </c>
      <c r="E34" s="185"/>
      <c r="F34" s="165"/>
      <c r="G34" s="165" t="s">
        <v>353</v>
      </c>
      <c r="H34" s="165"/>
      <c r="I34" s="165"/>
      <c r="J34" s="165"/>
      <c r="K34" s="165"/>
      <c r="L34" s="165"/>
      <c r="M34" s="165"/>
      <c r="N34" s="165"/>
      <c r="O34" s="165"/>
      <c r="P34" s="110"/>
      <c r="Q34" s="110"/>
      <c r="R34" s="110"/>
      <c r="S34" s="110"/>
      <c r="T34" s="110"/>
      <c r="U34" s="110"/>
      <c r="V34" s="249"/>
      <c r="W34" s="249"/>
      <c r="X34" s="249"/>
      <c r="Y34" s="249"/>
      <c r="Z34" s="249"/>
    </row>
    <row r="35" ht="13.5" customHeight="1">
      <c r="A35" s="181"/>
      <c r="B35" s="254"/>
      <c r="C35" s="183"/>
      <c r="D35" s="184" t="s">
        <v>414</v>
      </c>
      <c r="E35" s="185"/>
      <c r="F35" s="165"/>
      <c r="G35" s="165"/>
      <c r="H35" s="165" t="s">
        <v>353</v>
      </c>
      <c r="I35" s="165"/>
      <c r="J35" s="165"/>
      <c r="K35" s="165"/>
      <c r="L35" s="165"/>
      <c r="M35" s="165"/>
      <c r="N35" s="165"/>
      <c r="O35" s="165"/>
      <c r="P35" s="110"/>
      <c r="Q35" s="110"/>
      <c r="R35" s="110"/>
      <c r="S35" s="110"/>
      <c r="T35" s="110"/>
      <c r="U35" s="110"/>
      <c r="V35" s="249"/>
      <c r="W35" s="249"/>
      <c r="X35" s="249"/>
      <c r="Y35" s="249"/>
      <c r="Z35" s="249"/>
    </row>
    <row r="36" ht="13.5" customHeight="1">
      <c r="A36" s="181"/>
      <c r="B36" s="254"/>
      <c r="C36" s="183"/>
      <c r="D36" s="184" t="s">
        <v>415</v>
      </c>
      <c r="E36" s="185"/>
      <c r="F36" s="165"/>
      <c r="G36" s="165"/>
      <c r="H36" s="165"/>
      <c r="I36" s="165" t="s">
        <v>353</v>
      </c>
      <c r="J36" s="165"/>
      <c r="K36" s="165"/>
      <c r="L36" s="165"/>
      <c r="M36" s="165"/>
      <c r="N36" s="165"/>
      <c r="O36" s="165"/>
      <c r="P36" s="110"/>
      <c r="Q36" s="110"/>
      <c r="R36" s="110"/>
      <c r="S36" s="110"/>
      <c r="T36" s="110"/>
      <c r="U36" s="110"/>
      <c r="V36" s="249"/>
      <c r="W36" s="249"/>
      <c r="X36" s="249"/>
      <c r="Y36" s="249"/>
      <c r="Z36" s="249"/>
    </row>
    <row r="37" ht="13.5" customHeight="1">
      <c r="A37" s="181"/>
      <c r="B37" s="254"/>
      <c r="C37" s="183"/>
      <c r="D37" s="184" t="s">
        <v>416</v>
      </c>
      <c r="E37" s="185"/>
      <c r="F37" s="165"/>
      <c r="G37" s="165"/>
      <c r="H37" s="165"/>
      <c r="I37" s="165"/>
      <c r="J37" s="165" t="s">
        <v>353</v>
      </c>
      <c r="K37" s="165"/>
      <c r="L37" s="165"/>
      <c r="M37" s="165"/>
      <c r="N37" s="165"/>
      <c r="O37" s="165"/>
      <c r="P37" s="110"/>
      <c r="Q37" s="110"/>
      <c r="R37" s="110"/>
      <c r="S37" s="110"/>
      <c r="T37" s="110"/>
      <c r="U37" s="110"/>
      <c r="V37" s="249"/>
      <c r="W37" s="249"/>
      <c r="X37" s="249"/>
      <c r="Y37" s="249"/>
      <c r="Z37" s="249"/>
    </row>
    <row r="38" ht="13.5" customHeight="1">
      <c r="A38" s="181"/>
      <c r="B38" s="182"/>
      <c r="C38" s="183"/>
      <c r="D38" s="184"/>
      <c r="E38" s="188"/>
      <c r="F38" s="165"/>
      <c r="G38" s="165"/>
      <c r="H38" s="165"/>
      <c r="I38" s="165"/>
      <c r="J38" s="165"/>
      <c r="K38" s="165"/>
      <c r="L38" s="165"/>
      <c r="M38" s="165"/>
      <c r="N38" s="165"/>
      <c r="O38" s="165"/>
      <c r="P38" s="110"/>
      <c r="Q38" s="110"/>
      <c r="R38" s="110"/>
      <c r="S38" s="110"/>
      <c r="T38" s="110"/>
      <c r="U38" s="110"/>
      <c r="V38" s="249"/>
      <c r="W38" s="249"/>
      <c r="X38" s="249"/>
      <c r="Y38" s="249"/>
      <c r="Z38" s="249"/>
    </row>
    <row r="39" ht="13.5" customHeight="1">
      <c r="A39" s="181"/>
      <c r="B39" s="182"/>
      <c r="C39" s="183"/>
      <c r="D39" s="184"/>
      <c r="E39" s="188"/>
      <c r="F39" s="165"/>
      <c r="G39" s="165"/>
      <c r="H39" s="165"/>
      <c r="I39" s="165"/>
      <c r="J39" s="165"/>
      <c r="K39" s="165"/>
      <c r="L39" s="165"/>
      <c r="M39" s="165"/>
      <c r="N39" s="165"/>
      <c r="O39" s="165"/>
      <c r="P39" s="110"/>
      <c r="Q39" s="110"/>
      <c r="R39" s="110"/>
      <c r="S39" s="110"/>
      <c r="T39" s="110"/>
      <c r="U39" s="110"/>
      <c r="V39" s="249"/>
      <c r="W39" s="249"/>
      <c r="X39" s="249"/>
      <c r="Y39" s="249"/>
      <c r="Z39" s="249"/>
    </row>
    <row r="40" ht="13.5" customHeight="1">
      <c r="A40" s="181"/>
      <c r="B40" s="182"/>
      <c r="C40" s="183"/>
      <c r="D40" s="184"/>
      <c r="E40" s="188"/>
      <c r="F40" s="165"/>
      <c r="G40" s="165"/>
      <c r="H40" s="165"/>
      <c r="I40" s="165"/>
      <c r="J40" s="165"/>
      <c r="K40" s="165"/>
      <c r="L40" s="165"/>
      <c r="M40" s="165"/>
      <c r="N40" s="165"/>
      <c r="O40" s="165"/>
      <c r="P40" s="110"/>
      <c r="Q40" s="110"/>
      <c r="R40" s="110"/>
      <c r="S40" s="110"/>
      <c r="T40" s="110"/>
      <c r="U40" s="110"/>
      <c r="V40" s="249"/>
      <c r="W40" s="249"/>
      <c r="X40" s="249"/>
      <c r="Y40" s="249"/>
      <c r="Z40" s="249"/>
    </row>
    <row r="41" ht="13.5" customHeight="1">
      <c r="A41" s="262"/>
      <c r="B41" s="182"/>
      <c r="C41" s="183"/>
      <c r="D41" s="184"/>
      <c r="E41" s="188"/>
      <c r="F41" s="165"/>
      <c r="G41" s="165"/>
      <c r="H41" s="165"/>
      <c r="I41" s="165"/>
      <c r="J41" s="165"/>
      <c r="K41" s="165"/>
      <c r="L41" s="165"/>
      <c r="M41" s="165"/>
      <c r="N41" s="165"/>
      <c r="O41" s="165"/>
      <c r="P41" s="110"/>
      <c r="Q41" s="110"/>
      <c r="R41" s="110"/>
      <c r="S41" s="110"/>
      <c r="T41" s="110"/>
      <c r="U41" s="110"/>
      <c r="V41" s="249"/>
      <c r="W41" s="249"/>
      <c r="X41" s="249"/>
      <c r="Y41" s="249"/>
      <c r="Z41" s="249"/>
    </row>
    <row r="42" ht="13.5" customHeight="1">
      <c r="A42" s="263"/>
      <c r="B42" s="182"/>
      <c r="C42" s="183"/>
      <c r="D42" s="184"/>
      <c r="E42" s="195"/>
      <c r="F42" s="196"/>
      <c r="G42" s="196"/>
      <c r="H42" s="196"/>
      <c r="I42" s="196"/>
      <c r="J42" s="196"/>
      <c r="K42" s="196"/>
      <c r="L42" s="196"/>
      <c r="M42" s="196"/>
      <c r="N42" s="196"/>
      <c r="O42" s="196"/>
      <c r="P42" s="110"/>
      <c r="Q42" s="110"/>
      <c r="R42" s="110"/>
      <c r="S42" s="110"/>
      <c r="T42" s="110"/>
      <c r="U42" s="110"/>
      <c r="V42" s="249"/>
      <c r="W42" s="249"/>
      <c r="X42" s="249"/>
      <c r="Y42" s="249"/>
      <c r="Z42" s="249"/>
    </row>
    <row r="43" ht="13.5" customHeight="1">
      <c r="A43" s="228" t="s">
        <v>367</v>
      </c>
      <c r="B43" s="240" t="s">
        <v>368</v>
      </c>
      <c r="C43" s="225"/>
      <c r="D43" s="241"/>
      <c r="E43" s="200"/>
      <c r="F43" s="201" t="s">
        <v>220</v>
      </c>
      <c r="G43" s="201" t="s">
        <v>220</v>
      </c>
      <c r="H43" s="201" t="s">
        <v>220</v>
      </c>
      <c r="I43" s="201" t="s">
        <v>38</v>
      </c>
      <c r="J43" s="201" t="s">
        <v>38</v>
      </c>
      <c r="K43" s="201"/>
      <c r="L43" s="201"/>
      <c r="M43" s="201"/>
      <c r="N43" s="201"/>
      <c r="O43" s="201"/>
      <c r="P43" s="110"/>
      <c r="Q43" s="110"/>
      <c r="R43" s="110"/>
      <c r="S43" s="110"/>
      <c r="T43" s="110"/>
      <c r="U43" s="110"/>
      <c r="V43" s="249"/>
      <c r="W43" s="249"/>
      <c r="X43" s="249"/>
      <c r="Y43" s="249"/>
      <c r="Z43" s="249"/>
    </row>
    <row r="44" ht="13.5" customHeight="1">
      <c r="A44" s="260"/>
      <c r="B44" s="204" t="s">
        <v>369</v>
      </c>
      <c r="C44" s="12"/>
      <c r="D44" s="13"/>
      <c r="E44" s="205"/>
      <c r="F44" s="206"/>
      <c r="G44" s="206"/>
      <c r="H44" s="206"/>
      <c r="I44" s="206"/>
      <c r="J44" s="206"/>
      <c r="K44" s="206"/>
      <c r="L44" s="206"/>
      <c r="M44" s="206"/>
      <c r="N44" s="206"/>
      <c r="O44" s="206"/>
      <c r="P44" s="110"/>
      <c r="Q44" s="110"/>
      <c r="R44" s="110"/>
      <c r="S44" s="110"/>
      <c r="T44" s="110"/>
      <c r="U44" s="110"/>
      <c r="V44" s="249"/>
      <c r="W44" s="249"/>
      <c r="X44" s="249"/>
      <c r="Y44" s="249"/>
      <c r="Z44" s="249"/>
    </row>
    <row r="45" ht="13.5" customHeight="1">
      <c r="A45" s="260"/>
      <c r="B45" s="208" t="s">
        <v>371</v>
      </c>
      <c r="C45" s="12"/>
      <c r="D45" s="13"/>
      <c r="E45" s="209"/>
      <c r="F45" s="210"/>
      <c r="G45" s="210"/>
      <c r="H45" s="210"/>
      <c r="I45" s="210"/>
      <c r="J45" s="210"/>
      <c r="K45" s="210"/>
      <c r="L45" s="210"/>
      <c r="M45" s="210"/>
      <c r="N45" s="210"/>
      <c r="O45" s="210"/>
      <c r="P45" s="110"/>
      <c r="Q45" s="110"/>
      <c r="R45" s="110"/>
      <c r="S45" s="110"/>
      <c r="T45" s="110"/>
      <c r="U45" s="110"/>
      <c r="V45" s="249"/>
      <c r="W45" s="249"/>
      <c r="X45" s="249"/>
      <c r="Y45" s="249"/>
      <c r="Z45" s="249"/>
    </row>
    <row r="46" ht="12.0" customHeight="1">
      <c r="A46" s="261"/>
      <c r="B46" s="215" t="s">
        <v>372</v>
      </c>
      <c r="C46" s="216"/>
      <c r="D46" s="217"/>
      <c r="E46" s="218"/>
      <c r="F46" s="219"/>
      <c r="G46" s="219"/>
      <c r="H46" s="219"/>
      <c r="I46" s="219"/>
      <c r="J46" s="219"/>
      <c r="K46" s="219"/>
      <c r="L46" s="219"/>
      <c r="M46" s="219"/>
      <c r="N46" s="219"/>
      <c r="O46" s="219"/>
      <c r="P46" s="110"/>
      <c r="Q46" s="110"/>
      <c r="R46" s="110"/>
      <c r="S46" s="110"/>
      <c r="T46" s="110"/>
      <c r="U46" s="110"/>
      <c r="V46" s="249"/>
      <c r="W46" s="249"/>
      <c r="X46" s="249"/>
      <c r="Y46" s="249"/>
      <c r="Z46" s="249"/>
    </row>
    <row r="47" ht="12.0" customHeight="1">
      <c r="A47" s="143"/>
      <c r="B47" s="110"/>
      <c r="C47" s="111"/>
      <c r="D47" s="110"/>
      <c r="E47" s="110"/>
      <c r="F47" s="110"/>
      <c r="G47" s="110"/>
      <c r="H47" s="110"/>
      <c r="I47" s="110"/>
      <c r="J47" s="110"/>
      <c r="K47" s="110"/>
      <c r="L47" s="110"/>
      <c r="M47" s="110"/>
      <c r="N47" s="110"/>
      <c r="O47" s="110"/>
      <c r="P47" s="110"/>
      <c r="Q47" s="110"/>
      <c r="R47" s="110"/>
      <c r="S47" s="110"/>
      <c r="T47" s="110"/>
      <c r="U47" s="110"/>
      <c r="V47" s="249"/>
      <c r="W47" s="249"/>
      <c r="X47" s="249"/>
      <c r="Y47" s="249"/>
      <c r="Z47" s="249"/>
    </row>
    <row r="48" ht="13.5" customHeight="1">
      <c r="A48" s="110"/>
      <c r="B48" s="143"/>
      <c r="C48" s="110"/>
      <c r="D48" s="111"/>
      <c r="E48" s="110"/>
      <c r="F48" s="110"/>
      <c r="G48" s="110"/>
      <c r="H48" s="110"/>
      <c r="I48" s="110"/>
      <c r="J48" s="110"/>
      <c r="K48" s="110"/>
      <c r="L48" s="110"/>
      <c r="M48" s="110"/>
      <c r="N48" s="110"/>
      <c r="O48" s="110"/>
      <c r="P48" s="110"/>
      <c r="Q48" s="110"/>
      <c r="R48" s="110"/>
      <c r="S48" s="110"/>
      <c r="T48" s="110"/>
      <c r="U48" s="110"/>
      <c r="V48" s="249"/>
      <c r="W48" s="249"/>
      <c r="X48" s="249"/>
      <c r="Y48" s="249"/>
      <c r="Z48" s="249"/>
    </row>
    <row r="49" ht="13.5" customHeight="1">
      <c r="A49" s="110"/>
      <c r="B49" s="143"/>
      <c r="C49" s="110"/>
      <c r="D49" s="111"/>
      <c r="E49" s="110"/>
      <c r="F49" s="110"/>
      <c r="G49" s="110"/>
      <c r="H49" s="110"/>
      <c r="I49" s="110"/>
      <c r="J49" s="110"/>
      <c r="K49" s="110"/>
      <c r="L49" s="110"/>
      <c r="M49" s="110"/>
      <c r="N49" s="110"/>
      <c r="O49" s="110"/>
      <c r="P49" s="110"/>
      <c r="Q49" s="110"/>
      <c r="R49" s="110"/>
      <c r="S49" s="110"/>
      <c r="T49" s="110"/>
      <c r="U49" s="110"/>
      <c r="V49" s="249"/>
      <c r="W49" s="249"/>
      <c r="X49" s="249"/>
      <c r="Y49" s="249"/>
      <c r="Z49" s="249"/>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249"/>
      <c r="W50" s="249"/>
      <c r="X50" s="249"/>
      <c r="Y50" s="249"/>
      <c r="Z50" s="249"/>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249"/>
      <c r="W51" s="249"/>
      <c r="X51" s="249"/>
      <c r="Y51" s="249"/>
      <c r="Z51" s="249"/>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249"/>
      <c r="W52" s="249"/>
      <c r="X52" s="249"/>
      <c r="Y52" s="249"/>
      <c r="Z52" s="249"/>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249"/>
      <c r="W53" s="249"/>
      <c r="X53" s="249"/>
      <c r="Y53" s="249"/>
      <c r="Z53" s="249"/>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249"/>
      <c r="W54" s="249"/>
      <c r="X54" s="249"/>
      <c r="Y54" s="249"/>
      <c r="Z54" s="249"/>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249"/>
      <c r="W55" s="249"/>
      <c r="X55" s="249"/>
      <c r="Y55" s="249"/>
      <c r="Z55" s="249"/>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249"/>
      <c r="W56" s="249"/>
      <c r="X56" s="249"/>
      <c r="Y56" s="249"/>
      <c r="Z56" s="249"/>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249"/>
      <c r="W57" s="249"/>
      <c r="X57" s="249"/>
      <c r="Y57" s="249"/>
      <c r="Z57" s="249"/>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249"/>
      <c r="W58" s="249"/>
      <c r="X58" s="249"/>
      <c r="Y58" s="249"/>
      <c r="Z58" s="249"/>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249"/>
      <c r="W59" s="249"/>
      <c r="X59" s="249"/>
      <c r="Y59" s="249"/>
      <c r="Z59" s="249"/>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249"/>
      <c r="W60" s="249"/>
      <c r="X60" s="249"/>
      <c r="Y60" s="249"/>
      <c r="Z60" s="249"/>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249"/>
      <c r="W61" s="249"/>
      <c r="X61" s="249"/>
      <c r="Y61" s="249"/>
      <c r="Z61" s="249"/>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249"/>
      <c r="W62" s="249"/>
      <c r="X62" s="249"/>
      <c r="Y62" s="249"/>
      <c r="Z62" s="249"/>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249"/>
      <c r="W63" s="249"/>
      <c r="X63" s="249"/>
      <c r="Y63" s="249"/>
      <c r="Z63" s="249"/>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249"/>
      <c r="W64" s="249"/>
      <c r="X64" s="249"/>
      <c r="Y64" s="249"/>
      <c r="Z64" s="249"/>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249"/>
      <c r="W65" s="249"/>
      <c r="X65" s="249"/>
      <c r="Y65" s="249"/>
      <c r="Z65" s="249"/>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249"/>
      <c r="W66" s="249"/>
      <c r="X66" s="249"/>
      <c r="Y66" s="249"/>
      <c r="Z66" s="249"/>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249"/>
      <c r="W67" s="249"/>
      <c r="X67" s="249"/>
      <c r="Y67" s="249"/>
      <c r="Z67" s="249"/>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249"/>
      <c r="W68" s="249"/>
      <c r="X68" s="249"/>
      <c r="Y68" s="249"/>
      <c r="Z68" s="249"/>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249"/>
      <c r="W69" s="249"/>
      <c r="X69" s="249"/>
      <c r="Y69" s="249"/>
      <c r="Z69" s="249"/>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249"/>
      <c r="W70" s="249"/>
      <c r="X70" s="249"/>
      <c r="Y70" s="249"/>
      <c r="Z70" s="249"/>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249"/>
      <c r="W71" s="249"/>
      <c r="X71" s="249"/>
      <c r="Y71" s="249"/>
      <c r="Z71" s="249"/>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249"/>
      <c r="W72" s="249"/>
      <c r="X72" s="249"/>
      <c r="Y72" s="249"/>
      <c r="Z72" s="249"/>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249"/>
      <c r="W73" s="249"/>
      <c r="X73" s="249"/>
      <c r="Y73" s="249"/>
      <c r="Z73" s="249"/>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249"/>
      <c r="W74" s="249"/>
      <c r="X74" s="249"/>
      <c r="Y74" s="249"/>
      <c r="Z74" s="249"/>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249"/>
      <c r="W75" s="249"/>
      <c r="X75" s="249"/>
      <c r="Y75" s="249"/>
      <c r="Z75" s="249"/>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249"/>
      <c r="W76" s="249"/>
      <c r="X76" s="249"/>
      <c r="Y76" s="249"/>
      <c r="Z76" s="249"/>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249"/>
      <c r="W77" s="249"/>
      <c r="X77" s="249"/>
      <c r="Y77" s="249"/>
      <c r="Z77" s="249"/>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249"/>
      <c r="W78" s="249"/>
      <c r="X78" s="249"/>
      <c r="Y78" s="249"/>
      <c r="Z78" s="249"/>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249"/>
      <c r="W79" s="249"/>
      <c r="X79" s="249"/>
      <c r="Y79" s="249"/>
      <c r="Z79" s="249"/>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249"/>
      <c r="W80" s="249"/>
      <c r="X80" s="249"/>
      <c r="Y80" s="249"/>
      <c r="Z80" s="249"/>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249"/>
      <c r="W81" s="249"/>
      <c r="X81" s="249"/>
      <c r="Y81" s="249"/>
      <c r="Z81" s="249"/>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249"/>
      <c r="W82" s="249"/>
      <c r="X82" s="249"/>
      <c r="Y82" s="249"/>
      <c r="Z82" s="249"/>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249"/>
      <c r="W83" s="249"/>
      <c r="X83" s="249"/>
      <c r="Y83" s="249"/>
      <c r="Z83" s="249"/>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249"/>
      <c r="W84" s="249"/>
      <c r="X84" s="249"/>
      <c r="Y84" s="249"/>
      <c r="Z84" s="249"/>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249"/>
      <c r="W85" s="249"/>
      <c r="X85" s="249"/>
      <c r="Y85" s="249"/>
      <c r="Z85" s="249"/>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249"/>
      <c r="W86" s="249"/>
      <c r="X86" s="249"/>
      <c r="Y86" s="249"/>
      <c r="Z86" s="249"/>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249"/>
      <c r="W87" s="249"/>
      <c r="X87" s="249"/>
      <c r="Y87" s="249"/>
      <c r="Z87" s="249"/>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249"/>
      <c r="W88" s="249"/>
      <c r="X88" s="249"/>
      <c r="Y88" s="249"/>
      <c r="Z88" s="249"/>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249"/>
      <c r="W89" s="249"/>
      <c r="X89" s="249"/>
      <c r="Y89" s="249"/>
      <c r="Z89" s="249"/>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249"/>
      <c r="W90" s="249"/>
      <c r="X90" s="249"/>
      <c r="Y90" s="249"/>
      <c r="Z90" s="249"/>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249"/>
      <c r="W91" s="249"/>
      <c r="X91" s="249"/>
      <c r="Y91" s="249"/>
      <c r="Z91" s="249"/>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249"/>
      <c r="W92" s="249"/>
      <c r="X92" s="249"/>
      <c r="Y92" s="249"/>
      <c r="Z92" s="249"/>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249"/>
      <c r="W93" s="249"/>
      <c r="X93" s="249"/>
      <c r="Y93" s="249"/>
      <c r="Z93" s="249"/>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249"/>
      <c r="W94" s="249"/>
      <c r="X94" s="249"/>
      <c r="Y94" s="249"/>
      <c r="Z94" s="249"/>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249"/>
      <c r="W95" s="249"/>
      <c r="X95" s="249"/>
      <c r="Y95" s="249"/>
      <c r="Z95" s="249"/>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249"/>
      <c r="W96" s="249"/>
      <c r="X96" s="249"/>
      <c r="Y96" s="249"/>
      <c r="Z96" s="249"/>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249"/>
      <c r="W97" s="249"/>
      <c r="X97" s="249"/>
      <c r="Y97" s="249"/>
      <c r="Z97" s="249"/>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249"/>
      <c r="W98" s="249"/>
      <c r="X98" s="249"/>
      <c r="Y98" s="249"/>
      <c r="Z98" s="249"/>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249"/>
      <c r="W99" s="249"/>
      <c r="X99" s="249"/>
      <c r="Y99" s="249"/>
      <c r="Z99" s="249"/>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249"/>
      <c r="W100" s="249"/>
      <c r="X100" s="249"/>
      <c r="Y100" s="249"/>
      <c r="Z100" s="249"/>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249"/>
      <c r="W101" s="249"/>
      <c r="X101" s="249"/>
      <c r="Y101" s="249"/>
      <c r="Z101" s="249"/>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249"/>
      <c r="W102" s="249"/>
      <c r="X102" s="249"/>
      <c r="Y102" s="249"/>
      <c r="Z102" s="249"/>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249"/>
      <c r="W103" s="249"/>
      <c r="X103" s="249"/>
      <c r="Y103" s="249"/>
      <c r="Z103" s="249"/>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249"/>
      <c r="W104" s="249"/>
      <c r="X104" s="249"/>
      <c r="Y104" s="249"/>
      <c r="Z104" s="249"/>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249"/>
      <c r="W105" s="249"/>
      <c r="X105" s="249"/>
      <c r="Y105" s="249"/>
      <c r="Z105" s="249"/>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249"/>
      <c r="W106" s="249"/>
      <c r="X106" s="249"/>
      <c r="Y106" s="249"/>
      <c r="Z106" s="249"/>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249"/>
      <c r="W107" s="249"/>
      <c r="X107" s="249"/>
      <c r="Y107" s="249"/>
      <c r="Z107" s="249"/>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249"/>
      <c r="W108" s="249"/>
      <c r="X108" s="249"/>
      <c r="Y108" s="249"/>
      <c r="Z108" s="249"/>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249"/>
      <c r="W109" s="249"/>
      <c r="X109" s="249"/>
      <c r="Y109" s="249"/>
      <c r="Z109" s="249"/>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249"/>
      <c r="W110" s="249"/>
      <c r="X110" s="249"/>
      <c r="Y110" s="249"/>
      <c r="Z110" s="249"/>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249"/>
      <c r="W111" s="249"/>
      <c r="X111" s="249"/>
      <c r="Y111" s="249"/>
      <c r="Z111" s="249"/>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249"/>
      <c r="W112" s="249"/>
      <c r="X112" s="249"/>
      <c r="Y112" s="249"/>
      <c r="Z112" s="249"/>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249"/>
      <c r="W113" s="249"/>
      <c r="X113" s="249"/>
      <c r="Y113" s="249"/>
      <c r="Z113" s="249"/>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249"/>
      <c r="W114" s="249"/>
      <c r="X114" s="249"/>
      <c r="Y114" s="249"/>
      <c r="Z114" s="249"/>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249"/>
      <c r="W115" s="249"/>
      <c r="X115" s="249"/>
      <c r="Y115" s="249"/>
      <c r="Z115" s="249"/>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249"/>
      <c r="W116" s="249"/>
      <c r="X116" s="249"/>
      <c r="Y116" s="249"/>
      <c r="Z116" s="249"/>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249"/>
      <c r="W117" s="249"/>
      <c r="X117" s="249"/>
      <c r="Y117" s="249"/>
      <c r="Z117" s="249"/>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249"/>
      <c r="W118" s="249"/>
      <c r="X118" s="249"/>
      <c r="Y118" s="249"/>
      <c r="Z118" s="249"/>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249"/>
      <c r="W119" s="249"/>
      <c r="X119" s="249"/>
      <c r="Y119" s="249"/>
      <c r="Z119" s="249"/>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249"/>
      <c r="W120" s="249"/>
      <c r="X120" s="249"/>
      <c r="Y120" s="249"/>
      <c r="Z120" s="249"/>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249"/>
      <c r="W121" s="249"/>
      <c r="X121" s="249"/>
      <c r="Y121" s="249"/>
      <c r="Z121" s="249"/>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249"/>
      <c r="W122" s="249"/>
      <c r="X122" s="249"/>
      <c r="Y122" s="249"/>
      <c r="Z122" s="249"/>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249"/>
      <c r="W123" s="249"/>
      <c r="X123" s="249"/>
      <c r="Y123" s="249"/>
      <c r="Z123" s="249"/>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249"/>
      <c r="W124" s="249"/>
      <c r="X124" s="249"/>
      <c r="Y124" s="249"/>
      <c r="Z124" s="249"/>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249"/>
      <c r="W125" s="249"/>
      <c r="X125" s="249"/>
      <c r="Y125" s="249"/>
      <c r="Z125" s="249"/>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249"/>
      <c r="W126" s="249"/>
      <c r="X126" s="249"/>
      <c r="Y126" s="249"/>
      <c r="Z126" s="249"/>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249"/>
      <c r="W127" s="249"/>
      <c r="X127" s="249"/>
      <c r="Y127" s="249"/>
      <c r="Z127" s="249"/>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249"/>
      <c r="W128" s="249"/>
      <c r="X128" s="249"/>
      <c r="Y128" s="249"/>
      <c r="Z128" s="249"/>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249"/>
      <c r="W129" s="249"/>
      <c r="X129" s="249"/>
      <c r="Y129" s="249"/>
      <c r="Z129" s="249"/>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249"/>
      <c r="W130" s="249"/>
      <c r="X130" s="249"/>
      <c r="Y130" s="249"/>
      <c r="Z130" s="249"/>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249"/>
      <c r="W131" s="249"/>
      <c r="X131" s="249"/>
      <c r="Y131" s="249"/>
      <c r="Z131" s="249"/>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249"/>
      <c r="W132" s="249"/>
      <c r="X132" s="249"/>
      <c r="Y132" s="249"/>
      <c r="Z132" s="249"/>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249"/>
      <c r="W133" s="249"/>
      <c r="X133" s="249"/>
      <c r="Y133" s="249"/>
      <c r="Z133" s="249"/>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249"/>
      <c r="W134" s="249"/>
      <c r="X134" s="249"/>
      <c r="Y134" s="249"/>
      <c r="Z134" s="249"/>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249"/>
      <c r="W135" s="249"/>
      <c r="X135" s="249"/>
      <c r="Y135" s="249"/>
      <c r="Z135" s="249"/>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249"/>
      <c r="W136" s="249"/>
      <c r="X136" s="249"/>
      <c r="Y136" s="249"/>
      <c r="Z136" s="249"/>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249"/>
      <c r="W137" s="249"/>
      <c r="X137" s="249"/>
      <c r="Y137" s="249"/>
      <c r="Z137" s="249"/>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249"/>
      <c r="W138" s="249"/>
      <c r="X138" s="249"/>
      <c r="Y138" s="249"/>
      <c r="Z138" s="249"/>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249"/>
      <c r="W139" s="249"/>
      <c r="X139" s="249"/>
      <c r="Y139" s="249"/>
      <c r="Z139" s="249"/>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249"/>
      <c r="W140" s="249"/>
      <c r="X140" s="249"/>
      <c r="Y140" s="249"/>
      <c r="Z140" s="249"/>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249"/>
      <c r="W141" s="249"/>
      <c r="X141" s="249"/>
      <c r="Y141" s="249"/>
      <c r="Z141" s="249"/>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249"/>
      <c r="W142" s="249"/>
      <c r="X142" s="249"/>
      <c r="Y142" s="249"/>
      <c r="Z142" s="249"/>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249"/>
      <c r="W143" s="249"/>
      <c r="X143" s="249"/>
      <c r="Y143" s="249"/>
      <c r="Z143" s="249"/>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249"/>
      <c r="W144" s="249"/>
      <c r="X144" s="249"/>
      <c r="Y144" s="249"/>
      <c r="Z144" s="249"/>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249"/>
      <c r="W145" s="249"/>
      <c r="X145" s="249"/>
      <c r="Y145" s="249"/>
      <c r="Z145" s="249"/>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249"/>
      <c r="W146" s="249"/>
      <c r="X146" s="249"/>
      <c r="Y146" s="249"/>
      <c r="Z146" s="249"/>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249"/>
      <c r="W147" s="249"/>
      <c r="X147" s="249"/>
      <c r="Y147" s="249"/>
      <c r="Z147" s="249"/>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249"/>
      <c r="W148" s="249"/>
      <c r="X148" s="249"/>
      <c r="Y148" s="249"/>
      <c r="Z148" s="249"/>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249"/>
      <c r="W149" s="249"/>
      <c r="X149" s="249"/>
      <c r="Y149" s="249"/>
      <c r="Z149" s="249"/>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249"/>
      <c r="W150" s="249"/>
      <c r="X150" s="249"/>
      <c r="Y150" s="249"/>
      <c r="Z150" s="249"/>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249"/>
      <c r="W151" s="249"/>
      <c r="X151" s="249"/>
      <c r="Y151" s="249"/>
      <c r="Z151" s="249"/>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249"/>
      <c r="W152" s="249"/>
      <c r="X152" s="249"/>
      <c r="Y152" s="249"/>
      <c r="Z152" s="249"/>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249"/>
      <c r="W153" s="249"/>
      <c r="X153" s="249"/>
      <c r="Y153" s="249"/>
      <c r="Z153" s="249"/>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249"/>
      <c r="W154" s="249"/>
      <c r="X154" s="249"/>
      <c r="Y154" s="249"/>
      <c r="Z154" s="249"/>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249"/>
      <c r="W155" s="249"/>
      <c r="X155" s="249"/>
      <c r="Y155" s="249"/>
      <c r="Z155" s="249"/>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249"/>
      <c r="W156" s="249"/>
      <c r="X156" s="249"/>
      <c r="Y156" s="249"/>
      <c r="Z156" s="249"/>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249"/>
      <c r="W157" s="249"/>
      <c r="X157" s="249"/>
      <c r="Y157" s="249"/>
      <c r="Z157" s="249"/>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249"/>
      <c r="W158" s="249"/>
      <c r="X158" s="249"/>
      <c r="Y158" s="249"/>
      <c r="Z158" s="249"/>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249"/>
      <c r="W159" s="249"/>
      <c r="X159" s="249"/>
      <c r="Y159" s="249"/>
      <c r="Z159" s="249"/>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249"/>
      <c r="W160" s="249"/>
      <c r="X160" s="249"/>
      <c r="Y160" s="249"/>
      <c r="Z160" s="249"/>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249"/>
      <c r="W161" s="249"/>
      <c r="X161" s="249"/>
      <c r="Y161" s="249"/>
      <c r="Z161" s="249"/>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249"/>
      <c r="W162" s="249"/>
      <c r="X162" s="249"/>
      <c r="Y162" s="249"/>
      <c r="Z162" s="249"/>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249"/>
      <c r="W163" s="249"/>
      <c r="X163" s="249"/>
      <c r="Y163" s="249"/>
      <c r="Z163" s="249"/>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249"/>
      <c r="W164" s="249"/>
      <c r="X164" s="249"/>
      <c r="Y164" s="249"/>
      <c r="Z164" s="249"/>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249"/>
      <c r="W165" s="249"/>
      <c r="X165" s="249"/>
      <c r="Y165" s="249"/>
      <c r="Z165" s="249"/>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249"/>
      <c r="W166" s="249"/>
      <c r="X166" s="249"/>
      <c r="Y166" s="249"/>
      <c r="Z166" s="249"/>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249"/>
      <c r="W167" s="249"/>
      <c r="X167" s="249"/>
      <c r="Y167" s="249"/>
      <c r="Z167" s="249"/>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249"/>
      <c r="W168" s="249"/>
      <c r="X168" s="249"/>
      <c r="Y168" s="249"/>
      <c r="Z168" s="249"/>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249"/>
      <c r="W169" s="249"/>
      <c r="X169" s="249"/>
      <c r="Y169" s="249"/>
      <c r="Z169" s="249"/>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249"/>
      <c r="W170" s="249"/>
      <c r="X170" s="249"/>
      <c r="Y170" s="249"/>
      <c r="Z170" s="249"/>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249"/>
      <c r="W171" s="249"/>
      <c r="X171" s="249"/>
      <c r="Y171" s="249"/>
      <c r="Z171" s="249"/>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249"/>
      <c r="W172" s="249"/>
      <c r="X172" s="249"/>
      <c r="Y172" s="249"/>
      <c r="Z172" s="249"/>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249"/>
      <c r="W173" s="249"/>
      <c r="X173" s="249"/>
      <c r="Y173" s="249"/>
      <c r="Z173" s="249"/>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249"/>
      <c r="W174" s="249"/>
      <c r="X174" s="249"/>
      <c r="Y174" s="249"/>
      <c r="Z174" s="249"/>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249"/>
      <c r="W175" s="249"/>
      <c r="X175" s="249"/>
      <c r="Y175" s="249"/>
      <c r="Z175" s="249"/>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249"/>
      <c r="W176" s="249"/>
      <c r="X176" s="249"/>
      <c r="Y176" s="249"/>
      <c r="Z176" s="249"/>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249"/>
      <c r="W177" s="249"/>
      <c r="X177" s="249"/>
      <c r="Y177" s="249"/>
      <c r="Z177" s="249"/>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249"/>
      <c r="W178" s="249"/>
      <c r="X178" s="249"/>
      <c r="Y178" s="249"/>
      <c r="Z178" s="249"/>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249"/>
      <c r="W179" s="249"/>
      <c r="X179" s="249"/>
      <c r="Y179" s="249"/>
      <c r="Z179" s="249"/>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249"/>
      <c r="W180" s="249"/>
      <c r="X180" s="249"/>
      <c r="Y180" s="249"/>
      <c r="Z180" s="249"/>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249"/>
      <c r="W181" s="249"/>
      <c r="X181" s="249"/>
      <c r="Y181" s="249"/>
      <c r="Z181" s="249"/>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249"/>
      <c r="W182" s="249"/>
      <c r="X182" s="249"/>
      <c r="Y182" s="249"/>
      <c r="Z182" s="249"/>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249"/>
      <c r="W183" s="249"/>
      <c r="X183" s="249"/>
      <c r="Y183" s="249"/>
      <c r="Z183" s="249"/>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249"/>
      <c r="W184" s="249"/>
      <c r="X184" s="249"/>
      <c r="Y184" s="249"/>
      <c r="Z184" s="249"/>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249"/>
      <c r="W185" s="249"/>
      <c r="X185" s="249"/>
      <c r="Y185" s="249"/>
      <c r="Z185" s="249"/>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249"/>
      <c r="W186" s="249"/>
      <c r="X186" s="249"/>
      <c r="Y186" s="249"/>
      <c r="Z186" s="249"/>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249"/>
      <c r="W187" s="249"/>
      <c r="X187" s="249"/>
      <c r="Y187" s="249"/>
      <c r="Z187" s="249"/>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249"/>
      <c r="W188" s="249"/>
      <c r="X188" s="249"/>
      <c r="Y188" s="249"/>
      <c r="Z188" s="249"/>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249"/>
      <c r="W189" s="249"/>
      <c r="X189" s="249"/>
      <c r="Y189" s="249"/>
      <c r="Z189" s="249"/>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249"/>
      <c r="W190" s="249"/>
      <c r="X190" s="249"/>
      <c r="Y190" s="249"/>
      <c r="Z190" s="249"/>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249"/>
      <c r="W191" s="249"/>
      <c r="X191" s="249"/>
      <c r="Y191" s="249"/>
      <c r="Z191" s="249"/>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249"/>
      <c r="W192" s="249"/>
      <c r="X192" s="249"/>
      <c r="Y192" s="249"/>
      <c r="Z192" s="249"/>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249"/>
      <c r="W193" s="249"/>
      <c r="X193" s="249"/>
      <c r="Y193" s="249"/>
      <c r="Z193" s="249"/>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249"/>
      <c r="W194" s="249"/>
      <c r="X194" s="249"/>
      <c r="Y194" s="249"/>
      <c r="Z194" s="249"/>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249"/>
      <c r="W195" s="249"/>
      <c r="X195" s="249"/>
      <c r="Y195" s="249"/>
      <c r="Z195" s="249"/>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249"/>
      <c r="W196" s="249"/>
      <c r="X196" s="249"/>
      <c r="Y196" s="249"/>
      <c r="Z196" s="249"/>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249"/>
      <c r="W197" s="249"/>
      <c r="X197" s="249"/>
      <c r="Y197" s="249"/>
      <c r="Z197" s="249"/>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249"/>
      <c r="W198" s="249"/>
      <c r="X198" s="249"/>
      <c r="Y198" s="249"/>
      <c r="Z198" s="249"/>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249"/>
      <c r="W199" s="249"/>
      <c r="X199" s="249"/>
      <c r="Y199" s="249"/>
      <c r="Z199" s="249"/>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249"/>
      <c r="W200" s="249"/>
      <c r="X200" s="249"/>
      <c r="Y200" s="249"/>
      <c r="Z200" s="249"/>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249"/>
      <c r="W201" s="249"/>
      <c r="X201" s="249"/>
      <c r="Y201" s="249"/>
      <c r="Z201" s="249"/>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249"/>
      <c r="W202" s="249"/>
      <c r="X202" s="249"/>
      <c r="Y202" s="249"/>
      <c r="Z202" s="249"/>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249"/>
      <c r="W203" s="249"/>
      <c r="X203" s="249"/>
      <c r="Y203" s="249"/>
      <c r="Z203" s="249"/>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249"/>
      <c r="W204" s="249"/>
      <c r="X204" s="249"/>
      <c r="Y204" s="249"/>
      <c r="Z204" s="249"/>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249"/>
      <c r="W205" s="249"/>
      <c r="X205" s="249"/>
      <c r="Y205" s="249"/>
      <c r="Z205" s="249"/>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249"/>
      <c r="W206" s="249"/>
      <c r="X206" s="249"/>
      <c r="Y206" s="249"/>
      <c r="Z206" s="249"/>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249"/>
      <c r="W207" s="249"/>
      <c r="X207" s="249"/>
      <c r="Y207" s="249"/>
      <c r="Z207" s="249"/>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249"/>
      <c r="W208" s="249"/>
      <c r="X208" s="249"/>
      <c r="Y208" s="249"/>
      <c r="Z208" s="249"/>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249"/>
      <c r="W209" s="249"/>
      <c r="X209" s="249"/>
      <c r="Y209" s="249"/>
      <c r="Z209" s="249"/>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249"/>
      <c r="W210" s="249"/>
      <c r="X210" s="249"/>
      <c r="Y210" s="249"/>
      <c r="Z210" s="249"/>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249"/>
      <c r="W211" s="249"/>
      <c r="X211" s="249"/>
      <c r="Y211" s="249"/>
      <c r="Z211" s="249"/>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249"/>
      <c r="W212" s="249"/>
      <c r="X212" s="249"/>
      <c r="Y212" s="249"/>
      <c r="Z212" s="249"/>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249"/>
      <c r="W213" s="249"/>
      <c r="X213" s="249"/>
      <c r="Y213" s="249"/>
      <c r="Z213" s="249"/>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249"/>
      <c r="W214" s="249"/>
      <c r="X214" s="249"/>
      <c r="Y214" s="249"/>
      <c r="Z214" s="249"/>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249"/>
      <c r="W215" s="249"/>
      <c r="X215" s="249"/>
      <c r="Y215" s="249"/>
      <c r="Z215" s="249"/>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249"/>
      <c r="W216" s="249"/>
      <c r="X216" s="249"/>
      <c r="Y216" s="249"/>
      <c r="Z216" s="249"/>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249"/>
      <c r="W217" s="249"/>
      <c r="X217" s="249"/>
      <c r="Y217" s="249"/>
      <c r="Z217" s="249"/>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249"/>
      <c r="W218" s="249"/>
      <c r="X218" s="249"/>
      <c r="Y218" s="249"/>
      <c r="Z218" s="249"/>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249"/>
      <c r="W219" s="249"/>
      <c r="X219" s="249"/>
      <c r="Y219" s="249"/>
      <c r="Z219" s="249"/>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249"/>
      <c r="W220" s="249"/>
      <c r="X220" s="249"/>
      <c r="Y220" s="249"/>
      <c r="Z220" s="249"/>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249"/>
      <c r="W221" s="249"/>
      <c r="X221" s="249"/>
      <c r="Y221" s="249"/>
      <c r="Z221" s="249"/>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249"/>
      <c r="W222" s="249"/>
      <c r="X222" s="249"/>
      <c r="Y222" s="249"/>
      <c r="Z222" s="249"/>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249"/>
      <c r="W223" s="249"/>
      <c r="X223" s="249"/>
      <c r="Y223" s="249"/>
      <c r="Z223" s="249"/>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249"/>
      <c r="W224" s="249"/>
      <c r="X224" s="249"/>
      <c r="Y224" s="249"/>
      <c r="Z224" s="249"/>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249"/>
      <c r="W225" s="249"/>
      <c r="X225" s="249"/>
      <c r="Y225" s="249"/>
      <c r="Z225" s="249"/>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249"/>
      <c r="W226" s="249"/>
      <c r="X226" s="249"/>
      <c r="Y226" s="249"/>
      <c r="Z226" s="249"/>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249"/>
      <c r="W227" s="249"/>
      <c r="X227" s="249"/>
      <c r="Y227" s="249"/>
      <c r="Z227" s="249"/>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249"/>
      <c r="W228" s="249"/>
      <c r="X228" s="249"/>
      <c r="Y228" s="249"/>
      <c r="Z228" s="249"/>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249"/>
      <c r="W229" s="249"/>
      <c r="X229" s="249"/>
      <c r="Y229" s="249"/>
      <c r="Z229" s="249"/>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249"/>
      <c r="W230" s="249"/>
      <c r="X230" s="249"/>
      <c r="Y230" s="249"/>
      <c r="Z230" s="249"/>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249"/>
      <c r="W231" s="249"/>
      <c r="X231" s="249"/>
      <c r="Y231" s="249"/>
      <c r="Z231" s="249"/>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249"/>
      <c r="W232" s="249"/>
      <c r="X232" s="249"/>
      <c r="Y232" s="249"/>
      <c r="Z232" s="249"/>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249"/>
      <c r="W233" s="249"/>
      <c r="X233" s="249"/>
      <c r="Y233" s="249"/>
      <c r="Z233" s="249"/>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249"/>
      <c r="W234" s="249"/>
      <c r="X234" s="249"/>
      <c r="Y234" s="249"/>
      <c r="Z234" s="249"/>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249"/>
      <c r="W235" s="249"/>
      <c r="X235" s="249"/>
      <c r="Y235" s="249"/>
      <c r="Z235" s="249"/>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249"/>
      <c r="W236" s="249"/>
      <c r="X236" s="249"/>
      <c r="Y236" s="249"/>
      <c r="Z236" s="249"/>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249"/>
      <c r="W237" s="249"/>
      <c r="X237" s="249"/>
      <c r="Y237" s="249"/>
      <c r="Z237" s="249"/>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249"/>
      <c r="W238" s="249"/>
      <c r="X238" s="249"/>
      <c r="Y238" s="249"/>
      <c r="Z238" s="249"/>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249"/>
      <c r="W239" s="249"/>
      <c r="X239" s="249"/>
      <c r="Y239" s="249"/>
      <c r="Z239" s="249"/>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249"/>
      <c r="W240" s="249"/>
      <c r="X240" s="249"/>
      <c r="Y240" s="249"/>
      <c r="Z240" s="249"/>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249"/>
      <c r="W241" s="249"/>
      <c r="X241" s="249"/>
      <c r="Y241" s="249"/>
      <c r="Z241" s="249"/>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249"/>
      <c r="W242" s="249"/>
      <c r="X242" s="249"/>
      <c r="Y242" s="249"/>
      <c r="Z242" s="249"/>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249"/>
      <c r="W243" s="249"/>
      <c r="X243" s="249"/>
      <c r="Y243" s="249"/>
      <c r="Z243" s="249"/>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249"/>
      <c r="W244" s="249"/>
      <c r="X244" s="249"/>
      <c r="Y244" s="249"/>
      <c r="Z244" s="249"/>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249"/>
      <c r="W245" s="249"/>
      <c r="X245" s="249"/>
      <c r="Y245" s="249"/>
      <c r="Z245" s="249"/>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249"/>
      <c r="W246" s="249"/>
      <c r="X246" s="249"/>
      <c r="Y246" s="249"/>
      <c r="Z246" s="249"/>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O2"/>
    <mergeCell ref="C3:E3"/>
    <mergeCell ref="F3:K3"/>
    <mergeCell ref="L3:N3"/>
    <mergeCell ref="A3:B3"/>
    <mergeCell ref="A4:B4"/>
    <mergeCell ref="C4:D4"/>
    <mergeCell ref="F4:K4"/>
    <mergeCell ref="L4:O4"/>
    <mergeCell ref="A5:B5"/>
    <mergeCell ref="C5:O5"/>
    <mergeCell ref="D19:E19"/>
    <mergeCell ref="D20:E20"/>
    <mergeCell ref="B43:D43"/>
    <mergeCell ref="B44:D44"/>
    <mergeCell ref="B45:D45"/>
    <mergeCell ref="B46:D46"/>
    <mergeCell ref="A6:B6"/>
    <mergeCell ref="C6:E6"/>
    <mergeCell ref="F6:K6"/>
    <mergeCell ref="L6:N6"/>
    <mergeCell ref="A7:B7"/>
    <mergeCell ref="C7:E7"/>
    <mergeCell ref="F7:K7"/>
  </mergeCells>
  <dataValidations>
    <dataValidation type="list" allowBlank="1" showInputMessage="1" showErrorMessage="1" prompt=" - " sqref="F44:O44">
      <formula1>"P,F"</formula1>
    </dataValidation>
    <dataValidation type="list" allowBlank="1" showInputMessage="1" showErrorMessage="1" prompt=" - " sqref="F10:O42">
      <formula1>"O"</formula1>
    </dataValidation>
    <dataValidation type="list" allowBlank="1" showInputMessage="1" showErrorMessage="1" prompt=" - " sqref="F43:O43">
      <formula1>"N,A,B"</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3.7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249"/>
      <c r="W1" s="249"/>
      <c r="X1" s="249"/>
      <c r="Y1" s="249"/>
      <c r="Z1" s="249"/>
    </row>
    <row r="2" ht="13.5" customHeight="1">
      <c r="A2" s="112" t="s">
        <v>337</v>
      </c>
      <c r="B2" s="113"/>
      <c r="C2" s="250" t="str">
        <f>Functions!E16</f>
        <v>F-06</v>
      </c>
      <c r="D2" s="251"/>
      <c r="E2" s="252"/>
      <c r="F2" s="116" t="s">
        <v>71</v>
      </c>
      <c r="G2" s="117"/>
      <c r="H2" s="117"/>
      <c r="I2" s="117"/>
      <c r="J2" s="117"/>
      <c r="K2" s="117"/>
      <c r="L2" s="118" t="str">
        <f>Functions!D16</f>
        <v>QR quantity labels, lineage, split and replay</v>
      </c>
      <c r="M2" s="113"/>
      <c r="N2" s="113"/>
      <c r="O2" s="119"/>
      <c r="P2" s="110"/>
      <c r="Q2" s="120"/>
      <c r="R2" s="110"/>
      <c r="S2" s="110"/>
      <c r="T2" s="110"/>
      <c r="U2" s="110"/>
      <c r="V2" s="249"/>
      <c r="W2" s="249"/>
      <c r="X2" s="249"/>
      <c r="Y2" s="249"/>
      <c r="Z2" s="249"/>
    </row>
    <row r="3" ht="13.5" customHeight="1">
      <c r="A3" s="121" t="s">
        <v>338</v>
      </c>
      <c r="B3" s="13"/>
      <c r="C3" s="253" t="s">
        <v>183</v>
      </c>
      <c r="D3" s="123"/>
      <c r="E3" s="124"/>
      <c r="F3" s="125" t="s">
        <v>339</v>
      </c>
      <c r="G3" s="12"/>
      <c r="H3" s="12"/>
      <c r="I3" s="12"/>
      <c r="J3" s="12"/>
      <c r="K3" s="13"/>
      <c r="L3" s="126"/>
      <c r="M3" s="123"/>
      <c r="N3" s="123"/>
      <c r="O3" s="127"/>
      <c r="P3" s="110"/>
      <c r="Q3" s="110"/>
      <c r="R3" s="110"/>
      <c r="S3" s="110"/>
      <c r="T3" s="110"/>
      <c r="U3" s="110"/>
      <c r="V3" s="249"/>
      <c r="W3" s="249"/>
      <c r="X3" s="249"/>
      <c r="Y3" s="249"/>
      <c r="Z3" s="249"/>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c r="V4" s="249"/>
      <c r="W4" s="249"/>
      <c r="X4" s="249"/>
      <c r="Y4" s="249"/>
      <c r="Z4" s="249"/>
    </row>
    <row r="5">
      <c r="A5" s="121" t="s">
        <v>342</v>
      </c>
      <c r="B5" s="13"/>
      <c r="C5" s="132" t="s">
        <v>132</v>
      </c>
      <c r="D5" s="12"/>
      <c r="E5" s="12"/>
      <c r="F5" s="12"/>
      <c r="G5" s="12"/>
      <c r="H5" s="12"/>
      <c r="I5" s="12"/>
      <c r="J5" s="12"/>
      <c r="K5" s="12"/>
      <c r="L5" s="12"/>
      <c r="M5" s="12"/>
      <c r="N5" s="12"/>
      <c r="O5" s="131"/>
      <c r="P5" s="110"/>
      <c r="Q5" s="110"/>
      <c r="R5" s="110"/>
      <c r="S5" s="110"/>
      <c r="T5" s="110"/>
      <c r="U5" s="110"/>
      <c r="V5" s="249"/>
      <c r="W5" s="249"/>
      <c r="X5" s="249"/>
      <c r="Y5" s="249"/>
      <c r="Z5" s="249"/>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c r="V6" s="249"/>
      <c r="W6" s="249"/>
      <c r="X6" s="249"/>
      <c r="Y6" s="249"/>
      <c r="Z6" s="249"/>
    </row>
    <row r="7" ht="13.5" customHeight="1">
      <c r="A7" s="137">
        <f>COUNTIF(F47:O47,"P")</f>
        <v>0</v>
      </c>
      <c r="B7" s="138"/>
      <c r="C7" s="139">
        <f>COUNTIF(F47:O47,"F")</f>
        <v>0</v>
      </c>
      <c r="D7" s="140"/>
      <c r="E7" s="138"/>
      <c r="F7" s="139">
        <f>SUM(O7,-A7,-C7)</f>
        <v>4</v>
      </c>
      <c r="G7" s="140"/>
      <c r="H7" s="140"/>
      <c r="I7" s="140"/>
      <c r="J7" s="140"/>
      <c r="K7" s="138"/>
      <c r="L7" s="141">
        <f>COUNTIF(F46:O46,"N")</f>
        <v>3</v>
      </c>
      <c r="M7" s="141">
        <f>COUNTIF(F46:O46,"A")</f>
        <v>1</v>
      </c>
      <c r="N7" s="141">
        <f>COUNTIF(F46:O46,"B")</f>
        <v>0</v>
      </c>
      <c r="O7" s="142">
        <f>COUNTA(F9:O9)</f>
        <v>4</v>
      </c>
      <c r="P7" s="242"/>
      <c r="Q7" s="110"/>
      <c r="R7" s="110"/>
      <c r="S7" s="110"/>
      <c r="T7" s="110"/>
      <c r="U7" s="110"/>
      <c r="V7" s="249"/>
      <c r="W7" s="249"/>
      <c r="X7" s="249"/>
      <c r="Y7" s="249"/>
      <c r="Z7" s="249"/>
    </row>
    <row r="8" ht="12.0" customHeight="1">
      <c r="A8" s="110"/>
      <c r="B8" s="143"/>
      <c r="C8" s="110"/>
      <c r="D8" s="111"/>
      <c r="E8" s="110"/>
      <c r="F8" s="110"/>
      <c r="G8" s="110"/>
      <c r="H8" s="110"/>
      <c r="I8" s="110"/>
      <c r="J8" s="110"/>
      <c r="K8" s="110"/>
      <c r="L8" s="110"/>
      <c r="M8" s="110"/>
      <c r="N8" s="110"/>
      <c r="O8" s="110"/>
      <c r="P8" s="110"/>
      <c r="Q8" s="110"/>
      <c r="R8" s="110"/>
      <c r="S8" s="110"/>
      <c r="T8" s="110"/>
      <c r="U8" s="110"/>
      <c r="V8" s="249"/>
      <c r="W8" s="249"/>
      <c r="X8" s="249"/>
      <c r="Y8" s="249"/>
      <c r="Z8" s="249"/>
    </row>
    <row r="9" ht="45.0" customHeight="1">
      <c r="A9" s="243"/>
      <c r="B9" s="244"/>
      <c r="C9" s="245"/>
      <c r="D9" s="246"/>
      <c r="E9" s="245"/>
      <c r="F9" s="247" t="s">
        <v>344</v>
      </c>
      <c r="G9" s="247" t="s">
        <v>345</v>
      </c>
      <c r="H9" s="247" t="s">
        <v>346</v>
      </c>
      <c r="I9" s="247" t="s">
        <v>347</v>
      </c>
      <c r="J9" s="247"/>
      <c r="K9" s="247"/>
      <c r="L9" s="247"/>
      <c r="M9" s="247"/>
      <c r="N9" s="247"/>
      <c r="O9" s="247"/>
      <c r="P9" s="150"/>
      <c r="Q9" s="120"/>
      <c r="R9" s="110"/>
      <c r="S9" s="110"/>
      <c r="T9" s="110"/>
      <c r="U9" s="110"/>
      <c r="V9" s="249"/>
      <c r="W9" s="249"/>
      <c r="X9" s="249"/>
      <c r="Y9" s="249"/>
      <c r="Z9" s="249"/>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c r="V10" s="249"/>
      <c r="W10" s="249"/>
      <c r="X10" s="249"/>
      <c r="Y10" s="249"/>
      <c r="Z10" s="249"/>
    </row>
    <row r="11" ht="13.5" customHeight="1">
      <c r="A11" s="162"/>
      <c r="B11" s="163"/>
      <c r="C11" s="171"/>
      <c r="D11" s="174" t="s">
        <v>417</v>
      </c>
      <c r="E11" s="155"/>
      <c r="F11" s="165" t="s">
        <v>353</v>
      </c>
      <c r="G11" s="165"/>
      <c r="H11" s="165"/>
      <c r="I11" s="165"/>
      <c r="J11" s="165"/>
      <c r="K11" s="165"/>
      <c r="L11" s="165"/>
      <c r="M11" s="165"/>
      <c r="N11" s="165"/>
      <c r="O11" s="165"/>
      <c r="P11" s="110"/>
      <c r="Q11" s="120"/>
      <c r="R11" s="110"/>
      <c r="S11" s="110"/>
      <c r="T11" s="110"/>
      <c r="U11" s="110"/>
      <c r="V11" s="249"/>
      <c r="W11" s="249"/>
      <c r="X11" s="249"/>
      <c r="Y11" s="249"/>
      <c r="Z11" s="249"/>
    </row>
    <row r="12" ht="13.5" customHeight="1">
      <c r="A12" s="162"/>
      <c r="B12" s="163"/>
      <c r="C12" s="171"/>
      <c r="D12" s="174" t="s">
        <v>418</v>
      </c>
      <c r="E12" s="155"/>
      <c r="F12" s="165"/>
      <c r="G12" s="165" t="s">
        <v>353</v>
      </c>
      <c r="H12" s="165"/>
      <c r="I12" s="165"/>
      <c r="J12" s="165"/>
      <c r="K12" s="165"/>
      <c r="L12" s="165"/>
      <c r="M12" s="165"/>
      <c r="N12" s="165"/>
      <c r="O12" s="165"/>
      <c r="P12" s="110"/>
      <c r="Q12" s="110"/>
      <c r="R12" s="110"/>
      <c r="S12" s="110"/>
      <c r="T12" s="110"/>
      <c r="U12" s="110"/>
      <c r="V12" s="249"/>
      <c r="W12" s="249"/>
      <c r="X12" s="249"/>
      <c r="Y12" s="249"/>
      <c r="Z12" s="249"/>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c r="V13" s="249"/>
      <c r="W13" s="249"/>
      <c r="X13" s="249"/>
      <c r="Y13" s="249"/>
      <c r="Z13" s="249"/>
    </row>
    <row r="14" ht="13.5" customHeight="1">
      <c r="A14" s="162"/>
      <c r="B14" s="163"/>
      <c r="C14" s="171"/>
      <c r="D14" s="174" t="s">
        <v>419</v>
      </c>
      <c r="E14" s="173"/>
      <c r="F14" s="165"/>
      <c r="G14" s="165"/>
      <c r="H14" s="165" t="s">
        <v>353</v>
      </c>
      <c r="I14" s="165"/>
      <c r="J14" s="165"/>
      <c r="K14" s="165"/>
      <c r="L14" s="165"/>
      <c r="M14" s="165"/>
      <c r="N14" s="165"/>
      <c r="O14" s="165"/>
      <c r="P14" s="110"/>
      <c r="Q14" s="110"/>
      <c r="R14" s="110"/>
      <c r="S14" s="110"/>
      <c r="T14" s="110"/>
      <c r="U14" s="110"/>
      <c r="V14" s="249"/>
      <c r="W14" s="249"/>
      <c r="X14" s="249"/>
      <c r="Y14" s="249"/>
      <c r="Z14" s="249"/>
    </row>
    <row r="15" ht="13.5" customHeight="1">
      <c r="A15" s="162"/>
      <c r="B15" s="163"/>
      <c r="C15" s="171"/>
      <c r="D15" s="174" t="s">
        <v>420</v>
      </c>
      <c r="E15" s="173"/>
      <c r="F15" s="165"/>
      <c r="G15" s="165"/>
      <c r="H15" s="165"/>
      <c r="I15" s="165" t="s">
        <v>353</v>
      </c>
      <c r="J15" s="165"/>
      <c r="K15" s="165"/>
      <c r="L15" s="165"/>
      <c r="M15" s="165"/>
      <c r="N15" s="165"/>
      <c r="O15" s="165"/>
      <c r="P15" s="110"/>
      <c r="Q15" s="110"/>
      <c r="R15" s="110"/>
      <c r="S15" s="110"/>
      <c r="T15" s="110"/>
      <c r="U15" s="110"/>
      <c r="V15" s="249"/>
      <c r="W15" s="249"/>
      <c r="X15" s="249"/>
      <c r="Y15" s="249"/>
      <c r="Z15" s="249"/>
    </row>
    <row r="16" ht="13.5" customHeight="1">
      <c r="A16" s="162"/>
      <c r="B16" s="163"/>
      <c r="C16" s="171"/>
      <c r="D16" s="174"/>
      <c r="E16" s="173"/>
      <c r="F16" s="165"/>
      <c r="G16" s="165"/>
      <c r="H16" s="165"/>
      <c r="I16" s="165"/>
      <c r="J16" s="165"/>
      <c r="K16" s="165"/>
      <c r="L16" s="165"/>
      <c r="M16" s="165"/>
      <c r="N16" s="165"/>
      <c r="O16" s="165"/>
      <c r="P16" s="110"/>
      <c r="Q16" s="110"/>
      <c r="R16" s="110"/>
      <c r="S16" s="110"/>
      <c r="T16" s="110"/>
      <c r="U16" s="110"/>
      <c r="V16" s="249"/>
      <c r="W16" s="249"/>
      <c r="X16" s="249"/>
      <c r="Y16" s="249"/>
      <c r="Z16" s="249"/>
    </row>
    <row r="17" ht="13.5" customHeight="1">
      <c r="A17" s="162"/>
      <c r="B17" s="163"/>
      <c r="C17" s="171"/>
      <c r="D17" s="174"/>
      <c r="E17" s="173"/>
      <c r="F17" s="165"/>
      <c r="G17" s="165"/>
      <c r="H17" s="165"/>
      <c r="I17" s="165"/>
      <c r="J17" s="165"/>
      <c r="K17" s="165"/>
      <c r="L17" s="165"/>
      <c r="M17" s="165"/>
      <c r="N17" s="165"/>
      <c r="O17" s="165"/>
      <c r="P17" s="110"/>
      <c r="Q17" s="110"/>
      <c r="R17" s="110"/>
      <c r="S17" s="110"/>
      <c r="T17" s="110"/>
      <c r="U17" s="110"/>
      <c r="V17" s="249"/>
      <c r="W17" s="249"/>
      <c r="X17" s="249"/>
      <c r="Y17" s="249"/>
      <c r="Z17" s="249"/>
    </row>
    <row r="18" ht="13.5" customHeight="1">
      <c r="A18" s="162"/>
      <c r="B18" s="163"/>
      <c r="C18" s="171"/>
      <c r="D18" s="174"/>
      <c r="E18" s="173"/>
      <c r="F18" s="165"/>
      <c r="G18" s="165"/>
      <c r="H18" s="165"/>
      <c r="I18" s="165"/>
      <c r="J18" s="165"/>
      <c r="K18" s="165"/>
      <c r="L18" s="165"/>
      <c r="M18" s="165"/>
      <c r="N18" s="165"/>
      <c r="O18" s="165"/>
      <c r="P18" s="175"/>
      <c r="Q18" s="110"/>
      <c r="R18" s="110"/>
      <c r="S18" s="110"/>
      <c r="T18" s="110"/>
      <c r="U18" s="110"/>
      <c r="V18" s="249"/>
      <c r="W18" s="249"/>
      <c r="X18" s="249"/>
      <c r="Y18" s="249"/>
      <c r="Z18" s="249"/>
    </row>
    <row r="19" ht="13.5" customHeight="1">
      <c r="A19" s="162"/>
      <c r="B19" s="163"/>
      <c r="C19" s="171"/>
      <c r="D19" s="174"/>
      <c r="E19" s="173"/>
      <c r="F19" s="165"/>
      <c r="G19" s="165"/>
      <c r="H19" s="165"/>
      <c r="I19" s="165"/>
      <c r="J19" s="165"/>
      <c r="K19" s="165"/>
      <c r="L19" s="165"/>
      <c r="M19" s="165"/>
      <c r="N19" s="165"/>
      <c r="O19" s="165"/>
      <c r="P19" s="175"/>
      <c r="Q19" s="110"/>
      <c r="R19" s="110"/>
      <c r="S19" s="110"/>
      <c r="T19" s="110"/>
      <c r="U19" s="110"/>
      <c r="V19" s="249"/>
      <c r="W19" s="249"/>
      <c r="X19" s="249"/>
      <c r="Y19" s="249"/>
      <c r="Z19" s="249"/>
    </row>
    <row r="20" ht="13.5" customHeight="1">
      <c r="A20" s="162"/>
      <c r="B20" s="163"/>
      <c r="C20" s="171"/>
      <c r="D20" s="111"/>
      <c r="F20" s="165"/>
      <c r="G20" s="165"/>
      <c r="H20" s="165"/>
      <c r="I20" s="165"/>
      <c r="J20" s="165"/>
      <c r="K20" s="165"/>
      <c r="L20" s="165"/>
      <c r="M20" s="165"/>
      <c r="N20" s="165"/>
      <c r="O20" s="165"/>
      <c r="P20" s="175"/>
      <c r="Q20" s="110"/>
      <c r="R20" s="110"/>
      <c r="S20" s="110"/>
      <c r="T20" s="110"/>
      <c r="U20" s="110"/>
      <c r="V20" s="249"/>
      <c r="W20" s="249"/>
      <c r="X20" s="249"/>
      <c r="Y20" s="249"/>
      <c r="Z20" s="249"/>
    </row>
    <row r="21" ht="13.5" customHeight="1">
      <c r="A21" s="162"/>
      <c r="B21" s="163"/>
      <c r="C21" s="171"/>
      <c r="D21" s="259"/>
      <c r="E21" s="13"/>
      <c r="F21" s="165"/>
      <c r="G21" s="165"/>
      <c r="H21" s="165"/>
      <c r="I21" s="165"/>
      <c r="J21" s="165"/>
      <c r="K21" s="165"/>
      <c r="L21" s="165"/>
      <c r="M21" s="165"/>
      <c r="N21" s="165"/>
      <c r="O21" s="165"/>
      <c r="P21" s="110"/>
      <c r="Q21" s="110"/>
      <c r="R21" s="110"/>
      <c r="S21" s="110"/>
      <c r="T21" s="110"/>
      <c r="U21" s="110"/>
      <c r="V21" s="249"/>
      <c r="W21" s="249"/>
      <c r="X21" s="249"/>
      <c r="Y21" s="249"/>
      <c r="Z21" s="249"/>
    </row>
    <row r="22" ht="13.5" customHeight="1">
      <c r="A22" s="162"/>
      <c r="B22" s="163"/>
      <c r="C22" s="171"/>
      <c r="D22" s="174"/>
      <c r="E22" s="173"/>
      <c r="F22" s="165"/>
      <c r="G22" s="165"/>
      <c r="H22" s="165"/>
      <c r="I22" s="165"/>
      <c r="J22" s="165"/>
      <c r="K22" s="165"/>
      <c r="L22" s="165"/>
      <c r="M22" s="165"/>
      <c r="N22" s="165"/>
      <c r="O22" s="165"/>
      <c r="P22" s="110"/>
      <c r="Q22" s="110"/>
      <c r="R22" s="110"/>
      <c r="S22" s="110"/>
      <c r="T22" s="110"/>
      <c r="U22" s="110"/>
      <c r="V22" s="249"/>
      <c r="W22" s="249"/>
      <c r="X22" s="249"/>
      <c r="Y22" s="249"/>
      <c r="Z22" s="249"/>
    </row>
    <row r="23" ht="13.5" customHeight="1">
      <c r="A23" s="162"/>
      <c r="B23" s="163"/>
      <c r="C23" s="171"/>
      <c r="D23" s="174"/>
      <c r="E23" s="173"/>
      <c r="F23" s="165"/>
      <c r="G23" s="165"/>
      <c r="H23" s="165"/>
      <c r="I23" s="165"/>
      <c r="J23" s="165"/>
      <c r="K23" s="165"/>
      <c r="L23" s="165"/>
      <c r="M23" s="165"/>
      <c r="N23" s="165"/>
      <c r="O23" s="165"/>
      <c r="P23" s="110"/>
      <c r="Q23" s="110"/>
      <c r="R23" s="110"/>
      <c r="S23" s="110"/>
      <c r="T23" s="110"/>
      <c r="U23" s="110"/>
      <c r="V23" s="249"/>
      <c r="W23" s="249"/>
      <c r="X23" s="249"/>
      <c r="Y23" s="249"/>
      <c r="Z23" s="249"/>
    </row>
    <row r="24" ht="13.5" customHeight="1">
      <c r="A24" s="162"/>
      <c r="B24" s="163"/>
      <c r="C24" s="171"/>
      <c r="D24" s="174"/>
      <c r="E24" s="173"/>
      <c r="F24" s="165"/>
      <c r="G24" s="165"/>
      <c r="H24" s="165"/>
      <c r="I24" s="165"/>
      <c r="J24" s="165"/>
      <c r="K24" s="165"/>
      <c r="L24" s="165"/>
      <c r="M24" s="165"/>
      <c r="N24" s="165"/>
      <c r="O24" s="165"/>
      <c r="P24" s="110"/>
      <c r="Q24" s="110"/>
      <c r="R24" s="110"/>
      <c r="S24" s="110"/>
      <c r="T24" s="110"/>
      <c r="U24" s="110"/>
      <c r="V24" s="249"/>
      <c r="W24" s="249"/>
      <c r="X24" s="249"/>
      <c r="Y24" s="249"/>
      <c r="Z24" s="249"/>
    </row>
    <row r="25" ht="13.5" customHeight="1">
      <c r="A25" s="162"/>
      <c r="B25" s="163"/>
      <c r="C25" s="171"/>
      <c r="D25" s="174"/>
      <c r="E25" s="173"/>
      <c r="F25" s="165"/>
      <c r="G25" s="165"/>
      <c r="H25" s="165"/>
      <c r="I25" s="165"/>
      <c r="J25" s="165"/>
      <c r="K25" s="165"/>
      <c r="L25" s="165"/>
      <c r="M25" s="165"/>
      <c r="N25" s="165"/>
      <c r="O25" s="165"/>
      <c r="P25" s="110"/>
      <c r="Q25" s="110"/>
      <c r="R25" s="110"/>
      <c r="S25" s="110"/>
      <c r="T25" s="110"/>
      <c r="U25" s="110"/>
      <c r="V25" s="249"/>
      <c r="W25" s="249"/>
      <c r="X25" s="249"/>
      <c r="Y25" s="249"/>
      <c r="Z25" s="249"/>
    </row>
    <row r="26" ht="13.5" customHeight="1">
      <c r="A26" s="157"/>
      <c r="B26" s="158"/>
      <c r="C26" s="226"/>
      <c r="D26" s="172"/>
      <c r="E26" s="227"/>
      <c r="F26" s="156"/>
      <c r="G26" s="156"/>
      <c r="H26" s="156"/>
      <c r="I26" s="156"/>
      <c r="J26" s="156"/>
      <c r="K26" s="156"/>
      <c r="L26" s="156"/>
      <c r="M26" s="156"/>
      <c r="N26" s="156"/>
      <c r="O26" s="156"/>
      <c r="P26" s="110"/>
      <c r="Q26" s="110"/>
      <c r="R26" s="110"/>
      <c r="S26" s="110"/>
      <c r="T26" s="110"/>
      <c r="U26" s="110"/>
      <c r="V26" s="249"/>
      <c r="W26" s="249"/>
      <c r="X26" s="249"/>
      <c r="Y26" s="249"/>
      <c r="Z26" s="249"/>
    </row>
    <row r="27" ht="13.5" customHeight="1">
      <c r="A27" s="157"/>
      <c r="B27" s="158"/>
      <c r="C27" s="226"/>
      <c r="D27" s="172"/>
      <c r="E27" s="227"/>
      <c r="F27" s="156"/>
      <c r="G27" s="156"/>
      <c r="H27" s="156"/>
      <c r="I27" s="156"/>
      <c r="J27" s="156"/>
      <c r="K27" s="156"/>
      <c r="L27" s="156"/>
      <c r="M27" s="156"/>
      <c r="N27" s="156"/>
      <c r="O27" s="156"/>
      <c r="P27" s="110"/>
      <c r="Q27" s="110"/>
      <c r="R27" s="110"/>
      <c r="S27" s="110"/>
      <c r="T27" s="110"/>
      <c r="U27" s="110"/>
      <c r="V27" s="249"/>
      <c r="W27" s="249"/>
      <c r="X27" s="249"/>
      <c r="Y27" s="249"/>
      <c r="Z27" s="249"/>
    </row>
    <row r="28" ht="13.5" customHeight="1">
      <c r="A28" s="157"/>
      <c r="B28" s="158"/>
      <c r="C28" s="226"/>
      <c r="D28" s="172"/>
      <c r="E28" s="227"/>
      <c r="F28" s="156"/>
      <c r="G28" s="156"/>
      <c r="H28" s="156"/>
      <c r="I28" s="156"/>
      <c r="J28" s="156"/>
      <c r="K28" s="156"/>
      <c r="L28" s="156"/>
      <c r="M28" s="156"/>
      <c r="N28" s="156"/>
      <c r="O28" s="156"/>
      <c r="P28" s="110"/>
      <c r="Q28" s="110"/>
      <c r="R28" s="110"/>
      <c r="S28" s="110"/>
      <c r="T28" s="110"/>
      <c r="U28" s="110"/>
      <c r="V28" s="249"/>
      <c r="W28" s="249"/>
      <c r="X28" s="249"/>
      <c r="Y28" s="249"/>
      <c r="Z28" s="249"/>
    </row>
    <row r="29" ht="13.5" customHeight="1">
      <c r="A29" s="157"/>
      <c r="B29" s="158"/>
      <c r="C29" s="226"/>
      <c r="D29" s="172"/>
      <c r="E29" s="227"/>
      <c r="F29" s="156"/>
      <c r="G29" s="156"/>
      <c r="H29" s="156"/>
      <c r="I29" s="156"/>
      <c r="J29" s="156"/>
      <c r="K29" s="156"/>
      <c r="L29" s="156"/>
      <c r="M29" s="156"/>
      <c r="N29" s="156"/>
      <c r="O29" s="156"/>
      <c r="P29" s="110"/>
      <c r="Q29" s="110"/>
      <c r="R29" s="110"/>
      <c r="S29" s="110"/>
      <c r="T29" s="110"/>
      <c r="U29" s="110"/>
      <c r="V29" s="249"/>
      <c r="W29" s="249"/>
      <c r="X29" s="249"/>
      <c r="Y29" s="249"/>
      <c r="Z29" s="249"/>
    </row>
    <row r="30" ht="13.5" customHeight="1">
      <c r="A30" s="157"/>
      <c r="B30" s="158"/>
      <c r="C30" s="226"/>
      <c r="D30" s="172"/>
      <c r="E30" s="227"/>
      <c r="F30" s="156"/>
      <c r="G30" s="156"/>
      <c r="H30" s="156"/>
      <c r="I30" s="156"/>
      <c r="J30" s="156"/>
      <c r="K30" s="156"/>
      <c r="L30" s="156"/>
      <c r="M30" s="156"/>
      <c r="N30" s="156"/>
      <c r="O30" s="156"/>
      <c r="P30" s="110"/>
      <c r="Q30" s="110"/>
      <c r="R30" s="110"/>
      <c r="S30" s="110"/>
      <c r="T30" s="110"/>
      <c r="U30" s="110"/>
      <c r="V30" s="249"/>
      <c r="W30" s="249"/>
      <c r="X30" s="249"/>
      <c r="Y30" s="249"/>
      <c r="Z30" s="249"/>
    </row>
    <row r="31" ht="13.5" customHeight="1">
      <c r="A31" s="176" t="s">
        <v>359</v>
      </c>
      <c r="B31" s="177" t="s">
        <v>360</v>
      </c>
      <c r="C31" s="178"/>
      <c r="D31" s="179"/>
      <c r="E31" s="180"/>
      <c r="F31" s="156"/>
      <c r="G31" s="156"/>
      <c r="H31" s="156"/>
      <c r="I31" s="156"/>
      <c r="J31" s="156"/>
      <c r="K31" s="156"/>
      <c r="L31" s="156"/>
      <c r="M31" s="156"/>
      <c r="N31" s="156"/>
      <c r="O31" s="156"/>
      <c r="P31" s="110"/>
      <c r="Q31" s="110"/>
      <c r="R31" s="110"/>
      <c r="S31" s="110"/>
      <c r="T31" s="110"/>
      <c r="U31" s="110"/>
      <c r="V31" s="249"/>
      <c r="W31" s="249"/>
      <c r="X31" s="249"/>
      <c r="Y31" s="249"/>
      <c r="Z31" s="249"/>
    </row>
    <row r="32" ht="13.5" customHeight="1">
      <c r="A32" s="181"/>
      <c r="B32" s="254"/>
      <c r="C32" s="183"/>
      <c r="D32" s="184" t="s">
        <v>421</v>
      </c>
      <c r="E32" s="185"/>
      <c r="F32" s="165" t="s">
        <v>353</v>
      </c>
      <c r="G32" s="165"/>
      <c r="H32" s="165"/>
      <c r="I32" s="165"/>
      <c r="J32" s="165"/>
      <c r="K32" s="165"/>
      <c r="L32" s="165"/>
      <c r="M32" s="165"/>
      <c r="N32" s="165"/>
      <c r="O32" s="165"/>
      <c r="P32" s="110"/>
      <c r="Q32" s="110"/>
      <c r="R32" s="110"/>
      <c r="S32" s="110"/>
      <c r="T32" s="110"/>
      <c r="U32" s="110"/>
      <c r="V32" s="249"/>
      <c r="W32" s="249"/>
      <c r="X32" s="249"/>
      <c r="Y32" s="249"/>
      <c r="Z32" s="249"/>
    </row>
    <row r="33" ht="13.5" customHeight="1">
      <c r="A33" s="181"/>
      <c r="B33" s="255"/>
      <c r="C33" s="183"/>
      <c r="D33" s="184"/>
      <c r="E33" s="185"/>
      <c r="F33" s="165"/>
      <c r="G33" s="165"/>
      <c r="H33" s="165"/>
      <c r="I33" s="165"/>
      <c r="J33" s="165"/>
      <c r="K33" s="165"/>
      <c r="L33" s="165"/>
      <c r="M33" s="165"/>
      <c r="N33" s="165"/>
      <c r="O33" s="165"/>
      <c r="P33" s="110"/>
      <c r="Q33" s="110"/>
      <c r="R33" s="110"/>
      <c r="S33" s="110"/>
      <c r="T33" s="110"/>
      <c r="U33" s="110"/>
      <c r="V33" s="249"/>
      <c r="W33" s="249"/>
      <c r="X33" s="249"/>
      <c r="Y33" s="249"/>
      <c r="Z33" s="249"/>
    </row>
    <row r="34" ht="13.5" customHeight="1">
      <c r="A34" s="181"/>
      <c r="B34" s="254"/>
      <c r="C34" s="183"/>
      <c r="D34" s="184" t="s">
        <v>422</v>
      </c>
      <c r="E34" s="185"/>
      <c r="F34" s="165"/>
      <c r="G34" s="165" t="s">
        <v>353</v>
      </c>
      <c r="H34" s="165"/>
      <c r="I34" s="165"/>
      <c r="J34" s="165"/>
      <c r="K34" s="165"/>
      <c r="L34" s="165"/>
      <c r="M34" s="165"/>
      <c r="N34" s="165"/>
      <c r="O34" s="165"/>
      <c r="P34" s="110"/>
      <c r="Q34" s="110"/>
      <c r="R34" s="110"/>
      <c r="S34" s="110"/>
      <c r="T34" s="110"/>
      <c r="U34" s="110"/>
      <c r="V34" s="249"/>
      <c r="W34" s="249"/>
      <c r="X34" s="249"/>
      <c r="Y34" s="249"/>
      <c r="Z34" s="249"/>
    </row>
    <row r="35" ht="13.5" customHeight="1">
      <c r="A35" s="181"/>
      <c r="B35" s="254"/>
      <c r="C35" s="183"/>
      <c r="D35" s="184" t="s">
        <v>423</v>
      </c>
      <c r="E35" s="185"/>
      <c r="F35" s="165"/>
      <c r="G35" s="165"/>
      <c r="H35" s="165" t="s">
        <v>353</v>
      </c>
      <c r="I35" s="165"/>
      <c r="J35" s="165"/>
      <c r="K35" s="165"/>
      <c r="L35" s="165"/>
      <c r="M35" s="165"/>
      <c r="N35" s="165"/>
      <c r="O35" s="165"/>
      <c r="P35" s="110"/>
      <c r="Q35" s="110"/>
      <c r="R35" s="110"/>
      <c r="S35" s="110"/>
      <c r="T35" s="110"/>
      <c r="U35" s="110"/>
      <c r="V35" s="249"/>
      <c r="W35" s="249"/>
      <c r="X35" s="249"/>
      <c r="Y35" s="249"/>
      <c r="Z35" s="249"/>
    </row>
    <row r="36" ht="13.5" customHeight="1">
      <c r="A36" s="181"/>
      <c r="B36" s="254"/>
      <c r="C36" s="183"/>
      <c r="D36" s="184" t="s">
        <v>424</v>
      </c>
      <c r="E36" s="185"/>
      <c r="F36" s="165"/>
      <c r="G36" s="165"/>
      <c r="H36" s="165"/>
      <c r="I36" s="165" t="s">
        <v>353</v>
      </c>
      <c r="J36" s="165"/>
      <c r="K36" s="165"/>
      <c r="L36" s="165"/>
      <c r="M36" s="165"/>
      <c r="N36" s="165"/>
      <c r="O36" s="165"/>
      <c r="P36" s="110"/>
      <c r="Q36" s="110"/>
      <c r="R36" s="110"/>
      <c r="S36" s="110"/>
      <c r="T36" s="110"/>
      <c r="U36" s="110"/>
      <c r="V36" s="249"/>
      <c r="W36" s="249"/>
      <c r="X36" s="249"/>
      <c r="Y36" s="249"/>
      <c r="Z36" s="249"/>
    </row>
    <row r="37" ht="13.5" customHeight="1">
      <c r="A37" s="181"/>
      <c r="B37" s="254"/>
      <c r="C37" s="183"/>
      <c r="D37" s="184"/>
      <c r="E37" s="185"/>
      <c r="F37" s="165"/>
      <c r="G37" s="165"/>
      <c r="H37" s="165"/>
      <c r="I37" s="165"/>
      <c r="J37" s="165"/>
      <c r="K37" s="165"/>
      <c r="L37" s="165"/>
      <c r="M37" s="165"/>
      <c r="N37" s="165"/>
      <c r="O37" s="165"/>
      <c r="P37" s="110"/>
      <c r="Q37" s="110"/>
      <c r="R37" s="110"/>
      <c r="S37" s="110"/>
      <c r="T37" s="110"/>
      <c r="U37" s="110"/>
      <c r="V37" s="249"/>
      <c r="W37" s="249"/>
      <c r="X37" s="249"/>
      <c r="Y37" s="249"/>
      <c r="Z37" s="249"/>
    </row>
    <row r="38" ht="13.5" customHeight="1">
      <c r="A38" s="181"/>
      <c r="B38" s="182"/>
      <c r="C38" s="183"/>
      <c r="D38" s="184"/>
      <c r="E38" s="188"/>
      <c r="F38" s="165"/>
      <c r="G38" s="165"/>
      <c r="H38" s="165"/>
      <c r="I38" s="165"/>
      <c r="J38" s="165"/>
      <c r="K38" s="165"/>
      <c r="L38" s="165"/>
      <c r="M38" s="165"/>
      <c r="N38" s="165"/>
      <c r="O38" s="165"/>
      <c r="P38" s="110"/>
      <c r="Q38" s="110"/>
      <c r="R38" s="110"/>
      <c r="S38" s="110"/>
      <c r="T38" s="110"/>
      <c r="U38" s="110"/>
      <c r="V38" s="249"/>
      <c r="W38" s="249"/>
      <c r="X38" s="249"/>
      <c r="Y38" s="249"/>
      <c r="Z38" s="249"/>
    </row>
    <row r="39" ht="13.5" customHeight="1">
      <c r="A39" s="181"/>
      <c r="B39" s="182"/>
      <c r="C39" s="183"/>
      <c r="D39" s="184"/>
      <c r="E39" s="188"/>
      <c r="F39" s="165"/>
      <c r="G39" s="165"/>
      <c r="H39" s="165"/>
      <c r="I39" s="165"/>
      <c r="J39" s="165"/>
      <c r="K39" s="165"/>
      <c r="L39" s="165"/>
      <c r="M39" s="165"/>
      <c r="N39" s="165"/>
      <c r="O39" s="165"/>
      <c r="P39" s="110"/>
      <c r="Q39" s="110"/>
      <c r="R39" s="110"/>
      <c r="S39" s="110"/>
      <c r="T39" s="110"/>
      <c r="U39" s="110"/>
      <c r="V39" s="249"/>
      <c r="W39" s="249"/>
      <c r="X39" s="249"/>
      <c r="Y39" s="249"/>
      <c r="Z39" s="249"/>
    </row>
    <row r="40" ht="13.5" customHeight="1">
      <c r="A40" s="181"/>
      <c r="B40" s="182"/>
      <c r="C40" s="183"/>
      <c r="D40" s="184"/>
      <c r="E40" s="188"/>
      <c r="F40" s="165"/>
      <c r="G40" s="165"/>
      <c r="H40" s="165"/>
      <c r="I40" s="165"/>
      <c r="J40" s="165"/>
      <c r="K40" s="165"/>
      <c r="L40" s="165"/>
      <c r="M40" s="165"/>
      <c r="N40" s="165"/>
      <c r="O40" s="165"/>
      <c r="P40" s="110"/>
      <c r="Q40" s="110"/>
      <c r="R40" s="110"/>
      <c r="S40" s="110"/>
      <c r="T40" s="110"/>
      <c r="U40" s="110"/>
      <c r="V40" s="249"/>
      <c r="W40" s="249"/>
      <c r="X40" s="249"/>
      <c r="Y40" s="249"/>
      <c r="Z40" s="249"/>
    </row>
    <row r="41" ht="13.5" customHeight="1">
      <c r="A41" s="181"/>
      <c r="B41" s="182"/>
      <c r="C41" s="183"/>
      <c r="D41" s="184"/>
      <c r="E41" s="188"/>
      <c r="F41" s="165"/>
      <c r="G41" s="165"/>
      <c r="H41" s="165"/>
      <c r="I41" s="165"/>
      <c r="J41" s="165"/>
      <c r="K41" s="165"/>
      <c r="L41" s="165"/>
      <c r="M41" s="165"/>
      <c r="N41" s="165"/>
      <c r="O41" s="165"/>
      <c r="P41" s="110"/>
      <c r="Q41" s="110"/>
      <c r="R41" s="110"/>
      <c r="S41" s="110"/>
      <c r="T41" s="110"/>
      <c r="U41" s="110"/>
      <c r="V41" s="249"/>
      <c r="W41" s="249"/>
      <c r="X41" s="249"/>
      <c r="Y41" s="249"/>
      <c r="Z41" s="249"/>
    </row>
    <row r="42" ht="13.5" customHeight="1">
      <c r="A42" s="181"/>
      <c r="B42" s="182"/>
      <c r="C42" s="183"/>
      <c r="D42" s="184"/>
      <c r="E42" s="188"/>
      <c r="F42" s="165"/>
      <c r="G42" s="165"/>
      <c r="H42" s="165"/>
      <c r="I42" s="165"/>
      <c r="J42" s="165"/>
      <c r="K42" s="165"/>
      <c r="L42" s="165"/>
      <c r="M42" s="165"/>
      <c r="N42" s="165"/>
      <c r="O42" s="165"/>
      <c r="P42" s="110"/>
      <c r="Q42" s="110"/>
      <c r="R42" s="110"/>
      <c r="S42" s="110"/>
      <c r="T42" s="110"/>
      <c r="U42" s="110"/>
      <c r="V42" s="249"/>
      <c r="W42" s="249"/>
      <c r="X42" s="249"/>
      <c r="Y42" s="249"/>
      <c r="Z42" s="249"/>
    </row>
    <row r="43" ht="13.5" customHeight="1">
      <c r="A43" s="181"/>
      <c r="B43" s="182"/>
      <c r="C43" s="183"/>
      <c r="D43" s="184"/>
      <c r="E43" s="188"/>
      <c r="F43" s="165"/>
      <c r="G43" s="165"/>
      <c r="H43" s="165"/>
      <c r="I43" s="165"/>
      <c r="J43" s="165"/>
      <c r="K43" s="165"/>
      <c r="L43" s="165"/>
      <c r="M43" s="165"/>
      <c r="N43" s="165"/>
      <c r="O43" s="165"/>
      <c r="P43" s="110"/>
      <c r="Q43" s="110"/>
      <c r="R43" s="110"/>
      <c r="S43" s="110"/>
      <c r="T43" s="110"/>
      <c r="U43" s="110"/>
      <c r="V43" s="249"/>
      <c r="W43" s="249"/>
      <c r="X43" s="249"/>
      <c r="Y43" s="249"/>
      <c r="Z43" s="249"/>
    </row>
    <row r="44" ht="13.5" customHeight="1">
      <c r="A44" s="262"/>
      <c r="B44" s="182"/>
      <c r="C44" s="183"/>
      <c r="D44" s="184"/>
      <c r="E44" s="188"/>
      <c r="F44" s="165"/>
      <c r="G44" s="165"/>
      <c r="H44" s="165"/>
      <c r="I44" s="165"/>
      <c r="J44" s="165"/>
      <c r="K44" s="165"/>
      <c r="L44" s="165"/>
      <c r="M44" s="165"/>
      <c r="N44" s="165"/>
      <c r="O44" s="165"/>
      <c r="P44" s="110"/>
      <c r="Q44" s="110"/>
      <c r="R44" s="110"/>
      <c r="S44" s="110"/>
      <c r="T44" s="110"/>
      <c r="U44" s="110"/>
      <c r="V44" s="249"/>
      <c r="W44" s="249"/>
      <c r="X44" s="249"/>
      <c r="Y44" s="249"/>
      <c r="Z44" s="249"/>
    </row>
    <row r="45" ht="13.5" customHeight="1">
      <c r="A45" s="264"/>
      <c r="B45" s="237"/>
      <c r="C45" s="238"/>
      <c r="D45" s="239"/>
      <c r="E45" s="265"/>
      <c r="F45" s="156"/>
      <c r="G45" s="156"/>
      <c r="H45" s="156"/>
      <c r="I45" s="156"/>
      <c r="J45" s="156"/>
      <c r="K45" s="156"/>
      <c r="L45" s="156"/>
      <c r="M45" s="156"/>
      <c r="N45" s="156"/>
      <c r="O45" s="156"/>
      <c r="P45" s="110"/>
      <c r="Q45" s="110"/>
      <c r="R45" s="110"/>
      <c r="S45" s="110"/>
      <c r="T45" s="110"/>
      <c r="U45" s="110"/>
      <c r="V45" s="249"/>
      <c r="W45" s="249"/>
      <c r="X45" s="249"/>
      <c r="Y45" s="249"/>
      <c r="Z45" s="249"/>
    </row>
    <row r="46" ht="13.5" customHeight="1">
      <c r="A46" s="228" t="s">
        <v>367</v>
      </c>
      <c r="B46" s="240" t="s">
        <v>368</v>
      </c>
      <c r="C46" s="225"/>
      <c r="D46" s="241"/>
      <c r="E46" s="200"/>
      <c r="F46" s="201" t="s">
        <v>220</v>
      </c>
      <c r="G46" s="201" t="s">
        <v>38</v>
      </c>
      <c r="H46" s="201" t="s">
        <v>220</v>
      </c>
      <c r="I46" s="201" t="s">
        <v>220</v>
      </c>
      <c r="J46" s="201"/>
      <c r="K46" s="201"/>
      <c r="L46" s="201"/>
      <c r="M46" s="201"/>
      <c r="N46" s="201"/>
      <c r="O46" s="201"/>
      <c r="P46" s="110"/>
      <c r="Q46" s="110"/>
      <c r="R46" s="110"/>
      <c r="S46" s="110"/>
      <c r="T46" s="110"/>
      <c r="U46" s="110"/>
      <c r="V46" s="249"/>
      <c r="W46" s="249"/>
      <c r="X46" s="249"/>
      <c r="Y46" s="249"/>
      <c r="Z46" s="249"/>
    </row>
    <row r="47" ht="13.5" customHeight="1">
      <c r="A47" s="260"/>
      <c r="B47" s="204" t="s">
        <v>369</v>
      </c>
      <c r="C47" s="12"/>
      <c r="D47" s="13"/>
      <c r="E47" s="205"/>
      <c r="F47" s="206"/>
      <c r="G47" s="206"/>
      <c r="H47" s="206"/>
      <c r="I47" s="206"/>
      <c r="J47" s="206"/>
      <c r="K47" s="206"/>
      <c r="L47" s="206"/>
      <c r="M47" s="206"/>
      <c r="N47" s="206"/>
      <c r="O47" s="206"/>
      <c r="P47" s="110"/>
      <c r="Q47" s="110"/>
      <c r="R47" s="110"/>
      <c r="S47" s="110"/>
      <c r="T47" s="110"/>
      <c r="U47" s="110"/>
      <c r="V47" s="249"/>
      <c r="W47" s="249"/>
      <c r="X47" s="249"/>
      <c r="Y47" s="249"/>
      <c r="Z47" s="249"/>
    </row>
    <row r="48" ht="13.5" customHeight="1">
      <c r="A48" s="260"/>
      <c r="B48" s="208" t="s">
        <v>371</v>
      </c>
      <c r="C48" s="12"/>
      <c r="D48" s="13"/>
      <c r="E48" s="209"/>
      <c r="F48" s="210"/>
      <c r="G48" s="210"/>
      <c r="H48" s="210"/>
      <c r="I48" s="210"/>
      <c r="J48" s="210"/>
      <c r="K48" s="210"/>
      <c r="L48" s="210"/>
      <c r="M48" s="210"/>
      <c r="N48" s="210"/>
      <c r="O48" s="210"/>
      <c r="P48" s="110"/>
      <c r="Q48" s="110"/>
      <c r="R48" s="110"/>
      <c r="S48" s="110"/>
      <c r="T48" s="110"/>
      <c r="U48" s="110"/>
      <c r="V48" s="249"/>
      <c r="W48" s="249"/>
      <c r="X48" s="249"/>
      <c r="Y48" s="249"/>
      <c r="Z48" s="249"/>
    </row>
    <row r="49" ht="12.0" customHeight="1">
      <c r="A49" s="261"/>
      <c r="B49" s="215" t="s">
        <v>372</v>
      </c>
      <c r="C49" s="216"/>
      <c r="D49" s="217"/>
      <c r="E49" s="218"/>
      <c r="F49" s="219"/>
      <c r="G49" s="219"/>
      <c r="H49" s="219"/>
      <c r="I49" s="219"/>
      <c r="J49" s="219"/>
      <c r="K49" s="219"/>
      <c r="L49" s="219"/>
      <c r="M49" s="219"/>
      <c r="N49" s="219"/>
      <c r="O49" s="219"/>
      <c r="P49" s="110"/>
      <c r="Q49" s="110"/>
      <c r="R49" s="110"/>
      <c r="S49" s="110"/>
      <c r="T49" s="110"/>
      <c r="U49" s="110"/>
      <c r="V49" s="249"/>
      <c r="W49" s="249"/>
      <c r="X49" s="249"/>
      <c r="Y49" s="249"/>
      <c r="Z49" s="249"/>
    </row>
    <row r="50" ht="12.0" customHeight="1">
      <c r="A50" s="143"/>
      <c r="B50" s="110"/>
      <c r="C50" s="111"/>
      <c r="D50" s="110"/>
      <c r="E50" s="110"/>
      <c r="F50" s="110"/>
      <c r="G50" s="110"/>
      <c r="H50" s="110"/>
      <c r="I50" s="110"/>
      <c r="J50" s="110"/>
      <c r="K50" s="110"/>
      <c r="L50" s="110"/>
      <c r="M50" s="110"/>
      <c r="N50" s="110"/>
      <c r="O50" s="110"/>
      <c r="P50" s="110"/>
      <c r="Q50" s="110"/>
      <c r="R50" s="110"/>
      <c r="S50" s="110"/>
      <c r="T50" s="110"/>
      <c r="U50" s="110"/>
      <c r="V50" s="249"/>
      <c r="W50" s="249"/>
      <c r="X50" s="249"/>
      <c r="Y50" s="249"/>
      <c r="Z50" s="249"/>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249"/>
      <c r="W51" s="249"/>
      <c r="X51" s="249"/>
      <c r="Y51" s="249"/>
      <c r="Z51" s="249"/>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249"/>
      <c r="W52" s="249"/>
      <c r="X52" s="249"/>
      <c r="Y52" s="249"/>
      <c r="Z52" s="249"/>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249"/>
      <c r="W53" s="249"/>
      <c r="X53" s="249"/>
      <c r="Y53" s="249"/>
      <c r="Z53" s="249"/>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249"/>
      <c r="W54" s="249"/>
      <c r="X54" s="249"/>
      <c r="Y54" s="249"/>
      <c r="Z54" s="249"/>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249"/>
      <c r="W55" s="249"/>
      <c r="X55" s="249"/>
      <c r="Y55" s="249"/>
      <c r="Z55" s="249"/>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249"/>
      <c r="W56" s="249"/>
      <c r="X56" s="249"/>
      <c r="Y56" s="249"/>
      <c r="Z56" s="249"/>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249"/>
      <c r="W57" s="249"/>
      <c r="X57" s="249"/>
      <c r="Y57" s="249"/>
      <c r="Z57" s="249"/>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249"/>
      <c r="W58" s="249"/>
      <c r="X58" s="249"/>
      <c r="Y58" s="249"/>
      <c r="Z58" s="249"/>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249"/>
      <c r="W59" s="249"/>
      <c r="X59" s="249"/>
      <c r="Y59" s="249"/>
      <c r="Z59" s="249"/>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249"/>
      <c r="W60" s="249"/>
      <c r="X60" s="249"/>
      <c r="Y60" s="249"/>
      <c r="Z60" s="249"/>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249"/>
      <c r="W61" s="249"/>
      <c r="X61" s="249"/>
      <c r="Y61" s="249"/>
      <c r="Z61" s="249"/>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249"/>
      <c r="W62" s="249"/>
      <c r="X62" s="249"/>
      <c r="Y62" s="249"/>
      <c r="Z62" s="249"/>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249"/>
      <c r="W63" s="249"/>
      <c r="X63" s="249"/>
      <c r="Y63" s="249"/>
      <c r="Z63" s="249"/>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249"/>
      <c r="W64" s="249"/>
      <c r="X64" s="249"/>
      <c r="Y64" s="249"/>
      <c r="Z64" s="249"/>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249"/>
      <c r="W65" s="249"/>
      <c r="X65" s="249"/>
      <c r="Y65" s="249"/>
      <c r="Z65" s="249"/>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249"/>
      <c r="W66" s="249"/>
      <c r="X66" s="249"/>
      <c r="Y66" s="249"/>
      <c r="Z66" s="249"/>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249"/>
      <c r="W67" s="249"/>
      <c r="X67" s="249"/>
      <c r="Y67" s="249"/>
      <c r="Z67" s="249"/>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249"/>
      <c r="W68" s="249"/>
      <c r="X68" s="249"/>
      <c r="Y68" s="249"/>
      <c r="Z68" s="249"/>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249"/>
      <c r="W69" s="249"/>
      <c r="X69" s="249"/>
      <c r="Y69" s="249"/>
      <c r="Z69" s="249"/>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249"/>
      <c r="W70" s="249"/>
      <c r="X70" s="249"/>
      <c r="Y70" s="249"/>
      <c r="Z70" s="249"/>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249"/>
      <c r="W71" s="249"/>
      <c r="X71" s="249"/>
      <c r="Y71" s="249"/>
      <c r="Z71" s="249"/>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249"/>
      <c r="W72" s="249"/>
      <c r="X72" s="249"/>
      <c r="Y72" s="249"/>
      <c r="Z72" s="249"/>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249"/>
      <c r="W73" s="249"/>
      <c r="X73" s="249"/>
      <c r="Y73" s="249"/>
      <c r="Z73" s="249"/>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249"/>
      <c r="W74" s="249"/>
      <c r="X74" s="249"/>
      <c r="Y74" s="249"/>
      <c r="Z74" s="249"/>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249"/>
      <c r="W75" s="249"/>
      <c r="X75" s="249"/>
      <c r="Y75" s="249"/>
      <c r="Z75" s="249"/>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249"/>
      <c r="W76" s="249"/>
      <c r="X76" s="249"/>
      <c r="Y76" s="249"/>
      <c r="Z76" s="249"/>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249"/>
      <c r="W77" s="249"/>
      <c r="X77" s="249"/>
      <c r="Y77" s="249"/>
      <c r="Z77" s="249"/>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249"/>
      <c r="W78" s="249"/>
      <c r="X78" s="249"/>
      <c r="Y78" s="249"/>
      <c r="Z78" s="249"/>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249"/>
      <c r="W79" s="249"/>
      <c r="X79" s="249"/>
      <c r="Y79" s="249"/>
      <c r="Z79" s="249"/>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249"/>
      <c r="W80" s="249"/>
      <c r="X80" s="249"/>
      <c r="Y80" s="249"/>
      <c r="Z80" s="249"/>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249"/>
      <c r="W81" s="249"/>
      <c r="X81" s="249"/>
      <c r="Y81" s="249"/>
      <c r="Z81" s="249"/>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249"/>
      <c r="W82" s="249"/>
      <c r="X82" s="249"/>
      <c r="Y82" s="249"/>
      <c r="Z82" s="249"/>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249"/>
      <c r="W83" s="249"/>
      <c r="X83" s="249"/>
      <c r="Y83" s="249"/>
      <c r="Z83" s="249"/>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249"/>
      <c r="W84" s="249"/>
      <c r="X84" s="249"/>
      <c r="Y84" s="249"/>
      <c r="Z84" s="249"/>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249"/>
      <c r="W85" s="249"/>
      <c r="X85" s="249"/>
      <c r="Y85" s="249"/>
      <c r="Z85" s="249"/>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249"/>
      <c r="W86" s="249"/>
      <c r="X86" s="249"/>
      <c r="Y86" s="249"/>
      <c r="Z86" s="249"/>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249"/>
      <c r="W87" s="249"/>
      <c r="X87" s="249"/>
      <c r="Y87" s="249"/>
      <c r="Z87" s="249"/>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249"/>
      <c r="W88" s="249"/>
      <c r="X88" s="249"/>
      <c r="Y88" s="249"/>
      <c r="Z88" s="249"/>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249"/>
      <c r="W89" s="249"/>
      <c r="X89" s="249"/>
      <c r="Y89" s="249"/>
      <c r="Z89" s="249"/>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249"/>
      <c r="W90" s="249"/>
      <c r="X90" s="249"/>
      <c r="Y90" s="249"/>
      <c r="Z90" s="249"/>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249"/>
      <c r="W91" s="249"/>
      <c r="X91" s="249"/>
      <c r="Y91" s="249"/>
      <c r="Z91" s="249"/>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249"/>
      <c r="W92" s="249"/>
      <c r="X92" s="249"/>
      <c r="Y92" s="249"/>
      <c r="Z92" s="249"/>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249"/>
      <c r="W93" s="249"/>
      <c r="X93" s="249"/>
      <c r="Y93" s="249"/>
      <c r="Z93" s="249"/>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249"/>
      <c r="W94" s="249"/>
      <c r="X94" s="249"/>
      <c r="Y94" s="249"/>
      <c r="Z94" s="249"/>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249"/>
      <c r="W95" s="249"/>
      <c r="X95" s="249"/>
      <c r="Y95" s="249"/>
      <c r="Z95" s="249"/>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249"/>
      <c r="W96" s="249"/>
      <c r="X96" s="249"/>
      <c r="Y96" s="249"/>
      <c r="Z96" s="249"/>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249"/>
      <c r="W97" s="249"/>
      <c r="X97" s="249"/>
      <c r="Y97" s="249"/>
      <c r="Z97" s="249"/>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249"/>
      <c r="W98" s="249"/>
      <c r="X98" s="249"/>
      <c r="Y98" s="249"/>
      <c r="Z98" s="249"/>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249"/>
      <c r="W99" s="249"/>
      <c r="X99" s="249"/>
      <c r="Y99" s="249"/>
      <c r="Z99" s="249"/>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249"/>
      <c r="W100" s="249"/>
      <c r="X100" s="249"/>
      <c r="Y100" s="249"/>
      <c r="Z100" s="249"/>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249"/>
      <c r="W101" s="249"/>
      <c r="X101" s="249"/>
      <c r="Y101" s="249"/>
      <c r="Z101" s="249"/>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249"/>
      <c r="W102" s="249"/>
      <c r="X102" s="249"/>
      <c r="Y102" s="249"/>
      <c r="Z102" s="249"/>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249"/>
      <c r="W103" s="249"/>
      <c r="X103" s="249"/>
      <c r="Y103" s="249"/>
      <c r="Z103" s="249"/>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249"/>
      <c r="W104" s="249"/>
      <c r="X104" s="249"/>
      <c r="Y104" s="249"/>
      <c r="Z104" s="249"/>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249"/>
      <c r="W105" s="249"/>
      <c r="X105" s="249"/>
      <c r="Y105" s="249"/>
      <c r="Z105" s="249"/>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249"/>
      <c r="W106" s="249"/>
      <c r="X106" s="249"/>
      <c r="Y106" s="249"/>
      <c r="Z106" s="249"/>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249"/>
      <c r="W107" s="249"/>
      <c r="X107" s="249"/>
      <c r="Y107" s="249"/>
      <c r="Z107" s="249"/>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249"/>
      <c r="W108" s="249"/>
      <c r="X108" s="249"/>
      <c r="Y108" s="249"/>
      <c r="Z108" s="249"/>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249"/>
      <c r="W109" s="249"/>
      <c r="X109" s="249"/>
      <c r="Y109" s="249"/>
      <c r="Z109" s="249"/>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249"/>
      <c r="W110" s="249"/>
      <c r="X110" s="249"/>
      <c r="Y110" s="249"/>
      <c r="Z110" s="249"/>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249"/>
      <c r="W111" s="249"/>
      <c r="X111" s="249"/>
      <c r="Y111" s="249"/>
      <c r="Z111" s="249"/>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249"/>
      <c r="W112" s="249"/>
      <c r="X112" s="249"/>
      <c r="Y112" s="249"/>
      <c r="Z112" s="249"/>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249"/>
      <c r="W113" s="249"/>
      <c r="X113" s="249"/>
      <c r="Y113" s="249"/>
      <c r="Z113" s="249"/>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249"/>
      <c r="W114" s="249"/>
      <c r="X114" s="249"/>
      <c r="Y114" s="249"/>
      <c r="Z114" s="249"/>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249"/>
      <c r="W115" s="249"/>
      <c r="X115" s="249"/>
      <c r="Y115" s="249"/>
      <c r="Z115" s="249"/>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249"/>
      <c r="W116" s="249"/>
      <c r="X116" s="249"/>
      <c r="Y116" s="249"/>
      <c r="Z116" s="249"/>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249"/>
      <c r="W117" s="249"/>
      <c r="X117" s="249"/>
      <c r="Y117" s="249"/>
      <c r="Z117" s="249"/>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249"/>
      <c r="W118" s="249"/>
      <c r="X118" s="249"/>
      <c r="Y118" s="249"/>
      <c r="Z118" s="249"/>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249"/>
      <c r="W119" s="249"/>
      <c r="X119" s="249"/>
      <c r="Y119" s="249"/>
      <c r="Z119" s="249"/>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249"/>
      <c r="W120" s="249"/>
      <c r="X120" s="249"/>
      <c r="Y120" s="249"/>
      <c r="Z120" s="249"/>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249"/>
      <c r="W121" s="249"/>
      <c r="X121" s="249"/>
      <c r="Y121" s="249"/>
      <c r="Z121" s="249"/>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249"/>
      <c r="W122" s="249"/>
      <c r="X122" s="249"/>
      <c r="Y122" s="249"/>
      <c r="Z122" s="249"/>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249"/>
      <c r="W123" s="249"/>
      <c r="X123" s="249"/>
      <c r="Y123" s="249"/>
      <c r="Z123" s="249"/>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249"/>
      <c r="W124" s="249"/>
      <c r="X124" s="249"/>
      <c r="Y124" s="249"/>
      <c r="Z124" s="249"/>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249"/>
      <c r="W125" s="249"/>
      <c r="X125" s="249"/>
      <c r="Y125" s="249"/>
      <c r="Z125" s="249"/>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249"/>
      <c r="W126" s="249"/>
      <c r="X126" s="249"/>
      <c r="Y126" s="249"/>
      <c r="Z126" s="249"/>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249"/>
      <c r="W127" s="249"/>
      <c r="X127" s="249"/>
      <c r="Y127" s="249"/>
      <c r="Z127" s="249"/>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249"/>
      <c r="W128" s="249"/>
      <c r="X128" s="249"/>
      <c r="Y128" s="249"/>
      <c r="Z128" s="249"/>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249"/>
      <c r="W129" s="249"/>
      <c r="X129" s="249"/>
      <c r="Y129" s="249"/>
      <c r="Z129" s="249"/>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249"/>
      <c r="W130" s="249"/>
      <c r="X130" s="249"/>
      <c r="Y130" s="249"/>
      <c r="Z130" s="249"/>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249"/>
      <c r="W131" s="249"/>
      <c r="X131" s="249"/>
      <c r="Y131" s="249"/>
      <c r="Z131" s="249"/>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249"/>
      <c r="W132" s="249"/>
      <c r="X132" s="249"/>
      <c r="Y132" s="249"/>
      <c r="Z132" s="249"/>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249"/>
      <c r="W133" s="249"/>
      <c r="X133" s="249"/>
      <c r="Y133" s="249"/>
      <c r="Z133" s="249"/>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249"/>
      <c r="W134" s="249"/>
      <c r="X134" s="249"/>
      <c r="Y134" s="249"/>
      <c r="Z134" s="249"/>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249"/>
      <c r="W135" s="249"/>
      <c r="X135" s="249"/>
      <c r="Y135" s="249"/>
      <c r="Z135" s="249"/>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249"/>
      <c r="W136" s="249"/>
      <c r="X136" s="249"/>
      <c r="Y136" s="249"/>
      <c r="Z136" s="249"/>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249"/>
      <c r="W137" s="249"/>
      <c r="X137" s="249"/>
      <c r="Y137" s="249"/>
      <c r="Z137" s="249"/>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249"/>
      <c r="W138" s="249"/>
      <c r="X138" s="249"/>
      <c r="Y138" s="249"/>
      <c r="Z138" s="249"/>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249"/>
      <c r="W139" s="249"/>
      <c r="X139" s="249"/>
      <c r="Y139" s="249"/>
      <c r="Z139" s="249"/>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249"/>
      <c r="W140" s="249"/>
      <c r="X140" s="249"/>
      <c r="Y140" s="249"/>
      <c r="Z140" s="249"/>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249"/>
      <c r="W141" s="249"/>
      <c r="X141" s="249"/>
      <c r="Y141" s="249"/>
      <c r="Z141" s="249"/>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249"/>
      <c r="W142" s="249"/>
      <c r="X142" s="249"/>
      <c r="Y142" s="249"/>
      <c r="Z142" s="249"/>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249"/>
      <c r="W143" s="249"/>
      <c r="X143" s="249"/>
      <c r="Y143" s="249"/>
      <c r="Z143" s="249"/>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249"/>
      <c r="W144" s="249"/>
      <c r="X144" s="249"/>
      <c r="Y144" s="249"/>
      <c r="Z144" s="249"/>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249"/>
      <c r="W145" s="249"/>
      <c r="X145" s="249"/>
      <c r="Y145" s="249"/>
      <c r="Z145" s="249"/>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249"/>
      <c r="W146" s="249"/>
      <c r="X146" s="249"/>
      <c r="Y146" s="249"/>
      <c r="Z146" s="249"/>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249"/>
      <c r="W147" s="249"/>
      <c r="X147" s="249"/>
      <c r="Y147" s="249"/>
      <c r="Z147" s="249"/>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249"/>
      <c r="W148" s="249"/>
      <c r="X148" s="249"/>
      <c r="Y148" s="249"/>
      <c r="Z148" s="249"/>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249"/>
      <c r="W149" s="249"/>
      <c r="X149" s="249"/>
      <c r="Y149" s="249"/>
      <c r="Z149" s="249"/>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249"/>
      <c r="W150" s="249"/>
      <c r="X150" s="249"/>
      <c r="Y150" s="249"/>
      <c r="Z150" s="249"/>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249"/>
      <c r="W151" s="249"/>
      <c r="X151" s="249"/>
      <c r="Y151" s="249"/>
      <c r="Z151" s="249"/>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249"/>
      <c r="W152" s="249"/>
      <c r="X152" s="249"/>
      <c r="Y152" s="249"/>
      <c r="Z152" s="249"/>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249"/>
      <c r="W153" s="249"/>
      <c r="X153" s="249"/>
      <c r="Y153" s="249"/>
      <c r="Z153" s="249"/>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249"/>
      <c r="W154" s="249"/>
      <c r="X154" s="249"/>
      <c r="Y154" s="249"/>
      <c r="Z154" s="249"/>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249"/>
      <c r="W155" s="249"/>
      <c r="X155" s="249"/>
      <c r="Y155" s="249"/>
      <c r="Z155" s="249"/>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249"/>
      <c r="W156" s="249"/>
      <c r="X156" s="249"/>
      <c r="Y156" s="249"/>
      <c r="Z156" s="249"/>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249"/>
      <c r="W157" s="249"/>
      <c r="X157" s="249"/>
      <c r="Y157" s="249"/>
      <c r="Z157" s="249"/>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249"/>
      <c r="W158" s="249"/>
      <c r="X158" s="249"/>
      <c r="Y158" s="249"/>
      <c r="Z158" s="249"/>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249"/>
      <c r="W159" s="249"/>
      <c r="X159" s="249"/>
      <c r="Y159" s="249"/>
      <c r="Z159" s="249"/>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249"/>
      <c r="W160" s="249"/>
      <c r="X160" s="249"/>
      <c r="Y160" s="249"/>
      <c r="Z160" s="249"/>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249"/>
      <c r="W161" s="249"/>
      <c r="X161" s="249"/>
      <c r="Y161" s="249"/>
      <c r="Z161" s="249"/>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249"/>
      <c r="W162" s="249"/>
      <c r="X162" s="249"/>
      <c r="Y162" s="249"/>
      <c r="Z162" s="249"/>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249"/>
      <c r="W163" s="249"/>
      <c r="X163" s="249"/>
      <c r="Y163" s="249"/>
      <c r="Z163" s="249"/>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249"/>
      <c r="W164" s="249"/>
      <c r="X164" s="249"/>
      <c r="Y164" s="249"/>
      <c r="Z164" s="249"/>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249"/>
      <c r="W165" s="249"/>
      <c r="X165" s="249"/>
      <c r="Y165" s="249"/>
      <c r="Z165" s="249"/>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249"/>
      <c r="W166" s="249"/>
      <c r="X166" s="249"/>
      <c r="Y166" s="249"/>
      <c r="Z166" s="249"/>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249"/>
      <c r="W167" s="249"/>
      <c r="X167" s="249"/>
      <c r="Y167" s="249"/>
      <c r="Z167" s="249"/>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249"/>
      <c r="W168" s="249"/>
      <c r="X168" s="249"/>
      <c r="Y168" s="249"/>
      <c r="Z168" s="249"/>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249"/>
      <c r="W169" s="249"/>
      <c r="X169" s="249"/>
      <c r="Y169" s="249"/>
      <c r="Z169" s="249"/>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249"/>
      <c r="W170" s="249"/>
      <c r="X170" s="249"/>
      <c r="Y170" s="249"/>
      <c r="Z170" s="249"/>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249"/>
      <c r="W171" s="249"/>
      <c r="X171" s="249"/>
      <c r="Y171" s="249"/>
      <c r="Z171" s="249"/>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249"/>
      <c r="W172" s="249"/>
      <c r="X172" s="249"/>
      <c r="Y172" s="249"/>
      <c r="Z172" s="249"/>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249"/>
      <c r="W173" s="249"/>
      <c r="X173" s="249"/>
      <c r="Y173" s="249"/>
      <c r="Z173" s="249"/>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249"/>
      <c r="W174" s="249"/>
      <c r="X174" s="249"/>
      <c r="Y174" s="249"/>
      <c r="Z174" s="249"/>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249"/>
      <c r="W175" s="249"/>
      <c r="X175" s="249"/>
      <c r="Y175" s="249"/>
      <c r="Z175" s="249"/>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249"/>
      <c r="W176" s="249"/>
      <c r="X176" s="249"/>
      <c r="Y176" s="249"/>
      <c r="Z176" s="249"/>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249"/>
      <c r="W177" s="249"/>
      <c r="X177" s="249"/>
      <c r="Y177" s="249"/>
      <c r="Z177" s="249"/>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249"/>
      <c r="W178" s="249"/>
      <c r="X178" s="249"/>
      <c r="Y178" s="249"/>
      <c r="Z178" s="249"/>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249"/>
      <c r="W179" s="249"/>
      <c r="X179" s="249"/>
      <c r="Y179" s="249"/>
      <c r="Z179" s="249"/>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249"/>
      <c r="W180" s="249"/>
      <c r="X180" s="249"/>
      <c r="Y180" s="249"/>
      <c r="Z180" s="249"/>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249"/>
      <c r="W181" s="249"/>
      <c r="X181" s="249"/>
      <c r="Y181" s="249"/>
      <c r="Z181" s="249"/>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249"/>
      <c r="W182" s="249"/>
      <c r="X182" s="249"/>
      <c r="Y182" s="249"/>
      <c r="Z182" s="249"/>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249"/>
      <c r="W183" s="249"/>
      <c r="X183" s="249"/>
      <c r="Y183" s="249"/>
      <c r="Z183" s="249"/>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249"/>
      <c r="W184" s="249"/>
      <c r="X184" s="249"/>
      <c r="Y184" s="249"/>
      <c r="Z184" s="249"/>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249"/>
      <c r="W185" s="249"/>
      <c r="X185" s="249"/>
      <c r="Y185" s="249"/>
      <c r="Z185" s="249"/>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249"/>
      <c r="W186" s="249"/>
      <c r="X186" s="249"/>
      <c r="Y186" s="249"/>
      <c r="Z186" s="249"/>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249"/>
      <c r="W187" s="249"/>
      <c r="X187" s="249"/>
      <c r="Y187" s="249"/>
      <c r="Z187" s="249"/>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249"/>
      <c r="W188" s="249"/>
      <c r="X188" s="249"/>
      <c r="Y188" s="249"/>
      <c r="Z188" s="249"/>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249"/>
      <c r="W189" s="249"/>
      <c r="X189" s="249"/>
      <c r="Y189" s="249"/>
      <c r="Z189" s="249"/>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249"/>
      <c r="W190" s="249"/>
      <c r="X190" s="249"/>
      <c r="Y190" s="249"/>
      <c r="Z190" s="249"/>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249"/>
      <c r="W191" s="249"/>
      <c r="X191" s="249"/>
      <c r="Y191" s="249"/>
      <c r="Z191" s="249"/>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249"/>
      <c r="W192" s="249"/>
      <c r="X192" s="249"/>
      <c r="Y192" s="249"/>
      <c r="Z192" s="249"/>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249"/>
      <c r="W193" s="249"/>
      <c r="X193" s="249"/>
      <c r="Y193" s="249"/>
      <c r="Z193" s="249"/>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249"/>
      <c r="W194" s="249"/>
      <c r="X194" s="249"/>
      <c r="Y194" s="249"/>
      <c r="Z194" s="249"/>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249"/>
      <c r="W195" s="249"/>
      <c r="X195" s="249"/>
      <c r="Y195" s="249"/>
      <c r="Z195" s="249"/>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249"/>
      <c r="W196" s="249"/>
      <c r="X196" s="249"/>
      <c r="Y196" s="249"/>
      <c r="Z196" s="249"/>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249"/>
      <c r="W197" s="249"/>
      <c r="X197" s="249"/>
      <c r="Y197" s="249"/>
      <c r="Z197" s="249"/>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249"/>
      <c r="W198" s="249"/>
      <c r="X198" s="249"/>
      <c r="Y198" s="249"/>
      <c r="Z198" s="249"/>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249"/>
      <c r="W199" s="249"/>
      <c r="X199" s="249"/>
      <c r="Y199" s="249"/>
      <c r="Z199" s="249"/>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249"/>
      <c r="W200" s="249"/>
      <c r="X200" s="249"/>
      <c r="Y200" s="249"/>
      <c r="Z200" s="249"/>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249"/>
      <c r="W201" s="249"/>
      <c r="X201" s="249"/>
      <c r="Y201" s="249"/>
      <c r="Z201" s="249"/>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249"/>
      <c r="W202" s="249"/>
      <c r="X202" s="249"/>
      <c r="Y202" s="249"/>
      <c r="Z202" s="249"/>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249"/>
      <c r="W203" s="249"/>
      <c r="X203" s="249"/>
      <c r="Y203" s="249"/>
      <c r="Z203" s="249"/>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249"/>
      <c r="W204" s="249"/>
      <c r="X204" s="249"/>
      <c r="Y204" s="249"/>
      <c r="Z204" s="249"/>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249"/>
      <c r="W205" s="249"/>
      <c r="X205" s="249"/>
      <c r="Y205" s="249"/>
      <c r="Z205" s="249"/>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249"/>
      <c r="W206" s="249"/>
      <c r="X206" s="249"/>
      <c r="Y206" s="249"/>
      <c r="Z206" s="249"/>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249"/>
      <c r="W207" s="249"/>
      <c r="X207" s="249"/>
      <c r="Y207" s="249"/>
      <c r="Z207" s="249"/>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249"/>
      <c r="W208" s="249"/>
      <c r="X208" s="249"/>
      <c r="Y208" s="249"/>
      <c r="Z208" s="249"/>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249"/>
      <c r="W209" s="249"/>
      <c r="X209" s="249"/>
      <c r="Y209" s="249"/>
      <c r="Z209" s="249"/>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249"/>
      <c r="W210" s="249"/>
      <c r="X210" s="249"/>
      <c r="Y210" s="249"/>
      <c r="Z210" s="249"/>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249"/>
      <c r="W211" s="249"/>
      <c r="X211" s="249"/>
      <c r="Y211" s="249"/>
      <c r="Z211" s="249"/>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249"/>
      <c r="W212" s="249"/>
      <c r="X212" s="249"/>
      <c r="Y212" s="249"/>
      <c r="Z212" s="249"/>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249"/>
      <c r="W213" s="249"/>
      <c r="X213" s="249"/>
      <c r="Y213" s="249"/>
      <c r="Z213" s="249"/>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249"/>
      <c r="W214" s="249"/>
      <c r="X214" s="249"/>
      <c r="Y214" s="249"/>
      <c r="Z214" s="249"/>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249"/>
      <c r="W215" s="249"/>
      <c r="X215" s="249"/>
      <c r="Y215" s="249"/>
      <c r="Z215" s="249"/>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249"/>
      <c r="W216" s="249"/>
      <c r="X216" s="249"/>
      <c r="Y216" s="249"/>
      <c r="Z216" s="249"/>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249"/>
      <c r="W217" s="249"/>
      <c r="X217" s="249"/>
      <c r="Y217" s="249"/>
      <c r="Z217" s="249"/>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249"/>
      <c r="W218" s="249"/>
      <c r="X218" s="249"/>
      <c r="Y218" s="249"/>
      <c r="Z218" s="249"/>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249"/>
      <c r="W219" s="249"/>
      <c r="X219" s="249"/>
      <c r="Y219" s="249"/>
      <c r="Z219" s="249"/>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249"/>
      <c r="W220" s="249"/>
      <c r="X220" s="249"/>
      <c r="Y220" s="249"/>
      <c r="Z220" s="249"/>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249"/>
      <c r="W221" s="249"/>
      <c r="X221" s="249"/>
      <c r="Y221" s="249"/>
      <c r="Z221" s="249"/>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249"/>
      <c r="W222" s="249"/>
      <c r="X222" s="249"/>
      <c r="Y222" s="249"/>
      <c r="Z222" s="249"/>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249"/>
      <c r="W223" s="249"/>
      <c r="X223" s="249"/>
      <c r="Y223" s="249"/>
      <c r="Z223" s="249"/>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249"/>
      <c r="W224" s="249"/>
      <c r="X224" s="249"/>
      <c r="Y224" s="249"/>
      <c r="Z224" s="249"/>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249"/>
      <c r="W225" s="249"/>
      <c r="X225" s="249"/>
      <c r="Y225" s="249"/>
      <c r="Z225" s="249"/>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249"/>
      <c r="W226" s="249"/>
      <c r="X226" s="249"/>
      <c r="Y226" s="249"/>
      <c r="Z226" s="249"/>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249"/>
      <c r="W227" s="249"/>
      <c r="X227" s="249"/>
      <c r="Y227" s="249"/>
      <c r="Z227" s="249"/>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249"/>
      <c r="W228" s="249"/>
      <c r="X228" s="249"/>
      <c r="Y228" s="249"/>
      <c r="Z228" s="249"/>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249"/>
      <c r="W229" s="249"/>
      <c r="X229" s="249"/>
      <c r="Y229" s="249"/>
      <c r="Z229" s="249"/>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249"/>
      <c r="W230" s="249"/>
      <c r="X230" s="249"/>
      <c r="Y230" s="249"/>
      <c r="Z230" s="249"/>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249"/>
      <c r="W231" s="249"/>
      <c r="X231" s="249"/>
      <c r="Y231" s="249"/>
      <c r="Z231" s="249"/>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249"/>
      <c r="W232" s="249"/>
      <c r="X232" s="249"/>
      <c r="Y232" s="249"/>
      <c r="Z232" s="249"/>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249"/>
      <c r="W233" s="249"/>
      <c r="X233" s="249"/>
      <c r="Y233" s="249"/>
      <c r="Z233" s="249"/>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249"/>
      <c r="W234" s="249"/>
      <c r="X234" s="249"/>
      <c r="Y234" s="249"/>
      <c r="Z234" s="249"/>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249"/>
      <c r="W235" s="249"/>
      <c r="X235" s="249"/>
      <c r="Y235" s="249"/>
      <c r="Z235" s="249"/>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249"/>
      <c r="W236" s="249"/>
      <c r="X236" s="249"/>
      <c r="Y236" s="249"/>
      <c r="Z236" s="249"/>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249"/>
      <c r="W237" s="249"/>
      <c r="X237" s="249"/>
      <c r="Y237" s="249"/>
      <c r="Z237" s="249"/>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249"/>
      <c r="W238" s="249"/>
      <c r="X238" s="249"/>
      <c r="Y238" s="249"/>
      <c r="Z238" s="249"/>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249"/>
      <c r="W239" s="249"/>
      <c r="X239" s="249"/>
      <c r="Y239" s="249"/>
      <c r="Z239" s="249"/>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249"/>
      <c r="W240" s="249"/>
      <c r="X240" s="249"/>
      <c r="Y240" s="249"/>
      <c r="Z240" s="249"/>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249"/>
      <c r="W241" s="249"/>
      <c r="X241" s="249"/>
      <c r="Y241" s="249"/>
      <c r="Z241" s="249"/>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249"/>
      <c r="W242" s="249"/>
      <c r="X242" s="249"/>
      <c r="Y242" s="249"/>
      <c r="Z242" s="249"/>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249"/>
      <c r="W243" s="249"/>
      <c r="X243" s="249"/>
      <c r="Y243" s="249"/>
      <c r="Z243" s="249"/>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249"/>
      <c r="W244" s="249"/>
      <c r="X244" s="249"/>
      <c r="Y244" s="249"/>
      <c r="Z244" s="249"/>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249"/>
      <c r="W245" s="249"/>
      <c r="X245" s="249"/>
      <c r="Y245" s="249"/>
      <c r="Z245" s="249"/>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249"/>
      <c r="W246" s="249"/>
      <c r="X246" s="249"/>
      <c r="Y246" s="249"/>
      <c r="Z246" s="249"/>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249"/>
      <c r="W247" s="249"/>
      <c r="X247" s="249"/>
      <c r="Y247" s="249"/>
      <c r="Z247" s="249"/>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249"/>
      <c r="W248" s="249"/>
      <c r="X248" s="249"/>
      <c r="Y248" s="249"/>
      <c r="Z248" s="249"/>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249"/>
      <c r="W249" s="249"/>
      <c r="X249" s="249"/>
      <c r="Y249" s="249"/>
      <c r="Z249" s="249"/>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O2"/>
    <mergeCell ref="C3:E3"/>
    <mergeCell ref="F3:K3"/>
    <mergeCell ref="L3:N3"/>
    <mergeCell ref="A3:B3"/>
    <mergeCell ref="A4:B4"/>
    <mergeCell ref="C4:D4"/>
    <mergeCell ref="F4:K4"/>
    <mergeCell ref="L4:O4"/>
    <mergeCell ref="A5:B5"/>
    <mergeCell ref="C5:O5"/>
    <mergeCell ref="D20:E20"/>
    <mergeCell ref="D21:E21"/>
    <mergeCell ref="B46:D46"/>
    <mergeCell ref="B47:D47"/>
    <mergeCell ref="B48:D48"/>
    <mergeCell ref="B49:D49"/>
    <mergeCell ref="A6:B6"/>
    <mergeCell ref="C6:E6"/>
    <mergeCell ref="F6:K6"/>
    <mergeCell ref="L6:N6"/>
    <mergeCell ref="A7:B7"/>
    <mergeCell ref="C7:E7"/>
    <mergeCell ref="F7:K7"/>
  </mergeCells>
  <dataValidations>
    <dataValidation type="list" allowBlank="1" showInputMessage="1" showErrorMessage="1" prompt=" - " sqref="F47:O47">
      <formula1>"P,F"</formula1>
    </dataValidation>
    <dataValidation type="list" allowBlank="1" showInputMessage="1" showErrorMessage="1" prompt=" - " sqref="F10:O45">
      <formula1>"O"</formula1>
    </dataValidation>
    <dataValidation type="list" allowBlank="1" showInputMessage="1" showErrorMessage="1" prompt=" - " sqref="F46:O46">
      <formula1>"N,A,B"</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3.7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249"/>
      <c r="W1" s="249"/>
      <c r="X1" s="249"/>
      <c r="Y1" s="249"/>
      <c r="Z1" s="249"/>
    </row>
    <row r="2" ht="13.5" customHeight="1">
      <c r="A2" s="112" t="s">
        <v>337</v>
      </c>
      <c r="B2" s="113"/>
      <c r="C2" s="250" t="str">
        <f>Functions!E17</f>
        <v>F-07</v>
      </c>
      <c r="D2" s="251"/>
      <c r="E2" s="252"/>
      <c r="F2" s="116" t="s">
        <v>71</v>
      </c>
      <c r="G2" s="117"/>
      <c r="H2" s="117"/>
      <c r="I2" s="117"/>
      <c r="J2" s="117"/>
      <c r="K2" s="117"/>
      <c r="L2" s="118" t="str">
        <f>Functions!D17</f>
        <v>Daily run orchestration, shared pool, trace records</v>
      </c>
      <c r="M2" s="113"/>
      <c r="N2" s="113"/>
      <c r="O2" s="119"/>
      <c r="P2" s="110"/>
      <c r="Q2" s="120"/>
      <c r="R2" s="110"/>
      <c r="S2" s="110"/>
      <c r="T2" s="110"/>
      <c r="U2" s="110"/>
      <c r="V2" s="249"/>
      <c r="W2" s="249"/>
      <c r="X2" s="249"/>
      <c r="Y2" s="249"/>
      <c r="Z2" s="249"/>
    </row>
    <row r="3" ht="13.5" customHeight="1">
      <c r="A3" s="121" t="s">
        <v>338</v>
      </c>
      <c r="B3" s="13"/>
      <c r="C3" s="253" t="s">
        <v>183</v>
      </c>
      <c r="D3" s="123"/>
      <c r="E3" s="124"/>
      <c r="F3" s="125" t="s">
        <v>339</v>
      </c>
      <c r="G3" s="12"/>
      <c r="H3" s="12"/>
      <c r="I3" s="12"/>
      <c r="J3" s="12"/>
      <c r="K3" s="13"/>
      <c r="L3" s="126"/>
      <c r="M3" s="123"/>
      <c r="N3" s="123"/>
      <c r="O3" s="127"/>
      <c r="P3" s="110"/>
      <c r="Q3" s="110"/>
      <c r="R3" s="110"/>
      <c r="S3" s="110"/>
      <c r="T3" s="110"/>
      <c r="U3" s="110"/>
      <c r="V3" s="249"/>
      <c r="W3" s="249"/>
      <c r="X3" s="249"/>
      <c r="Y3" s="249"/>
      <c r="Z3" s="249"/>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c r="V4" s="249"/>
      <c r="W4" s="249"/>
      <c r="X4" s="249"/>
      <c r="Y4" s="249"/>
      <c r="Z4" s="249"/>
    </row>
    <row r="5" ht="13.5" customHeight="1">
      <c r="A5" s="121" t="s">
        <v>342</v>
      </c>
      <c r="B5" s="13"/>
      <c r="C5" s="132" t="s">
        <v>138</v>
      </c>
      <c r="D5" s="12"/>
      <c r="E5" s="12"/>
      <c r="F5" s="12"/>
      <c r="G5" s="12"/>
      <c r="H5" s="12"/>
      <c r="I5" s="12"/>
      <c r="J5" s="12"/>
      <c r="K5" s="12"/>
      <c r="L5" s="12"/>
      <c r="M5" s="12"/>
      <c r="N5" s="12"/>
      <c r="O5" s="131"/>
      <c r="P5" s="110"/>
      <c r="Q5" s="110"/>
      <c r="R5" s="110"/>
      <c r="S5" s="110"/>
      <c r="T5" s="110"/>
      <c r="U5" s="110"/>
      <c r="V5" s="249"/>
      <c r="W5" s="249"/>
      <c r="X5" s="249"/>
      <c r="Y5" s="249"/>
      <c r="Z5" s="249"/>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c r="V6" s="249"/>
      <c r="W6" s="249"/>
      <c r="X6" s="249"/>
      <c r="Y6" s="249"/>
      <c r="Z6" s="249"/>
    </row>
    <row r="7" ht="13.5" customHeight="1">
      <c r="A7" s="137">
        <f>COUNTIF(F46:O46,"P")</f>
        <v>0</v>
      </c>
      <c r="B7" s="138"/>
      <c r="C7" s="139">
        <f>COUNTIF(F46:O46,"F")</f>
        <v>0</v>
      </c>
      <c r="D7" s="140"/>
      <c r="E7" s="138"/>
      <c r="F7" s="139">
        <f>SUM(O7,-A7,-C7)</f>
        <v>4</v>
      </c>
      <c r="G7" s="140"/>
      <c r="H7" s="140"/>
      <c r="I7" s="140"/>
      <c r="J7" s="140"/>
      <c r="K7" s="138"/>
      <c r="L7" s="141">
        <f>COUNTIF(F45:O45,"N")</f>
        <v>1</v>
      </c>
      <c r="M7" s="141">
        <f>COUNTIF(F45:O45,"A")</f>
        <v>3</v>
      </c>
      <c r="N7" s="141">
        <f>COUNTIF(F45:O45,"B")</f>
        <v>0</v>
      </c>
      <c r="O7" s="142">
        <f>COUNTA(F9:O9)</f>
        <v>4</v>
      </c>
      <c r="P7" s="242"/>
      <c r="Q7" s="110"/>
      <c r="R7" s="110"/>
      <c r="S7" s="110"/>
      <c r="T7" s="110"/>
      <c r="U7" s="110"/>
      <c r="V7" s="249"/>
      <c r="W7" s="249"/>
      <c r="X7" s="249"/>
      <c r="Y7" s="249"/>
      <c r="Z7" s="249"/>
    </row>
    <row r="8" ht="12.0" customHeight="1">
      <c r="A8" s="110"/>
      <c r="B8" s="143"/>
      <c r="C8" s="110"/>
      <c r="D8" s="111"/>
      <c r="E8" s="110"/>
      <c r="F8" s="110"/>
      <c r="G8" s="110"/>
      <c r="H8" s="110"/>
      <c r="I8" s="110"/>
      <c r="J8" s="110"/>
      <c r="K8" s="110"/>
      <c r="L8" s="110"/>
      <c r="M8" s="110"/>
      <c r="N8" s="110"/>
      <c r="O8" s="110"/>
      <c r="P8" s="110"/>
      <c r="Q8" s="110"/>
      <c r="R8" s="110"/>
      <c r="S8" s="110"/>
      <c r="T8" s="110"/>
      <c r="U8" s="110"/>
      <c r="V8" s="249"/>
      <c r="W8" s="249"/>
      <c r="X8" s="249"/>
      <c r="Y8" s="249"/>
      <c r="Z8" s="249"/>
    </row>
    <row r="9" ht="45.0" customHeight="1">
      <c r="A9" s="243"/>
      <c r="B9" s="244"/>
      <c r="C9" s="245"/>
      <c r="D9" s="246"/>
      <c r="E9" s="245"/>
      <c r="F9" s="247" t="s">
        <v>344</v>
      </c>
      <c r="G9" s="247" t="s">
        <v>345</v>
      </c>
      <c r="H9" s="247" t="s">
        <v>346</v>
      </c>
      <c r="I9" s="247" t="s">
        <v>347</v>
      </c>
      <c r="J9" s="247"/>
      <c r="K9" s="247"/>
      <c r="L9" s="247"/>
      <c r="M9" s="247"/>
      <c r="N9" s="247"/>
      <c r="O9" s="247"/>
      <c r="P9" s="150"/>
      <c r="Q9" s="120"/>
      <c r="R9" s="110"/>
      <c r="S9" s="110"/>
      <c r="T9" s="110"/>
      <c r="U9" s="110"/>
      <c r="V9" s="249"/>
      <c r="W9" s="249"/>
      <c r="X9" s="249"/>
      <c r="Y9" s="249"/>
      <c r="Z9" s="249"/>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c r="V10" s="249"/>
      <c r="W10" s="249"/>
      <c r="X10" s="249"/>
      <c r="Y10" s="249"/>
      <c r="Z10" s="249"/>
    </row>
    <row r="11" ht="13.5" customHeight="1">
      <c r="A11" s="162"/>
      <c r="B11" s="163"/>
      <c r="C11" s="171"/>
      <c r="D11" s="174" t="s">
        <v>425</v>
      </c>
      <c r="E11" s="155"/>
      <c r="F11" s="165" t="s">
        <v>353</v>
      </c>
      <c r="G11" s="165"/>
      <c r="H11" s="165"/>
      <c r="I11" s="165"/>
      <c r="J11" s="165"/>
      <c r="K11" s="165"/>
      <c r="L11" s="165"/>
      <c r="M11" s="165"/>
      <c r="N11" s="165"/>
      <c r="O11" s="165"/>
      <c r="P11" s="110"/>
      <c r="Q11" s="120"/>
      <c r="R11" s="110"/>
      <c r="S11" s="110"/>
      <c r="T11" s="110"/>
      <c r="U11" s="110"/>
      <c r="V11" s="249"/>
      <c r="W11" s="249"/>
      <c r="X11" s="249"/>
      <c r="Y11" s="249"/>
      <c r="Z11" s="249"/>
    </row>
    <row r="12" ht="13.5" customHeight="1">
      <c r="A12" s="162"/>
      <c r="B12" s="163"/>
      <c r="C12" s="171"/>
      <c r="D12" s="174" t="s">
        <v>426</v>
      </c>
      <c r="E12" s="155"/>
      <c r="F12" s="165"/>
      <c r="G12" s="165" t="s">
        <v>353</v>
      </c>
      <c r="H12" s="165"/>
      <c r="I12" s="165"/>
      <c r="J12" s="165"/>
      <c r="K12" s="165"/>
      <c r="L12" s="165"/>
      <c r="M12" s="165"/>
      <c r="N12" s="165"/>
      <c r="O12" s="165"/>
      <c r="P12" s="110"/>
      <c r="Q12" s="110"/>
      <c r="R12" s="110"/>
      <c r="S12" s="110"/>
      <c r="T12" s="110"/>
      <c r="U12" s="110"/>
      <c r="V12" s="249"/>
      <c r="W12" s="249"/>
      <c r="X12" s="249"/>
      <c r="Y12" s="249"/>
      <c r="Z12" s="249"/>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c r="V13" s="249"/>
      <c r="W13" s="249"/>
      <c r="X13" s="249"/>
      <c r="Y13" s="249"/>
      <c r="Z13" s="249"/>
    </row>
    <row r="14" ht="13.5" customHeight="1">
      <c r="A14" s="162"/>
      <c r="B14" s="163"/>
      <c r="C14" s="171"/>
      <c r="D14" s="174" t="s">
        <v>427</v>
      </c>
      <c r="E14" s="173"/>
      <c r="F14" s="165"/>
      <c r="G14" s="165"/>
      <c r="H14" s="165" t="s">
        <v>353</v>
      </c>
      <c r="I14" s="165"/>
      <c r="J14" s="165"/>
      <c r="K14" s="165"/>
      <c r="L14" s="165"/>
      <c r="M14" s="165"/>
      <c r="N14" s="165"/>
      <c r="O14" s="165"/>
      <c r="P14" s="110"/>
      <c r="Q14" s="110"/>
      <c r="R14" s="110"/>
      <c r="S14" s="110"/>
      <c r="T14" s="110"/>
      <c r="U14" s="110"/>
      <c r="V14" s="249"/>
      <c r="W14" s="249"/>
      <c r="X14" s="249"/>
      <c r="Y14" s="249"/>
      <c r="Z14" s="249"/>
    </row>
    <row r="15" ht="13.5" customHeight="1">
      <c r="A15" s="162"/>
      <c r="B15" s="163"/>
      <c r="C15" s="171"/>
      <c r="D15" s="174" t="s">
        <v>428</v>
      </c>
      <c r="E15" s="173"/>
      <c r="F15" s="165"/>
      <c r="G15" s="165"/>
      <c r="H15" s="165"/>
      <c r="I15" s="165" t="s">
        <v>353</v>
      </c>
      <c r="J15" s="165"/>
      <c r="K15" s="165"/>
      <c r="L15" s="165"/>
      <c r="M15" s="165"/>
      <c r="N15" s="165"/>
      <c r="O15" s="165"/>
      <c r="P15" s="110"/>
      <c r="Q15" s="110"/>
      <c r="R15" s="110"/>
      <c r="S15" s="110"/>
      <c r="T15" s="110"/>
      <c r="U15" s="110"/>
      <c r="V15" s="249"/>
      <c r="W15" s="249"/>
      <c r="X15" s="249"/>
      <c r="Y15" s="249"/>
      <c r="Z15" s="249"/>
    </row>
    <row r="16" ht="13.5" customHeight="1">
      <c r="A16" s="162"/>
      <c r="B16" s="163"/>
      <c r="C16" s="171"/>
      <c r="D16" s="174"/>
      <c r="E16" s="173"/>
      <c r="F16" s="165"/>
      <c r="G16" s="165"/>
      <c r="H16" s="165"/>
      <c r="I16" s="165"/>
      <c r="J16" s="165"/>
      <c r="K16" s="165"/>
      <c r="L16" s="165"/>
      <c r="M16" s="165"/>
      <c r="N16" s="165"/>
      <c r="O16" s="165"/>
      <c r="P16" s="110"/>
      <c r="Q16" s="110"/>
      <c r="R16" s="110"/>
      <c r="S16" s="110"/>
      <c r="T16" s="110"/>
      <c r="U16" s="110"/>
      <c r="V16" s="249"/>
      <c r="W16" s="249"/>
      <c r="X16" s="249"/>
      <c r="Y16" s="249"/>
      <c r="Z16" s="249"/>
    </row>
    <row r="17" ht="13.5" customHeight="1">
      <c r="A17" s="162"/>
      <c r="B17" s="163"/>
      <c r="C17" s="171"/>
      <c r="D17" s="174"/>
      <c r="E17" s="173"/>
      <c r="F17" s="165"/>
      <c r="G17" s="165"/>
      <c r="H17" s="165"/>
      <c r="I17" s="165"/>
      <c r="J17" s="165"/>
      <c r="K17" s="165"/>
      <c r="L17" s="165"/>
      <c r="M17" s="165"/>
      <c r="N17" s="165"/>
      <c r="O17" s="165"/>
      <c r="P17" s="175"/>
      <c r="Q17" s="110"/>
      <c r="R17" s="110"/>
      <c r="S17" s="110"/>
      <c r="T17" s="110"/>
      <c r="U17" s="110"/>
      <c r="V17" s="249"/>
      <c r="W17" s="249"/>
      <c r="X17" s="249"/>
      <c r="Y17" s="249"/>
      <c r="Z17" s="249"/>
    </row>
    <row r="18" ht="13.5" customHeight="1">
      <c r="A18" s="162"/>
      <c r="B18" s="163"/>
      <c r="C18" s="171"/>
      <c r="D18" s="174"/>
      <c r="E18" s="173"/>
      <c r="F18" s="165"/>
      <c r="G18" s="165"/>
      <c r="H18" s="165"/>
      <c r="I18" s="165"/>
      <c r="J18" s="165"/>
      <c r="K18" s="165"/>
      <c r="L18" s="165"/>
      <c r="M18" s="165"/>
      <c r="N18" s="165"/>
      <c r="O18" s="165"/>
      <c r="P18" s="175"/>
      <c r="Q18" s="110"/>
      <c r="R18" s="110"/>
      <c r="S18" s="110"/>
      <c r="T18" s="110"/>
      <c r="U18" s="110"/>
      <c r="V18" s="249"/>
      <c r="W18" s="249"/>
      <c r="X18" s="249"/>
      <c r="Y18" s="249"/>
      <c r="Z18" s="249"/>
    </row>
    <row r="19" ht="13.5" customHeight="1">
      <c r="A19" s="162"/>
      <c r="B19" s="163"/>
      <c r="C19" s="171"/>
      <c r="D19" s="111"/>
      <c r="F19" s="165"/>
      <c r="G19" s="165"/>
      <c r="H19" s="165"/>
      <c r="I19" s="165"/>
      <c r="J19" s="165"/>
      <c r="K19" s="165"/>
      <c r="L19" s="165"/>
      <c r="M19" s="165"/>
      <c r="N19" s="165"/>
      <c r="O19" s="165"/>
      <c r="P19" s="175"/>
      <c r="Q19" s="110"/>
      <c r="R19" s="110"/>
      <c r="S19" s="110"/>
      <c r="T19" s="110"/>
      <c r="U19" s="110"/>
      <c r="V19" s="249"/>
      <c r="W19" s="249"/>
      <c r="X19" s="249"/>
      <c r="Y19" s="249"/>
      <c r="Z19" s="249"/>
    </row>
    <row r="20" ht="13.5" customHeight="1">
      <c r="A20" s="162"/>
      <c r="B20" s="163"/>
      <c r="C20" s="171"/>
      <c r="D20" s="259"/>
      <c r="E20" s="13"/>
      <c r="F20" s="165"/>
      <c r="G20" s="165"/>
      <c r="H20" s="165"/>
      <c r="I20" s="165"/>
      <c r="J20" s="165"/>
      <c r="K20" s="165"/>
      <c r="L20" s="165"/>
      <c r="M20" s="165"/>
      <c r="N20" s="165"/>
      <c r="O20" s="165"/>
      <c r="P20" s="110"/>
      <c r="Q20" s="110"/>
      <c r="R20" s="110"/>
      <c r="S20" s="110"/>
      <c r="T20" s="110"/>
      <c r="U20" s="110"/>
      <c r="V20" s="249"/>
      <c r="W20" s="249"/>
      <c r="X20" s="249"/>
      <c r="Y20" s="249"/>
      <c r="Z20" s="249"/>
    </row>
    <row r="21" ht="13.5" customHeight="1">
      <c r="A21" s="162"/>
      <c r="B21" s="163"/>
      <c r="C21" s="171"/>
      <c r="D21" s="174"/>
      <c r="E21" s="173"/>
      <c r="F21" s="165"/>
      <c r="G21" s="165"/>
      <c r="H21" s="165"/>
      <c r="I21" s="165"/>
      <c r="J21" s="165"/>
      <c r="K21" s="165"/>
      <c r="L21" s="165"/>
      <c r="M21" s="165"/>
      <c r="N21" s="165"/>
      <c r="O21" s="165"/>
      <c r="P21" s="110"/>
      <c r="Q21" s="110"/>
      <c r="R21" s="110"/>
      <c r="S21" s="110"/>
      <c r="T21" s="110"/>
      <c r="U21" s="110"/>
      <c r="V21" s="249"/>
      <c r="W21" s="249"/>
      <c r="X21" s="249"/>
      <c r="Y21" s="249"/>
      <c r="Z21" s="249"/>
    </row>
    <row r="22" ht="13.5" customHeight="1">
      <c r="A22" s="162"/>
      <c r="B22" s="163"/>
      <c r="C22" s="171"/>
      <c r="D22" s="174"/>
      <c r="E22" s="173"/>
      <c r="F22" s="165"/>
      <c r="G22" s="165"/>
      <c r="H22" s="165"/>
      <c r="I22" s="165"/>
      <c r="J22" s="165"/>
      <c r="K22" s="165"/>
      <c r="L22" s="165"/>
      <c r="M22" s="165"/>
      <c r="N22" s="165"/>
      <c r="O22" s="165"/>
      <c r="P22" s="110"/>
      <c r="Q22" s="110"/>
      <c r="R22" s="110"/>
      <c r="S22" s="110"/>
      <c r="T22" s="110"/>
      <c r="U22" s="110"/>
      <c r="V22" s="249"/>
      <c r="W22" s="249"/>
      <c r="X22" s="249"/>
      <c r="Y22" s="249"/>
      <c r="Z22" s="249"/>
    </row>
    <row r="23" ht="13.5" customHeight="1">
      <c r="A23" s="162"/>
      <c r="B23" s="163"/>
      <c r="C23" s="171"/>
      <c r="D23" s="174"/>
      <c r="E23" s="173"/>
      <c r="F23" s="165"/>
      <c r="G23" s="165"/>
      <c r="H23" s="165"/>
      <c r="I23" s="165"/>
      <c r="J23" s="165"/>
      <c r="K23" s="165"/>
      <c r="L23" s="165"/>
      <c r="M23" s="165"/>
      <c r="N23" s="165"/>
      <c r="O23" s="165"/>
      <c r="P23" s="110"/>
      <c r="Q23" s="110"/>
      <c r="R23" s="110"/>
      <c r="S23" s="110"/>
      <c r="T23" s="110"/>
      <c r="U23" s="110"/>
      <c r="V23" s="249"/>
      <c r="W23" s="249"/>
      <c r="X23" s="249"/>
      <c r="Y23" s="249"/>
      <c r="Z23" s="249"/>
    </row>
    <row r="24" ht="13.5" customHeight="1">
      <c r="A24" s="162"/>
      <c r="B24" s="163"/>
      <c r="C24" s="171"/>
      <c r="D24" s="174"/>
      <c r="E24" s="173"/>
      <c r="F24" s="165"/>
      <c r="G24" s="165"/>
      <c r="H24" s="165"/>
      <c r="I24" s="165"/>
      <c r="J24" s="165"/>
      <c r="K24" s="165"/>
      <c r="L24" s="165"/>
      <c r="M24" s="165"/>
      <c r="N24" s="165"/>
      <c r="O24" s="165"/>
      <c r="P24" s="110"/>
      <c r="Q24" s="110"/>
      <c r="R24" s="110"/>
      <c r="S24" s="110"/>
      <c r="T24" s="110"/>
      <c r="U24" s="110"/>
      <c r="V24" s="249"/>
      <c r="W24" s="249"/>
      <c r="X24" s="249"/>
      <c r="Y24" s="249"/>
      <c r="Z24" s="249"/>
    </row>
    <row r="25" ht="13.5" customHeight="1">
      <c r="A25" s="157"/>
      <c r="B25" s="158"/>
      <c r="C25" s="226"/>
      <c r="D25" s="172"/>
      <c r="E25" s="227"/>
      <c r="F25" s="156"/>
      <c r="G25" s="156"/>
      <c r="H25" s="156"/>
      <c r="I25" s="156"/>
      <c r="J25" s="156"/>
      <c r="K25" s="156"/>
      <c r="L25" s="156"/>
      <c r="M25" s="156"/>
      <c r="N25" s="156"/>
      <c r="O25" s="156"/>
      <c r="P25" s="110"/>
      <c r="Q25" s="110"/>
      <c r="R25" s="110"/>
      <c r="S25" s="110"/>
      <c r="T25" s="110"/>
      <c r="U25" s="110"/>
      <c r="V25" s="249"/>
      <c r="W25" s="249"/>
      <c r="X25" s="249"/>
      <c r="Y25" s="249"/>
      <c r="Z25" s="249"/>
    </row>
    <row r="26" ht="13.5" customHeight="1">
      <c r="A26" s="157"/>
      <c r="B26" s="158"/>
      <c r="C26" s="226"/>
      <c r="D26" s="172"/>
      <c r="E26" s="227"/>
      <c r="F26" s="156"/>
      <c r="G26" s="156"/>
      <c r="H26" s="156"/>
      <c r="I26" s="156"/>
      <c r="J26" s="156"/>
      <c r="K26" s="156"/>
      <c r="L26" s="156"/>
      <c r="M26" s="156"/>
      <c r="N26" s="156"/>
      <c r="O26" s="156"/>
      <c r="P26" s="110"/>
      <c r="Q26" s="110"/>
      <c r="R26" s="110"/>
      <c r="S26" s="110"/>
      <c r="T26" s="110"/>
      <c r="U26" s="110"/>
      <c r="V26" s="249"/>
      <c r="W26" s="249"/>
      <c r="X26" s="249"/>
      <c r="Y26" s="249"/>
      <c r="Z26" s="249"/>
    </row>
    <row r="27" ht="13.5" customHeight="1">
      <c r="A27" s="157"/>
      <c r="B27" s="158"/>
      <c r="C27" s="226"/>
      <c r="D27" s="172"/>
      <c r="E27" s="227"/>
      <c r="F27" s="156"/>
      <c r="G27" s="156"/>
      <c r="H27" s="156"/>
      <c r="I27" s="156"/>
      <c r="J27" s="156"/>
      <c r="K27" s="156"/>
      <c r="L27" s="156"/>
      <c r="M27" s="156"/>
      <c r="N27" s="156"/>
      <c r="O27" s="156"/>
      <c r="P27" s="110"/>
      <c r="Q27" s="110"/>
      <c r="R27" s="110"/>
      <c r="S27" s="110"/>
      <c r="T27" s="110"/>
      <c r="U27" s="110"/>
      <c r="V27" s="249"/>
      <c r="W27" s="249"/>
      <c r="X27" s="249"/>
      <c r="Y27" s="249"/>
      <c r="Z27" s="249"/>
    </row>
    <row r="28" ht="13.5" customHeight="1">
      <c r="A28" s="157"/>
      <c r="B28" s="158"/>
      <c r="C28" s="226"/>
      <c r="D28" s="172"/>
      <c r="E28" s="227"/>
      <c r="F28" s="156"/>
      <c r="G28" s="156"/>
      <c r="H28" s="156"/>
      <c r="I28" s="156"/>
      <c r="J28" s="156"/>
      <c r="K28" s="156"/>
      <c r="L28" s="156"/>
      <c r="M28" s="156"/>
      <c r="N28" s="156"/>
      <c r="O28" s="156"/>
      <c r="P28" s="110"/>
      <c r="Q28" s="110"/>
      <c r="R28" s="110"/>
      <c r="S28" s="110"/>
      <c r="T28" s="110"/>
      <c r="U28" s="110"/>
      <c r="V28" s="249"/>
      <c r="W28" s="249"/>
      <c r="X28" s="249"/>
      <c r="Y28" s="249"/>
      <c r="Z28" s="249"/>
    </row>
    <row r="29" ht="13.5" customHeight="1">
      <c r="A29" s="157"/>
      <c r="B29" s="158"/>
      <c r="C29" s="226"/>
      <c r="D29" s="172"/>
      <c r="E29" s="227"/>
      <c r="F29" s="156"/>
      <c r="G29" s="156"/>
      <c r="H29" s="156"/>
      <c r="I29" s="156"/>
      <c r="J29" s="156"/>
      <c r="K29" s="156"/>
      <c r="L29" s="156"/>
      <c r="M29" s="156"/>
      <c r="N29" s="156"/>
      <c r="O29" s="156"/>
      <c r="P29" s="110"/>
      <c r="Q29" s="110"/>
      <c r="R29" s="110"/>
      <c r="S29" s="110"/>
      <c r="T29" s="110"/>
      <c r="U29" s="110"/>
      <c r="V29" s="249"/>
      <c r="W29" s="249"/>
      <c r="X29" s="249"/>
      <c r="Y29" s="249"/>
      <c r="Z29" s="249"/>
    </row>
    <row r="30" ht="13.5" customHeight="1">
      <c r="A30" s="157"/>
      <c r="B30" s="158"/>
      <c r="C30" s="226"/>
      <c r="D30" s="172"/>
      <c r="E30" s="227"/>
      <c r="F30" s="156"/>
      <c r="G30" s="156"/>
      <c r="H30" s="156"/>
      <c r="I30" s="156"/>
      <c r="J30" s="156"/>
      <c r="K30" s="156"/>
      <c r="L30" s="156"/>
      <c r="M30" s="156"/>
      <c r="N30" s="156"/>
      <c r="O30" s="156"/>
      <c r="P30" s="110"/>
      <c r="Q30" s="110"/>
      <c r="R30" s="110"/>
      <c r="S30" s="110"/>
      <c r="T30" s="110"/>
      <c r="U30" s="110"/>
      <c r="V30" s="249"/>
      <c r="W30" s="249"/>
      <c r="X30" s="249"/>
      <c r="Y30" s="249"/>
      <c r="Z30" s="249"/>
    </row>
    <row r="31" ht="13.5" customHeight="1">
      <c r="A31" s="176" t="s">
        <v>359</v>
      </c>
      <c r="B31" s="177" t="s">
        <v>360</v>
      </c>
      <c r="C31" s="178"/>
      <c r="D31" s="179"/>
      <c r="E31" s="180"/>
      <c r="F31" s="156"/>
      <c r="G31" s="156"/>
      <c r="H31" s="156"/>
      <c r="I31" s="156"/>
      <c r="J31" s="156"/>
      <c r="K31" s="156"/>
      <c r="L31" s="156"/>
      <c r="M31" s="156"/>
      <c r="N31" s="156"/>
      <c r="O31" s="156"/>
      <c r="P31" s="110"/>
      <c r="Q31" s="110"/>
      <c r="R31" s="110"/>
      <c r="S31" s="110"/>
      <c r="T31" s="110"/>
      <c r="U31" s="110"/>
      <c r="V31" s="249"/>
      <c r="W31" s="249"/>
      <c r="X31" s="249"/>
      <c r="Y31" s="249"/>
      <c r="Z31" s="249"/>
    </row>
    <row r="32" ht="13.5" customHeight="1">
      <c r="A32" s="181"/>
      <c r="B32" s="254"/>
      <c r="C32" s="183"/>
      <c r="D32" s="184" t="s">
        <v>429</v>
      </c>
      <c r="E32" s="185"/>
      <c r="F32" s="165" t="s">
        <v>353</v>
      </c>
      <c r="G32" s="165"/>
      <c r="H32" s="165"/>
      <c r="I32" s="165"/>
      <c r="J32" s="165"/>
      <c r="K32" s="165"/>
      <c r="L32" s="165"/>
      <c r="M32" s="165"/>
      <c r="N32" s="165"/>
      <c r="O32" s="165"/>
      <c r="P32" s="110"/>
      <c r="Q32" s="110"/>
      <c r="R32" s="110"/>
      <c r="S32" s="110"/>
      <c r="T32" s="110"/>
      <c r="U32" s="110"/>
      <c r="V32" s="249"/>
      <c r="W32" s="249"/>
      <c r="X32" s="249"/>
      <c r="Y32" s="249"/>
      <c r="Z32" s="249"/>
    </row>
    <row r="33" ht="13.5" customHeight="1">
      <c r="A33" s="181"/>
      <c r="B33" s="255"/>
      <c r="C33" s="183"/>
      <c r="D33" s="184" t="s">
        <v>431</v>
      </c>
      <c r="E33" s="185"/>
      <c r="F33" s="165"/>
      <c r="G33" s="165" t="s">
        <v>353</v>
      </c>
      <c r="H33" s="165"/>
      <c r="I33" s="165"/>
      <c r="J33" s="165"/>
      <c r="K33" s="165"/>
      <c r="L33" s="165"/>
      <c r="M33" s="165"/>
      <c r="N33" s="165"/>
      <c r="O33" s="165"/>
      <c r="P33" s="110"/>
      <c r="Q33" s="110"/>
      <c r="R33" s="110"/>
      <c r="S33" s="110"/>
      <c r="T33" s="110"/>
      <c r="U33" s="110"/>
      <c r="V33" s="249"/>
      <c r="W33" s="249"/>
      <c r="X33" s="249"/>
      <c r="Y33" s="249"/>
      <c r="Z33" s="249"/>
    </row>
    <row r="34" ht="13.5" customHeight="1">
      <c r="A34" s="181"/>
      <c r="B34" s="255"/>
      <c r="C34" s="183"/>
      <c r="D34" s="184"/>
      <c r="E34" s="185"/>
      <c r="F34" s="165"/>
      <c r="G34" s="165"/>
      <c r="H34" s="165"/>
      <c r="I34" s="165"/>
      <c r="J34" s="165"/>
      <c r="K34" s="165"/>
      <c r="L34" s="165"/>
      <c r="M34" s="165"/>
      <c r="N34" s="165"/>
      <c r="O34" s="165"/>
      <c r="P34" s="110"/>
      <c r="Q34" s="110"/>
      <c r="R34" s="110"/>
      <c r="S34" s="110"/>
      <c r="T34" s="110"/>
      <c r="U34" s="110"/>
      <c r="V34" s="249"/>
      <c r="W34" s="249"/>
      <c r="X34" s="249"/>
      <c r="Y34" s="249"/>
      <c r="Z34" s="249"/>
    </row>
    <row r="35" ht="13.5" customHeight="1">
      <c r="A35" s="181"/>
      <c r="B35" s="254"/>
      <c r="C35" s="183"/>
      <c r="D35" s="184" t="s">
        <v>433</v>
      </c>
      <c r="E35" s="185"/>
      <c r="F35" s="165"/>
      <c r="G35" s="165"/>
      <c r="H35" s="165" t="s">
        <v>353</v>
      </c>
      <c r="I35" s="165"/>
      <c r="J35" s="165"/>
      <c r="K35" s="165"/>
      <c r="L35" s="165"/>
      <c r="M35" s="165"/>
      <c r="N35" s="165"/>
      <c r="O35" s="165"/>
      <c r="P35" s="110"/>
      <c r="Q35" s="110"/>
      <c r="R35" s="110"/>
      <c r="S35" s="110"/>
      <c r="T35" s="110"/>
      <c r="U35" s="110"/>
      <c r="V35" s="249"/>
      <c r="W35" s="249"/>
      <c r="X35" s="249"/>
      <c r="Y35" s="249"/>
      <c r="Z35" s="249"/>
    </row>
    <row r="36" ht="13.5" customHeight="1">
      <c r="A36" s="181"/>
      <c r="B36" s="255"/>
      <c r="C36" s="183"/>
      <c r="D36" s="184"/>
      <c r="E36" s="185"/>
      <c r="F36" s="165"/>
      <c r="G36" s="165"/>
      <c r="H36" s="165"/>
      <c r="I36" s="165"/>
      <c r="J36" s="165"/>
      <c r="K36" s="165"/>
      <c r="L36" s="165"/>
      <c r="M36" s="165"/>
      <c r="N36" s="165"/>
      <c r="O36" s="165"/>
      <c r="P36" s="110"/>
      <c r="Q36" s="110"/>
      <c r="R36" s="110"/>
      <c r="S36" s="110"/>
      <c r="T36" s="110"/>
      <c r="U36" s="110"/>
      <c r="V36" s="249"/>
      <c r="W36" s="249"/>
      <c r="X36" s="249"/>
      <c r="Y36" s="249"/>
      <c r="Z36" s="249"/>
    </row>
    <row r="37" ht="13.5" customHeight="1">
      <c r="A37" s="181"/>
      <c r="B37" s="254"/>
      <c r="C37" s="183"/>
      <c r="D37" s="184" t="s">
        <v>436</v>
      </c>
      <c r="E37" s="185"/>
      <c r="F37" s="165"/>
      <c r="G37" s="165"/>
      <c r="H37" s="165"/>
      <c r="I37" s="165" t="s">
        <v>353</v>
      </c>
      <c r="J37" s="165"/>
      <c r="K37" s="165"/>
      <c r="L37" s="165"/>
      <c r="M37" s="165"/>
      <c r="N37" s="165"/>
      <c r="O37" s="165"/>
      <c r="P37" s="110"/>
      <c r="Q37" s="110"/>
      <c r="R37" s="110"/>
      <c r="S37" s="110"/>
      <c r="T37" s="110"/>
      <c r="U37" s="110"/>
      <c r="V37" s="249"/>
      <c r="W37" s="249"/>
      <c r="X37" s="249"/>
      <c r="Y37" s="249"/>
      <c r="Z37" s="249"/>
    </row>
    <row r="38" ht="13.5" customHeight="1">
      <c r="A38" s="181"/>
      <c r="B38" s="182"/>
      <c r="C38" s="183"/>
      <c r="D38" s="184"/>
      <c r="E38" s="188"/>
      <c r="F38" s="165"/>
      <c r="G38" s="165"/>
      <c r="H38" s="165"/>
      <c r="I38" s="165"/>
      <c r="J38" s="165"/>
      <c r="K38" s="165"/>
      <c r="L38" s="165"/>
      <c r="M38" s="165"/>
      <c r="N38" s="165"/>
      <c r="O38" s="165"/>
      <c r="P38" s="110"/>
      <c r="Q38" s="110"/>
      <c r="R38" s="110"/>
      <c r="S38" s="110"/>
      <c r="T38" s="110"/>
      <c r="U38" s="110"/>
      <c r="V38" s="249"/>
      <c r="W38" s="249"/>
      <c r="X38" s="249"/>
      <c r="Y38" s="249"/>
      <c r="Z38" s="249"/>
    </row>
    <row r="39" ht="13.5" customHeight="1">
      <c r="A39" s="181"/>
      <c r="B39" s="182"/>
      <c r="C39" s="183"/>
      <c r="D39" s="184"/>
      <c r="E39" s="188"/>
      <c r="F39" s="165"/>
      <c r="G39" s="165"/>
      <c r="H39" s="165"/>
      <c r="I39" s="165"/>
      <c r="J39" s="165"/>
      <c r="K39" s="165"/>
      <c r="L39" s="165"/>
      <c r="M39" s="165"/>
      <c r="N39" s="165"/>
      <c r="O39" s="165"/>
      <c r="P39" s="110"/>
      <c r="Q39" s="110"/>
      <c r="R39" s="110"/>
      <c r="S39" s="110"/>
      <c r="T39" s="110"/>
      <c r="U39" s="110"/>
      <c r="V39" s="249"/>
      <c r="W39" s="249"/>
      <c r="X39" s="249"/>
      <c r="Y39" s="249"/>
      <c r="Z39" s="249"/>
    </row>
    <row r="40" ht="13.5" customHeight="1">
      <c r="A40" s="181"/>
      <c r="B40" s="182"/>
      <c r="C40" s="183"/>
      <c r="D40" s="184"/>
      <c r="E40" s="188"/>
      <c r="F40" s="165"/>
      <c r="G40" s="165"/>
      <c r="H40" s="165"/>
      <c r="I40" s="165"/>
      <c r="J40" s="165"/>
      <c r="K40" s="165"/>
      <c r="L40" s="165"/>
      <c r="M40" s="165"/>
      <c r="N40" s="165"/>
      <c r="O40" s="165"/>
      <c r="P40" s="110"/>
      <c r="Q40" s="110"/>
      <c r="R40" s="110"/>
      <c r="S40" s="110"/>
      <c r="T40" s="110"/>
      <c r="U40" s="110"/>
      <c r="V40" s="249"/>
      <c r="W40" s="249"/>
      <c r="X40" s="249"/>
      <c r="Y40" s="249"/>
      <c r="Z40" s="249"/>
    </row>
    <row r="41" ht="13.5" customHeight="1">
      <c r="A41" s="181"/>
      <c r="B41" s="182"/>
      <c r="C41" s="183"/>
      <c r="D41" s="184"/>
      <c r="E41" s="188"/>
      <c r="F41" s="165"/>
      <c r="G41" s="165"/>
      <c r="H41" s="165"/>
      <c r="I41" s="165"/>
      <c r="J41" s="165"/>
      <c r="K41" s="165"/>
      <c r="L41" s="165"/>
      <c r="M41" s="165"/>
      <c r="N41" s="165"/>
      <c r="O41" s="165"/>
      <c r="P41" s="110"/>
      <c r="Q41" s="110"/>
      <c r="R41" s="110"/>
      <c r="S41" s="110"/>
      <c r="T41" s="110"/>
      <c r="U41" s="110"/>
      <c r="V41" s="249"/>
      <c r="W41" s="249"/>
      <c r="X41" s="249"/>
      <c r="Y41" s="249"/>
      <c r="Z41" s="249"/>
    </row>
    <row r="42" ht="13.5" customHeight="1">
      <c r="A42" s="262"/>
      <c r="B42" s="182"/>
      <c r="C42" s="183"/>
      <c r="D42" s="184"/>
      <c r="E42" s="188"/>
      <c r="F42" s="165"/>
      <c r="G42" s="165"/>
      <c r="H42" s="165"/>
      <c r="I42" s="165"/>
      <c r="J42" s="165"/>
      <c r="K42" s="165"/>
      <c r="L42" s="165"/>
      <c r="M42" s="165"/>
      <c r="N42" s="165"/>
      <c r="O42" s="165"/>
      <c r="P42" s="110"/>
      <c r="Q42" s="110"/>
      <c r="R42" s="110"/>
      <c r="S42" s="110"/>
      <c r="T42" s="110"/>
      <c r="U42" s="110"/>
      <c r="V42" s="249"/>
      <c r="W42" s="249"/>
      <c r="X42" s="249"/>
      <c r="Y42" s="249"/>
      <c r="Z42" s="249"/>
    </row>
    <row r="43" ht="13.5" customHeight="1">
      <c r="A43" s="264"/>
      <c r="B43" s="237"/>
      <c r="C43" s="238"/>
      <c r="D43" s="239"/>
      <c r="E43" s="265"/>
      <c r="F43" s="156"/>
      <c r="G43" s="156"/>
      <c r="H43" s="156"/>
      <c r="I43" s="156"/>
      <c r="J43" s="156"/>
      <c r="K43" s="156"/>
      <c r="L43" s="156"/>
      <c r="M43" s="156"/>
      <c r="N43" s="156"/>
      <c r="O43" s="156"/>
      <c r="P43" s="110"/>
      <c r="Q43" s="110"/>
      <c r="R43" s="110"/>
      <c r="S43" s="110"/>
      <c r="T43" s="110"/>
      <c r="U43" s="110"/>
      <c r="V43" s="249"/>
      <c r="W43" s="249"/>
      <c r="X43" s="249"/>
      <c r="Y43" s="249"/>
      <c r="Z43" s="249"/>
    </row>
    <row r="44" ht="13.5" customHeight="1">
      <c r="A44" s="264"/>
      <c r="B44" s="237"/>
      <c r="C44" s="238"/>
      <c r="D44" s="239"/>
      <c r="E44" s="265"/>
      <c r="F44" s="156"/>
      <c r="G44" s="156"/>
      <c r="H44" s="156"/>
      <c r="I44" s="156"/>
      <c r="J44" s="156"/>
      <c r="K44" s="156"/>
      <c r="L44" s="156"/>
      <c r="M44" s="156"/>
      <c r="N44" s="156"/>
      <c r="O44" s="156"/>
      <c r="P44" s="110"/>
      <c r="Q44" s="110"/>
      <c r="R44" s="110"/>
      <c r="S44" s="110"/>
      <c r="T44" s="110"/>
      <c r="U44" s="110"/>
      <c r="V44" s="249"/>
      <c r="W44" s="249"/>
      <c r="X44" s="249"/>
      <c r="Y44" s="249"/>
      <c r="Z44" s="249"/>
    </row>
    <row r="45" ht="13.5" customHeight="1">
      <c r="A45" s="228" t="s">
        <v>367</v>
      </c>
      <c r="B45" s="240" t="s">
        <v>368</v>
      </c>
      <c r="C45" s="225"/>
      <c r="D45" s="241"/>
      <c r="E45" s="200"/>
      <c r="F45" s="201" t="s">
        <v>38</v>
      </c>
      <c r="G45" s="201" t="s">
        <v>38</v>
      </c>
      <c r="H45" s="201" t="s">
        <v>38</v>
      </c>
      <c r="I45" s="201" t="s">
        <v>220</v>
      </c>
      <c r="J45" s="201"/>
      <c r="K45" s="201"/>
      <c r="L45" s="201"/>
      <c r="M45" s="201"/>
      <c r="N45" s="201"/>
      <c r="O45" s="201"/>
      <c r="P45" s="110"/>
      <c r="Q45" s="110"/>
      <c r="R45" s="110"/>
      <c r="S45" s="110"/>
      <c r="T45" s="110"/>
      <c r="U45" s="110"/>
      <c r="V45" s="249"/>
      <c r="W45" s="249"/>
      <c r="X45" s="249"/>
      <c r="Y45" s="249"/>
      <c r="Z45" s="249"/>
    </row>
    <row r="46" ht="13.5" customHeight="1">
      <c r="A46" s="260"/>
      <c r="B46" s="204" t="s">
        <v>369</v>
      </c>
      <c r="C46" s="12"/>
      <c r="D46" s="13"/>
      <c r="E46" s="205"/>
      <c r="F46" s="206"/>
      <c r="G46" s="206"/>
      <c r="H46" s="206"/>
      <c r="I46" s="206"/>
      <c r="J46" s="206"/>
      <c r="K46" s="206"/>
      <c r="L46" s="206"/>
      <c r="M46" s="206"/>
      <c r="N46" s="206"/>
      <c r="O46" s="206"/>
      <c r="P46" s="110"/>
      <c r="Q46" s="110"/>
      <c r="R46" s="110"/>
      <c r="S46" s="110"/>
      <c r="T46" s="110"/>
      <c r="U46" s="110"/>
      <c r="V46" s="249"/>
      <c r="W46" s="249"/>
      <c r="X46" s="249"/>
      <c r="Y46" s="249"/>
      <c r="Z46" s="249"/>
    </row>
    <row r="47" ht="13.5" customHeight="1">
      <c r="A47" s="260"/>
      <c r="B47" s="208" t="s">
        <v>371</v>
      </c>
      <c r="C47" s="12"/>
      <c r="D47" s="13"/>
      <c r="E47" s="209"/>
      <c r="F47" s="210"/>
      <c r="G47" s="210"/>
      <c r="H47" s="210"/>
      <c r="I47" s="210"/>
      <c r="J47" s="210"/>
      <c r="K47" s="210"/>
      <c r="L47" s="210"/>
      <c r="M47" s="210"/>
      <c r="N47" s="210"/>
      <c r="O47" s="210"/>
      <c r="P47" s="110"/>
      <c r="Q47" s="110"/>
      <c r="R47" s="110"/>
      <c r="S47" s="110"/>
      <c r="T47" s="110"/>
      <c r="U47" s="110"/>
      <c r="V47" s="249"/>
      <c r="W47" s="249"/>
      <c r="X47" s="249"/>
      <c r="Y47" s="249"/>
      <c r="Z47" s="249"/>
    </row>
    <row r="48" ht="12.0" customHeight="1">
      <c r="A48" s="261"/>
      <c r="B48" s="215" t="s">
        <v>372</v>
      </c>
      <c r="C48" s="216"/>
      <c r="D48" s="217"/>
      <c r="E48" s="218"/>
      <c r="F48" s="219"/>
      <c r="G48" s="219"/>
      <c r="H48" s="219"/>
      <c r="I48" s="219"/>
      <c r="J48" s="219"/>
      <c r="K48" s="219"/>
      <c r="L48" s="219"/>
      <c r="M48" s="219"/>
      <c r="N48" s="219"/>
      <c r="O48" s="219"/>
      <c r="P48" s="110"/>
      <c r="Q48" s="110"/>
      <c r="R48" s="110"/>
      <c r="S48" s="110"/>
      <c r="T48" s="110"/>
      <c r="U48" s="110"/>
      <c r="V48" s="249"/>
      <c r="W48" s="249"/>
      <c r="X48" s="249"/>
      <c r="Y48" s="249"/>
      <c r="Z48" s="249"/>
    </row>
    <row r="49" ht="12.0" customHeight="1">
      <c r="A49" s="143"/>
      <c r="B49" s="110"/>
      <c r="C49" s="111"/>
      <c r="D49" s="110"/>
      <c r="E49" s="110"/>
      <c r="F49" s="110"/>
      <c r="G49" s="110"/>
      <c r="H49" s="110"/>
      <c r="I49" s="110"/>
      <c r="J49" s="110"/>
      <c r="K49" s="110"/>
      <c r="L49" s="110"/>
      <c r="M49" s="110"/>
      <c r="N49" s="110"/>
      <c r="O49" s="110"/>
      <c r="P49" s="110"/>
      <c r="Q49" s="110"/>
      <c r="R49" s="110"/>
      <c r="S49" s="110"/>
      <c r="T49" s="110"/>
      <c r="U49" s="110"/>
      <c r="V49" s="249"/>
      <c r="W49" s="249"/>
      <c r="X49" s="249"/>
      <c r="Y49" s="249"/>
      <c r="Z49" s="249"/>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249"/>
      <c r="W50" s="249"/>
      <c r="X50" s="249"/>
      <c r="Y50" s="249"/>
      <c r="Z50" s="249"/>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249"/>
      <c r="W51" s="249"/>
      <c r="X51" s="249"/>
      <c r="Y51" s="249"/>
      <c r="Z51" s="249"/>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249"/>
      <c r="W52" s="249"/>
      <c r="X52" s="249"/>
      <c r="Y52" s="249"/>
      <c r="Z52" s="249"/>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249"/>
      <c r="W53" s="249"/>
      <c r="X53" s="249"/>
      <c r="Y53" s="249"/>
      <c r="Z53" s="249"/>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249"/>
      <c r="W54" s="249"/>
      <c r="X54" s="249"/>
      <c r="Y54" s="249"/>
      <c r="Z54" s="249"/>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249"/>
      <c r="W55" s="249"/>
      <c r="X55" s="249"/>
      <c r="Y55" s="249"/>
      <c r="Z55" s="249"/>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249"/>
      <c r="W56" s="249"/>
      <c r="X56" s="249"/>
      <c r="Y56" s="249"/>
      <c r="Z56" s="249"/>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249"/>
      <c r="W57" s="249"/>
      <c r="X57" s="249"/>
      <c r="Y57" s="249"/>
      <c r="Z57" s="249"/>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249"/>
      <c r="W58" s="249"/>
      <c r="X58" s="249"/>
      <c r="Y58" s="249"/>
      <c r="Z58" s="249"/>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249"/>
      <c r="W59" s="249"/>
      <c r="X59" s="249"/>
      <c r="Y59" s="249"/>
      <c r="Z59" s="249"/>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249"/>
      <c r="W60" s="249"/>
      <c r="X60" s="249"/>
      <c r="Y60" s="249"/>
      <c r="Z60" s="249"/>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249"/>
      <c r="W61" s="249"/>
      <c r="X61" s="249"/>
      <c r="Y61" s="249"/>
      <c r="Z61" s="249"/>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249"/>
      <c r="W62" s="249"/>
      <c r="X62" s="249"/>
      <c r="Y62" s="249"/>
      <c r="Z62" s="249"/>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249"/>
      <c r="W63" s="249"/>
      <c r="X63" s="249"/>
      <c r="Y63" s="249"/>
      <c r="Z63" s="249"/>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249"/>
      <c r="W64" s="249"/>
      <c r="X64" s="249"/>
      <c r="Y64" s="249"/>
      <c r="Z64" s="249"/>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249"/>
      <c r="W65" s="249"/>
      <c r="X65" s="249"/>
      <c r="Y65" s="249"/>
      <c r="Z65" s="249"/>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249"/>
      <c r="W66" s="249"/>
      <c r="X66" s="249"/>
      <c r="Y66" s="249"/>
      <c r="Z66" s="249"/>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249"/>
      <c r="W67" s="249"/>
      <c r="X67" s="249"/>
      <c r="Y67" s="249"/>
      <c r="Z67" s="249"/>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249"/>
      <c r="W68" s="249"/>
      <c r="X68" s="249"/>
      <c r="Y68" s="249"/>
      <c r="Z68" s="249"/>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249"/>
      <c r="W69" s="249"/>
      <c r="X69" s="249"/>
      <c r="Y69" s="249"/>
      <c r="Z69" s="249"/>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249"/>
      <c r="W70" s="249"/>
      <c r="X70" s="249"/>
      <c r="Y70" s="249"/>
      <c r="Z70" s="249"/>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249"/>
      <c r="W71" s="249"/>
      <c r="X71" s="249"/>
      <c r="Y71" s="249"/>
      <c r="Z71" s="249"/>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249"/>
      <c r="W72" s="249"/>
      <c r="X72" s="249"/>
      <c r="Y72" s="249"/>
      <c r="Z72" s="249"/>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249"/>
      <c r="W73" s="249"/>
      <c r="X73" s="249"/>
      <c r="Y73" s="249"/>
      <c r="Z73" s="249"/>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249"/>
      <c r="W74" s="249"/>
      <c r="X74" s="249"/>
      <c r="Y74" s="249"/>
      <c r="Z74" s="249"/>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249"/>
      <c r="W75" s="249"/>
      <c r="X75" s="249"/>
      <c r="Y75" s="249"/>
      <c r="Z75" s="249"/>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249"/>
      <c r="W76" s="249"/>
      <c r="X76" s="249"/>
      <c r="Y76" s="249"/>
      <c r="Z76" s="249"/>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249"/>
      <c r="W77" s="249"/>
      <c r="X77" s="249"/>
      <c r="Y77" s="249"/>
      <c r="Z77" s="249"/>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249"/>
      <c r="W78" s="249"/>
      <c r="X78" s="249"/>
      <c r="Y78" s="249"/>
      <c r="Z78" s="249"/>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249"/>
      <c r="W79" s="249"/>
      <c r="X79" s="249"/>
      <c r="Y79" s="249"/>
      <c r="Z79" s="249"/>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249"/>
      <c r="W80" s="249"/>
      <c r="X80" s="249"/>
      <c r="Y80" s="249"/>
      <c r="Z80" s="249"/>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249"/>
      <c r="W81" s="249"/>
      <c r="X81" s="249"/>
      <c r="Y81" s="249"/>
      <c r="Z81" s="249"/>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249"/>
      <c r="W82" s="249"/>
      <c r="X82" s="249"/>
      <c r="Y82" s="249"/>
      <c r="Z82" s="249"/>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249"/>
      <c r="W83" s="249"/>
      <c r="X83" s="249"/>
      <c r="Y83" s="249"/>
      <c r="Z83" s="249"/>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249"/>
      <c r="W84" s="249"/>
      <c r="X84" s="249"/>
      <c r="Y84" s="249"/>
      <c r="Z84" s="249"/>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249"/>
      <c r="W85" s="249"/>
      <c r="X85" s="249"/>
      <c r="Y85" s="249"/>
      <c r="Z85" s="249"/>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249"/>
      <c r="W86" s="249"/>
      <c r="X86" s="249"/>
      <c r="Y86" s="249"/>
      <c r="Z86" s="249"/>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249"/>
      <c r="W87" s="249"/>
      <c r="X87" s="249"/>
      <c r="Y87" s="249"/>
      <c r="Z87" s="249"/>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249"/>
      <c r="W88" s="249"/>
      <c r="X88" s="249"/>
      <c r="Y88" s="249"/>
      <c r="Z88" s="249"/>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249"/>
      <c r="W89" s="249"/>
      <c r="X89" s="249"/>
      <c r="Y89" s="249"/>
      <c r="Z89" s="249"/>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249"/>
      <c r="W90" s="249"/>
      <c r="X90" s="249"/>
      <c r="Y90" s="249"/>
      <c r="Z90" s="249"/>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249"/>
      <c r="W91" s="249"/>
      <c r="X91" s="249"/>
      <c r="Y91" s="249"/>
      <c r="Z91" s="249"/>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249"/>
      <c r="W92" s="249"/>
      <c r="X92" s="249"/>
      <c r="Y92" s="249"/>
      <c r="Z92" s="249"/>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249"/>
      <c r="W93" s="249"/>
      <c r="X93" s="249"/>
      <c r="Y93" s="249"/>
      <c r="Z93" s="249"/>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249"/>
      <c r="W94" s="249"/>
      <c r="X94" s="249"/>
      <c r="Y94" s="249"/>
      <c r="Z94" s="249"/>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249"/>
      <c r="W95" s="249"/>
      <c r="X95" s="249"/>
      <c r="Y95" s="249"/>
      <c r="Z95" s="249"/>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249"/>
      <c r="W96" s="249"/>
      <c r="X96" s="249"/>
      <c r="Y96" s="249"/>
      <c r="Z96" s="249"/>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249"/>
      <c r="W97" s="249"/>
      <c r="X97" s="249"/>
      <c r="Y97" s="249"/>
      <c r="Z97" s="249"/>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249"/>
      <c r="W98" s="249"/>
      <c r="X98" s="249"/>
      <c r="Y98" s="249"/>
      <c r="Z98" s="249"/>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249"/>
      <c r="W99" s="249"/>
      <c r="X99" s="249"/>
      <c r="Y99" s="249"/>
      <c r="Z99" s="249"/>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249"/>
      <c r="W100" s="249"/>
      <c r="X100" s="249"/>
      <c r="Y100" s="249"/>
      <c r="Z100" s="249"/>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249"/>
      <c r="W101" s="249"/>
      <c r="X101" s="249"/>
      <c r="Y101" s="249"/>
      <c r="Z101" s="249"/>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249"/>
      <c r="W102" s="249"/>
      <c r="X102" s="249"/>
      <c r="Y102" s="249"/>
      <c r="Z102" s="249"/>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249"/>
      <c r="W103" s="249"/>
      <c r="X103" s="249"/>
      <c r="Y103" s="249"/>
      <c r="Z103" s="249"/>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249"/>
      <c r="W104" s="249"/>
      <c r="X104" s="249"/>
      <c r="Y104" s="249"/>
      <c r="Z104" s="249"/>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249"/>
      <c r="W105" s="249"/>
      <c r="X105" s="249"/>
      <c r="Y105" s="249"/>
      <c r="Z105" s="249"/>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249"/>
      <c r="W106" s="249"/>
      <c r="X106" s="249"/>
      <c r="Y106" s="249"/>
      <c r="Z106" s="249"/>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249"/>
      <c r="W107" s="249"/>
      <c r="X107" s="249"/>
      <c r="Y107" s="249"/>
      <c r="Z107" s="249"/>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249"/>
      <c r="W108" s="249"/>
      <c r="X108" s="249"/>
      <c r="Y108" s="249"/>
      <c r="Z108" s="249"/>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249"/>
      <c r="W109" s="249"/>
      <c r="X109" s="249"/>
      <c r="Y109" s="249"/>
      <c r="Z109" s="249"/>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249"/>
      <c r="W110" s="249"/>
      <c r="X110" s="249"/>
      <c r="Y110" s="249"/>
      <c r="Z110" s="249"/>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249"/>
      <c r="W111" s="249"/>
      <c r="X111" s="249"/>
      <c r="Y111" s="249"/>
      <c r="Z111" s="249"/>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249"/>
      <c r="W112" s="249"/>
      <c r="X112" s="249"/>
      <c r="Y112" s="249"/>
      <c r="Z112" s="249"/>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249"/>
      <c r="W113" s="249"/>
      <c r="X113" s="249"/>
      <c r="Y113" s="249"/>
      <c r="Z113" s="249"/>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249"/>
      <c r="W114" s="249"/>
      <c r="X114" s="249"/>
      <c r="Y114" s="249"/>
      <c r="Z114" s="249"/>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249"/>
      <c r="W115" s="249"/>
      <c r="X115" s="249"/>
      <c r="Y115" s="249"/>
      <c r="Z115" s="249"/>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249"/>
      <c r="W116" s="249"/>
      <c r="X116" s="249"/>
      <c r="Y116" s="249"/>
      <c r="Z116" s="249"/>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249"/>
      <c r="W117" s="249"/>
      <c r="X117" s="249"/>
      <c r="Y117" s="249"/>
      <c r="Z117" s="249"/>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249"/>
      <c r="W118" s="249"/>
      <c r="X118" s="249"/>
      <c r="Y118" s="249"/>
      <c r="Z118" s="249"/>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249"/>
      <c r="W119" s="249"/>
      <c r="X119" s="249"/>
      <c r="Y119" s="249"/>
      <c r="Z119" s="249"/>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249"/>
      <c r="W120" s="249"/>
      <c r="X120" s="249"/>
      <c r="Y120" s="249"/>
      <c r="Z120" s="249"/>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249"/>
      <c r="W121" s="249"/>
      <c r="X121" s="249"/>
      <c r="Y121" s="249"/>
      <c r="Z121" s="249"/>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249"/>
      <c r="W122" s="249"/>
      <c r="X122" s="249"/>
      <c r="Y122" s="249"/>
      <c r="Z122" s="249"/>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249"/>
      <c r="W123" s="249"/>
      <c r="X123" s="249"/>
      <c r="Y123" s="249"/>
      <c r="Z123" s="249"/>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249"/>
      <c r="W124" s="249"/>
      <c r="X124" s="249"/>
      <c r="Y124" s="249"/>
      <c r="Z124" s="249"/>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249"/>
      <c r="W125" s="249"/>
      <c r="X125" s="249"/>
      <c r="Y125" s="249"/>
      <c r="Z125" s="249"/>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249"/>
      <c r="W126" s="249"/>
      <c r="X126" s="249"/>
      <c r="Y126" s="249"/>
      <c r="Z126" s="249"/>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249"/>
      <c r="W127" s="249"/>
      <c r="X127" s="249"/>
      <c r="Y127" s="249"/>
      <c r="Z127" s="249"/>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249"/>
      <c r="W128" s="249"/>
      <c r="X128" s="249"/>
      <c r="Y128" s="249"/>
      <c r="Z128" s="249"/>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249"/>
      <c r="W129" s="249"/>
      <c r="X129" s="249"/>
      <c r="Y129" s="249"/>
      <c r="Z129" s="249"/>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249"/>
      <c r="W130" s="249"/>
      <c r="X130" s="249"/>
      <c r="Y130" s="249"/>
      <c r="Z130" s="249"/>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249"/>
      <c r="W131" s="249"/>
      <c r="X131" s="249"/>
      <c r="Y131" s="249"/>
      <c r="Z131" s="249"/>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249"/>
      <c r="W132" s="249"/>
      <c r="X132" s="249"/>
      <c r="Y132" s="249"/>
      <c r="Z132" s="249"/>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249"/>
      <c r="W133" s="249"/>
      <c r="X133" s="249"/>
      <c r="Y133" s="249"/>
      <c r="Z133" s="249"/>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249"/>
      <c r="W134" s="249"/>
      <c r="X134" s="249"/>
      <c r="Y134" s="249"/>
      <c r="Z134" s="249"/>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249"/>
      <c r="W135" s="249"/>
      <c r="X135" s="249"/>
      <c r="Y135" s="249"/>
      <c r="Z135" s="249"/>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249"/>
      <c r="W136" s="249"/>
      <c r="X136" s="249"/>
      <c r="Y136" s="249"/>
      <c r="Z136" s="249"/>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249"/>
      <c r="W137" s="249"/>
      <c r="X137" s="249"/>
      <c r="Y137" s="249"/>
      <c r="Z137" s="249"/>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249"/>
      <c r="W138" s="249"/>
      <c r="X138" s="249"/>
      <c r="Y138" s="249"/>
      <c r="Z138" s="249"/>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249"/>
      <c r="W139" s="249"/>
      <c r="X139" s="249"/>
      <c r="Y139" s="249"/>
      <c r="Z139" s="249"/>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249"/>
      <c r="W140" s="249"/>
      <c r="X140" s="249"/>
      <c r="Y140" s="249"/>
      <c r="Z140" s="249"/>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249"/>
      <c r="W141" s="249"/>
      <c r="X141" s="249"/>
      <c r="Y141" s="249"/>
      <c r="Z141" s="249"/>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249"/>
      <c r="W142" s="249"/>
      <c r="X142" s="249"/>
      <c r="Y142" s="249"/>
      <c r="Z142" s="249"/>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249"/>
      <c r="W143" s="249"/>
      <c r="X143" s="249"/>
      <c r="Y143" s="249"/>
      <c r="Z143" s="249"/>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249"/>
      <c r="W144" s="249"/>
      <c r="X144" s="249"/>
      <c r="Y144" s="249"/>
      <c r="Z144" s="249"/>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249"/>
      <c r="W145" s="249"/>
      <c r="X145" s="249"/>
      <c r="Y145" s="249"/>
      <c r="Z145" s="249"/>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249"/>
      <c r="W146" s="249"/>
      <c r="X146" s="249"/>
      <c r="Y146" s="249"/>
      <c r="Z146" s="249"/>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249"/>
      <c r="W147" s="249"/>
      <c r="X147" s="249"/>
      <c r="Y147" s="249"/>
      <c r="Z147" s="249"/>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249"/>
      <c r="W148" s="249"/>
      <c r="X148" s="249"/>
      <c r="Y148" s="249"/>
      <c r="Z148" s="249"/>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249"/>
      <c r="W149" s="249"/>
      <c r="X149" s="249"/>
      <c r="Y149" s="249"/>
      <c r="Z149" s="249"/>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249"/>
      <c r="W150" s="249"/>
      <c r="X150" s="249"/>
      <c r="Y150" s="249"/>
      <c r="Z150" s="249"/>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249"/>
      <c r="W151" s="249"/>
      <c r="X151" s="249"/>
      <c r="Y151" s="249"/>
      <c r="Z151" s="249"/>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249"/>
      <c r="W152" s="249"/>
      <c r="X152" s="249"/>
      <c r="Y152" s="249"/>
      <c r="Z152" s="249"/>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249"/>
      <c r="W153" s="249"/>
      <c r="X153" s="249"/>
      <c r="Y153" s="249"/>
      <c r="Z153" s="249"/>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249"/>
      <c r="W154" s="249"/>
      <c r="X154" s="249"/>
      <c r="Y154" s="249"/>
      <c r="Z154" s="249"/>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249"/>
      <c r="W155" s="249"/>
      <c r="X155" s="249"/>
      <c r="Y155" s="249"/>
      <c r="Z155" s="249"/>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249"/>
      <c r="W156" s="249"/>
      <c r="X156" s="249"/>
      <c r="Y156" s="249"/>
      <c r="Z156" s="249"/>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249"/>
      <c r="W157" s="249"/>
      <c r="X157" s="249"/>
      <c r="Y157" s="249"/>
      <c r="Z157" s="249"/>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249"/>
      <c r="W158" s="249"/>
      <c r="X158" s="249"/>
      <c r="Y158" s="249"/>
      <c r="Z158" s="249"/>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249"/>
      <c r="W159" s="249"/>
      <c r="X159" s="249"/>
      <c r="Y159" s="249"/>
      <c r="Z159" s="249"/>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249"/>
      <c r="W160" s="249"/>
      <c r="X160" s="249"/>
      <c r="Y160" s="249"/>
      <c r="Z160" s="249"/>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249"/>
      <c r="W161" s="249"/>
      <c r="X161" s="249"/>
      <c r="Y161" s="249"/>
      <c r="Z161" s="249"/>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249"/>
      <c r="W162" s="249"/>
      <c r="X162" s="249"/>
      <c r="Y162" s="249"/>
      <c r="Z162" s="249"/>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249"/>
      <c r="W163" s="249"/>
      <c r="X163" s="249"/>
      <c r="Y163" s="249"/>
      <c r="Z163" s="249"/>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249"/>
      <c r="W164" s="249"/>
      <c r="X164" s="249"/>
      <c r="Y164" s="249"/>
      <c r="Z164" s="249"/>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249"/>
      <c r="W165" s="249"/>
      <c r="X165" s="249"/>
      <c r="Y165" s="249"/>
      <c r="Z165" s="249"/>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249"/>
      <c r="W166" s="249"/>
      <c r="X166" s="249"/>
      <c r="Y166" s="249"/>
      <c r="Z166" s="249"/>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249"/>
      <c r="W167" s="249"/>
      <c r="X167" s="249"/>
      <c r="Y167" s="249"/>
      <c r="Z167" s="249"/>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249"/>
      <c r="W168" s="249"/>
      <c r="X168" s="249"/>
      <c r="Y168" s="249"/>
      <c r="Z168" s="249"/>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249"/>
      <c r="W169" s="249"/>
      <c r="X169" s="249"/>
      <c r="Y169" s="249"/>
      <c r="Z169" s="249"/>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249"/>
      <c r="W170" s="249"/>
      <c r="X170" s="249"/>
      <c r="Y170" s="249"/>
      <c r="Z170" s="249"/>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249"/>
      <c r="W171" s="249"/>
      <c r="X171" s="249"/>
      <c r="Y171" s="249"/>
      <c r="Z171" s="249"/>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249"/>
      <c r="W172" s="249"/>
      <c r="X172" s="249"/>
      <c r="Y172" s="249"/>
      <c r="Z172" s="249"/>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249"/>
      <c r="W173" s="249"/>
      <c r="X173" s="249"/>
      <c r="Y173" s="249"/>
      <c r="Z173" s="249"/>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249"/>
      <c r="W174" s="249"/>
      <c r="X174" s="249"/>
      <c r="Y174" s="249"/>
      <c r="Z174" s="249"/>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249"/>
      <c r="W175" s="249"/>
      <c r="X175" s="249"/>
      <c r="Y175" s="249"/>
      <c r="Z175" s="249"/>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249"/>
      <c r="W176" s="249"/>
      <c r="X176" s="249"/>
      <c r="Y176" s="249"/>
      <c r="Z176" s="249"/>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249"/>
      <c r="W177" s="249"/>
      <c r="X177" s="249"/>
      <c r="Y177" s="249"/>
      <c r="Z177" s="249"/>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249"/>
      <c r="W178" s="249"/>
      <c r="X178" s="249"/>
      <c r="Y178" s="249"/>
      <c r="Z178" s="249"/>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249"/>
      <c r="W179" s="249"/>
      <c r="X179" s="249"/>
      <c r="Y179" s="249"/>
      <c r="Z179" s="249"/>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249"/>
      <c r="W180" s="249"/>
      <c r="X180" s="249"/>
      <c r="Y180" s="249"/>
      <c r="Z180" s="249"/>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249"/>
      <c r="W181" s="249"/>
      <c r="X181" s="249"/>
      <c r="Y181" s="249"/>
      <c r="Z181" s="249"/>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249"/>
      <c r="W182" s="249"/>
      <c r="X182" s="249"/>
      <c r="Y182" s="249"/>
      <c r="Z182" s="249"/>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249"/>
      <c r="W183" s="249"/>
      <c r="X183" s="249"/>
      <c r="Y183" s="249"/>
      <c r="Z183" s="249"/>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249"/>
      <c r="W184" s="249"/>
      <c r="X184" s="249"/>
      <c r="Y184" s="249"/>
      <c r="Z184" s="249"/>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249"/>
      <c r="W185" s="249"/>
      <c r="X185" s="249"/>
      <c r="Y185" s="249"/>
      <c r="Z185" s="249"/>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249"/>
      <c r="W186" s="249"/>
      <c r="X186" s="249"/>
      <c r="Y186" s="249"/>
      <c r="Z186" s="249"/>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249"/>
      <c r="W187" s="249"/>
      <c r="X187" s="249"/>
      <c r="Y187" s="249"/>
      <c r="Z187" s="249"/>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249"/>
      <c r="W188" s="249"/>
      <c r="X188" s="249"/>
      <c r="Y188" s="249"/>
      <c r="Z188" s="249"/>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249"/>
      <c r="W189" s="249"/>
      <c r="X189" s="249"/>
      <c r="Y189" s="249"/>
      <c r="Z189" s="249"/>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249"/>
      <c r="W190" s="249"/>
      <c r="X190" s="249"/>
      <c r="Y190" s="249"/>
      <c r="Z190" s="249"/>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249"/>
      <c r="W191" s="249"/>
      <c r="X191" s="249"/>
      <c r="Y191" s="249"/>
      <c r="Z191" s="249"/>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249"/>
      <c r="W192" s="249"/>
      <c r="X192" s="249"/>
      <c r="Y192" s="249"/>
      <c r="Z192" s="249"/>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249"/>
      <c r="W193" s="249"/>
      <c r="X193" s="249"/>
      <c r="Y193" s="249"/>
      <c r="Z193" s="249"/>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249"/>
      <c r="W194" s="249"/>
      <c r="X194" s="249"/>
      <c r="Y194" s="249"/>
      <c r="Z194" s="249"/>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249"/>
      <c r="W195" s="249"/>
      <c r="X195" s="249"/>
      <c r="Y195" s="249"/>
      <c r="Z195" s="249"/>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249"/>
      <c r="W196" s="249"/>
      <c r="X196" s="249"/>
      <c r="Y196" s="249"/>
      <c r="Z196" s="249"/>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249"/>
      <c r="W197" s="249"/>
      <c r="X197" s="249"/>
      <c r="Y197" s="249"/>
      <c r="Z197" s="249"/>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249"/>
      <c r="W198" s="249"/>
      <c r="X198" s="249"/>
      <c r="Y198" s="249"/>
      <c r="Z198" s="249"/>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249"/>
      <c r="W199" s="249"/>
      <c r="X199" s="249"/>
      <c r="Y199" s="249"/>
      <c r="Z199" s="249"/>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249"/>
      <c r="W200" s="249"/>
      <c r="X200" s="249"/>
      <c r="Y200" s="249"/>
      <c r="Z200" s="249"/>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249"/>
      <c r="W201" s="249"/>
      <c r="X201" s="249"/>
      <c r="Y201" s="249"/>
      <c r="Z201" s="249"/>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249"/>
      <c r="W202" s="249"/>
      <c r="X202" s="249"/>
      <c r="Y202" s="249"/>
      <c r="Z202" s="249"/>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249"/>
      <c r="W203" s="249"/>
      <c r="X203" s="249"/>
      <c r="Y203" s="249"/>
      <c r="Z203" s="249"/>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249"/>
      <c r="W204" s="249"/>
      <c r="X204" s="249"/>
      <c r="Y204" s="249"/>
      <c r="Z204" s="249"/>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249"/>
      <c r="W205" s="249"/>
      <c r="X205" s="249"/>
      <c r="Y205" s="249"/>
      <c r="Z205" s="249"/>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249"/>
      <c r="W206" s="249"/>
      <c r="X206" s="249"/>
      <c r="Y206" s="249"/>
      <c r="Z206" s="249"/>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249"/>
      <c r="W207" s="249"/>
      <c r="X207" s="249"/>
      <c r="Y207" s="249"/>
      <c r="Z207" s="249"/>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249"/>
      <c r="W208" s="249"/>
      <c r="X208" s="249"/>
      <c r="Y208" s="249"/>
      <c r="Z208" s="249"/>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249"/>
      <c r="W209" s="249"/>
      <c r="X209" s="249"/>
      <c r="Y209" s="249"/>
      <c r="Z209" s="249"/>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249"/>
      <c r="W210" s="249"/>
      <c r="X210" s="249"/>
      <c r="Y210" s="249"/>
      <c r="Z210" s="249"/>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249"/>
      <c r="W211" s="249"/>
      <c r="X211" s="249"/>
      <c r="Y211" s="249"/>
      <c r="Z211" s="249"/>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249"/>
      <c r="W212" s="249"/>
      <c r="X212" s="249"/>
      <c r="Y212" s="249"/>
      <c r="Z212" s="249"/>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249"/>
      <c r="W213" s="249"/>
      <c r="X213" s="249"/>
      <c r="Y213" s="249"/>
      <c r="Z213" s="249"/>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249"/>
      <c r="W214" s="249"/>
      <c r="X214" s="249"/>
      <c r="Y214" s="249"/>
      <c r="Z214" s="249"/>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249"/>
      <c r="W215" s="249"/>
      <c r="X215" s="249"/>
      <c r="Y215" s="249"/>
      <c r="Z215" s="249"/>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249"/>
      <c r="W216" s="249"/>
      <c r="X216" s="249"/>
      <c r="Y216" s="249"/>
      <c r="Z216" s="249"/>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249"/>
      <c r="W217" s="249"/>
      <c r="X217" s="249"/>
      <c r="Y217" s="249"/>
      <c r="Z217" s="249"/>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249"/>
      <c r="W218" s="249"/>
      <c r="X218" s="249"/>
      <c r="Y218" s="249"/>
      <c r="Z218" s="249"/>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249"/>
      <c r="W219" s="249"/>
      <c r="X219" s="249"/>
      <c r="Y219" s="249"/>
      <c r="Z219" s="249"/>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249"/>
      <c r="W220" s="249"/>
      <c r="X220" s="249"/>
      <c r="Y220" s="249"/>
      <c r="Z220" s="249"/>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249"/>
      <c r="W221" s="249"/>
      <c r="X221" s="249"/>
      <c r="Y221" s="249"/>
      <c r="Z221" s="249"/>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249"/>
      <c r="W222" s="249"/>
      <c r="X222" s="249"/>
      <c r="Y222" s="249"/>
      <c r="Z222" s="249"/>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249"/>
      <c r="W223" s="249"/>
      <c r="X223" s="249"/>
      <c r="Y223" s="249"/>
      <c r="Z223" s="249"/>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249"/>
      <c r="W224" s="249"/>
      <c r="X224" s="249"/>
      <c r="Y224" s="249"/>
      <c r="Z224" s="249"/>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249"/>
      <c r="W225" s="249"/>
      <c r="X225" s="249"/>
      <c r="Y225" s="249"/>
      <c r="Z225" s="249"/>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249"/>
      <c r="W226" s="249"/>
      <c r="X226" s="249"/>
      <c r="Y226" s="249"/>
      <c r="Z226" s="249"/>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249"/>
      <c r="W227" s="249"/>
      <c r="X227" s="249"/>
      <c r="Y227" s="249"/>
      <c r="Z227" s="249"/>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249"/>
      <c r="W228" s="249"/>
      <c r="X228" s="249"/>
      <c r="Y228" s="249"/>
      <c r="Z228" s="249"/>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249"/>
      <c r="W229" s="249"/>
      <c r="X229" s="249"/>
      <c r="Y229" s="249"/>
      <c r="Z229" s="249"/>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249"/>
      <c r="W230" s="249"/>
      <c r="X230" s="249"/>
      <c r="Y230" s="249"/>
      <c r="Z230" s="249"/>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249"/>
      <c r="W231" s="249"/>
      <c r="X231" s="249"/>
      <c r="Y231" s="249"/>
      <c r="Z231" s="249"/>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249"/>
      <c r="W232" s="249"/>
      <c r="X232" s="249"/>
      <c r="Y232" s="249"/>
      <c r="Z232" s="249"/>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249"/>
      <c r="W233" s="249"/>
      <c r="X233" s="249"/>
      <c r="Y233" s="249"/>
      <c r="Z233" s="249"/>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249"/>
      <c r="W234" s="249"/>
      <c r="X234" s="249"/>
      <c r="Y234" s="249"/>
      <c r="Z234" s="249"/>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249"/>
      <c r="W235" s="249"/>
      <c r="X235" s="249"/>
      <c r="Y235" s="249"/>
      <c r="Z235" s="249"/>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249"/>
      <c r="W236" s="249"/>
      <c r="X236" s="249"/>
      <c r="Y236" s="249"/>
      <c r="Z236" s="249"/>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249"/>
      <c r="W237" s="249"/>
      <c r="X237" s="249"/>
      <c r="Y237" s="249"/>
      <c r="Z237" s="249"/>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249"/>
      <c r="W238" s="249"/>
      <c r="X238" s="249"/>
      <c r="Y238" s="249"/>
      <c r="Z238" s="249"/>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249"/>
      <c r="W239" s="249"/>
      <c r="X239" s="249"/>
      <c r="Y239" s="249"/>
      <c r="Z239" s="249"/>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249"/>
      <c r="W240" s="249"/>
      <c r="X240" s="249"/>
      <c r="Y240" s="249"/>
      <c r="Z240" s="249"/>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249"/>
      <c r="W241" s="249"/>
      <c r="X241" s="249"/>
      <c r="Y241" s="249"/>
      <c r="Z241" s="249"/>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249"/>
      <c r="W242" s="249"/>
      <c r="X242" s="249"/>
      <c r="Y242" s="249"/>
      <c r="Z242" s="249"/>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249"/>
      <c r="W243" s="249"/>
      <c r="X243" s="249"/>
      <c r="Y243" s="249"/>
      <c r="Z243" s="249"/>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249"/>
      <c r="W244" s="249"/>
      <c r="X244" s="249"/>
      <c r="Y244" s="249"/>
      <c r="Z244" s="249"/>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249"/>
      <c r="W245" s="249"/>
      <c r="X245" s="249"/>
      <c r="Y245" s="249"/>
      <c r="Z245" s="249"/>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249"/>
      <c r="W246" s="249"/>
      <c r="X246" s="249"/>
      <c r="Y246" s="249"/>
      <c r="Z246" s="249"/>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249"/>
      <c r="W247" s="249"/>
      <c r="X247" s="249"/>
      <c r="Y247" s="249"/>
      <c r="Z247" s="249"/>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249"/>
      <c r="W248" s="249"/>
      <c r="X248" s="249"/>
      <c r="Y248" s="249"/>
      <c r="Z248" s="249"/>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O2"/>
    <mergeCell ref="C3:E3"/>
    <mergeCell ref="F3:K3"/>
    <mergeCell ref="L3:N3"/>
    <mergeCell ref="A3:B3"/>
    <mergeCell ref="A4:B4"/>
    <mergeCell ref="C4:D4"/>
    <mergeCell ref="F4:K4"/>
    <mergeCell ref="L4:O4"/>
    <mergeCell ref="A5:B5"/>
    <mergeCell ref="C5:O5"/>
    <mergeCell ref="D19:E19"/>
    <mergeCell ref="D20:E20"/>
    <mergeCell ref="B45:D45"/>
    <mergeCell ref="B46:D46"/>
    <mergeCell ref="B47:D47"/>
    <mergeCell ref="B48:D48"/>
    <mergeCell ref="A6:B6"/>
    <mergeCell ref="C6:E6"/>
    <mergeCell ref="F6:K6"/>
    <mergeCell ref="L6:N6"/>
    <mergeCell ref="A7:B7"/>
    <mergeCell ref="C7:E7"/>
    <mergeCell ref="F7:K7"/>
  </mergeCells>
  <dataValidations>
    <dataValidation type="list" allowBlank="1" showInputMessage="1" showErrorMessage="1" prompt=" - " sqref="F46:O46">
      <formula1>"P,F"</formula1>
    </dataValidation>
    <dataValidation type="list" allowBlank="1" showInputMessage="1" showErrorMessage="1" prompt=" - " sqref="F10:O44">
      <formula1>"O"</formula1>
    </dataValidation>
    <dataValidation type="list" allowBlank="1" showInputMessage="1" showErrorMessage="1" prompt=" - " sqref="F45:O45">
      <formula1>"N,A,B"</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3.7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249"/>
      <c r="W1" s="249"/>
      <c r="X1" s="249"/>
      <c r="Y1" s="249"/>
      <c r="Z1" s="249"/>
    </row>
    <row r="2" ht="13.5" customHeight="1">
      <c r="A2" s="112" t="s">
        <v>337</v>
      </c>
      <c r="B2" s="113"/>
      <c r="C2" s="250" t="str">
        <f>Functions!E18</f>
        <v>F-08</v>
      </c>
      <c r="D2" s="251"/>
      <c r="E2" s="252"/>
      <c r="F2" s="116" t="s">
        <v>71</v>
      </c>
      <c r="G2" s="117"/>
      <c r="H2" s="117"/>
      <c r="I2" s="117"/>
      <c r="J2" s="117"/>
      <c r="K2" s="117"/>
      <c r="L2" s="118" t="str">
        <f>Functions!D18</f>
        <v>Allocation outcome and shortage reporting</v>
      </c>
      <c r="M2" s="113"/>
      <c r="N2" s="113"/>
      <c r="O2" s="119"/>
      <c r="P2" s="110"/>
      <c r="Q2" s="120"/>
      <c r="R2" s="110"/>
      <c r="S2" s="110"/>
      <c r="T2" s="110"/>
      <c r="U2" s="110"/>
      <c r="V2" s="249"/>
      <c r="W2" s="249"/>
      <c r="X2" s="249"/>
      <c r="Y2" s="249"/>
      <c r="Z2" s="249"/>
    </row>
    <row r="3" ht="13.5" customHeight="1">
      <c r="A3" s="121" t="s">
        <v>338</v>
      </c>
      <c r="B3" s="13"/>
      <c r="C3" s="253" t="s">
        <v>183</v>
      </c>
      <c r="D3" s="123"/>
      <c r="E3" s="124"/>
      <c r="F3" s="125" t="s">
        <v>339</v>
      </c>
      <c r="G3" s="12"/>
      <c r="H3" s="12"/>
      <c r="I3" s="12"/>
      <c r="J3" s="12"/>
      <c r="K3" s="13"/>
      <c r="L3" s="126"/>
      <c r="M3" s="123"/>
      <c r="N3" s="123"/>
      <c r="O3" s="127"/>
      <c r="P3" s="110"/>
      <c r="Q3" s="110"/>
      <c r="R3" s="110"/>
      <c r="S3" s="110"/>
      <c r="T3" s="110"/>
      <c r="U3" s="110"/>
      <c r="V3" s="249"/>
      <c r="W3" s="249"/>
      <c r="X3" s="249"/>
      <c r="Y3" s="249"/>
      <c r="Z3" s="249"/>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c r="V4" s="249"/>
      <c r="W4" s="249"/>
      <c r="X4" s="249"/>
      <c r="Y4" s="249"/>
      <c r="Z4" s="249"/>
    </row>
    <row r="5">
      <c r="A5" s="121" t="s">
        <v>342</v>
      </c>
      <c r="B5" s="13"/>
      <c r="C5" s="132" t="s">
        <v>144</v>
      </c>
      <c r="D5" s="12"/>
      <c r="E5" s="12"/>
      <c r="F5" s="12"/>
      <c r="G5" s="12"/>
      <c r="H5" s="12"/>
      <c r="I5" s="12"/>
      <c r="J5" s="12"/>
      <c r="K5" s="12"/>
      <c r="L5" s="12"/>
      <c r="M5" s="12"/>
      <c r="N5" s="12"/>
      <c r="O5" s="131"/>
      <c r="P5" s="110"/>
      <c r="Q5" s="110"/>
      <c r="R5" s="110"/>
      <c r="S5" s="110"/>
      <c r="T5" s="110"/>
      <c r="U5" s="110"/>
      <c r="V5" s="249"/>
      <c r="W5" s="249"/>
      <c r="X5" s="249"/>
      <c r="Y5" s="249"/>
      <c r="Z5" s="249"/>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c r="V6" s="249"/>
      <c r="W6" s="249"/>
      <c r="X6" s="249"/>
      <c r="Y6" s="249"/>
      <c r="Z6" s="249"/>
    </row>
    <row r="7" ht="13.5" customHeight="1">
      <c r="A7" s="137">
        <f>COUNTIF(F42:O42,"P")</f>
        <v>0</v>
      </c>
      <c r="B7" s="138"/>
      <c r="C7" s="139">
        <f>COUNTIF(F42:O42,"F")</f>
        <v>0</v>
      </c>
      <c r="D7" s="140"/>
      <c r="E7" s="138"/>
      <c r="F7" s="139">
        <f>SUM(O7,-A7,-C7)</f>
        <v>4</v>
      </c>
      <c r="G7" s="140"/>
      <c r="H7" s="140"/>
      <c r="I7" s="140"/>
      <c r="J7" s="140"/>
      <c r="K7" s="138"/>
      <c r="L7" s="141">
        <f>COUNTIF(F41:O41,"N")</f>
        <v>2</v>
      </c>
      <c r="M7" s="141">
        <f>COUNTIF(F41:O41,"A")</f>
        <v>2</v>
      </c>
      <c r="N7" s="141">
        <f>COUNTIF(F41:O41,"B")</f>
        <v>0</v>
      </c>
      <c r="O7" s="142">
        <f>COUNTA(F9:O9)</f>
        <v>4</v>
      </c>
      <c r="P7" s="242"/>
      <c r="Q7" s="110"/>
      <c r="R7" s="110"/>
      <c r="S7" s="110"/>
      <c r="T7" s="110"/>
      <c r="U7" s="110"/>
      <c r="V7" s="249"/>
      <c r="W7" s="249"/>
      <c r="X7" s="249"/>
      <c r="Y7" s="249"/>
      <c r="Z7" s="249"/>
    </row>
    <row r="8" ht="12.0" customHeight="1">
      <c r="A8" s="110"/>
      <c r="B8" s="143"/>
      <c r="C8" s="110"/>
      <c r="D8" s="111"/>
      <c r="E8" s="110"/>
      <c r="F8" s="110"/>
      <c r="G8" s="110"/>
      <c r="H8" s="110"/>
      <c r="I8" s="110"/>
      <c r="J8" s="110"/>
      <c r="K8" s="110"/>
      <c r="L8" s="110"/>
      <c r="M8" s="110"/>
      <c r="N8" s="110"/>
      <c r="O8" s="110"/>
      <c r="P8" s="110"/>
      <c r="Q8" s="110"/>
      <c r="R8" s="110"/>
      <c r="S8" s="110"/>
      <c r="T8" s="110"/>
      <c r="U8" s="110"/>
      <c r="V8" s="249"/>
      <c r="W8" s="249"/>
      <c r="X8" s="249"/>
      <c r="Y8" s="249"/>
      <c r="Z8" s="249"/>
    </row>
    <row r="9" ht="45.0" customHeight="1">
      <c r="A9" s="243"/>
      <c r="B9" s="244"/>
      <c r="C9" s="245"/>
      <c r="D9" s="246"/>
      <c r="E9" s="245"/>
      <c r="F9" s="247" t="s">
        <v>344</v>
      </c>
      <c r="G9" s="247" t="s">
        <v>345</v>
      </c>
      <c r="H9" s="247" t="s">
        <v>346</v>
      </c>
      <c r="I9" s="247" t="s">
        <v>347</v>
      </c>
      <c r="J9" s="247"/>
      <c r="K9" s="247"/>
      <c r="L9" s="247"/>
      <c r="M9" s="247"/>
      <c r="N9" s="247"/>
      <c r="O9" s="247"/>
      <c r="P9" s="150"/>
      <c r="Q9" s="120"/>
      <c r="R9" s="110"/>
      <c r="S9" s="110"/>
      <c r="T9" s="110"/>
      <c r="U9" s="110"/>
      <c r="V9" s="249"/>
      <c r="W9" s="249"/>
      <c r="X9" s="249"/>
      <c r="Y9" s="249"/>
      <c r="Z9" s="249"/>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c r="V10" s="249"/>
      <c r="W10" s="249"/>
      <c r="X10" s="249"/>
      <c r="Y10" s="249"/>
      <c r="Z10" s="249"/>
    </row>
    <row r="11" ht="13.5" customHeight="1">
      <c r="A11" s="162"/>
      <c r="B11" s="163"/>
      <c r="C11" s="171"/>
      <c r="D11" s="174" t="s">
        <v>430</v>
      </c>
      <c r="E11" s="155"/>
      <c r="F11" s="165" t="s">
        <v>353</v>
      </c>
      <c r="G11" s="165"/>
      <c r="H11" s="165"/>
      <c r="I11" s="165"/>
      <c r="J11" s="165"/>
      <c r="K11" s="165"/>
      <c r="L11" s="165"/>
      <c r="M11" s="165"/>
      <c r="N11" s="165"/>
      <c r="O11" s="165"/>
      <c r="P11" s="110"/>
      <c r="Q11" s="120"/>
      <c r="R11" s="110"/>
      <c r="S11" s="110"/>
      <c r="T11" s="110"/>
      <c r="U11" s="110"/>
      <c r="V11" s="249"/>
      <c r="W11" s="249"/>
      <c r="X11" s="249"/>
      <c r="Y11" s="249"/>
      <c r="Z11" s="249"/>
    </row>
    <row r="12" ht="13.5" customHeight="1">
      <c r="A12" s="162"/>
      <c r="B12" s="163"/>
      <c r="C12" s="171"/>
      <c r="D12" s="174" t="s">
        <v>432</v>
      </c>
      <c r="E12" s="155"/>
      <c r="F12" s="165"/>
      <c r="G12" s="165" t="s">
        <v>353</v>
      </c>
      <c r="H12" s="165"/>
      <c r="I12" s="165"/>
      <c r="J12" s="165"/>
      <c r="K12" s="165"/>
      <c r="L12" s="165"/>
      <c r="M12" s="165"/>
      <c r="N12" s="165"/>
      <c r="O12" s="165"/>
      <c r="P12" s="110"/>
      <c r="Q12" s="110"/>
      <c r="R12" s="110"/>
      <c r="S12" s="110"/>
      <c r="T12" s="110"/>
      <c r="U12" s="110"/>
      <c r="V12" s="249"/>
      <c r="W12" s="249"/>
      <c r="X12" s="249"/>
      <c r="Y12" s="249"/>
      <c r="Z12" s="249"/>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c r="V13" s="249"/>
      <c r="W13" s="249"/>
      <c r="X13" s="249"/>
      <c r="Y13" s="249"/>
      <c r="Z13" s="249"/>
    </row>
    <row r="14" ht="13.5" customHeight="1">
      <c r="A14" s="162"/>
      <c r="B14" s="163"/>
      <c r="C14" s="171"/>
      <c r="D14" s="174" t="s">
        <v>434</v>
      </c>
      <c r="E14" s="173"/>
      <c r="F14" s="165"/>
      <c r="G14" s="165"/>
      <c r="H14" s="165" t="s">
        <v>353</v>
      </c>
      <c r="I14" s="165"/>
      <c r="J14" s="165"/>
      <c r="K14" s="165"/>
      <c r="L14" s="165"/>
      <c r="M14" s="165"/>
      <c r="N14" s="165"/>
      <c r="O14" s="165"/>
      <c r="P14" s="110"/>
      <c r="Q14" s="110"/>
      <c r="R14" s="110"/>
      <c r="S14" s="110"/>
      <c r="T14" s="110"/>
      <c r="U14" s="110"/>
      <c r="V14" s="249"/>
      <c r="W14" s="249"/>
      <c r="X14" s="249"/>
      <c r="Y14" s="249"/>
      <c r="Z14" s="249"/>
    </row>
    <row r="15" ht="13.5" customHeight="1">
      <c r="A15" s="162"/>
      <c r="B15" s="163"/>
      <c r="C15" s="171"/>
      <c r="D15" s="174" t="s">
        <v>435</v>
      </c>
      <c r="E15" s="173"/>
      <c r="F15" s="165"/>
      <c r="G15" s="165"/>
      <c r="H15" s="165"/>
      <c r="I15" s="165" t="s">
        <v>353</v>
      </c>
      <c r="J15" s="165"/>
      <c r="K15" s="165"/>
      <c r="L15" s="165"/>
      <c r="M15" s="165"/>
      <c r="N15" s="165"/>
      <c r="O15" s="165"/>
      <c r="P15" s="110"/>
      <c r="Q15" s="110"/>
      <c r="R15" s="110"/>
      <c r="S15" s="110"/>
      <c r="T15" s="110"/>
      <c r="U15" s="110"/>
      <c r="V15" s="249"/>
      <c r="W15" s="249"/>
      <c r="X15" s="249"/>
      <c r="Y15" s="249"/>
      <c r="Z15" s="249"/>
    </row>
    <row r="16" ht="13.5" customHeight="1">
      <c r="A16" s="162"/>
      <c r="B16" s="163"/>
      <c r="C16" s="171"/>
      <c r="D16" s="174"/>
      <c r="E16" s="173"/>
      <c r="F16" s="165"/>
      <c r="G16" s="165"/>
      <c r="H16" s="165"/>
      <c r="I16" s="165"/>
      <c r="J16" s="165"/>
      <c r="K16" s="165"/>
      <c r="L16" s="165"/>
      <c r="M16" s="165"/>
      <c r="N16" s="165"/>
      <c r="O16" s="165"/>
      <c r="P16" s="110"/>
      <c r="Q16" s="110"/>
      <c r="R16" s="110"/>
      <c r="S16" s="110"/>
      <c r="T16" s="110"/>
      <c r="U16" s="110"/>
      <c r="V16" s="249"/>
      <c r="W16" s="249"/>
      <c r="X16" s="249"/>
      <c r="Y16" s="249"/>
      <c r="Z16" s="249"/>
    </row>
    <row r="17" ht="13.5" customHeight="1">
      <c r="A17" s="162"/>
      <c r="B17" s="163"/>
      <c r="C17" s="171"/>
      <c r="D17" s="174"/>
      <c r="E17" s="173"/>
      <c r="F17" s="165"/>
      <c r="G17" s="165"/>
      <c r="H17" s="165"/>
      <c r="I17" s="165"/>
      <c r="J17" s="165"/>
      <c r="K17" s="165"/>
      <c r="L17" s="165"/>
      <c r="M17" s="165"/>
      <c r="N17" s="165"/>
      <c r="O17" s="165"/>
      <c r="P17" s="175"/>
      <c r="Q17" s="110"/>
      <c r="R17" s="110"/>
      <c r="S17" s="110"/>
      <c r="T17" s="110"/>
      <c r="U17" s="110"/>
      <c r="V17" s="249"/>
      <c r="W17" s="249"/>
      <c r="X17" s="249"/>
      <c r="Y17" s="249"/>
      <c r="Z17" s="249"/>
    </row>
    <row r="18" ht="13.5" customHeight="1">
      <c r="A18" s="162"/>
      <c r="B18" s="163"/>
      <c r="C18" s="171"/>
      <c r="D18" s="174"/>
      <c r="E18" s="173"/>
      <c r="F18" s="165"/>
      <c r="G18" s="165"/>
      <c r="H18" s="165"/>
      <c r="I18" s="165"/>
      <c r="J18" s="165"/>
      <c r="K18" s="165"/>
      <c r="L18" s="165"/>
      <c r="M18" s="165"/>
      <c r="N18" s="165"/>
      <c r="O18" s="165"/>
      <c r="P18" s="175"/>
      <c r="Q18" s="110"/>
      <c r="R18" s="110"/>
      <c r="S18" s="110"/>
      <c r="T18" s="110"/>
      <c r="U18" s="110"/>
      <c r="V18" s="249"/>
      <c r="W18" s="249"/>
      <c r="X18" s="249"/>
      <c r="Y18" s="249"/>
      <c r="Z18" s="249"/>
    </row>
    <row r="19" ht="13.5" customHeight="1">
      <c r="A19" s="162"/>
      <c r="B19" s="163"/>
      <c r="C19" s="171"/>
      <c r="D19" s="111"/>
      <c r="F19" s="165"/>
      <c r="G19" s="165"/>
      <c r="H19" s="165"/>
      <c r="I19" s="165"/>
      <c r="J19" s="165"/>
      <c r="K19" s="165"/>
      <c r="L19" s="165"/>
      <c r="M19" s="165"/>
      <c r="N19" s="165"/>
      <c r="O19" s="165"/>
      <c r="P19" s="175"/>
      <c r="Q19" s="110"/>
      <c r="R19" s="110"/>
      <c r="S19" s="110"/>
      <c r="T19" s="110"/>
      <c r="U19" s="110"/>
      <c r="V19" s="249"/>
      <c r="W19" s="249"/>
      <c r="X19" s="249"/>
      <c r="Y19" s="249"/>
      <c r="Z19" s="249"/>
    </row>
    <row r="20" ht="13.5" customHeight="1">
      <c r="A20" s="157"/>
      <c r="B20" s="158"/>
      <c r="C20" s="226"/>
      <c r="D20" s="172"/>
      <c r="E20" s="227"/>
      <c r="F20" s="156"/>
      <c r="G20" s="156"/>
      <c r="H20" s="156"/>
      <c r="I20" s="156"/>
      <c r="J20" s="156"/>
      <c r="K20" s="156"/>
      <c r="L20" s="156"/>
      <c r="M20" s="156"/>
      <c r="N20" s="156"/>
      <c r="O20" s="156"/>
      <c r="P20" s="110"/>
      <c r="Q20" s="110"/>
      <c r="R20" s="110"/>
      <c r="S20" s="110"/>
      <c r="T20" s="110"/>
      <c r="U20" s="110"/>
      <c r="V20" s="249"/>
      <c r="W20" s="249"/>
      <c r="X20" s="249"/>
      <c r="Y20" s="249"/>
      <c r="Z20" s="249"/>
    </row>
    <row r="21" ht="13.5" customHeight="1">
      <c r="A21" s="157"/>
      <c r="B21" s="158"/>
      <c r="C21" s="226"/>
      <c r="D21" s="172"/>
      <c r="E21" s="227"/>
      <c r="F21" s="156"/>
      <c r="G21" s="156"/>
      <c r="H21" s="156"/>
      <c r="I21" s="156"/>
      <c r="J21" s="156"/>
      <c r="K21" s="156"/>
      <c r="L21" s="156"/>
      <c r="M21" s="156"/>
      <c r="N21" s="156"/>
      <c r="O21" s="156"/>
      <c r="P21" s="110"/>
      <c r="Q21" s="110"/>
      <c r="R21" s="110"/>
      <c r="S21" s="110"/>
      <c r="T21" s="110"/>
      <c r="U21" s="110"/>
      <c r="V21" s="249"/>
      <c r="W21" s="249"/>
      <c r="X21" s="249"/>
      <c r="Y21" s="249"/>
      <c r="Z21" s="249"/>
    </row>
    <row r="22" ht="13.5" customHeight="1">
      <c r="A22" s="157"/>
      <c r="B22" s="158"/>
      <c r="C22" s="226"/>
      <c r="D22" s="172"/>
      <c r="E22" s="227"/>
      <c r="F22" s="156"/>
      <c r="G22" s="156"/>
      <c r="H22" s="156"/>
      <c r="I22" s="156"/>
      <c r="J22" s="156"/>
      <c r="K22" s="156"/>
      <c r="L22" s="156"/>
      <c r="M22" s="156"/>
      <c r="N22" s="156"/>
      <c r="O22" s="156"/>
      <c r="P22" s="110"/>
      <c r="Q22" s="110"/>
      <c r="R22" s="110"/>
      <c r="S22" s="110"/>
      <c r="T22" s="110"/>
      <c r="U22" s="110"/>
      <c r="V22" s="249"/>
      <c r="W22" s="249"/>
      <c r="X22" s="249"/>
      <c r="Y22" s="249"/>
      <c r="Z22" s="249"/>
    </row>
    <row r="23" ht="13.5" customHeight="1">
      <c r="A23" s="157"/>
      <c r="B23" s="158"/>
      <c r="C23" s="226"/>
      <c r="D23" s="172"/>
      <c r="E23" s="227"/>
      <c r="F23" s="156"/>
      <c r="G23" s="156"/>
      <c r="H23" s="156"/>
      <c r="I23" s="156"/>
      <c r="J23" s="156"/>
      <c r="K23" s="156"/>
      <c r="L23" s="156"/>
      <c r="M23" s="156"/>
      <c r="N23" s="156"/>
      <c r="O23" s="156"/>
      <c r="P23" s="110"/>
      <c r="Q23" s="110"/>
      <c r="R23" s="110"/>
      <c r="S23" s="110"/>
      <c r="T23" s="110"/>
      <c r="U23" s="110"/>
      <c r="V23" s="249"/>
      <c r="W23" s="249"/>
      <c r="X23" s="249"/>
      <c r="Y23" s="249"/>
      <c r="Z23" s="249"/>
    </row>
    <row r="24" ht="13.5" customHeight="1">
      <c r="A24" s="157"/>
      <c r="B24" s="158"/>
      <c r="C24" s="226"/>
      <c r="D24" s="172"/>
      <c r="E24" s="227"/>
      <c r="F24" s="156"/>
      <c r="G24" s="156"/>
      <c r="H24" s="156"/>
      <c r="I24" s="156"/>
      <c r="J24" s="156"/>
      <c r="K24" s="156"/>
      <c r="L24" s="156"/>
      <c r="M24" s="156"/>
      <c r="N24" s="156"/>
      <c r="O24" s="156"/>
      <c r="P24" s="110"/>
      <c r="Q24" s="110"/>
      <c r="R24" s="110"/>
      <c r="S24" s="110"/>
      <c r="T24" s="110"/>
      <c r="U24" s="110"/>
      <c r="V24" s="249"/>
      <c r="W24" s="249"/>
      <c r="X24" s="249"/>
      <c r="Y24" s="249"/>
      <c r="Z24" s="249"/>
    </row>
    <row r="25" ht="13.5" customHeight="1">
      <c r="A25" s="157"/>
      <c r="B25" s="158"/>
      <c r="C25" s="226"/>
      <c r="D25" s="172"/>
      <c r="E25" s="227"/>
      <c r="F25" s="156"/>
      <c r="G25" s="156"/>
      <c r="H25" s="156"/>
      <c r="I25" s="156"/>
      <c r="J25" s="156"/>
      <c r="K25" s="156"/>
      <c r="L25" s="156"/>
      <c r="M25" s="156"/>
      <c r="N25" s="156"/>
      <c r="O25" s="156"/>
      <c r="P25" s="110"/>
      <c r="Q25" s="110"/>
      <c r="R25" s="110"/>
      <c r="S25" s="110"/>
      <c r="T25" s="110"/>
      <c r="U25" s="110"/>
      <c r="V25" s="249"/>
      <c r="W25" s="249"/>
      <c r="X25" s="249"/>
      <c r="Y25" s="249"/>
      <c r="Z25" s="249"/>
    </row>
    <row r="26" ht="13.5" customHeight="1">
      <c r="A26" s="176" t="s">
        <v>359</v>
      </c>
      <c r="B26" s="177" t="s">
        <v>360</v>
      </c>
      <c r="C26" s="178"/>
      <c r="D26" s="179"/>
      <c r="E26" s="180"/>
      <c r="F26" s="156"/>
      <c r="G26" s="156"/>
      <c r="H26" s="156"/>
      <c r="I26" s="156"/>
      <c r="J26" s="156"/>
      <c r="K26" s="156"/>
      <c r="L26" s="156"/>
      <c r="M26" s="156"/>
      <c r="N26" s="156"/>
      <c r="O26" s="156"/>
      <c r="P26" s="110"/>
      <c r="Q26" s="110"/>
      <c r="R26" s="110"/>
      <c r="S26" s="110"/>
      <c r="T26" s="110"/>
      <c r="U26" s="110"/>
      <c r="V26" s="249"/>
      <c r="W26" s="249"/>
      <c r="X26" s="249"/>
      <c r="Y26" s="249"/>
      <c r="Z26" s="249"/>
    </row>
    <row r="27" ht="13.5" customHeight="1">
      <c r="A27" s="181"/>
      <c r="B27" s="254"/>
      <c r="C27" s="183"/>
      <c r="D27" s="184" t="s">
        <v>437</v>
      </c>
      <c r="E27" s="185"/>
      <c r="F27" s="165" t="s">
        <v>353</v>
      </c>
      <c r="G27" s="165"/>
      <c r="H27" s="165"/>
      <c r="I27" s="165"/>
      <c r="J27" s="165"/>
      <c r="K27" s="165"/>
      <c r="L27" s="165"/>
      <c r="M27" s="165"/>
      <c r="N27" s="165"/>
      <c r="O27" s="165"/>
      <c r="P27" s="110"/>
      <c r="Q27" s="110"/>
      <c r="R27" s="110"/>
      <c r="S27" s="110"/>
      <c r="T27" s="110"/>
      <c r="U27" s="110"/>
      <c r="V27" s="249"/>
      <c r="W27" s="249"/>
      <c r="X27" s="249"/>
      <c r="Y27" s="249"/>
      <c r="Z27" s="249"/>
    </row>
    <row r="28" ht="13.5" customHeight="1">
      <c r="A28" s="181"/>
      <c r="B28" s="255"/>
      <c r="C28" s="183"/>
      <c r="D28" s="184"/>
      <c r="E28" s="185"/>
      <c r="F28" s="165"/>
      <c r="G28" s="165"/>
      <c r="H28" s="165"/>
      <c r="I28" s="165"/>
      <c r="J28" s="165"/>
      <c r="K28" s="165"/>
      <c r="L28" s="165"/>
      <c r="M28" s="165"/>
      <c r="N28" s="165"/>
      <c r="O28" s="165"/>
      <c r="P28" s="110"/>
      <c r="Q28" s="110"/>
      <c r="R28" s="110"/>
      <c r="S28" s="110"/>
      <c r="T28" s="110"/>
      <c r="U28" s="110"/>
      <c r="V28" s="249"/>
      <c r="W28" s="249"/>
      <c r="X28" s="249"/>
      <c r="Y28" s="249"/>
      <c r="Z28" s="249"/>
    </row>
    <row r="29" ht="13.5" customHeight="1">
      <c r="A29" s="181"/>
      <c r="B29" s="254"/>
      <c r="C29" s="183"/>
      <c r="D29" s="184" t="s">
        <v>438</v>
      </c>
      <c r="E29" s="185"/>
      <c r="F29" s="165"/>
      <c r="G29" s="165" t="s">
        <v>353</v>
      </c>
      <c r="H29" s="165"/>
      <c r="I29" s="165"/>
      <c r="J29" s="165"/>
      <c r="K29" s="165"/>
      <c r="L29" s="165"/>
      <c r="M29" s="165"/>
      <c r="N29" s="165"/>
      <c r="O29" s="165"/>
      <c r="P29" s="110"/>
      <c r="Q29" s="110"/>
      <c r="R29" s="110"/>
      <c r="S29" s="110"/>
      <c r="T29" s="110"/>
      <c r="U29" s="110"/>
      <c r="V29" s="249"/>
      <c r="W29" s="249"/>
      <c r="X29" s="249"/>
      <c r="Y29" s="249"/>
      <c r="Z29" s="249"/>
    </row>
    <row r="30" ht="13.5" customHeight="1">
      <c r="A30" s="181"/>
      <c r="B30" s="254"/>
      <c r="C30" s="183"/>
      <c r="D30" s="184" t="s">
        <v>439</v>
      </c>
      <c r="E30" s="185"/>
      <c r="F30" s="165"/>
      <c r="G30" s="165"/>
      <c r="H30" s="165" t="s">
        <v>353</v>
      </c>
      <c r="I30" s="165"/>
      <c r="J30" s="165"/>
      <c r="K30" s="165"/>
      <c r="L30" s="165"/>
      <c r="M30" s="165"/>
      <c r="N30" s="165"/>
      <c r="O30" s="165"/>
      <c r="P30" s="110"/>
      <c r="Q30" s="110"/>
      <c r="R30" s="110"/>
      <c r="S30" s="110"/>
      <c r="T30" s="110"/>
      <c r="U30" s="110"/>
      <c r="V30" s="249"/>
      <c r="W30" s="249"/>
      <c r="X30" s="249"/>
      <c r="Y30" s="249"/>
      <c r="Z30" s="249"/>
    </row>
    <row r="31" ht="13.5" customHeight="1">
      <c r="A31" s="181"/>
      <c r="B31" s="255"/>
      <c r="C31" s="183"/>
      <c r="D31" s="184"/>
      <c r="E31" s="185"/>
      <c r="F31" s="165"/>
      <c r="G31" s="165"/>
      <c r="H31" s="165"/>
      <c r="I31" s="165"/>
      <c r="J31" s="165"/>
      <c r="K31" s="165"/>
      <c r="L31" s="165"/>
      <c r="M31" s="165"/>
      <c r="N31" s="165"/>
      <c r="O31" s="165"/>
      <c r="P31" s="110"/>
      <c r="Q31" s="110"/>
      <c r="R31" s="110"/>
      <c r="S31" s="110"/>
      <c r="T31" s="110"/>
      <c r="U31" s="110"/>
      <c r="V31" s="249"/>
      <c r="W31" s="249"/>
      <c r="X31" s="249"/>
      <c r="Y31" s="249"/>
      <c r="Z31" s="249"/>
    </row>
    <row r="32" ht="13.5" customHeight="1">
      <c r="A32" s="181"/>
      <c r="B32" s="254"/>
      <c r="C32" s="183"/>
      <c r="D32" s="184" t="s">
        <v>440</v>
      </c>
      <c r="E32" s="185"/>
      <c r="F32" s="165"/>
      <c r="G32" s="165"/>
      <c r="H32" s="165"/>
      <c r="I32" s="165" t="s">
        <v>353</v>
      </c>
      <c r="J32" s="165"/>
      <c r="K32" s="165"/>
      <c r="L32" s="165"/>
      <c r="M32" s="165"/>
      <c r="N32" s="165"/>
      <c r="O32" s="165"/>
      <c r="P32" s="110"/>
      <c r="Q32" s="110"/>
      <c r="R32" s="110"/>
      <c r="S32" s="110"/>
      <c r="T32" s="110"/>
      <c r="U32" s="110"/>
      <c r="V32" s="249"/>
      <c r="W32" s="249"/>
      <c r="X32" s="249"/>
      <c r="Y32" s="249"/>
      <c r="Z32" s="249"/>
    </row>
    <row r="33" ht="13.5" customHeight="1">
      <c r="A33" s="181"/>
      <c r="B33" s="182"/>
      <c r="C33" s="183"/>
      <c r="D33" s="184"/>
      <c r="E33" s="188"/>
      <c r="F33" s="165"/>
      <c r="G33" s="165"/>
      <c r="H33" s="165"/>
      <c r="I33" s="165"/>
      <c r="J33" s="165"/>
      <c r="K33" s="165"/>
      <c r="L33" s="165"/>
      <c r="M33" s="165"/>
      <c r="N33" s="165"/>
      <c r="O33" s="165"/>
      <c r="P33" s="110"/>
      <c r="Q33" s="110"/>
      <c r="R33" s="110"/>
      <c r="S33" s="110"/>
      <c r="T33" s="110"/>
      <c r="U33" s="110"/>
      <c r="V33" s="249"/>
      <c r="W33" s="249"/>
      <c r="X33" s="249"/>
      <c r="Y33" s="249"/>
      <c r="Z33" s="249"/>
    </row>
    <row r="34" ht="13.5" customHeight="1">
      <c r="A34" s="181"/>
      <c r="B34" s="182"/>
      <c r="C34" s="183"/>
      <c r="D34" s="184"/>
      <c r="E34" s="188"/>
      <c r="F34" s="165"/>
      <c r="G34" s="165"/>
      <c r="H34" s="165"/>
      <c r="I34" s="165"/>
      <c r="J34" s="165"/>
      <c r="K34" s="165"/>
      <c r="L34" s="165"/>
      <c r="M34" s="165"/>
      <c r="N34" s="165"/>
      <c r="O34" s="165"/>
      <c r="P34" s="110"/>
      <c r="Q34" s="110"/>
      <c r="R34" s="110"/>
      <c r="S34" s="110"/>
      <c r="T34" s="110"/>
      <c r="U34" s="110"/>
      <c r="V34" s="249"/>
      <c r="W34" s="249"/>
      <c r="X34" s="249"/>
      <c r="Y34" s="249"/>
      <c r="Z34" s="249"/>
    </row>
    <row r="35" ht="13.5" customHeight="1">
      <c r="A35" s="181"/>
      <c r="B35" s="182"/>
      <c r="C35" s="183"/>
      <c r="D35" s="184"/>
      <c r="E35" s="188"/>
      <c r="F35" s="165"/>
      <c r="G35" s="165"/>
      <c r="H35" s="165"/>
      <c r="I35" s="165"/>
      <c r="J35" s="165"/>
      <c r="K35" s="165"/>
      <c r="L35" s="165"/>
      <c r="M35" s="165"/>
      <c r="N35" s="165"/>
      <c r="O35" s="165"/>
      <c r="P35" s="110"/>
      <c r="Q35" s="110"/>
      <c r="R35" s="110"/>
      <c r="S35" s="110"/>
      <c r="T35" s="110"/>
      <c r="U35" s="110"/>
      <c r="V35" s="249"/>
      <c r="W35" s="249"/>
      <c r="X35" s="249"/>
      <c r="Y35" s="249"/>
      <c r="Z35" s="249"/>
    </row>
    <row r="36" ht="13.5" customHeight="1">
      <c r="A36" s="181"/>
      <c r="B36" s="182"/>
      <c r="C36" s="183"/>
      <c r="D36" s="184"/>
      <c r="E36" s="188"/>
      <c r="F36" s="165"/>
      <c r="G36" s="165"/>
      <c r="H36" s="165"/>
      <c r="I36" s="165"/>
      <c r="J36" s="165"/>
      <c r="K36" s="165"/>
      <c r="L36" s="165"/>
      <c r="M36" s="165"/>
      <c r="N36" s="165"/>
      <c r="O36" s="165"/>
      <c r="P36" s="110"/>
      <c r="Q36" s="110"/>
      <c r="R36" s="110"/>
      <c r="S36" s="110"/>
      <c r="T36" s="110"/>
      <c r="U36" s="110"/>
      <c r="V36" s="249"/>
      <c r="W36" s="249"/>
      <c r="X36" s="249"/>
      <c r="Y36" s="249"/>
      <c r="Z36" s="249"/>
    </row>
    <row r="37" ht="13.5" customHeight="1">
      <c r="A37" s="262"/>
      <c r="B37" s="182"/>
      <c r="C37" s="183"/>
      <c r="D37" s="184"/>
      <c r="E37" s="188"/>
      <c r="F37" s="165"/>
      <c r="G37" s="165"/>
      <c r="H37" s="165"/>
      <c r="I37" s="165"/>
      <c r="J37" s="165"/>
      <c r="K37" s="165"/>
      <c r="L37" s="165"/>
      <c r="M37" s="165"/>
      <c r="N37" s="165"/>
      <c r="O37" s="165"/>
      <c r="P37" s="110"/>
      <c r="Q37" s="110"/>
      <c r="R37" s="110"/>
      <c r="S37" s="110"/>
      <c r="T37" s="110"/>
      <c r="U37" s="110"/>
      <c r="V37" s="249"/>
      <c r="W37" s="249"/>
      <c r="X37" s="249"/>
      <c r="Y37" s="249"/>
      <c r="Z37" s="249"/>
    </row>
    <row r="38" ht="13.5" customHeight="1">
      <c r="A38" s="264"/>
      <c r="B38" s="237"/>
      <c r="C38" s="238"/>
      <c r="D38" s="239"/>
      <c r="E38" s="265"/>
      <c r="F38" s="156"/>
      <c r="G38" s="156"/>
      <c r="H38" s="156"/>
      <c r="I38" s="156"/>
      <c r="J38" s="156"/>
      <c r="K38" s="156"/>
      <c r="L38" s="156"/>
      <c r="M38" s="156"/>
      <c r="N38" s="156"/>
      <c r="O38" s="156"/>
      <c r="P38" s="110"/>
      <c r="Q38" s="110"/>
      <c r="R38" s="110"/>
      <c r="S38" s="110"/>
      <c r="T38" s="110"/>
      <c r="U38" s="110"/>
      <c r="V38" s="249"/>
      <c r="W38" s="249"/>
      <c r="X38" s="249"/>
      <c r="Y38" s="249"/>
      <c r="Z38" s="249"/>
    </row>
    <row r="39" ht="13.5" customHeight="1">
      <c r="A39" s="264"/>
      <c r="B39" s="237"/>
      <c r="C39" s="238"/>
      <c r="D39" s="239"/>
      <c r="E39" s="265"/>
      <c r="F39" s="156"/>
      <c r="G39" s="156"/>
      <c r="H39" s="156"/>
      <c r="I39" s="156"/>
      <c r="J39" s="156"/>
      <c r="K39" s="156"/>
      <c r="L39" s="156"/>
      <c r="M39" s="156"/>
      <c r="N39" s="156"/>
      <c r="O39" s="156"/>
      <c r="P39" s="110"/>
      <c r="Q39" s="110"/>
      <c r="R39" s="110"/>
      <c r="S39" s="110"/>
      <c r="T39" s="110"/>
      <c r="U39" s="110"/>
      <c r="V39" s="249"/>
      <c r="W39" s="249"/>
      <c r="X39" s="249"/>
      <c r="Y39" s="249"/>
      <c r="Z39" s="249"/>
    </row>
    <row r="40" ht="13.5" customHeight="1">
      <c r="A40" s="264"/>
      <c r="B40" s="237"/>
      <c r="C40" s="238"/>
      <c r="D40" s="239"/>
      <c r="E40" s="265"/>
      <c r="F40" s="156"/>
      <c r="G40" s="156"/>
      <c r="H40" s="156"/>
      <c r="I40" s="156"/>
      <c r="J40" s="156"/>
      <c r="K40" s="156"/>
      <c r="L40" s="156"/>
      <c r="M40" s="156"/>
      <c r="N40" s="156"/>
      <c r="O40" s="156"/>
      <c r="P40" s="110"/>
      <c r="Q40" s="110"/>
      <c r="R40" s="110"/>
      <c r="S40" s="110"/>
      <c r="T40" s="110"/>
      <c r="U40" s="110"/>
      <c r="V40" s="249"/>
      <c r="W40" s="249"/>
      <c r="X40" s="249"/>
      <c r="Y40" s="249"/>
      <c r="Z40" s="249"/>
    </row>
    <row r="41" ht="13.5" customHeight="1">
      <c r="A41" s="228" t="s">
        <v>367</v>
      </c>
      <c r="B41" s="240" t="s">
        <v>368</v>
      </c>
      <c r="C41" s="225"/>
      <c r="D41" s="241"/>
      <c r="E41" s="200"/>
      <c r="F41" s="201" t="s">
        <v>220</v>
      </c>
      <c r="G41" s="201" t="s">
        <v>220</v>
      </c>
      <c r="H41" s="201" t="s">
        <v>38</v>
      </c>
      <c r="I41" s="201" t="s">
        <v>38</v>
      </c>
      <c r="J41" s="201"/>
      <c r="K41" s="201"/>
      <c r="L41" s="201"/>
      <c r="M41" s="201"/>
      <c r="N41" s="201"/>
      <c r="O41" s="201"/>
      <c r="P41" s="110"/>
      <c r="Q41" s="110"/>
      <c r="R41" s="110"/>
      <c r="S41" s="110"/>
      <c r="T41" s="110"/>
      <c r="U41" s="110"/>
      <c r="V41" s="249"/>
      <c r="W41" s="249"/>
      <c r="X41" s="249"/>
      <c r="Y41" s="249"/>
      <c r="Z41" s="249"/>
    </row>
    <row r="42" ht="13.5" customHeight="1">
      <c r="A42" s="260"/>
      <c r="B42" s="204" t="s">
        <v>369</v>
      </c>
      <c r="C42" s="12"/>
      <c r="D42" s="13"/>
      <c r="E42" s="205"/>
      <c r="F42" s="206"/>
      <c r="G42" s="206"/>
      <c r="H42" s="206"/>
      <c r="I42" s="206"/>
      <c r="J42" s="206"/>
      <c r="K42" s="206"/>
      <c r="L42" s="206"/>
      <c r="M42" s="206"/>
      <c r="N42" s="206"/>
      <c r="O42" s="206"/>
      <c r="P42" s="110"/>
      <c r="Q42" s="110"/>
      <c r="R42" s="110"/>
      <c r="S42" s="110"/>
      <c r="T42" s="110"/>
      <c r="U42" s="110"/>
      <c r="V42" s="249"/>
      <c r="W42" s="249"/>
      <c r="X42" s="249"/>
      <c r="Y42" s="249"/>
      <c r="Z42" s="249"/>
    </row>
    <row r="43" ht="13.5" customHeight="1">
      <c r="A43" s="260"/>
      <c r="B43" s="208" t="s">
        <v>371</v>
      </c>
      <c r="C43" s="12"/>
      <c r="D43" s="13"/>
      <c r="E43" s="209"/>
      <c r="F43" s="210"/>
      <c r="G43" s="210"/>
      <c r="H43" s="210"/>
      <c r="I43" s="210"/>
      <c r="J43" s="210"/>
      <c r="K43" s="210"/>
      <c r="L43" s="210"/>
      <c r="M43" s="210"/>
      <c r="N43" s="210"/>
      <c r="O43" s="210"/>
      <c r="P43" s="110"/>
      <c r="Q43" s="110"/>
      <c r="R43" s="110"/>
      <c r="S43" s="110"/>
      <c r="T43" s="110"/>
      <c r="U43" s="110"/>
      <c r="V43" s="249"/>
      <c r="W43" s="249"/>
      <c r="X43" s="249"/>
      <c r="Y43" s="249"/>
      <c r="Z43" s="249"/>
    </row>
    <row r="44" ht="12.0" customHeight="1">
      <c r="A44" s="261"/>
      <c r="B44" s="215" t="s">
        <v>372</v>
      </c>
      <c r="C44" s="216"/>
      <c r="D44" s="217"/>
      <c r="E44" s="218"/>
      <c r="F44" s="219"/>
      <c r="G44" s="219"/>
      <c r="H44" s="219"/>
      <c r="I44" s="219"/>
      <c r="J44" s="219"/>
      <c r="K44" s="219"/>
      <c r="L44" s="219"/>
      <c r="M44" s="219"/>
      <c r="N44" s="219"/>
      <c r="O44" s="219"/>
      <c r="P44" s="110"/>
      <c r="Q44" s="110"/>
      <c r="R44" s="110"/>
      <c r="S44" s="110"/>
      <c r="T44" s="110"/>
      <c r="U44" s="110"/>
      <c r="V44" s="249"/>
      <c r="W44" s="249"/>
      <c r="X44" s="249"/>
      <c r="Y44" s="249"/>
      <c r="Z44" s="249"/>
    </row>
    <row r="45" ht="12.0" customHeight="1">
      <c r="A45" s="143"/>
      <c r="B45" s="110"/>
      <c r="C45" s="111"/>
      <c r="D45" s="110"/>
      <c r="E45" s="110"/>
      <c r="F45" s="110"/>
      <c r="G45" s="110"/>
      <c r="H45" s="110"/>
      <c r="I45" s="110"/>
      <c r="J45" s="110"/>
      <c r="K45" s="110"/>
      <c r="L45" s="110"/>
      <c r="M45" s="110"/>
      <c r="N45" s="110"/>
      <c r="O45" s="110"/>
      <c r="P45" s="110"/>
      <c r="Q45" s="110"/>
      <c r="R45" s="110"/>
      <c r="S45" s="110"/>
      <c r="T45" s="110"/>
      <c r="U45" s="110"/>
      <c r="V45" s="249"/>
      <c r="W45" s="249"/>
      <c r="X45" s="249"/>
      <c r="Y45" s="249"/>
      <c r="Z45" s="249"/>
    </row>
    <row r="46" ht="13.5" customHeight="1">
      <c r="A46" s="110"/>
      <c r="B46" s="143"/>
      <c r="C46" s="110"/>
      <c r="D46" s="111"/>
      <c r="E46" s="110"/>
      <c r="F46" s="110"/>
      <c r="G46" s="110"/>
      <c r="H46" s="110"/>
      <c r="I46" s="110"/>
      <c r="J46" s="110"/>
      <c r="K46" s="110"/>
      <c r="L46" s="110"/>
      <c r="M46" s="110"/>
      <c r="N46" s="110"/>
      <c r="O46" s="110"/>
      <c r="P46" s="110"/>
      <c r="Q46" s="110"/>
      <c r="R46" s="110"/>
      <c r="S46" s="110"/>
      <c r="T46" s="110"/>
      <c r="U46" s="110"/>
      <c r="V46" s="249"/>
      <c r="W46" s="249"/>
      <c r="X46" s="249"/>
      <c r="Y46" s="249"/>
      <c r="Z46" s="249"/>
    </row>
    <row r="47" ht="13.5" customHeight="1">
      <c r="A47" s="110"/>
      <c r="B47" s="143"/>
      <c r="C47" s="110"/>
      <c r="D47" s="111"/>
      <c r="E47" s="110"/>
      <c r="F47" s="110"/>
      <c r="G47" s="110"/>
      <c r="H47" s="110"/>
      <c r="I47" s="110"/>
      <c r="J47" s="110"/>
      <c r="K47" s="110"/>
      <c r="L47" s="110"/>
      <c r="M47" s="110"/>
      <c r="N47" s="110"/>
      <c r="O47" s="110"/>
      <c r="P47" s="110"/>
      <c r="Q47" s="110"/>
      <c r="R47" s="110"/>
      <c r="S47" s="110"/>
      <c r="T47" s="110"/>
      <c r="U47" s="110"/>
      <c r="V47" s="249"/>
      <c r="W47" s="249"/>
      <c r="X47" s="249"/>
      <c r="Y47" s="249"/>
      <c r="Z47" s="249"/>
    </row>
    <row r="48" ht="13.5" customHeight="1">
      <c r="A48" s="110"/>
      <c r="B48" s="143"/>
      <c r="C48" s="110"/>
      <c r="D48" s="111"/>
      <c r="E48" s="110"/>
      <c r="F48" s="110"/>
      <c r="G48" s="110"/>
      <c r="H48" s="110"/>
      <c r="I48" s="110"/>
      <c r="J48" s="110"/>
      <c r="K48" s="110"/>
      <c r="L48" s="110"/>
      <c r="M48" s="110"/>
      <c r="N48" s="110"/>
      <c r="O48" s="110"/>
      <c r="P48" s="110"/>
      <c r="Q48" s="110"/>
      <c r="R48" s="110"/>
      <c r="S48" s="110"/>
      <c r="T48" s="110"/>
      <c r="U48" s="110"/>
      <c r="V48" s="249"/>
      <c r="W48" s="249"/>
      <c r="X48" s="249"/>
      <c r="Y48" s="249"/>
      <c r="Z48" s="249"/>
    </row>
    <row r="49" ht="13.5" customHeight="1">
      <c r="A49" s="110"/>
      <c r="B49" s="143"/>
      <c r="C49" s="110"/>
      <c r="D49" s="111"/>
      <c r="E49" s="110"/>
      <c r="F49" s="110"/>
      <c r="G49" s="110"/>
      <c r="H49" s="110"/>
      <c r="I49" s="110"/>
      <c r="J49" s="110"/>
      <c r="K49" s="110"/>
      <c r="L49" s="110"/>
      <c r="M49" s="110"/>
      <c r="N49" s="110"/>
      <c r="O49" s="110"/>
      <c r="P49" s="110"/>
      <c r="Q49" s="110"/>
      <c r="R49" s="110"/>
      <c r="S49" s="110"/>
      <c r="T49" s="110"/>
      <c r="U49" s="110"/>
      <c r="V49" s="249"/>
      <c r="W49" s="249"/>
      <c r="X49" s="249"/>
      <c r="Y49" s="249"/>
      <c r="Z49" s="249"/>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249"/>
      <c r="W50" s="249"/>
      <c r="X50" s="249"/>
      <c r="Y50" s="249"/>
      <c r="Z50" s="249"/>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249"/>
      <c r="W51" s="249"/>
      <c r="X51" s="249"/>
      <c r="Y51" s="249"/>
      <c r="Z51" s="249"/>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249"/>
      <c r="W52" s="249"/>
      <c r="X52" s="249"/>
      <c r="Y52" s="249"/>
      <c r="Z52" s="249"/>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249"/>
      <c r="W53" s="249"/>
      <c r="X53" s="249"/>
      <c r="Y53" s="249"/>
      <c r="Z53" s="249"/>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249"/>
      <c r="W54" s="249"/>
      <c r="X54" s="249"/>
      <c r="Y54" s="249"/>
      <c r="Z54" s="249"/>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249"/>
      <c r="W55" s="249"/>
      <c r="X55" s="249"/>
      <c r="Y55" s="249"/>
      <c r="Z55" s="249"/>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249"/>
      <c r="W56" s="249"/>
      <c r="X56" s="249"/>
      <c r="Y56" s="249"/>
      <c r="Z56" s="249"/>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249"/>
      <c r="W57" s="249"/>
      <c r="X57" s="249"/>
      <c r="Y57" s="249"/>
      <c r="Z57" s="249"/>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249"/>
      <c r="W58" s="249"/>
      <c r="X58" s="249"/>
      <c r="Y58" s="249"/>
      <c r="Z58" s="249"/>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249"/>
      <c r="W59" s="249"/>
      <c r="X59" s="249"/>
      <c r="Y59" s="249"/>
      <c r="Z59" s="249"/>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249"/>
      <c r="W60" s="249"/>
      <c r="X60" s="249"/>
      <c r="Y60" s="249"/>
      <c r="Z60" s="249"/>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249"/>
      <c r="W61" s="249"/>
      <c r="X61" s="249"/>
      <c r="Y61" s="249"/>
      <c r="Z61" s="249"/>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249"/>
      <c r="W62" s="249"/>
      <c r="X62" s="249"/>
      <c r="Y62" s="249"/>
      <c r="Z62" s="249"/>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249"/>
      <c r="W63" s="249"/>
      <c r="X63" s="249"/>
      <c r="Y63" s="249"/>
      <c r="Z63" s="249"/>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249"/>
      <c r="W64" s="249"/>
      <c r="X64" s="249"/>
      <c r="Y64" s="249"/>
      <c r="Z64" s="249"/>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249"/>
      <c r="W65" s="249"/>
      <c r="X65" s="249"/>
      <c r="Y65" s="249"/>
      <c r="Z65" s="249"/>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249"/>
      <c r="W66" s="249"/>
      <c r="X66" s="249"/>
      <c r="Y66" s="249"/>
      <c r="Z66" s="249"/>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249"/>
      <c r="W67" s="249"/>
      <c r="X67" s="249"/>
      <c r="Y67" s="249"/>
      <c r="Z67" s="249"/>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249"/>
      <c r="W68" s="249"/>
      <c r="X68" s="249"/>
      <c r="Y68" s="249"/>
      <c r="Z68" s="249"/>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249"/>
      <c r="W69" s="249"/>
      <c r="X69" s="249"/>
      <c r="Y69" s="249"/>
      <c r="Z69" s="249"/>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249"/>
      <c r="W70" s="249"/>
      <c r="X70" s="249"/>
      <c r="Y70" s="249"/>
      <c r="Z70" s="249"/>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249"/>
      <c r="W71" s="249"/>
      <c r="X71" s="249"/>
      <c r="Y71" s="249"/>
      <c r="Z71" s="249"/>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249"/>
      <c r="W72" s="249"/>
      <c r="X72" s="249"/>
      <c r="Y72" s="249"/>
      <c r="Z72" s="249"/>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249"/>
      <c r="W73" s="249"/>
      <c r="X73" s="249"/>
      <c r="Y73" s="249"/>
      <c r="Z73" s="249"/>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249"/>
      <c r="W74" s="249"/>
      <c r="X74" s="249"/>
      <c r="Y74" s="249"/>
      <c r="Z74" s="249"/>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249"/>
      <c r="W75" s="249"/>
      <c r="X75" s="249"/>
      <c r="Y75" s="249"/>
      <c r="Z75" s="249"/>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249"/>
      <c r="W76" s="249"/>
      <c r="X76" s="249"/>
      <c r="Y76" s="249"/>
      <c r="Z76" s="249"/>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249"/>
      <c r="W77" s="249"/>
      <c r="X77" s="249"/>
      <c r="Y77" s="249"/>
      <c r="Z77" s="249"/>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249"/>
      <c r="W78" s="249"/>
      <c r="X78" s="249"/>
      <c r="Y78" s="249"/>
      <c r="Z78" s="249"/>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249"/>
      <c r="W79" s="249"/>
      <c r="X79" s="249"/>
      <c r="Y79" s="249"/>
      <c r="Z79" s="249"/>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249"/>
      <c r="W80" s="249"/>
      <c r="X80" s="249"/>
      <c r="Y80" s="249"/>
      <c r="Z80" s="249"/>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249"/>
      <c r="W81" s="249"/>
      <c r="X81" s="249"/>
      <c r="Y81" s="249"/>
      <c r="Z81" s="249"/>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249"/>
      <c r="W82" s="249"/>
      <c r="X82" s="249"/>
      <c r="Y82" s="249"/>
      <c r="Z82" s="249"/>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249"/>
      <c r="W83" s="249"/>
      <c r="X83" s="249"/>
      <c r="Y83" s="249"/>
      <c r="Z83" s="249"/>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249"/>
      <c r="W84" s="249"/>
      <c r="X84" s="249"/>
      <c r="Y84" s="249"/>
      <c r="Z84" s="249"/>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249"/>
      <c r="W85" s="249"/>
      <c r="X85" s="249"/>
      <c r="Y85" s="249"/>
      <c r="Z85" s="249"/>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249"/>
      <c r="W86" s="249"/>
      <c r="X86" s="249"/>
      <c r="Y86" s="249"/>
      <c r="Z86" s="249"/>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249"/>
      <c r="W87" s="249"/>
      <c r="X87" s="249"/>
      <c r="Y87" s="249"/>
      <c r="Z87" s="249"/>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249"/>
      <c r="W88" s="249"/>
      <c r="X88" s="249"/>
      <c r="Y88" s="249"/>
      <c r="Z88" s="249"/>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249"/>
      <c r="W89" s="249"/>
      <c r="X89" s="249"/>
      <c r="Y89" s="249"/>
      <c r="Z89" s="249"/>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249"/>
      <c r="W90" s="249"/>
      <c r="X90" s="249"/>
      <c r="Y90" s="249"/>
      <c r="Z90" s="249"/>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249"/>
      <c r="W91" s="249"/>
      <c r="X91" s="249"/>
      <c r="Y91" s="249"/>
      <c r="Z91" s="249"/>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249"/>
      <c r="W92" s="249"/>
      <c r="X92" s="249"/>
      <c r="Y92" s="249"/>
      <c r="Z92" s="249"/>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249"/>
      <c r="W93" s="249"/>
      <c r="X93" s="249"/>
      <c r="Y93" s="249"/>
      <c r="Z93" s="249"/>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249"/>
      <c r="W94" s="249"/>
      <c r="X94" s="249"/>
      <c r="Y94" s="249"/>
      <c r="Z94" s="249"/>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249"/>
      <c r="W95" s="249"/>
      <c r="X95" s="249"/>
      <c r="Y95" s="249"/>
      <c r="Z95" s="249"/>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249"/>
      <c r="W96" s="249"/>
      <c r="X96" s="249"/>
      <c r="Y96" s="249"/>
      <c r="Z96" s="249"/>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249"/>
      <c r="W97" s="249"/>
      <c r="X97" s="249"/>
      <c r="Y97" s="249"/>
      <c r="Z97" s="249"/>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249"/>
      <c r="W98" s="249"/>
      <c r="X98" s="249"/>
      <c r="Y98" s="249"/>
      <c r="Z98" s="249"/>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249"/>
      <c r="W99" s="249"/>
      <c r="X99" s="249"/>
      <c r="Y99" s="249"/>
      <c r="Z99" s="249"/>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249"/>
      <c r="W100" s="249"/>
      <c r="X100" s="249"/>
      <c r="Y100" s="249"/>
      <c r="Z100" s="249"/>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249"/>
      <c r="W101" s="249"/>
      <c r="X101" s="249"/>
      <c r="Y101" s="249"/>
      <c r="Z101" s="249"/>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249"/>
      <c r="W102" s="249"/>
      <c r="X102" s="249"/>
      <c r="Y102" s="249"/>
      <c r="Z102" s="249"/>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249"/>
      <c r="W103" s="249"/>
      <c r="X103" s="249"/>
      <c r="Y103" s="249"/>
      <c r="Z103" s="249"/>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249"/>
      <c r="W104" s="249"/>
      <c r="X104" s="249"/>
      <c r="Y104" s="249"/>
      <c r="Z104" s="249"/>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249"/>
      <c r="W105" s="249"/>
      <c r="X105" s="249"/>
      <c r="Y105" s="249"/>
      <c r="Z105" s="249"/>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249"/>
      <c r="W106" s="249"/>
      <c r="X106" s="249"/>
      <c r="Y106" s="249"/>
      <c r="Z106" s="249"/>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249"/>
      <c r="W107" s="249"/>
      <c r="X107" s="249"/>
      <c r="Y107" s="249"/>
      <c r="Z107" s="249"/>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249"/>
      <c r="W108" s="249"/>
      <c r="X108" s="249"/>
      <c r="Y108" s="249"/>
      <c r="Z108" s="249"/>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249"/>
      <c r="W109" s="249"/>
      <c r="X109" s="249"/>
      <c r="Y109" s="249"/>
      <c r="Z109" s="249"/>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249"/>
      <c r="W110" s="249"/>
      <c r="X110" s="249"/>
      <c r="Y110" s="249"/>
      <c r="Z110" s="249"/>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249"/>
      <c r="W111" s="249"/>
      <c r="X111" s="249"/>
      <c r="Y111" s="249"/>
      <c r="Z111" s="249"/>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249"/>
      <c r="W112" s="249"/>
      <c r="X112" s="249"/>
      <c r="Y112" s="249"/>
      <c r="Z112" s="249"/>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249"/>
      <c r="W113" s="249"/>
      <c r="X113" s="249"/>
      <c r="Y113" s="249"/>
      <c r="Z113" s="249"/>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249"/>
      <c r="W114" s="249"/>
      <c r="X114" s="249"/>
      <c r="Y114" s="249"/>
      <c r="Z114" s="249"/>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249"/>
      <c r="W115" s="249"/>
      <c r="X115" s="249"/>
      <c r="Y115" s="249"/>
      <c r="Z115" s="249"/>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249"/>
      <c r="W116" s="249"/>
      <c r="X116" s="249"/>
      <c r="Y116" s="249"/>
      <c r="Z116" s="249"/>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249"/>
      <c r="W117" s="249"/>
      <c r="X117" s="249"/>
      <c r="Y117" s="249"/>
      <c r="Z117" s="249"/>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249"/>
      <c r="W118" s="249"/>
      <c r="X118" s="249"/>
      <c r="Y118" s="249"/>
      <c r="Z118" s="249"/>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249"/>
      <c r="W119" s="249"/>
      <c r="X119" s="249"/>
      <c r="Y119" s="249"/>
      <c r="Z119" s="249"/>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249"/>
      <c r="W120" s="249"/>
      <c r="X120" s="249"/>
      <c r="Y120" s="249"/>
      <c r="Z120" s="249"/>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249"/>
      <c r="W121" s="249"/>
      <c r="X121" s="249"/>
      <c r="Y121" s="249"/>
      <c r="Z121" s="249"/>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249"/>
      <c r="W122" s="249"/>
      <c r="X122" s="249"/>
      <c r="Y122" s="249"/>
      <c r="Z122" s="249"/>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249"/>
      <c r="W123" s="249"/>
      <c r="X123" s="249"/>
      <c r="Y123" s="249"/>
      <c r="Z123" s="249"/>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249"/>
      <c r="W124" s="249"/>
      <c r="X124" s="249"/>
      <c r="Y124" s="249"/>
      <c r="Z124" s="249"/>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249"/>
      <c r="W125" s="249"/>
      <c r="X125" s="249"/>
      <c r="Y125" s="249"/>
      <c r="Z125" s="249"/>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249"/>
      <c r="W126" s="249"/>
      <c r="X126" s="249"/>
      <c r="Y126" s="249"/>
      <c r="Z126" s="249"/>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249"/>
      <c r="W127" s="249"/>
      <c r="X127" s="249"/>
      <c r="Y127" s="249"/>
      <c r="Z127" s="249"/>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249"/>
      <c r="W128" s="249"/>
      <c r="X128" s="249"/>
      <c r="Y128" s="249"/>
      <c r="Z128" s="249"/>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249"/>
      <c r="W129" s="249"/>
      <c r="X129" s="249"/>
      <c r="Y129" s="249"/>
      <c r="Z129" s="249"/>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249"/>
      <c r="W130" s="249"/>
      <c r="X130" s="249"/>
      <c r="Y130" s="249"/>
      <c r="Z130" s="249"/>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249"/>
      <c r="W131" s="249"/>
      <c r="X131" s="249"/>
      <c r="Y131" s="249"/>
      <c r="Z131" s="249"/>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249"/>
      <c r="W132" s="249"/>
      <c r="X132" s="249"/>
      <c r="Y132" s="249"/>
      <c r="Z132" s="249"/>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249"/>
      <c r="W133" s="249"/>
      <c r="X133" s="249"/>
      <c r="Y133" s="249"/>
      <c r="Z133" s="249"/>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249"/>
      <c r="W134" s="249"/>
      <c r="X134" s="249"/>
      <c r="Y134" s="249"/>
      <c r="Z134" s="249"/>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249"/>
      <c r="W135" s="249"/>
      <c r="X135" s="249"/>
      <c r="Y135" s="249"/>
      <c r="Z135" s="249"/>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249"/>
      <c r="W136" s="249"/>
      <c r="X136" s="249"/>
      <c r="Y136" s="249"/>
      <c r="Z136" s="249"/>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249"/>
      <c r="W137" s="249"/>
      <c r="X137" s="249"/>
      <c r="Y137" s="249"/>
      <c r="Z137" s="249"/>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249"/>
      <c r="W138" s="249"/>
      <c r="X138" s="249"/>
      <c r="Y138" s="249"/>
      <c r="Z138" s="249"/>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249"/>
      <c r="W139" s="249"/>
      <c r="X139" s="249"/>
      <c r="Y139" s="249"/>
      <c r="Z139" s="249"/>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249"/>
      <c r="W140" s="249"/>
      <c r="X140" s="249"/>
      <c r="Y140" s="249"/>
      <c r="Z140" s="249"/>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249"/>
      <c r="W141" s="249"/>
      <c r="X141" s="249"/>
      <c r="Y141" s="249"/>
      <c r="Z141" s="249"/>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249"/>
      <c r="W142" s="249"/>
      <c r="X142" s="249"/>
      <c r="Y142" s="249"/>
      <c r="Z142" s="249"/>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249"/>
      <c r="W143" s="249"/>
      <c r="X143" s="249"/>
      <c r="Y143" s="249"/>
      <c r="Z143" s="249"/>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249"/>
      <c r="W144" s="249"/>
      <c r="X144" s="249"/>
      <c r="Y144" s="249"/>
      <c r="Z144" s="249"/>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249"/>
      <c r="W145" s="249"/>
      <c r="X145" s="249"/>
      <c r="Y145" s="249"/>
      <c r="Z145" s="249"/>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249"/>
      <c r="W146" s="249"/>
      <c r="X146" s="249"/>
      <c r="Y146" s="249"/>
      <c r="Z146" s="249"/>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249"/>
      <c r="W147" s="249"/>
      <c r="X147" s="249"/>
      <c r="Y147" s="249"/>
      <c r="Z147" s="249"/>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249"/>
      <c r="W148" s="249"/>
      <c r="X148" s="249"/>
      <c r="Y148" s="249"/>
      <c r="Z148" s="249"/>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249"/>
      <c r="W149" s="249"/>
      <c r="X149" s="249"/>
      <c r="Y149" s="249"/>
      <c r="Z149" s="249"/>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249"/>
      <c r="W150" s="249"/>
      <c r="X150" s="249"/>
      <c r="Y150" s="249"/>
      <c r="Z150" s="249"/>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249"/>
      <c r="W151" s="249"/>
      <c r="X151" s="249"/>
      <c r="Y151" s="249"/>
      <c r="Z151" s="249"/>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249"/>
      <c r="W152" s="249"/>
      <c r="X152" s="249"/>
      <c r="Y152" s="249"/>
      <c r="Z152" s="249"/>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249"/>
      <c r="W153" s="249"/>
      <c r="X153" s="249"/>
      <c r="Y153" s="249"/>
      <c r="Z153" s="249"/>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249"/>
      <c r="W154" s="249"/>
      <c r="X154" s="249"/>
      <c r="Y154" s="249"/>
      <c r="Z154" s="249"/>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249"/>
      <c r="W155" s="249"/>
      <c r="X155" s="249"/>
      <c r="Y155" s="249"/>
      <c r="Z155" s="249"/>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249"/>
      <c r="W156" s="249"/>
      <c r="X156" s="249"/>
      <c r="Y156" s="249"/>
      <c r="Z156" s="249"/>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249"/>
      <c r="W157" s="249"/>
      <c r="X157" s="249"/>
      <c r="Y157" s="249"/>
      <c r="Z157" s="249"/>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249"/>
      <c r="W158" s="249"/>
      <c r="X158" s="249"/>
      <c r="Y158" s="249"/>
      <c r="Z158" s="249"/>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249"/>
      <c r="W159" s="249"/>
      <c r="X159" s="249"/>
      <c r="Y159" s="249"/>
      <c r="Z159" s="249"/>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249"/>
      <c r="W160" s="249"/>
      <c r="X160" s="249"/>
      <c r="Y160" s="249"/>
      <c r="Z160" s="249"/>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249"/>
      <c r="W161" s="249"/>
      <c r="X161" s="249"/>
      <c r="Y161" s="249"/>
      <c r="Z161" s="249"/>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249"/>
      <c r="W162" s="249"/>
      <c r="X162" s="249"/>
      <c r="Y162" s="249"/>
      <c r="Z162" s="249"/>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249"/>
      <c r="W163" s="249"/>
      <c r="X163" s="249"/>
      <c r="Y163" s="249"/>
      <c r="Z163" s="249"/>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249"/>
      <c r="W164" s="249"/>
      <c r="X164" s="249"/>
      <c r="Y164" s="249"/>
      <c r="Z164" s="249"/>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249"/>
      <c r="W165" s="249"/>
      <c r="X165" s="249"/>
      <c r="Y165" s="249"/>
      <c r="Z165" s="249"/>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249"/>
      <c r="W166" s="249"/>
      <c r="X166" s="249"/>
      <c r="Y166" s="249"/>
      <c r="Z166" s="249"/>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249"/>
      <c r="W167" s="249"/>
      <c r="X167" s="249"/>
      <c r="Y167" s="249"/>
      <c r="Z167" s="249"/>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249"/>
      <c r="W168" s="249"/>
      <c r="X168" s="249"/>
      <c r="Y168" s="249"/>
      <c r="Z168" s="249"/>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249"/>
      <c r="W169" s="249"/>
      <c r="X169" s="249"/>
      <c r="Y169" s="249"/>
      <c r="Z169" s="249"/>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249"/>
      <c r="W170" s="249"/>
      <c r="X170" s="249"/>
      <c r="Y170" s="249"/>
      <c r="Z170" s="249"/>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249"/>
      <c r="W171" s="249"/>
      <c r="X171" s="249"/>
      <c r="Y171" s="249"/>
      <c r="Z171" s="249"/>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249"/>
      <c r="W172" s="249"/>
      <c r="X172" s="249"/>
      <c r="Y172" s="249"/>
      <c r="Z172" s="249"/>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249"/>
      <c r="W173" s="249"/>
      <c r="X173" s="249"/>
      <c r="Y173" s="249"/>
      <c r="Z173" s="249"/>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249"/>
      <c r="W174" s="249"/>
      <c r="X174" s="249"/>
      <c r="Y174" s="249"/>
      <c r="Z174" s="249"/>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249"/>
      <c r="W175" s="249"/>
      <c r="X175" s="249"/>
      <c r="Y175" s="249"/>
      <c r="Z175" s="249"/>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249"/>
      <c r="W176" s="249"/>
      <c r="X176" s="249"/>
      <c r="Y176" s="249"/>
      <c r="Z176" s="249"/>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249"/>
      <c r="W177" s="249"/>
      <c r="X177" s="249"/>
      <c r="Y177" s="249"/>
      <c r="Z177" s="249"/>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249"/>
      <c r="W178" s="249"/>
      <c r="X178" s="249"/>
      <c r="Y178" s="249"/>
      <c r="Z178" s="249"/>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249"/>
      <c r="W179" s="249"/>
      <c r="X179" s="249"/>
      <c r="Y179" s="249"/>
      <c r="Z179" s="249"/>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249"/>
      <c r="W180" s="249"/>
      <c r="X180" s="249"/>
      <c r="Y180" s="249"/>
      <c r="Z180" s="249"/>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249"/>
      <c r="W181" s="249"/>
      <c r="X181" s="249"/>
      <c r="Y181" s="249"/>
      <c r="Z181" s="249"/>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249"/>
      <c r="W182" s="249"/>
      <c r="X182" s="249"/>
      <c r="Y182" s="249"/>
      <c r="Z182" s="249"/>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249"/>
      <c r="W183" s="249"/>
      <c r="X183" s="249"/>
      <c r="Y183" s="249"/>
      <c r="Z183" s="249"/>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249"/>
      <c r="W184" s="249"/>
      <c r="X184" s="249"/>
      <c r="Y184" s="249"/>
      <c r="Z184" s="249"/>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249"/>
      <c r="W185" s="249"/>
      <c r="X185" s="249"/>
      <c r="Y185" s="249"/>
      <c r="Z185" s="249"/>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249"/>
      <c r="W186" s="249"/>
      <c r="X186" s="249"/>
      <c r="Y186" s="249"/>
      <c r="Z186" s="249"/>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249"/>
      <c r="W187" s="249"/>
      <c r="X187" s="249"/>
      <c r="Y187" s="249"/>
      <c r="Z187" s="249"/>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249"/>
      <c r="W188" s="249"/>
      <c r="X188" s="249"/>
      <c r="Y188" s="249"/>
      <c r="Z188" s="249"/>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249"/>
      <c r="W189" s="249"/>
      <c r="X189" s="249"/>
      <c r="Y189" s="249"/>
      <c r="Z189" s="249"/>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249"/>
      <c r="W190" s="249"/>
      <c r="X190" s="249"/>
      <c r="Y190" s="249"/>
      <c r="Z190" s="249"/>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249"/>
      <c r="W191" s="249"/>
      <c r="X191" s="249"/>
      <c r="Y191" s="249"/>
      <c r="Z191" s="249"/>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249"/>
      <c r="W192" s="249"/>
      <c r="X192" s="249"/>
      <c r="Y192" s="249"/>
      <c r="Z192" s="249"/>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249"/>
      <c r="W193" s="249"/>
      <c r="X193" s="249"/>
      <c r="Y193" s="249"/>
      <c r="Z193" s="249"/>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249"/>
      <c r="W194" s="249"/>
      <c r="X194" s="249"/>
      <c r="Y194" s="249"/>
      <c r="Z194" s="249"/>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249"/>
      <c r="W195" s="249"/>
      <c r="X195" s="249"/>
      <c r="Y195" s="249"/>
      <c r="Z195" s="249"/>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249"/>
      <c r="W196" s="249"/>
      <c r="X196" s="249"/>
      <c r="Y196" s="249"/>
      <c r="Z196" s="249"/>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249"/>
      <c r="W197" s="249"/>
      <c r="X197" s="249"/>
      <c r="Y197" s="249"/>
      <c r="Z197" s="249"/>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249"/>
      <c r="W198" s="249"/>
      <c r="X198" s="249"/>
      <c r="Y198" s="249"/>
      <c r="Z198" s="249"/>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249"/>
      <c r="W199" s="249"/>
      <c r="X199" s="249"/>
      <c r="Y199" s="249"/>
      <c r="Z199" s="249"/>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249"/>
      <c r="W200" s="249"/>
      <c r="X200" s="249"/>
      <c r="Y200" s="249"/>
      <c r="Z200" s="249"/>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249"/>
      <c r="W201" s="249"/>
      <c r="X201" s="249"/>
      <c r="Y201" s="249"/>
      <c r="Z201" s="249"/>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249"/>
      <c r="W202" s="249"/>
      <c r="X202" s="249"/>
      <c r="Y202" s="249"/>
      <c r="Z202" s="249"/>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249"/>
      <c r="W203" s="249"/>
      <c r="X203" s="249"/>
      <c r="Y203" s="249"/>
      <c r="Z203" s="249"/>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249"/>
      <c r="W204" s="249"/>
      <c r="X204" s="249"/>
      <c r="Y204" s="249"/>
      <c r="Z204" s="249"/>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249"/>
      <c r="W205" s="249"/>
      <c r="X205" s="249"/>
      <c r="Y205" s="249"/>
      <c r="Z205" s="249"/>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249"/>
      <c r="W206" s="249"/>
      <c r="X206" s="249"/>
      <c r="Y206" s="249"/>
      <c r="Z206" s="249"/>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249"/>
      <c r="W207" s="249"/>
      <c r="X207" s="249"/>
      <c r="Y207" s="249"/>
      <c r="Z207" s="249"/>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249"/>
      <c r="W208" s="249"/>
      <c r="X208" s="249"/>
      <c r="Y208" s="249"/>
      <c r="Z208" s="249"/>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249"/>
      <c r="W209" s="249"/>
      <c r="X209" s="249"/>
      <c r="Y209" s="249"/>
      <c r="Z209" s="249"/>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249"/>
      <c r="W210" s="249"/>
      <c r="X210" s="249"/>
      <c r="Y210" s="249"/>
      <c r="Z210" s="249"/>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249"/>
      <c r="W211" s="249"/>
      <c r="X211" s="249"/>
      <c r="Y211" s="249"/>
      <c r="Z211" s="249"/>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249"/>
      <c r="W212" s="249"/>
      <c r="X212" s="249"/>
      <c r="Y212" s="249"/>
      <c r="Z212" s="249"/>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249"/>
      <c r="W213" s="249"/>
      <c r="X213" s="249"/>
      <c r="Y213" s="249"/>
      <c r="Z213" s="249"/>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249"/>
      <c r="W214" s="249"/>
      <c r="X214" s="249"/>
      <c r="Y214" s="249"/>
      <c r="Z214" s="249"/>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249"/>
      <c r="W215" s="249"/>
      <c r="X215" s="249"/>
      <c r="Y215" s="249"/>
      <c r="Z215" s="249"/>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249"/>
      <c r="W216" s="249"/>
      <c r="X216" s="249"/>
      <c r="Y216" s="249"/>
      <c r="Z216" s="249"/>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249"/>
      <c r="W217" s="249"/>
      <c r="X217" s="249"/>
      <c r="Y217" s="249"/>
      <c r="Z217" s="249"/>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249"/>
      <c r="W218" s="249"/>
      <c r="X218" s="249"/>
      <c r="Y218" s="249"/>
      <c r="Z218" s="249"/>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249"/>
      <c r="W219" s="249"/>
      <c r="X219" s="249"/>
      <c r="Y219" s="249"/>
      <c r="Z219" s="249"/>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249"/>
      <c r="W220" s="249"/>
      <c r="X220" s="249"/>
      <c r="Y220" s="249"/>
      <c r="Z220" s="249"/>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249"/>
      <c r="W221" s="249"/>
      <c r="X221" s="249"/>
      <c r="Y221" s="249"/>
      <c r="Z221" s="249"/>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249"/>
      <c r="W222" s="249"/>
      <c r="X222" s="249"/>
      <c r="Y222" s="249"/>
      <c r="Z222" s="249"/>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249"/>
      <c r="W223" s="249"/>
      <c r="X223" s="249"/>
      <c r="Y223" s="249"/>
      <c r="Z223" s="249"/>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249"/>
      <c r="W224" s="249"/>
      <c r="X224" s="249"/>
      <c r="Y224" s="249"/>
      <c r="Z224" s="249"/>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249"/>
      <c r="W225" s="249"/>
      <c r="X225" s="249"/>
      <c r="Y225" s="249"/>
      <c r="Z225" s="249"/>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249"/>
      <c r="W226" s="249"/>
      <c r="X226" s="249"/>
      <c r="Y226" s="249"/>
      <c r="Z226" s="249"/>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249"/>
      <c r="W227" s="249"/>
      <c r="X227" s="249"/>
      <c r="Y227" s="249"/>
      <c r="Z227" s="249"/>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249"/>
      <c r="W228" s="249"/>
      <c r="X228" s="249"/>
      <c r="Y228" s="249"/>
      <c r="Z228" s="249"/>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249"/>
      <c r="W229" s="249"/>
      <c r="X229" s="249"/>
      <c r="Y229" s="249"/>
      <c r="Z229" s="249"/>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249"/>
      <c r="W230" s="249"/>
      <c r="X230" s="249"/>
      <c r="Y230" s="249"/>
      <c r="Z230" s="249"/>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249"/>
      <c r="W231" s="249"/>
      <c r="X231" s="249"/>
      <c r="Y231" s="249"/>
      <c r="Z231" s="249"/>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249"/>
      <c r="W232" s="249"/>
      <c r="X232" s="249"/>
      <c r="Y232" s="249"/>
      <c r="Z232" s="249"/>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249"/>
      <c r="W233" s="249"/>
      <c r="X233" s="249"/>
      <c r="Y233" s="249"/>
      <c r="Z233" s="249"/>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249"/>
      <c r="W234" s="249"/>
      <c r="X234" s="249"/>
      <c r="Y234" s="249"/>
      <c r="Z234" s="249"/>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249"/>
      <c r="W235" s="249"/>
      <c r="X235" s="249"/>
      <c r="Y235" s="249"/>
      <c r="Z235" s="249"/>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249"/>
      <c r="W236" s="249"/>
      <c r="X236" s="249"/>
      <c r="Y236" s="249"/>
      <c r="Z236" s="249"/>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249"/>
      <c r="W237" s="249"/>
      <c r="X237" s="249"/>
      <c r="Y237" s="249"/>
      <c r="Z237" s="249"/>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249"/>
      <c r="W238" s="249"/>
      <c r="X238" s="249"/>
      <c r="Y238" s="249"/>
      <c r="Z238" s="249"/>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249"/>
      <c r="W239" s="249"/>
      <c r="X239" s="249"/>
      <c r="Y239" s="249"/>
      <c r="Z239" s="249"/>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249"/>
      <c r="W240" s="249"/>
      <c r="X240" s="249"/>
      <c r="Y240" s="249"/>
      <c r="Z240" s="249"/>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249"/>
      <c r="W241" s="249"/>
      <c r="X241" s="249"/>
      <c r="Y241" s="249"/>
      <c r="Z241" s="249"/>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249"/>
      <c r="W242" s="249"/>
      <c r="X242" s="249"/>
      <c r="Y242" s="249"/>
      <c r="Z242" s="249"/>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249"/>
      <c r="W243" s="249"/>
      <c r="X243" s="249"/>
      <c r="Y243" s="249"/>
      <c r="Z243" s="249"/>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249"/>
      <c r="W244" s="249"/>
      <c r="X244" s="249"/>
      <c r="Y244" s="249"/>
      <c r="Z244" s="249"/>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B2"/>
    <mergeCell ref="C2:E2"/>
    <mergeCell ref="F2:K2"/>
    <mergeCell ref="L2:O2"/>
    <mergeCell ref="C3:E3"/>
    <mergeCell ref="F3:K3"/>
    <mergeCell ref="L3:N3"/>
    <mergeCell ref="A3:B3"/>
    <mergeCell ref="A4:B4"/>
    <mergeCell ref="C4:D4"/>
    <mergeCell ref="F4:K4"/>
    <mergeCell ref="L4:O4"/>
    <mergeCell ref="A5:B5"/>
    <mergeCell ref="C5:O5"/>
    <mergeCell ref="D19:E19"/>
    <mergeCell ref="B41:D41"/>
    <mergeCell ref="B42:D42"/>
    <mergeCell ref="B43:D43"/>
    <mergeCell ref="B44:D44"/>
    <mergeCell ref="A6:B6"/>
    <mergeCell ref="C6:E6"/>
    <mergeCell ref="F6:K6"/>
    <mergeCell ref="L6:N6"/>
    <mergeCell ref="A7:B7"/>
    <mergeCell ref="C7:E7"/>
    <mergeCell ref="F7:K7"/>
  </mergeCells>
  <dataValidations>
    <dataValidation type="list" allowBlank="1" showInputMessage="1" showErrorMessage="1" prompt=" - " sqref="F42:O42">
      <formula1>"P,F"</formula1>
    </dataValidation>
    <dataValidation type="list" allowBlank="1" showInputMessage="1" showErrorMessage="1" prompt=" - " sqref="F10:O40">
      <formula1>"O"</formula1>
    </dataValidation>
    <dataValidation type="list" allowBlank="1" showInputMessage="1" showErrorMessage="1" prompt=" - " sqref="F41:O41">
      <formula1>"N,A,B"</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3.7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249"/>
      <c r="W1" s="249"/>
      <c r="X1" s="249"/>
      <c r="Y1" s="249"/>
      <c r="Z1" s="249"/>
    </row>
    <row r="2" ht="13.5" customHeight="1">
      <c r="A2" s="112" t="s">
        <v>337</v>
      </c>
      <c r="B2" s="113"/>
      <c r="C2" s="250" t="str">
        <f>Functions!E19</f>
        <v>F-09</v>
      </c>
      <c r="D2" s="251"/>
      <c r="E2" s="252"/>
      <c r="F2" s="116" t="s">
        <v>71</v>
      </c>
      <c r="G2" s="117"/>
      <c r="H2" s="117"/>
      <c r="I2" s="117"/>
      <c r="J2" s="117"/>
      <c r="K2" s="117"/>
      <c r="L2" s="118" t="str">
        <f>Functions!D19</f>
        <v>Warehouse master data, service scope and MLOR</v>
      </c>
      <c r="M2" s="113"/>
      <c r="N2" s="113"/>
      <c r="O2" s="119"/>
      <c r="P2" s="110"/>
      <c r="Q2" s="120"/>
      <c r="R2" s="110"/>
      <c r="S2" s="110"/>
      <c r="T2" s="110"/>
      <c r="U2" s="110"/>
      <c r="V2" s="249"/>
      <c r="W2" s="249"/>
      <c r="X2" s="249"/>
      <c r="Y2" s="249"/>
      <c r="Z2" s="249"/>
    </row>
    <row r="3" ht="13.5" customHeight="1">
      <c r="A3" s="121" t="s">
        <v>338</v>
      </c>
      <c r="B3" s="13"/>
      <c r="C3" s="253" t="s">
        <v>183</v>
      </c>
      <c r="D3" s="123"/>
      <c r="E3" s="124"/>
      <c r="F3" s="125" t="s">
        <v>339</v>
      </c>
      <c r="G3" s="12"/>
      <c r="H3" s="12"/>
      <c r="I3" s="12"/>
      <c r="J3" s="12"/>
      <c r="K3" s="13"/>
      <c r="L3" s="126"/>
      <c r="M3" s="123"/>
      <c r="N3" s="123"/>
      <c r="O3" s="127"/>
      <c r="P3" s="110"/>
      <c r="Q3" s="110"/>
      <c r="R3" s="110"/>
      <c r="S3" s="110"/>
      <c r="T3" s="110"/>
      <c r="U3" s="110"/>
      <c r="V3" s="249"/>
      <c r="W3" s="249"/>
      <c r="X3" s="249"/>
      <c r="Y3" s="249"/>
      <c r="Z3" s="249"/>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c r="V4" s="249"/>
      <c r="W4" s="249"/>
      <c r="X4" s="249"/>
      <c r="Y4" s="249"/>
      <c r="Z4" s="249"/>
    </row>
    <row r="5">
      <c r="A5" s="121" t="s">
        <v>342</v>
      </c>
      <c r="B5" s="13"/>
      <c r="C5" s="132" t="s">
        <v>151</v>
      </c>
      <c r="D5" s="12"/>
      <c r="E5" s="12"/>
      <c r="F5" s="12"/>
      <c r="G5" s="12"/>
      <c r="H5" s="12"/>
      <c r="I5" s="12"/>
      <c r="J5" s="12"/>
      <c r="K5" s="12"/>
      <c r="L5" s="12"/>
      <c r="M5" s="12"/>
      <c r="N5" s="12"/>
      <c r="O5" s="131"/>
      <c r="P5" s="110"/>
      <c r="Q5" s="110"/>
      <c r="R5" s="110"/>
      <c r="S5" s="110"/>
      <c r="T5" s="110"/>
      <c r="U5" s="110"/>
      <c r="V5" s="249"/>
      <c r="W5" s="249"/>
      <c r="X5" s="249"/>
      <c r="Y5" s="249"/>
      <c r="Z5" s="249"/>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c r="V6" s="249"/>
      <c r="W6" s="249"/>
      <c r="X6" s="249"/>
      <c r="Y6" s="249"/>
      <c r="Z6" s="249"/>
    </row>
    <row r="7" ht="13.5" customHeight="1">
      <c r="A7" s="137">
        <f>COUNTIF(F46:O46,"P")</f>
        <v>0</v>
      </c>
      <c r="B7" s="138"/>
      <c r="C7" s="139">
        <f>COUNTIF(F46:O46,"F")</f>
        <v>0</v>
      </c>
      <c r="D7" s="140"/>
      <c r="E7" s="138"/>
      <c r="F7" s="139">
        <f>SUM(O7,-A7,-C7)</f>
        <v>4</v>
      </c>
      <c r="G7" s="140"/>
      <c r="H7" s="140"/>
      <c r="I7" s="140"/>
      <c r="J7" s="140"/>
      <c r="K7" s="138"/>
      <c r="L7" s="141">
        <f>COUNTIF(F45:O45,"N")</f>
        <v>2</v>
      </c>
      <c r="M7" s="141">
        <f>COUNTIF(F45:O45,"A")</f>
        <v>1</v>
      </c>
      <c r="N7" s="141">
        <f>COUNTIF(F45:O45,"B")</f>
        <v>1</v>
      </c>
      <c r="O7" s="142">
        <f>COUNTA(F9:O9)</f>
        <v>4</v>
      </c>
      <c r="P7" s="242"/>
      <c r="Q7" s="110"/>
      <c r="R7" s="110"/>
      <c r="S7" s="110"/>
      <c r="T7" s="110"/>
      <c r="U7" s="110"/>
      <c r="V7" s="249"/>
      <c r="W7" s="249"/>
      <c r="X7" s="249"/>
      <c r="Y7" s="249"/>
      <c r="Z7" s="249"/>
    </row>
    <row r="8" ht="12.0" customHeight="1">
      <c r="A8" s="110"/>
      <c r="B8" s="143"/>
      <c r="C8" s="110"/>
      <c r="D8" s="111"/>
      <c r="E8" s="110"/>
      <c r="F8" s="110"/>
      <c r="G8" s="110"/>
      <c r="H8" s="110"/>
      <c r="I8" s="110"/>
      <c r="J8" s="110"/>
      <c r="K8" s="110"/>
      <c r="L8" s="110"/>
      <c r="M8" s="110"/>
      <c r="N8" s="110"/>
      <c r="O8" s="110"/>
      <c r="P8" s="110"/>
      <c r="Q8" s="110"/>
      <c r="R8" s="110"/>
      <c r="S8" s="110"/>
      <c r="T8" s="110"/>
      <c r="U8" s="110"/>
      <c r="V8" s="249"/>
      <c r="W8" s="249"/>
      <c r="X8" s="249"/>
      <c r="Y8" s="249"/>
      <c r="Z8" s="249"/>
    </row>
    <row r="9" ht="45.0" customHeight="1">
      <c r="A9" s="243"/>
      <c r="B9" s="244"/>
      <c r="C9" s="245"/>
      <c r="D9" s="246"/>
      <c r="E9" s="245"/>
      <c r="F9" s="247" t="s">
        <v>344</v>
      </c>
      <c r="G9" s="247" t="s">
        <v>345</v>
      </c>
      <c r="H9" s="247" t="s">
        <v>346</v>
      </c>
      <c r="I9" s="247" t="s">
        <v>347</v>
      </c>
      <c r="J9" s="247"/>
      <c r="K9" s="247"/>
      <c r="L9" s="247"/>
      <c r="M9" s="247"/>
      <c r="N9" s="247"/>
      <c r="O9" s="247"/>
      <c r="P9" s="150"/>
      <c r="Q9" s="120"/>
      <c r="R9" s="110"/>
      <c r="S9" s="110"/>
      <c r="T9" s="110"/>
      <c r="U9" s="110"/>
      <c r="V9" s="249"/>
      <c r="W9" s="249"/>
      <c r="X9" s="249"/>
      <c r="Y9" s="249"/>
      <c r="Z9" s="249"/>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c r="V10" s="249"/>
      <c r="W10" s="249"/>
      <c r="X10" s="249"/>
      <c r="Y10" s="249"/>
      <c r="Z10" s="249"/>
    </row>
    <row r="11" ht="13.5" customHeight="1">
      <c r="A11" s="162"/>
      <c r="B11" s="163"/>
      <c r="C11" s="171"/>
      <c r="D11" s="174" t="s">
        <v>441</v>
      </c>
      <c r="E11" s="155"/>
      <c r="F11" s="165" t="s">
        <v>353</v>
      </c>
      <c r="G11" s="165"/>
      <c r="H11" s="165"/>
      <c r="I11" s="165"/>
      <c r="J11" s="165"/>
      <c r="K11" s="165"/>
      <c r="L11" s="165"/>
      <c r="M11" s="165"/>
      <c r="N11" s="165"/>
      <c r="O11" s="165"/>
      <c r="P11" s="110"/>
      <c r="Q11" s="120"/>
      <c r="R11" s="110"/>
      <c r="S11" s="110"/>
      <c r="T11" s="110"/>
      <c r="U11" s="110"/>
      <c r="V11" s="249"/>
      <c r="W11" s="249"/>
      <c r="X11" s="249"/>
      <c r="Y11" s="249"/>
      <c r="Z11" s="249"/>
    </row>
    <row r="12" ht="13.5" customHeight="1">
      <c r="A12" s="162"/>
      <c r="B12" s="163"/>
      <c r="C12" s="171"/>
      <c r="D12" s="174" t="s">
        <v>442</v>
      </c>
      <c r="E12" s="155"/>
      <c r="F12" s="165"/>
      <c r="G12" s="165" t="s">
        <v>353</v>
      </c>
      <c r="H12" s="165"/>
      <c r="I12" s="165"/>
      <c r="J12" s="165"/>
      <c r="K12" s="165"/>
      <c r="L12" s="165"/>
      <c r="M12" s="165"/>
      <c r="N12" s="165"/>
      <c r="O12" s="165"/>
      <c r="P12" s="110"/>
      <c r="Q12" s="110"/>
      <c r="R12" s="110"/>
      <c r="S12" s="110"/>
      <c r="T12" s="110"/>
      <c r="U12" s="110"/>
      <c r="V12" s="249"/>
      <c r="W12" s="249"/>
      <c r="X12" s="249"/>
      <c r="Y12" s="249"/>
      <c r="Z12" s="249"/>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c r="V13" s="249"/>
      <c r="W13" s="249"/>
      <c r="X13" s="249"/>
      <c r="Y13" s="249"/>
      <c r="Z13" s="249"/>
    </row>
    <row r="14" ht="13.5" customHeight="1">
      <c r="A14" s="162"/>
      <c r="B14" s="163"/>
      <c r="C14" s="171"/>
      <c r="D14" s="174" t="s">
        <v>443</v>
      </c>
      <c r="E14" s="173"/>
      <c r="F14" s="165"/>
      <c r="G14" s="165"/>
      <c r="H14" s="165" t="s">
        <v>353</v>
      </c>
      <c r="I14" s="165"/>
      <c r="J14" s="165"/>
      <c r="K14" s="165"/>
      <c r="L14" s="165"/>
      <c r="M14" s="165"/>
      <c r="N14" s="165"/>
      <c r="O14" s="165"/>
      <c r="P14" s="110"/>
      <c r="Q14" s="110"/>
      <c r="R14" s="110"/>
      <c r="S14" s="110"/>
      <c r="T14" s="110"/>
      <c r="U14" s="110"/>
      <c r="V14" s="249"/>
      <c r="W14" s="249"/>
      <c r="X14" s="249"/>
      <c r="Y14" s="249"/>
      <c r="Z14" s="249"/>
    </row>
    <row r="15" ht="13.5" customHeight="1">
      <c r="A15" s="162"/>
      <c r="B15" s="163"/>
      <c r="C15" s="171"/>
      <c r="D15" s="174" t="s">
        <v>444</v>
      </c>
      <c r="E15" s="173"/>
      <c r="F15" s="165"/>
      <c r="G15" s="165"/>
      <c r="H15" s="165"/>
      <c r="I15" s="165" t="s">
        <v>353</v>
      </c>
      <c r="J15" s="165"/>
      <c r="K15" s="165"/>
      <c r="L15" s="165"/>
      <c r="M15" s="165"/>
      <c r="N15" s="165"/>
      <c r="O15" s="165"/>
      <c r="P15" s="110"/>
      <c r="Q15" s="110"/>
      <c r="R15" s="110"/>
      <c r="S15" s="110"/>
      <c r="T15" s="110"/>
      <c r="U15" s="110"/>
      <c r="V15" s="249"/>
      <c r="W15" s="249"/>
      <c r="X15" s="249"/>
      <c r="Y15" s="249"/>
      <c r="Z15" s="249"/>
    </row>
    <row r="16" ht="13.5" customHeight="1">
      <c r="A16" s="162"/>
      <c r="B16" s="163"/>
      <c r="C16" s="171"/>
      <c r="D16" s="174"/>
      <c r="E16" s="173"/>
      <c r="F16" s="165"/>
      <c r="G16" s="165"/>
      <c r="H16" s="165"/>
      <c r="I16" s="165"/>
      <c r="J16" s="165"/>
      <c r="K16" s="165"/>
      <c r="L16" s="165"/>
      <c r="M16" s="165"/>
      <c r="N16" s="165"/>
      <c r="O16" s="165"/>
      <c r="P16" s="110"/>
      <c r="Q16" s="110"/>
      <c r="R16" s="110"/>
      <c r="S16" s="110"/>
      <c r="T16" s="110"/>
      <c r="U16" s="110"/>
      <c r="V16" s="249"/>
      <c r="W16" s="249"/>
      <c r="X16" s="249"/>
      <c r="Y16" s="249"/>
      <c r="Z16" s="249"/>
    </row>
    <row r="17" ht="13.5" customHeight="1">
      <c r="A17" s="162"/>
      <c r="B17" s="163"/>
      <c r="C17" s="171"/>
      <c r="D17" s="174"/>
      <c r="E17" s="173"/>
      <c r="F17" s="266"/>
      <c r="G17" s="266"/>
      <c r="H17" s="266"/>
      <c r="I17" s="266"/>
      <c r="J17" s="266"/>
      <c r="K17" s="267"/>
      <c r="L17" s="267"/>
      <c r="M17" s="267"/>
      <c r="N17" s="267"/>
      <c r="O17" s="266"/>
      <c r="P17" s="175"/>
      <c r="Q17" s="110"/>
      <c r="R17" s="110"/>
      <c r="S17" s="110"/>
      <c r="T17" s="110"/>
      <c r="U17" s="110"/>
      <c r="V17" s="249"/>
      <c r="W17" s="249"/>
      <c r="X17" s="249"/>
      <c r="Y17" s="249"/>
      <c r="Z17" s="249"/>
    </row>
    <row r="18" ht="13.5" customHeight="1">
      <c r="A18" s="162"/>
      <c r="B18" s="163"/>
      <c r="C18" s="171"/>
      <c r="D18" s="174"/>
      <c r="E18" s="173"/>
      <c r="F18" s="267"/>
      <c r="G18" s="267"/>
      <c r="H18" s="267"/>
      <c r="I18" s="267"/>
      <c r="J18" s="267"/>
      <c r="K18" s="266"/>
      <c r="L18" s="267"/>
      <c r="M18" s="267"/>
      <c r="N18" s="267"/>
      <c r="O18" s="267"/>
      <c r="P18" s="175"/>
      <c r="Q18" s="110"/>
      <c r="R18" s="110"/>
      <c r="S18" s="110"/>
      <c r="T18" s="110"/>
      <c r="U18" s="110"/>
      <c r="V18" s="249"/>
      <c r="W18" s="249"/>
      <c r="X18" s="249"/>
      <c r="Y18" s="249"/>
      <c r="Z18" s="249"/>
    </row>
    <row r="19" ht="13.5" customHeight="1">
      <c r="A19" s="162"/>
      <c r="B19" s="163"/>
      <c r="C19" s="171"/>
      <c r="D19" s="111"/>
      <c r="F19" s="267"/>
      <c r="G19" s="267"/>
      <c r="H19" s="267"/>
      <c r="I19" s="267"/>
      <c r="J19" s="267"/>
      <c r="K19" s="267"/>
      <c r="L19" s="266"/>
      <c r="M19" s="266"/>
      <c r="N19" s="266"/>
      <c r="O19" s="267"/>
      <c r="P19" s="175"/>
      <c r="Q19" s="110"/>
      <c r="R19" s="110"/>
      <c r="S19" s="110"/>
      <c r="T19" s="110"/>
      <c r="U19" s="110"/>
      <c r="V19" s="249"/>
      <c r="W19" s="249"/>
      <c r="X19" s="249"/>
      <c r="Y19" s="249"/>
      <c r="Z19" s="249"/>
    </row>
    <row r="20" ht="13.5" customHeight="1">
      <c r="A20" s="157"/>
      <c r="B20" s="158"/>
      <c r="C20" s="226"/>
      <c r="D20" s="172"/>
      <c r="E20" s="227"/>
      <c r="F20" s="156"/>
      <c r="G20" s="156"/>
      <c r="H20" s="156"/>
      <c r="I20" s="156"/>
      <c r="J20" s="156"/>
      <c r="K20" s="156"/>
      <c r="L20" s="156"/>
      <c r="M20" s="156"/>
      <c r="N20" s="156"/>
      <c r="O20" s="156"/>
      <c r="P20" s="110"/>
      <c r="Q20" s="110"/>
      <c r="R20" s="110"/>
      <c r="S20" s="110"/>
      <c r="T20" s="110"/>
      <c r="U20" s="110"/>
      <c r="V20" s="249"/>
      <c r="W20" s="249"/>
      <c r="X20" s="249"/>
      <c r="Y20" s="249"/>
      <c r="Z20" s="249"/>
    </row>
    <row r="21" ht="13.5" customHeight="1">
      <c r="A21" s="157"/>
      <c r="B21" s="158"/>
      <c r="C21" s="226"/>
      <c r="D21" s="172"/>
      <c r="E21" s="227"/>
      <c r="F21" s="156"/>
      <c r="G21" s="156"/>
      <c r="H21" s="156"/>
      <c r="I21" s="156"/>
      <c r="J21" s="156"/>
      <c r="K21" s="156"/>
      <c r="L21" s="156"/>
      <c r="M21" s="156"/>
      <c r="N21" s="156"/>
      <c r="O21" s="156"/>
      <c r="P21" s="110"/>
      <c r="Q21" s="110"/>
      <c r="R21" s="110"/>
      <c r="S21" s="110"/>
      <c r="T21" s="110"/>
      <c r="U21" s="110"/>
      <c r="V21" s="249"/>
      <c r="W21" s="249"/>
      <c r="X21" s="249"/>
      <c r="Y21" s="249"/>
      <c r="Z21" s="249"/>
    </row>
    <row r="22" ht="13.5" customHeight="1">
      <c r="A22" s="157"/>
      <c r="B22" s="158"/>
      <c r="C22" s="226"/>
      <c r="D22" s="172"/>
      <c r="E22" s="227"/>
      <c r="F22" s="156"/>
      <c r="G22" s="156"/>
      <c r="H22" s="156"/>
      <c r="I22" s="156"/>
      <c r="J22" s="156"/>
      <c r="K22" s="156"/>
      <c r="L22" s="156"/>
      <c r="M22" s="156"/>
      <c r="N22" s="156"/>
      <c r="O22" s="156"/>
      <c r="P22" s="110"/>
      <c r="Q22" s="110"/>
      <c r="R22" s="110"/>
      <c r="S22" s="110"/>
      <c r="T22" s="110"/>
      <c r="U22" s="110"/>
      <c r="V22" s="249"/>
      <c r="W22" s="249"/>
      <c r="X22" s="249"/>
      <c r="Y22" s="249"/>
      <c r="Z22" s="249"/>
    </row>
    <row r="23" ht="13.5" customHeight="1">
      <c r="A23" s="157"/>
      <c r="B23" s="158"/>
      <c r="C23" s="226"/>
      <c r="D23" s="172"/>
      <c r="E23" s="227"/>
      <c r="F23" s="156"/>
      <c r="G23" s="156"/>
      <c r="H23" s="156"/>
      <c r="I23" s="156"/>
      <c r="J23" s="156"/>
      <c r="K23" s="156"/>
      <c r="L23" s="156"/>
      <c r="M23" s="156"/>
      <c r="N23" s="156"/>
      <c r="O23" s="156"/>
      <c r="P23" s="110"/>
      <c r="Q23" s="110"/>
      <c r="R23" s="110"/>
      <c r="S23" s="110"/>
      <c r="T23" s="110"/>
      <c r="U23" s="110"/>
      <c r="V23" s="249"/>
      <c r="W23" s="249"/>
      <c r="X23" s="249"/>
      <c r="Y23" s="249"/>
      <c r="Z23" s="249"/>
    </row>
    <row r="24" ht="13.5" customHeight="1">
      <c r="A24" s="157"/>
      <c r="B24" s="158"/>
      <c r="C24" s="226"/>
      <c r="D24" s="172"/>
      <c r="E24" s="227"/>
      <c r="F24" s="156"/>
      <c r="G24" s="156"/>
      <c r="H24" s="156"/>
      <c r="I24" s="156"/>
      <c r="J24" s="156"/>
      <c r="K24" s="156"/>
      <c r="L24" s="156"/>
      <c r="M24" s="156"/>
      <c r="N24" s="156"/>
      <c r="O24" s="156"/>
      <c r="P24" s="110"/>
      <c r="Q24" s="110"/>
      <c r="R24" s="110"/>
      <c r="S24" s="110"/>
      <c r="T24" s="110"/>
      <c r="U24" s="110"/>
      <c r="V24" s="249"/>
      <c r="W24" s="249"/>
      <c r="X24" s="249"/>
      <c r="Y24" s="249"/>
      <c r="Z24" s="249"/>
    </row>
    <row r="25" ht="13.5" customHeight="1">
      <c r="A25" s="157"/>
      <c r="B25" s="158"/>
      <c r="C25" s="226"/>
      <c r="D25" s="172"/>
      <c r="E25" s="227"/>
      <c r="F25" s="156"/>
      <c r="G25" s="156"/>
      <c r="H25" s="156"/>
      <c r="I25" s="156"/>
      <c r="J25" s="156"/>
      <c r="K25" s="156"/>
      <c r="L25" s="156"/>
      <c r="M25" s="156"/>
      <c r="N25" s="156"/>
      <c r="O25" s="156"/>
      <c r="P25" s="110"/>
      <c r="Q25" s="110"/>
      <c r="R25" s="110"/>
      <c r="S25" s="110"/>
      <c r="T25" s="110"/>
      <c r="U25" s="110"/>
      <c r="V25" s="249"/>
      <c r="W25" s="249"/>
      <c r="X25" s="249"/>
      <c r="Y25" s="249"/>
      <c r="Z25" s="249"/>
    </row>
    <row r="26" ht="13.5" customHeight="1">
      <c r="A26" s="157"/>
      <c r="B26" s="158"/>
      <c r="C26" s="226"/>
      <c r="D26" s="172"/>
      <c r="E26" s="227"/>
      <c r="F26" s="156"/>
      <c r="G26" s="156"/>
      <c r="H26" s="156"/>
      <c r="I26" s="156"/>
      <c r="J26" s="156"/>
      <c r="K26" s="156"/>
      <c r="L26" s="156"/>
      <c r="M26" s="156"/>
      <c r="N26" s="156"/>
      <c r="O26" s="156"/>
      <c r="P26" s="110"/>
      <c r="Q26" s="110"/>
      <c r="R26" s="110"/>
      <c r="S26" s="110"/>
      <c r="T26" s="110"/>
      <c r="U26" s="110"/>
      <c r="V26" s="249"/>
      <c r="W26" s="249"/>
      <c r="X26" s="249"/>
      <c r="Y26" s="249"/>
      <c r="Z26" s="249"/>
    </row>
    <row r="27" ht="13.5" customHeight="1">
      <c r="A27" s="157"/>
      <c r="B27" s="158"/>
      <c r="C27" s="226"/>
      <c r="D27" s="172"/>
      <c r="E27" s="227"/>
      <c r="F27" s="156"/>
      <c r="G27" s="156"/>
      <c r="H27" s="156"/>
      <c r="I27" s="156"/>
      <c r="J27" s="156"/>
      <c r="K27" s="156"/>
      <c r="L27" s="156"/>
      <c r="M27" s="156"/>
      <c r="N27" s="156"/>
      <c r="O27" s="156"/>
      <c r="P27" s="110"/>
      <c r="Q27" s="110"/>
      <c r="R27" s="110"/>
      <c r="S27" s="110"/>
      <c r="T27" s="110"/>
      <c r="U27" s="110"/>
      <c r="V27" s="249"/>
      <c r="W27" s="249"/>
      <c r="X27" s="249"/>
      <c r="Y27" s="249"/>
      <c r="Z27" s="249"/>
    </row>
    <row r="28" ht="13.5" customHeight="1">
      <c r="A28" s="157"/>
      <c r="B28" s="158"/>
      <c r="C28" s="226"/>
      <c r="D28" s="172"/>
      <c r="E28" s="227"/>
      <c r="F28" s="156"/>
      <c r="G28" s="156"/>
      <c r="H28" s="156"/>
      <c r="I28" s="156"/>
      <c r="J28" s="156"/>
      <c r="K28" s="156"/>
      <c r="L28" s="156"/>
      <c r="M28" s="156"/>
      <c r="N28" s="156"/>
      <c r="O28" s="156"/>
      <c r="P28" s="110"/>
      <c r="Q28" s="110"/>
      <c r="R28" s="110"/>
      <c r="S28" s="110"/>
      <c r="T28" s="110"/>
      <c r="U28" s="110"/>
      <c r="V28" s="249"/>
      <c r="W28" s="249"/>
      <c r="X28" s="249"/>
      <c r="Y28" s="249"/>
      <c r="Z28" s="249"/>
    </row>
    <row r="29" ht="13.5" customHeight="1">
      <c r="A29" s="157"/>
      <c r="B29" s="158"/>
      <c r="C29" s="226"/>
      <c r="D29" s="172"/>
      <c r="E29" s="227"/>
      <c r="F29" s="156"/>
      <c r="G29" s="156"/>
      <c r="H29" s="156"/>
      <c r="I29" s="156"/>
      <c r="J29" s="156"/>
      <c r="K29" s="156"/>
      <c r="L29" s="156"/>
      <c r="M29" s="156"/>
      <c r="N29" s="156"/>
      <c r="O29" s="156"/>
      <c r="P29" s="110"/>
      <c r="Q29" s="110"/>
      <c r="R29" s="110"/>
      <c r="S29" s="110"/>
      <c r="T29" s="110"/>
      <c r="U29" s="110"/>
      <c r="V29" s="249"/>
      <c r="W29" s="249"/>
      <c r="X29" s="249"/>
      <c r="Y29" s="249"/>
      <c r="Z29" s="249"/>
    </row>
    <row r="30" ht="13.5" customHeight="1">
      <c r="A30" s="176" t="s">
        <v>359</v>
      </c>
      <c r="B30" s="177" t="s">
        <v>360</v>
      </c>
      <c r="C30" s="178"/>
      <c r="D30" s="179"/>
      <c r="E30" s="180"/>
      <c r="F30" s="156"/>
      <c r="G30" s="156"/>
      <c r="H30" s="156"/>
      <c r="I30" s="156"/>
      <c r="J30" s="156"/>
      <c r="K30" s="156"/>
      <c r="L30" s="156"/>
      <c r="M30" s="156"/>
      <c r="N30" s="156"/>
      <c r="O30" s="156"/>
      <c r="P30" s="110"/>
      <c r="Q30" s="110"/>
      <c r="R30" s="110"/>
      <c r="S30" s="110"/>
      <c r="T30" s="110"/>
      <c r="U30" s="110"/>
      <c r="V30" s="249"/>
      <c r="W30" s="249"/>
      <c r="X30" s="249"/>
      <c r="Y30" s="249"/>
      <c r="Z30" s="249"/>
    </row>
    <row r="31" ht="13.5" customHeight="1">
      <c r="A31" s="181"/>
      <c r="B31" s="254"/>
      <c r="C31" s="183"/>
      <c r="D31" s="184" t="s">
        <v>449</v>
      </c>
      <c r="E31" s="185"/>
      <c r="F31" s="165" t="s">
        <v>353</v>
      </c>
      <c r="G31" s="165"/>
      <c r="H31" s="165"/>
      <c r="I31" s="165"/>
      <c r="J31" s="165"/>
      <c r="K31" s="165"/>
      <c r="L31" s="165"/>
      <c r="M31" s="165"/>
      <c r="N31" s="165"/>
      <c r="O31" s="165"/>
      <c r="P31" s="110"/>
      <c r="Q31" s="110"/>
      <c r="R31" s="110"/>
      <c r="S31" s="110"/>
      <c r="T31" s="110"/>
      <c r="U31" s="110"/>
      <c r="V31" s="249"/>
      <c r="W31" s="249"/>
      <c r="X31" s="249"/>
      <c r="Y31" s="249"/>
      <c r="Z31" s="249"/>
    </row>
    <row r="32" ht="13.5" customHeight="1">
      <c r="A32" s="181"/>
      <c r="B32" s="255"/>
      <c r="C32" s="183"/>
      <c r="D32" s="184"/>
      <c r="E32" s="185"/>
      <c r="F32" s="165"/>
      <c r="G32" s="165"/>
      <c r="H32" s="165"/>
      <c r="I32" s="165"/>
      <c r="J32" s="165"/>
      <c r="K32" s="165"/>
      <c r="L32" s="165"/>
      <c r="M32" s="165"/>
      <c r="N32" s="165"/>
      <c r="O32" s="165"/>
      <c r="P32" s="110"/>
      <c r="Q32" s="110"/>
      <c r="R32" s="110"/>
      <c r="S32" s="110"/>
      <c r="T32" s="110"/>
      <c r="U32" s="110"/>
      <c r="V32" s="249"/>
      <c r="W32" s="249"/>
      <c r="X32" s="249"/>
      <c r="Y32" s="249"/>
      <c r="Z32" s="249"/>
    </row>
    <row r="33" ht="13.5" customHeight="1">
      <c r="A33" s="181"/>
      <c r="B33" s="254"/>
      <c r="C33" s="183"/>
      <c r="D33" s="184" t="s">
        <v>450</v>
      </c>
      <c r="E33" s="185"/>
      <c r="F33" s="165"/>
      <c r="G33" s="165" t="s">
        <v>353</v>
      </c>
      <c r="H33" s="165"/>
      <c r="I33" s="165"/>
      <c r="J33" s="165"/>
      <c r="K33" s="165"/>
      <c r="L33" s="165"/>
      <c r="M33" s="165"/>
      <c r="N33" s="165"/>
      <c r="O33" s="165"/>
      <c r="P33" s="110"/>
      <c r="Q33" s="110"/>
      <c r="R33" s="110"/>
      <c r="S33" s="110"/>
      <c r="T33" s="110"/>
      <c r="U33" s="110"/>
      <c r="V33" s="249"/>
      <c r="W33" s="249"/>
      <c r="X33" s="249"/>
      <c r="Y33" s="249"/>
      <c r="Z33" s="249"/>
    </row>
    <row r="34" ht="13.5" customHeight="1">
      <c r="A34" s="181"/>
      <c r="B34" s="254"/>
      <c r="C34" s="183"/>
      <c r="D34" s="184" t="s">
        <v>451</v>
      </c>
      <c r="E34" s="185"/>
      <c r="F34" s="165"/>
      <c r="G34" s="165"/>
      <c r="H34" s="165" t="s">
        <v>353</v>
      </c>
      <c r="I34" s="165"/>
      <c r="J34" s="165"/>
      <c r="K34" s="165"/>
      <c r="L34" s="165"/>
      <c r="M34" s="165"/>
      <c r="N34" s="165"/>
      <c r="O34" s="165"/>
      <c r="P34" s="110"/>
      <c r="Q34" s="110"/>
      <c r="R34" s="110"/>
      <c r="S34" s="110"/>
      <c r="T34" s="110"/>
      <c r="U34" s="110"/>
      <c r="V34" s="249"/>
      <c r="W34" s="249"/>
      <c r="X34" s="249"/>
      <c r="Y34" s="249"/>
      <c r="Z34" s="249"/>
    </row>
    <row r="35" ht="13.5" customHeight="1">
      <c r="A35" s="181"/>
      <c r="B35" s="255"/>
      <c r="C35" s="183"/>
      <c r="D35" s="184"/>
      <c r="E35" s="185"/>
      <c r="F35" s="165"/>
      <c r="G35" s="165"/>
      <c r="H35" s="165"/>
      <c r="I35" s="165"/>
      <c r="J35" s="165"/>
      <c r="K35" s="165"/>
      <c r="L35" s="165"/>
      <c r="M35" s="165"/>
      <c r="N35" s="165"/>
      <c r="O35" s="165"/>
      <c r="P35" s="110"/>
      <c r="Q35" s="110"/>
      <c r="R35" s="110"/>
      <c r="S35" s="110"/>
      <c r="T35" s="110"/>
      <c r="U35" s="110"/>
      <c r="V35" s="249"/>
      <c r="W35" s="249"/>
      <c r="X35" s="249"/>
      <c r="Y35" s="249"/>
      <c r="Z35" s="249"/>
    </row>
    <row r="36" ht="13.5" customHeight="1">
      <c r="A36" s="181"/>
      <c r="B36" s="254"/>
      <c r="C36" s="183"/>
      <c r="D36" s="184" t="s">
        <v>452</v>
      </c>
      <c r="E36" s="185"/>
      <c r="F36" s="165"/>
      <c r="G36" s="165"/>
      <c r="H36" s="165"/>
      <c r="I36" s="165" t="s">
        <v>353</v>
      </c>
      <c r="J36" s="165"/>
      <c r="K36" s="165"/>
      <c r="L36" s="165"/>
      <c r="M36" s="165"/>
      <c r="N36" s="165"/>
      <c r="O36" s="165"/>
      <c r="P36" s="110"/>
      <c r="Q36" s="110"/>
      <c r="R36" s="110"/>
      <c r="S36" s="110"/>
      <c r="T36" s="110"/>
      <c r="U36" s="110"/>
      <c r="V36" s="249"/>
      <c r="W36" s="249"/>
      <c r="X36" s="249"/>
      <c r="Y36" s="249"/>
      <c r="Z36" s="249"/>
    </row>
    <row r="37" ht="13.5" customHeight="1">
      <c r="A37" s="181"/>
      <c r="B37" s="182"/>
      <c r="C37" s="183"/>
      <c r="D37" s="184"/>
      <c r="E37" s="188"/>
      <c r="F37" s="165"/>
      <c r="G37" s="165"/>
      <c r="H37" s="165"/>
      <c r="I37" s="165"/>
      <c r="J37" s="165"/>
      <c r="K37" s="165"/>
      <c r="L37" s="165"/>
      <c r="M37" s="165"/>
      <c r="N37" s="165"/>
      <c r="O37" s="165"/>
      <c r="P37" s="110"/>
      <c r="Q37" s="110"/>
      <c r="R37" s="110"/>
      <c r="S37" s="110"/>
      <c r="T37" s="110"/>
      <c r="U37" s="110"/>
      <c r="V37" s="249"/>
      <c r="W37" s="249"/>
      <c r="X37" s="249"/>
      <c r="Y37" s="249"/>
      <c r="Z37" s="249"/>
    </row>
    <row r="38" ht="13.5" customHeight="1">
      <c r="A38" s="181"/>
      <c r="B38" s="182"/>
      <c r="C38" s="183"/>
      <c r="D38" s="184"/>
      <c r="E38" s="188"/>
      <c r="F38" s="165"/>
      <c r="G38" s="165"/>
      <c r="H38" s="165"/>
      <c r="I38" s="165"/>
      <c r="J38" s="165"/>
      <c r="K38" s="165"/>
      <c r="L38" s="165"/>
      <c r="M38" s="165"/>
      <c r="N38" s="165"/>
      <c r="O38" s="165"/>
      <c r="P38" s="110"/>
      <c r="Q38" s="110"/>
      <c r="R38" s="110"/>
      <c r="S38" s="110"/>
      <c r="T38" s="110"/>
      <c r="U38" s="110"/>
      <c r="V38" s="249"/>
      <c r="W38" s="249"/>
      <c r="X38" s="249"/>
      <c r="Y38" s="249"/>
      <c r="Z38" s="249"/>
    </row>
    <row r="39" ht="13.5" customHeight="1">
      <c r="A39" s="181"/>
      <c r="B39" s="182"/>
      <c r="C39" s="183"/>
      <c r="D39" s="184"/>
      <c r="E39" s="188"/>
      <c r="F39" s="165"/>
      <c r="G39" s="165"/>
      <c r="H39" s="165"/>
      <c r="I39" s="165"/>
      <c r="J39" s="165"/>
      <c r="K39" s="165"/>
      <c r="L39" s="165"/>
      <c r="M39" s="165"/>
      <c r="N39" s="165"/>
      <c r="O39" s="165"/>
      <c r="P39" s="110"/>
      <c r="Q39" s="110"/>
      <c r="R39" s="110"/>
      <c r="S39" s="110"/>
      <c r="T39" s="110"/>
      <c r="U39" s="110"/>
      <c r="V39" s="249"/>
      <c r="W39" s="249"/>
      <c r="X39" s="249"/>
      <c r="Y39" s="249"/>
      <c r="Z39" s="249"/>
    </row>
    <row r="40" ht="13.5" customHeight="1">
      <c r="A40" s="181"/>
      <c r="B40" s="182"/>
      <c r="C40" s="183"/>
      <c r="D40" s="184"/>
      <c r="E40" s="188"/>
      <c r="F40" s="165"/>
      <c r="G40" s="165"/>
      <c r="H40" s="165"/>
      <c r="I40" s="165"/>
      <c r="J40" s="165"/>
      <c r="K40" s="165"/>
      <c r="L40" s="165"/>
      <c r="M40" s="165"/>
      <c r="N40" s="165"/>
      <c r="O40" s="165"/>
      <c r="P40" s="110"/>
      <c r="Q40" s="110"/>
      <c r="R40" s="110"/>
      <c r="S40" s="110"/>
      <c r="T40" s="110"/>
      <c r="U40" s="110"/>
      <c r="V40" s="249"/>
      <c r="W40" s="249"/>
      <c r="X40" s="249"/>
      <c r="Y40" s="249"/>
      <c r="Z40" s="249"/>
    </row>
    <row r="41" ht="13.5" customHeight="1">
      <c r="A41" s="262"/>
      <c r="B41" s="182"/>
      <c r="C41" s="183"/>
      <c r="D41" s="184"/>
      <c r="E41" s="188"/>
      <c r="F41" s="165"/>
      <c r="G41" s="165"/>
      <c r="H41" s="165"/>
      <c r="I41" s="165"/>
      <c r="J41" s="165"/>
      <c r="K41" s="165"/>
      <c r="L41" s="165"/>
      <c r="M41" s="165"/>
      <c r="N41" s="165"/>
      <c r="O41" s="165"/>
      <c r="P41" s="110"/>
      <c r="Q41" s="110"/>
      <c r="R41" s="110"/>
      <c r="S41" s="110"/>
      <c r="T41" s="110"/>
      <c r="U41" s="110"/>
      <c r="V41" s="249"/>
      <c r="W41" s="249"/>
      <c r="X41" s="249"/>
      <c r="Y41" s="249"/>
      <c r="Z41" s="249"/>
    </row>
    <row r="42" ht="13.5" customHeight="1">
      <c r="A42" s="264"/>
      <c r="B42" s="237"/>
      <c r="C42" s="238"/>
      <c r="D42" s="239"/>
      <c r="E42" s="265"/>
      <c r="F42" s="156"/>
      <c r="G42" s="156"/>
      <c r="H42" s="156"/>
      <c r="I42" s="156"/>
      <c r="J42" s="156"/>
      <c r="K42" s="156"/>
      <c r="L42" s="156"/>
      <c r="M42" s="156"/>
      <c r="N42" s="156"/>
      <c r="O42" s="156"/>
      <c r="P42" s="110"/>
      <c r="Q42" s="110"/>
      <c r="R42" s="110"/>
      <c r="S42" s="110"/>
      <c r="T42" s="110"/>
      <c r="U42" s="110"/>
      <c r="V42" s="249"/>
      <c r="W42" s="249"/>
      <c r="X42" s="249"/>
      <c r="Y42" s="249"/>
      <c r="Z42" s="249"/>
    </row>
    <row r="43" ht="13.5" customHeight="1">
      <c r="A43" s="264"/>
      <c r="B43" s="237"/>
      <c r="C43" s="238"/>
      <c r="D43" s="239"/>
      <c r="E43" s="265"/>
      <c r="F43" s="156"/>
      <c r="G43" s="156"/>
      <c r="H43" s="156"/>
      <c r="I43" s="156"/>
      <c r="J43" s="156"/>
      <c r="K43" s="156"/>
      <c r="L43" s="156"/>
      <c r="M43" s="156"/>
      <c r="N43" s="156"/>
      <c r="O43" s="156"/>
      <c r="P43" s="110"/>
      <c r="Q43" s="110"/>
      <c r="R43" s="110"/>
      <c r="S43" s="110"/>
      <c r="T43" s="110"/>
      <c r="U43" s="110"/>
      <c r="V43" s="249"/>
      <c r="W43" s="249"/>
      <c r="X43" s="249"/>
      <c r="Y43" s="249"/>
      <c r="Z43" s="249"/>
    </row>
    <row r="44" ht="13.5" customHeight="1">
      <c r="A44" s="264"/>
      <c r="B44" s="237"/>
      <c r="C44" s="238"/>
      <c r="D44" s="239"/>
      <c r="E44" s="265"/>
      <c r="F44" s="156"/>
      <c r="G44" s="156"/>
      <c r="H44" s="156"/>
      <c r="I44" s="156"/>
      <c r="J44" s="156"/>
      <c r="K44" s="156"/>
      <c r="L44" s="156"/>
      <c r="M44" s="156"/>
      <c r="N44" s="156"/>
      <c r="O44" s="156"/>
      <c r="P44" s="110"/>
      <c r="Q44" s="110"/>
      <c r="R44" s="110"/>
      <c r="S44" s="110"/>
      <c r="T44" s="110"/>
      <c r="U44" s="110"/>
      <c r="V44" s="249"/>
      <c r="W44" s="249"/>
      <c r="X44" s="249"/>
      <c r="Y44" s="249"/>
      <c r="Z44" s="249"/>
    </row>
    <row r="45" ht="13.5" customHeight="1">
      <c r="A45" s="228" t="s">
        <v>367</v>
      </c>
      <c r="B45" s="240" t="s">
        <v>368</v>
      </c>
      <c r="C45" s="225"/>
      <c r="D45" s="241"/>
      <c r="E45" s="200"/>
      <c r="F45" s="201" t="s">
        <v>220</v>
      </c>
      <c r="G45" s="201" t="s">
        <v>220</v>
      </c>
      <c r="H45" s="201" t="s">
        <v>38</v>
      </c>
      <c r="I45" s="201" t="s">
        <v>221</v>
      </c>
      <c r="J45" s="201"/>
      <c r="K45" s="201"/>
      <c r="L45" s="201"/>
      <c r="M45" s="201"/>
      <c r="N45" s="201"/>
      <c r="O45" s="201"/>
      <c r="P45" s="110"/>
      <c r="Q45" s="110"/>
      <c r="R45" s="110"/>
      <c r="S45" s="110"/>
      <c r="T45" s="110"/>
      <c r="U45" s="110"/>
      <c r="V45" s="249"/>
      <c r="W45" s="249"/>
      <c r="X45" s="249"/>
      <c r="Y45" s="249"/>
      <c r="Z45" s="249"/>
    </row>
    <row r="46" ht="13.5" customHeight="1">
      <c r="A46" s="260"/>
      <c r="B46" s="204" t="s">
        <v>369</v>
      </c>
      <c r="C46" s="12"/>
      <c r="D46" s="13"/>
      <c r="E46" s="205"/>
      <c r="F46" s="206"/>
      <c r="G46" s="206"/>
      <c r="H46" s="206"/>
      <c r="I46" s="206"/>
      <c r="J46" s="206"/>
      <c r="K46" s="206"/>
      <c r="L46" s="206"/>
      <c r="M46" s="206"/>
      <c r="N46" s="206"/>
      <c r="O46" s="206"/>
      <c r="P46" s="110"/>
      <c r="Q46" s="110"/>
      <c r="R46" s="110"/>
      <c r="S46" s="110"/>
      <c r="T46" s="110"/>
      <c r="U46" s="110"/>
      <c r="V46" s="249"/>
      <c r="W46" s="249"/>
      <c r="X46" s="249"/>
      <c r="Y46" s="249"/>
      <c r="Z46" s="249"/>
    </row>
    <row r="47" ht="13.5" customHeight="1">
      <c r="A47" s="260"/>
      <c r="B47" s="208" t="s">
        <v>371</v>
      </c>
      <c r="C47" s="12"/>
      <c r="D47" s="13"/>
      <c r="E47" s="209"/>
      <c r="F47" s="210"/>
      <c r="G47" s="210"/>
      <c r="H47" s="210"/>
      <c r="I47" s="210"/>
      <c r="J47" s="210"/>
      <c r="K47" s="210"/>
      <c r="L47" s="210"/>
      <c r="M47" s="210"/>
      <c r="N47" s="210"/>
      <c r="O47" s="210"/>
      <c r="P47" s="110"/>
      <c r="Q47" s="110"/>
      <c r="R47" s="110"/>
      <c r="S47" s="110"/>
      <c r="T47" s="110"/>
      <c r="U47" s="110"/>
      <c r="V47" s="249"/>
      <c r="W47" s="249"/>
      <c r="X47" s="249"/>
      <c r="Y47" s="249"/>
      <c r="Z47" s="249"/>
    </row>
    <row r="48" ht="12.0" customHeight="1">
      <c r="A48" s="261"/>
      <c r="B48" s="215" t="s">
        <v>372</v>
      </c>
      <c r="C48" s="216"/>
      <c r="D48" s="217"/>
      <c r="E48" s="218"/>
      <c r="F48" s="219"/>
      <c r="G48" s="219"/>
      <c r="H48" s="219"/>
      <c r="I48" s="219"/>
      <c r="J48" s="219"/>
      <c r="K48" s="219"/>
      <c r="L48" s="219"/>
      <c r="M48" s="219"/>
      <c r="N48" s="219"/>
      <c r="O48" s="219"/>
      <c r="P48" s="110"/>
      <c r="Q48" s="110"/>
      <c r="R48" s="110"/>
      <c r="S48" s="110"/>
      <c r="T48" s="110"/>
      <c r="U48" s="110"/>
      <c r="V48" s="249"/>
      <c r="W48" s="249"/>
      <c r="X48" s="249"/>
      <c r="Y48" s="249"/>
      <c r="Z48" s="249"/>
    </row>
    <row r="49" ht="12.0" customHeight="1">
      <c r="A49" s="143"/>
      <c r="B49" s="110"/>
      <c r="C49" s="111"/>
      <c r="D49" s="110"/>
      <c r="E49" s="110"/>
      <c r="F49" s="110"/>
      <c r="G49" s="110"/>
      <c r="H49" s="110"/>
      <c r="I49" s="110"/>
      <c r="J49" s="110"/>
      <c r="K49" s="110"/>
      <c r="L49" s="110"/>
      <c r="M49" s="110"/>
      <c r="N49" s="110"/>
      <c r="O49" s="110"/>
      <c r="P49" s="110"/>
      <c r="Q49" s="110"/>
      <c r="R49" s="110"/>
      <c r="S49" s="110"/>
      <c r="T49" s="110"/>
      <c r="U49" s="110"/>
      <c r="V49" s="249"/>
      <c r="W49" s="249"/>
      <c r="X49" s="249"/>
      <c r="Y49" s="249"/>
      <c r="Z49" s="249"/>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249"/>
      <c r="W50" s="249"/>
      <c r="X50" s="249"/>
      <c r="Y50" s="249"/>
      <c r="Z50" s="249"/>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249"/>
      <c r="W51" s="249"/>
      <c r="X51" s="249"/>
      <c r="Y51" s="249"/>
      <c r="Z51" s="249"/>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249"/>
      <c r="W52" s="249"/>
      <c r="X52" s="249"/>
      <c r="Y52" s="249"/>
      <c r="Z52" s="249"/>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249"/>
      <c r="W53" s="249"/>
      <c r="X53" s="249"/>
      <c r="Y53" s="249"/>
      <c r="Z53" s="249"/>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249"/>
      <c r="W54" s="249"/>
      <c r="X54" s="249"/>
      <c r="Y54" s="249"/>
      <c r="Z54" s="249"/>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249"/>
      <c r="W55" s="249"/>
      <c r="X55" s="249"/>
      <c r="Y55" s="249"/>
      <c r="Z55" s="249"/>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249"/>
      <c r="W56" s="249"/>
      <c r="X56" s="249"/>
      <c r="Y56" s="249"/>
      <c r="Z56" s="249"/>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249"/>
      <c r="W57" s="249"/>
      <c r="X57" s="249"/>
      <c r="Y57" s="249"/>
      <c r="Z57" s="249"/>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249"/>
      <c r="W58" s="249"/>
      <c r="X58" s="249"/>
      <c r="Y58" s="249"/>
      <c r="Z58" s="249"/>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249"/>
      <c r="W59" s="249"/>
      <c r="X59" s="249"/>
      <c r="Y59" s="249"/>
      <c r="Z59" s="249"/>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249"/>
      <c r="W60" s="249"/>
      <c r="X60" s="249"/>
      <c r="Y60" s="249"/>
      <c r="Z60" s="249"/>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249"/>
      <c r="W61" s="249"/>
      <c r="X61" s="249"/>
      <c r="Y61" s="249"/>
      <c r="Z61" s="249"/>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249"/>
      <c r="W62" s="249"/>
      <c r="X62" s="249"/>
      <c r="Y62" s="249"/>
      <c r="Z62" s="249"/>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249"/>
      <c r="W63" s="249"/>
      <c r="X63" s="249"/>
      <c r="Y63" s="249"/>
      <c r="Z63" s="249"/>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249"/>
      <c r="W64" s="249"/>
      <c r="X64" s="249"/>
      <c r="Y64" s="249"/>
      <c r="Z64" s="249"/>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249"/>
      <c r="W65" s="249"/>
      <c r="X65" s="249"/>
      <c r="Y65" s="249"/>
      <c r="Z65" s="249"/>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249"/>
      <c r="W66" s="249"/>
      <c r="X66" s="249"/>
      <c r="Y66" s="249"/>
      <c r="Z66" s="249"/>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249"/>
      <c r="W67" s="249"/>
      <c r="X67" s="249"/>
      <c r="Y67" s="249"/>
      <c r="Z67" s="249"/>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249"/>
      <c r="W68" s="249"/>
      <c r="X68" s="249"/>
      <c r="Y68" s="249"/>
      <c r="Z68" s="249"/>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249"/>
      <c r="W69" s="249"/>
      <c r="X69" s="249"/>
      <c r="Y69" s="249"/>
      <c r="Z69" s="249"/>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249"/>
      <c r="W70" s="249"/>
      <c r="X70" s="249"/>
      <c r="Y70" s="249"/>
      <c r="Z70" s="249"/>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249"/>
      <c r="W71" s="249"/>
      <c r="X71" s="249"/>
      <c r="Y71" s="249"/>
      <c r="Z71" s="249"/>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249"/>
      <c r="W72" s="249"/>
      <c r="X72" s="249"/>
      <c r="Y72" s="249"/>
      <c r="Z72" s="249"/>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249"/>
      <c r="W73" s="249"/>
      <c r="X73" s="249"/>
      <c r="Y73" s="249"/>
      <c r="Z73" s="249"/>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249"/>
      <c r="W74" s="249"/>
      <c r="X74" s="249"/>
      <c r="Y74" s="249"/>
      <c r="Z74" s="249"/>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249"/>
      <c r="W75" s="249"/>
      <c r="X75" s="249"/>
      <c r="Y75" s="249"/>
      <c r="Z75" s="249"/>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249"/>
      <c r="W76" s="249"/>
      <c r="X76" s="249"/>
      <c r="Y76" s="249"/>
      <c r="Z76" s="249"/>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249"/>
      <c r="W77" s="249"/>
      <c r="X77" s="249"/>
      <c r="Y77" s="249"/>
      <c r="Z77" s="249"/>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249"/>
      <c r="W78" s="249"/>
      <c r="X78" s="249"/>
      <c r="Y78" s="249"/>
      <c r="Z78" s="249"/>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249"/>
      <c r="W79" s="249"/>
      <c r="X79" s="249"/>
      <c r="Y79" s="249"/>
      <c r="Z79" s="249"/>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249"/>
      <c r="W80" s="249"/>
      <c r="X80" s="249"/>
      <c r="Y80" s="249"/>
      <c r="Z80" s="249"/>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249"/>
      <c r="W81" s="249"/>
      <c r="X81" s="249"/>
      <c r="Y81" s="249"/>
      <c r="Z81" s="249"/>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249"/>
      <c r="W82" s="249"/>
      <c r="X82" s="249"/>
      <c r="Y82" s="249"/>
      <c r="Z82" s="249"/>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249"/>
      <c r="W83" s="249"/>
      <c r="X83" s="249"/>
      <c r="Y83" s="249"/>
      <c r="Z83" s="249"/>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249"/>
      <c r="W84" s="249"/>
      <c r="X84" s="249"/>
      <c r="Y84" s="249"/>
      <c r="Z84" s="249"/>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249"/>
      <c r="W85" s="249"/>
      <c r="X85" s="249"/>
      <c r="Y85" s="249"/>
      <c r="Z85" s="249"/>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249"/>
      <c r="W86" s="249"/>
      <c r="X86" s="249"/>
      <c r="Y86" s="249"/>
      <c r="Z86" s="249"/>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249"/>
      <c r="W87" s="249"/>
      <c r="X87" s="249"/>
      <c r="Y87" s="249"/>
      <c r="Z87" s="249"/>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249"/>
      <c r="W88" s="249"/>
      <c r="X88" s="249"/>
      <c r="Y88" s="249"/>
      <c r="Z88" s="249"/>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249"/>
      <c r="W89" s="249"/>
      <c r="X89" s="249"/>
      <c r="Y89" s="249"/>
      <c r="Z89" s="249"/>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249"/>
      <c r="W90" s="249"/>
      <c r="X90" s="249"/>
      <c r="Y90" s="249"/>
      <c r="Z90" s="249"/>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249"/>
      <c r="W91" s="249"/>
      <c r="X91" s="249"/>
      <c r="Y91" s="249"/>
      <c r="Z91" s="249"/>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249"/>
      <c r="W92" s="249"/>
      <c r="X92" s="249"/>
      <c r="Y92" s="249"/>
      <c r="Z92" s="249"/>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249"/>
      <c r="W93" s="249"/>
      <c r="X93" s="249"/>
      <c r="Y93" s="249"/>
      <c r="Z93" s="249"/>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249"/>
      <c r="W94" s="249"/>
      <c r="X94" s="249"/>
      <c r="Y94" s="249"/>
      <c r="Z94" s="249"/>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249"/>
      <c r="W95" s="249"/>
      <c r="X95" s="249"/>
      <c r="Y95" s="249"/>
      <c r="Z95" s="249"/>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249"/>
      <c r="W96" s="249"/>
      <c r="X96" s="249"/>
      <c r="Y96" s="249"/>
      <c r="Z96" s="249"/>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249"/>
      <c r="W97" s="249"/>
      <c r="X97" s="249"/>
      <c r="Y97" s="249"/>
      <c r="Z97" s="249"/>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249"/>
      <c r="W98" s="249"/>
      <c r="X98" s="249"/>
      <c r="Y98" s="249"/>
      <c r="Z98" s="249"/>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249"/>
      <c r="W99" s="249"/>
      <c r="X99" s="249"/>
      <c r="Y99" s="249"/>
      <c r="Z99" s="249"/>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249"/>
      <c r="W100" s="249"/>
      <c r="X100" s="249"/>
      <c r="Y100" s="249"/>
      <c r="Z100" s="249"/>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249"/>
      <c r="W101" s="249"/>
      <c r="X101" s="249"/>
      <c r="Y101" s="249"/>
      <c r="Z101" s="249"/>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249"/>
      <c r="W102" s="249"/>
      <c r="X102" s="249"/>
      <c r="Y102" s="249"/>
      <c r="Z102" s="249"/>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249"/>
      <c r="W103" s="249"/>
      <c r="X103" s="249"/>
      <c r="Y103" s="249"/>
      <c r="Z103" s="249"/>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249"/>
      <c r="W104" s="249"/>
      <c r="X104" s="249"/>
      <c r="Y104" s="249"/>
      <c r="Z104" s="249"/>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249"/>
      <c r="W105" s="249"/>
      <c r="X105" s="249"/>
      <c r="Y105" s="249"/>
      <c r="Z105" s="249"/>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249"/>
      <c r="W106" s="249"/>
      <c r="X106" s="249"/>
      <c r="Y106" s="249"/>
      <c r="Z106" s="249"/>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249"/>
      <c r="W107" s="249"/>
      <c r="X107" s="249"/>
      <c r="Y107" s="249"/>
      <c r="Z107" s="249"/>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249"/>
      <c r="W108" s="249"/>
      <c r="X108" s="249"/>
      <c r="Y108" s="249"/>
      <c r="Z108" s="249"/>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249"/>
      <c r="W109" s="249"/>
      <c r="X109" s="249"/>
      <c r="Y109" s="249"/>
      <c r="Z109" s="249"/>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249"/>
      <c r="W110" s="249"/>
      <c r="X110" s="249"/>
      <c r="Y110" s="249"/>
      <c r="Z110" s="249"/>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249"/>
      <c r="W111" s="249"/>
      <c r="X111" s="249"/>
      <c r="Y111" s="249"/>
      <c r="Z111" s="249"/>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249"/>
      <c r="W112" s="249"/>
      <c r="X112" s="249"/>
      <c r="Y112" s="249"/>
      <c r="Z112" s="249"/>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249"/>
      <c r="W113" s="249"/>
      <c r="X113" s="249"/>
      <c r="Y113" s="249"/>
      <c r="Z113" s="249"/>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249"/>
      <c r="W114" s="249"/>
      <c r="X114" s="249"/>
      <c r="Y114" s="249"/>
      <c r="Z114" s="249"/>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249"/>
      <c r="W115" s="249"/>
      <c r="X115" s="249"/>
      <c r="Y115" s="249"/>
      <c r="Z115" s="249"/>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249"/>
      <c r="W116" s="249"/>
      <c r="X116" s="249"/>
      <c r="Y116" s="249"/>
      <c r="Z116" s="249"/>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249"/>
      <c r="W117" s="249"/>
      <c r="X117" s="249"/>
      <c r="Y117" s="249"/>
      <c r="Z117" s="249"/>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249"/>
      <c r="W118" s="249"/>
      <c r="X118" s="249"/>
      <c r="Y118" s="249"/>
      <c r="Z118" s="249"/>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249"/>
      <c r="W119" s="249"/>
      <c r="X119" s="249"/>
      <c r="Y119" s="249"/>
      <c r="Z119" s="249"/>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249"/>
      <c r="W120" s="249"/>
      <c r="X120" s="249"/>
      <c r="Y120" s="249"/>
      <c r="Z120" s="249"/>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249"/>
      <c r="W121" s="249"/>
      <c r="X121" s="249"/>
      <c r="Y121" s="249"/>
      <c r="Z121" s="249"/>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249"/>
      <c r="W122" s="249"/>
      <c r="X122" s="249"/>
      <c r="Y122" s="249"/>
      <c r="Z122" s="249"/>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249"/>
      <c r="W123" s="249"/>
      <c r="X123" s="249"/>
      <c r="Y123" s="249"/>
      <c r="Z123" s="249"/>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249"/>
      <c r="W124" s="249"/>
      <c r="X124" s="249"/>
      <c r="Y124" s="249"/>
      <c r="Z124" s="249"/>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249"/>
      <c r="W125" s="249"/>
      <c r="X125" s="249"/>
      <c r="Y125" s="249"/>
      <c r="Z125" s="249"/>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249"/>
      <c r="W126" s="249"/>
      <c r="X126" s="249"/>
      <c r="Y126" s="249"/>
      <c r="Z126" s="249"/>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249"/>
      <c r="W127" s="249"/>
      <c r="X127" s="249"/>
      <c r="Y127" s="249"/>
      <c r="Z127" s="249"/>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249"/>
      <c r="W128" s="249"/>
      <c r="X128" s="249"/>
      <c r="Y128" s="249"/>
      <c r="Z128" s="249"/>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249"/>
      <c r="W129" s="249"/>
      <c r="X129" s="249"/>
      <c r="Y129" s="249"/>
      <c r="Z129" s="249"/>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249"/>
      <c r="W130" s="249"/>
      <c r="X130" s="249"/>
      <c r="Y130" s="249"/>
      <c r="Z130" s="249"/>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249"/>
      <c r="W131" s="249"/>
      <c r="X131" s="249"/>
      <c r="Y131" s="249"/>
      <c r="Z131" s="249"/>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249"/>
      <c r="W132" s="249"/>
      <c r="X132" s="249"/>
      <c r="Y132" s="249"/>
      <c r="Z132" s="249"/>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249"/>
      <c r="W133" s="249"/>
      <c r="X133" s="249"/>
      <c r="Y133" s="249"/>
      <c r="Z133" s="249"/>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249"/>
      <c r="W134" s="249"/>
      <c r="X134" s="249"/>
      <c r="Y134" s="249"/>
      <c r="Z134" s="249"/>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249"/>
      <c r="W135" s="249"/>
      <c r="X135" s="249"/>
      <c r="Y135" s="249"/>
      <c r="Z135" s="249"/>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249"/>
      <c r="W136" s="249"/>
      <c r="X136" s="249"/>
      <c r="Y136" s="249"/>
      <c r="Z136" s="249"/>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249"/>
      <c r="W137" s="249"/>
      <c r="X137" s="249"/>
      <c r="Y137" s="249"/>
      <c r="Z137" s="249"/>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249"/>
      <c r="W138" s="249"/>
      <c r="X138" s="249"/>
      <c r="Y138" s="249"/>
      <c r="Z138" s="249"/>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249"/>
      <c r="W139" s="249"/>
      <c r="X139" s="249"/>
      <c r="Y139" s="249"/>
      <c r="Z139" s="249"/>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249"/>
      <c r="W140" s="249"/>
      <c r="X140" s="249"/>
      <c r="Y140" s="249"/>
      <c r="Z140" s="249"/>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249"/>
      <c r="W141" s="249"/>
      <c r="X141" s="249"/>
      <c r="Y141" s="249"/>
      <c r="Z141" s="249"/>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249"/>
      <c r="W142" s="249"/>
      <c r="X142" s="249"/>
      <c r="Y142" s="249"/>
      <c r="Z142" s="249"/>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249"/>
      <c r="W143" s="249"/>
      <c r="X143" s="249"/>
      <c r="Y143" s="249"/>
      <c r="Z143" s="249"/>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249"/>
      <c r="W144" s="249"/>
      <c r="X144" s="249"/>
      <c r="Y144" s="249"/>
      <c r="Z144" s="249"/>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249"/>
      <c r="W145" s="249"/>
      <c r="X145" s="249"/>
      <c r="Y145" s="249"/>
      <c r="Z145" s="249"/>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249"/>
      <c r="W146" s="249"/>
      <c r="X146" s="249"/>
      <c r="Y146" s="249"/>
      <c r="Z146" s="249"/>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249"/>
      <c r="W147" s="249"/>
      <c r="X147" s="249"/>
      <c r="Y147" s="249"/>
      <c r="Z147" s="249"/>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249"/>
      <c r="W148" s="249"/>
      <c r="X148" s="249"/>
      <c r="Y148" s="249"/>
      <c r="Z148" s="249"/>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249"/>
      <c r="W149" s="249"/>
      <c r="X149" s="249"/>
      <c r="Y149" s="249"/>
      <c r="Z149" s="249"/>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249"/>
      <c r="W150" s="249"/>
      <c r="X150" s="249"/>
      <c r="Y150" s="249"/>
      <c r="Z150" s="249"/>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249"/>
      <c r="W151" s="249"/>
      <c r="X151" s="249"/>
      <c r="Y151" s="249"/>
      <c r="Z151" s="249"/>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249"/>
      <c r="W152" s="249"/>
      <c r="X152" s="249"/>
      <c r="Y152" s="249"/>
      <c r="Z152" s="249"/>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249"/>
      <c r="W153" s="249"/>
      <c r="X153" s="249"/>
      <c r="Y153" s="249"/>
      <c r="Z153" s="249"/>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249"/>
      <c r="W154" s="249"/>
      <c r="X154" s="249"/>
      <c r="Y154" s="249"/>
      <c r="Z154" s="249"/>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249"/>
      <c r="W155" s="249"/>
      <c r="X155" s="249"/>
      <c r="Y155" s="249"/>
      <c r="Z155" s="249"/>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249"/>
      <c r="W156" s="249"/>
      <c r="X156" s="249"/>
      <c r="Y156" s="249"/>
      <c r="Z156" s="249"/>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249"/>
      <c r="W157" s="249"/>
      <c r="X157" s="249"/>
      <c r="Y157" s="249"/>
      <c r="Z157" s="249"/>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249"/>
      <c r="W158" s="249"/>
      <c r="X158" s="249"/>
      <c r="Y158" s="249"/>
      <c r="Z158" s="249"/>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249"/>
      <c r="W159" s="249"/>
      <c r="X159" s="249"/>
      <c r="Y159" s="249"/>
      <c r="Z159" s="249"/>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249"/>
      <c r="W160" s="249"/>
      <c r="X160" s="249"/>
      <c r="Y160" s="249"/>
      <c r="Z160" s="249"/>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249"/>
      <c r="W161" s="249"/>
      <c r="X161" s="249"/>
      <c r="Y161" s="249"/>
      <c r="Z161" s="249"/>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249"/>
      <c r="W162" s="249"/>
      <c r="X162" s="249"/>
      <c r="Y162" s="249"/>
      <c r="Z162" s="249"/>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249"/>
      <c r="W163" s="249"/>
      <c r="X163" s="249"/>
      <c r="Y163" s="249"/>
      <c r="Z163" s="249"/>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249"/>
      <c r="W164" s="249"/>
      <c r="X164" s="249"/>
      <c r="Y164" s="249"/>
      <c r="Z164" s="249"/>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249"/>
      <c r="W165" s="249"/>
      <c r="X165" s="249"/>
      <c r="Y165" s="249"/>
      <c r="Z165" s="249"/>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249"/>
      <c r="W166" s="249"/>
      <c r="X166" s="249"/>
      <c r="Y166" s="249"/>
      <c r="Z166" s="249"/>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249"/>
      <c r="W167" s="249"/>
      <c r="X167" s="249"/>
      <c r="Y167" s="249"/>
      <c r="Z167" s="249"/>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249"/>
      <c r="W168" s="249"/>
      <c r="X168" s="249"/>
      <c r="Y168" s="249"/>
      <c r="Z168" s="249"/>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249"/>
      <c r="W169" s="249"/>
      <c r="X169" s="249"/>
      <c r="Y169" s="249"/>
      <c r="Z169" s="249"/>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249"/>
      <c r="W170" s="249"/>
      <c r="X170" s="249"/>
      <c r="Y170" s="249"/>
      <c r="Z170" s="249"/>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249"/>
      <c r="W171" s="249"/>
      <c r="X171" s="249"/>
      <c r="Y171" s="249"/>
      <c r="Z171" s="249"/>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249"/>
      <c r="W172" s="249"/>
      <c r="X172" s="249"/>
      <c r="Y172" s="249"/>
      <c r="Z172" s="249"/>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249"/>
      <c r="W173" s="249"/>
      <c r="X173" s="249"/>
      <c r="Y173" s="249"/>
      <c r="Z173" s="249"/>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249"/>
      <c r="W174" s="249"/>
      <c r="X174" s="249"/>
      <c r="Y174" s="249"/>
      <c r="Z174" s="249"/>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249"/>
      <c r="W175" s="249"/>
      <c r="X175" s="249"/>
      <c r="Y175" s="249"/>
      <c r="Z175" s="249"/>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249"/>
      <c r="W176" s="249"/>
      <c r="X176" s="249"/>
      <c r="Y176" s="249"/>
      <c r="Z176" s="249"/>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249"/>
      <c r="W177" s="249"/>
      <c r="X177" s="249"/>
      <c r="Y177" s="249"/>
      <c r="Z177" s="249"/>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249"/>
      <c r="W178" s="249"/>
      <c r="X178" s="249"/>
      <c r="Y178" s="249"/>
      <c r="Z178" s="249"/>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249"/>
      <c r="W179" s="249"/>
      <c r="X179" s="249"/>
      <c r="Y179" s="249"/>
      <c r="Z179" s="249"/>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249"/>
      <c r="W180" s="249"/>
      <c r="X180" s="249"/>
      <c r="Y180" s="249"/>
      <c r="Z180" s="249"/>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249"/>
      <c r="W181" s="249"/>
      <c r="X181" s="249"/>
      <c r="Y181" s="249"/>
      <c r="Z181" s="249"/>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249"/>
      <c r="W182" s="249"/>
      <c r="X182" s="249"/>
      <c r="Y182" s="249"/>
      <c r="Z182" s="249"/>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249"/>
      <c r="W183" s="249"/>
      <c r="X183" s="249"/>
      <c r="Y183" s="249"/>
      <c r="Z183" s="249"/>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249"/>
      <c r="W184" s="249"/>
      <c r="X184" s="249"/>
      <c r="Y184" s="249"/>
      <c r="Z184" s="249"/>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249"/>
      <c r="W185" s="249"/>
      <c r="X185" s="249"/>
      <c r="Y185" s="249"/>
      <c r="Z185" s="249"/>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249"/>
      <c r="W186" s="249"/>
      <c r="X186" s="249"/>
      <c r="Y186" s="249"/>
      <c r="Z186" s="249"/>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249"/>
      <c r="W187" s="249"/>
      <c r="X187" s="249"/>
      <c r="Y187" s="249"/>
      <c r="Z187" s="249"/>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249"/>
      <c r="W188" s="249"/>
      <c r="X188" s="249"/>
      <c r="Y188" s="249"/>
      <c r="Z188" s="249"/>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249"/>
      <c r="W189" s="249"/>
      <c r="X189" s="249"/>
      <c r="Y189" s="249"/>
      <c r="Z189" s="249"/>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249"/>
      <c r="W190" s="249"/>
      <c r="X190" s="249"/>
      <c r="Y190" s="249"/>
      <c r="Z190" s="249"/>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249"/>
      <c r="W191" s="249"/>
      <c r="X191" s="249"/>
      <c r="Y191" s="249"/>
      <c r="Z191" s="249"/>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249"/>
      <c r="W192" s="249"/>
      <c r="X192" s="249"/>
      <c r="Y192" s="249"/>
      <c r="Z192" s="249"/>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249"/>
      <c r="W193" s="249"/>
      <c r="X193" s="249"/>
      <c r="Y193" s="249"/>
      <c r="Z193" s="249"/>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249"/>
      <c r="W194" s="249"/>
      <c r="X194" s="249"/>
      <c r="Y194" s="249"/>
      <c r="Z194" s="249"/>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249"/>
      <c r="W195" s="249"/>
      <c r="X195" s="249"/>
      <c r="Y195" s="249"/>
      <c r="Z195" s="249"/>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249"/>
      <c r="W196" s="249"/>
      <c r="X196" s="249"/>
      <c r="Y196" s="249"/>
      <c r="Z196" s="249"/>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249"/>
      <c r="W197" s="249"/>
      <c r="X197" s="249"/>
      <c r="Y197" s="249"/>
      <c r="Z197" s="249"/>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249"/>
      <c r="W198" s="249"/>
      <c r="X198" s="249"/>
      <c r="Y198" s="249"/>
      <c r="Z198" s="249"/>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249"/>
      <c r="W199" s="249"/>
      <c r="X199" s="249"/>
      <c r="Y199" s="249"/>
      <c r="Z199" s="249"/>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249"/>
      <c r="W200" s="249"/>
      <c r="X200" s="249"/>
      <c r="Y200" s="249"/>
      <c r="Z200" s="249"/>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249"/>
      <c r="W201" s="249"/>
      <c r="X201" s="249"/>
      <c r="Y201" s="249"/>
      <c r="Z201" s="249"/>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249"/>
      <c r="W202" s="249"/>
      <c r="X202" s="249"/>
      <c r="Y202" s="249"/>
      <c r="Z202" s="249"/>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249"/>
      <c r="W203" s="249"/>
      <c r="X203" s="249"/>
      <c r="Y203" s="249"/>
      <c r="Z203" s="249"/>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249"/>
      <c r="W204" s="249"/>
      <c r="X204" s="249"/>
      <c r="Y204" s="249"/>
      <c r="Z204" s="249"/>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249"/>
      <c r="W205" s="249"/>
      <c r="X205" s="249"/>
      <c r="Y205" s="249"/>
      <c r="Z205" s="249"/>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249"/>
      <c r="W206" s="249"/>
      <c r="X206" s="249"/>
      <c r="Y206" s="249"/>
      <c r="Z206" s="249"/>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249"/>
      <c r="W207" s="249"/>
      <c r="X207" s="249"/>
      <c r="Y207" s="249"/>
      <c r="Z207" s="249"/>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249"/>
      <c r="W208" s="249"/>
      <c r="X208" s="249"/>
      <c r="Y208" s="249"/>
      <c r="Z208" s="249"/>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249"/>
      <c r="W209" s="249"/>
      <c r="X209" s="249"/>
      <c r="Y209" s="249"/>
      <c r="Z209" s="249"/>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249"/>
      <c r="W210" s="249"/>
      <c r="X210" s="249"/>
      <c r="Y210" s="249"/>
      <c r="Z210" s="249"/>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249"/>
      <c r="W211" s="249"/>
      <c r="X211" s="249"/>
      <c r="Y211" s="249"/>
      <c r="Z211" s="249"/>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249"/>
      <c r="W212" s="249"/>
      <c r="X212" s="249"/>
      <c r="Y212" s="249"/>
      <c r="Z212" s="249"/>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249"/>
      <c r="W213" s="249"/>
      <c r="X213" s="249"/>
      <c r="Y213" s="249"/>
      <c r="Z213" s="249"/>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249"/>
      <c r="W214" s="249"/>
      <c r="X214" s="249"/>
      <c r="Y214" s="249"/>
      <c r="Z214" s="249"/>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249"/>
      <c r="W215" s="249"/>
      <c r="X215" s="249"/>
      <c r="Y215" s="249"/>
      <c r="Z215" s="249"/>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249"/>
      <c r="W216" s="249"/>
      <c r="X216" s="249"/>
      <c r="Y216" s="249"/>
      <c r="Z216" s="249"/>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249"/>
      <c r="W217" s="249"/>
      <c r="X217" s="249"/>
      <c r="Y217" s="249"/>
      <c r="Z217" s="249"/>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249"/>
      <c r="W218" s="249"/>
      <c r="X218" s="249"/>
      <c r="Y218" s="249"/>
      <c r="Z218" s="249"/>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249"/>
      <c r="W219" s="249"/>
      <c r="X219" s="249"/>
      <c r="Y219" s="249"/>
      <c r="Z219" s="249"/>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249"/>
      <c r="W220" s="249"/>
      <c r="X220" s="249"/>
      <c r="Y220" s="249"/>
      <c r="Z220" s="249"/>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249"/>
      <c r="W221" s="249"/>
      <c r="X221" s="249"/>
      <c r="Y221" s="249"/>
      <c r="Z221" s="249"/>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249"/>
      <c r="W222" s="249"/>
      <c r="X222" s="249"/>
      <c r="Y222" s="249"/>
      <c r="Z222" s="249"/>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249"/>
      <c r="W223" s="249"/>
      <c r="X223" s="249"/>
      <c r="Y223" s="249"/>
      <c r="Z223" s="249"/>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249"/>
      <c r="W224" s="249"/>
      <c r="X224" s="249"/>
      <c r="Y224" s="249"/>
      <c r="Z224" s="249"/>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249"/>
      <c r="W225" s="249"/>
      <c r="X225" s="249"/>
      <c r="Y225" s="249"/>
      <c r="Z225" s="249"/>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249"/>
      <c r="W226" s="249"/>
      <c r="X226" s="249"/>
      <c r="Y226" s="249"/>
      <c r="Z226" s="249"/>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249"/>
      <c r="W227" s="249"/>
      <c r="X227" s="249"/>
      <c r="Y227" s="249"/>
      <c r="Z227" s="249"/>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249"/>
      <c r="W228" s="249"/>
      <c r="X228" s="249"/>
      <c r="Y228" s="249"/>
      <c r="Z228" s="249"/>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249"/>
      <c r="W229" s="249"/>
      <c r="X229" s="249"/>
      <c r="Y229" s="249"/>
      <c r="Z229" s="249"/>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249"/>
      <c r="W230" s="249"/>
      <c r="X230" s="249"/>
      <c r="Y230" s="249"/>
      <c r="Z230" s="249"/>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249"/>
      <c r="W231" s="249"/>
      <c r="X231" s="249"/>
      <c r="Y231" s="249"/>
      <c r="Z231" s="249"/>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249"/>
      <c r="W232" s="249"/>
      <c r="X232" s="249"/>
      <c r="Y232" s="249"/>
      <c r="Z232" s="249"/>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249"/>
      <c r="W233" s="249"/>
      <c r="X233" s="249"/>
      <c r="Y233" s="249"/>
      <c r="Z233" s="249"/>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249"/>
      <c r="W234" s="249"/>
      <c r="X234" s="249"/>
      <c r="Y234" s="249"/>
      <c r="Z234" s="249"/>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249"/>
      <c r="W235" s="249"/>
      <c r="X235" s="249"/>
      <c r="Y235" s="249"/>
      <c r="Z235" s="249"/>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249"/>
      <c r="W236" s="249"/>
      <c r="X236" s="249"/>
      <c r="Y236" s="249"/>
      <c r="Z236" s="249"/>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249"/>
      <c r="W237" s="249"/>
      <c r="X237" s="249"/>
      <c r="Y237" s="249"/>
      <c r="Z237" s="249"/>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249"/>
      <c r="W238" s="249"/>
      <c r="X238" s="249"/>
      <c r="Y238" s="249"/>
      <c r="Z238" s="249"/>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249"/>
      <c r="W239" s="249"/>
      <c r="X239" s="249"/>
      <c r="Y239" s="249"/>
      <c r="Z239" s="249"/>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249"/>
      <c r="W240" s="249"/>
      <c r="X240" s="249"/>
      <c r="Y240" s="249"/>
      <c r="Z240" s="249"/>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249"/>
      <c r="W241" s="249"/>
      <c r="X241" s="249"/>
      <c r="Y241" s="249"/>
      <c r="Z241" s="249"/>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249"/>
      <c r="W242" s="249"/>
      <c r="X242" s="249"/>
      <c r="Y242" s="249"/>
      <c r="Z242" s="249"/>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249"/>
      <c r="W243" s="249"/>
      <c r="X243" s="249"/>
      <c r="Y243" s="249"/>
      <c r="Z243" s="249"/>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249"/>
      <c r="W244" s="249"/>
      <c r="X244" s="249"/>
      <c r="Y244" s="249"/>
      <c r="Z244" s="249"/>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249"/>
      <c r="W245" s="249"/>
      <c r="X245" s="249"/>
      <c r="Y245" s="249"/>
      <c r="Z245" s="249"/>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249"/>
      <c r="W246" s="249"/>
      <c r="X246" s="249"/>
      <c r="Y246" s="249"/>
      <c r="Z246" s="249"/>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249"/>
      <c r="W247" s="249"/>
      <c r="X247" s="249"/>
      <c r="Y247" s="249"/>
      <c r="Z247" s="249"/>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249"/>
      <c r="W248" s="249"/>
      <c r="X248" s="249"/>
      <c r="Y248" s="249"/>
      <c r="Z248" s="249"/>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B2"/>
    <mergeCell ref="C2:E2"/>
    <mergeCell ref="F2:K2"/>
    <mergeCell ref="L2:O2"/>
    <mergeCell ref="C3:E3"/>
    <mergeCell ref="F3:K3"/>
    <mergeCell ref="L3:N3"/>
    <mergeCell ref="A3:B3"/>
    <mergeCell ref="A4:B4"/>
    <mergeCell ref="C4:D4"/>
    <mergeCell ref="F4:K4"/>
    <mergeCell ref="L4:O4"/>
    <mergeCell ref="A5:B5"/>
    <mergeCell ref="C5:O5"/>
    <mergeCell ref="D19:E19"/>
    <mergeCell ref="B45:D45"/>
    <mergeCell ref="B46:D46"/>
    <mergeCell ref="B47:D47"/>
    <mergeCell ref="B48:D48"/>
    <mergeCell ref="A6:B6"/>
    <mergeCell ref="C6:E6"/>
    <mergeCell ref="F6:K6"/>
    <mergeCell ref="L6:N6"/>
    <mergeCell ref="A7:B7"/>
    <mergeCell ref="C7:E7"/>
    <mergeCell ref="F7:K7"/>
  </mergeCells>
  <dataValidations>
    <dataValidation type="list" allowBlank="1" showInputMessage="1" showErrorMessage="1" prompt=" - " sqref="F46:O46">
      <formula1>"P,F"</formula1>
    </dataValidation>
    <dataValidation type="list" allowBlank="1" showInputMessage="1" showErrorMessage="1" prompt=" - " sqref="F10:O44">
      <formula1>"O"</formula1>
    </dataValidation>
    <dataValidation type="list" allowBlank="1" showInputMessage="1" showErrorMessage="1" prompt=" - " sqref="F45:O45">
      <formula1>"N,A,B"</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3.7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249"/>
      <c r="W1" s="249"/>
      <c r="X1" s="249"/>
      <c r="Y1" s="249"/>
      <c r="Z1" s="249"/>
    </row>
    <row r="2" ht="13.5" customHeight="1">
      <c r="A2" s="112" t="s">
        <v>337</v>
      </c>
      <c r="B2" s="113"/>
      <c r="C2" s="250" t="str">
        <f>Functions!E20</f>
        <v>F-10</v>
      </c>
      <c r="D2" s="251"/>
      <c r="E2" s="252"/>
      <c r="F2" s="116" t="s">
        <v>71</v>
      </c>
      <c r="G2" s="117"/>
      <c r="H2" s="117"/>
      <c r="I2" s="117"/>
      <c r="J2" s="117"/>
      <c r="K2" s="117"/>
      <c r="L2" s="118" t="str">
        <f>Functions!D20</f>
        <v>Line/warehouse candidate filtering and trace evidence</v>
      </c>
      <c r="M2" s="113"/>
      <c r="N2" s="113"/>
      <c r="O2" s="119"/>
      <c r="P2" s="110"/>
      <c r="Q2" s="120"/>
      <c r="R2" s="110"/>
      <c r="S2" s="110"/>
      <c r="T2" s="110"/>
      <c r="U2" s="110"/>
      <c r="V2" s="249"/>
      <c r="W2" s="249"/>
      <c r="X2" s="249"/>
      <c r="Y2" s="249"/>
      <c r="Z2" s="249"/>
    </row>
    <row r="3" ht="13.5" customHeight="1">
      <c r="A3" s="121" t="s">
        <v>338</v>
      </c>
      <c r="B3" s="13"/>
      <c r="C3" s="253" t="s">
        <v>183</v>
      </c>
      <c r="D3" s="123"/>
      <c r="E3" s="124"/>
      <c r="F3" s="125" t="s">
        <v>339</v>
      </c>
      <c r="G3" s="12"/>
      <c r="H3" s="12"/>
      <c r="I3" s="12"/>
      <c r="J3" s="12"/>
      <c r="K3" s="13"/>
      <c r="L3" s="126"/>
      <c r="M3" s="123"/>
      <c r="N3" s="123"/>
      <c r="O3" s="127"/>
      <c r="P3" s="110"/>
      <c r="Q3" s="110"/>
      <c r="R3" s="110"/>
      <c r="S3" s="110"/>
      <c r="T3" s="110"/>
      <c r="U3" s="110"/>
      <c r="V3" s="249"/>
      <c r="W3" s="249"/>
      <c r="X3" s="249"/>
      <c r="Y3" s="249"/>
      <c r="Z3" s="249"/>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c r="V4" s="249"/>
      <c r="W4" s="249"/>
      <c r="X4" s="249"/>
      <c r="Y4" s="249"/>
      <c r="Z4" s="249"/>
    </row>
    <row r="5">
      <c r="A5" s="121" t="s">
        <v>342</v>
      </c>
      <c r="B5" s="13"/>
      <c r="C5" s="132" t="s">
        <v>157</v>
      </c>
      <c r="D5" s="12"/>
      <c r="E5" s="12"/>
      <c r="F5" s="12"/>
      <c r="G5" s="12"/>
      <c r="H5" s="12"/>
      <c r="I5" s="12"/>
      <c r="J5" s="12"/>
      <c r="K5" s="12"/>
      <c r="L5" s="12"/>
      <c r="M5" s="12"/>
      <c r="N5" s="12"/>
      <c r="O5" s="131"/>
      <c r="P5" s="110"/>
      <c r="Q5" s="110"/>
      <c r="R5" s="110"/>
      <c r="S5" s="110"/>
      <c r="T5" s="110"/>
      <c r="U5" s="110"/>
      <c r="V5" s="249"/>
      <c r="W5" s="249"/>
      <c r="X5" s="249"/>
      <c r="Y5" s="249"/>
      <c r="Z5" s="249"/>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c r="V6" s="249"/>
      <c r="W6" s="249"/>
      <c r="X6" s="249"/>
      <c r="Y6" s="249"/>
      <c r="Z6" s="249"/>
    </row>
    <row r="7" ht="13.5" customHeight="1">
      <c r="A7" s="137">
        <f>COUNTIF(F43:O43,"P")</f>
        <v>0</v>
      </c>
      <c r="B7" s="138"/>
      <c r="C7" s="139">
        <f>COUNTIF(F43:O43,"F")</f>
        <v>0</v>
      </c>
      <c r="D7" s="140"/>
      <c r="E7" s="138"/>
      <c r="F7" s="139">
        <f>SUM(O7,-A7,-C7)</f>
        <v>4</v>
      </c>
      <c r="G7" s="140"/>
      <c r="H7" s="140"/>
      <c r="I7" s="140"/>
      <c r="J7" s="140"/>
      <c r="K7" s="138"/>
      <c r="L7" s="141">
        <f>COUNTIF(F42:O42,"N")</f>
        <v>2</v>
      </c>
      <c r="M7" s="141">
        <f>COUNTIF(F42:O42,"A")</f>
        <v>2</v>
      </c>
      <c r="N7" s="141">
        <f>COUNTIF(F42:O42,"B")</f>
        <v>0</v>
      </c>
      <c r="O7" s="142">
        <f>COUNTA(F9:O9)</f>
        <v>4</v>
      </c>
      <c r="P7" s="242"/>
      <c r="Q7" s="110"/>
      <c r="R7" s="110"/>
      <c r="S7" s="110"/>
      <c r="T7" s="110"/>
      <c r="U7" s="110"/>
      <c r="V7" s="249"/>
      <c r="W7" s="249"/>
      <c r="X7" s="249"/>
      <c r="Y7" s="249"/>
      <c r="Z7" s="249"/>
    </row>
    <row r="8" ht="12.0" customHeight="1">
      <c r="A8" s="110"/>
      <c r="B8" s="143"/>
      <c r="C8" s="110"/>
      <c r="D8" s="111"/>
      <c r="E8" s="110"/>
      <c r="F8" s="110"/>
      <c r="G8" s="110"/>
      <c r="H8" s="110"/>
      <c r="I8" s="110"/>
      <c r="J8" s="110"/>
      <c r="K8" s="110"/>
      <c r="L8" s="110"/>
      <c r="M8" s="110"/>
      <c r="N8" s="110"/>
      <c r="O8" s="110"/>
      <c r="P8" s="110"/>
      <c r="Q8" s="110"/>
      <c r="R8" s="110"/>
      <c r="S8" s="110"/>
      <c r="T8" s="110"/>
      <c r="U8" s="110"/>
      <c r="V8" s="249"/>
      <c r="W8" s="249"/>
      <c r="X8" s="249"/>
      <c r="Y8" s="249"/>
      <c r="Z8" s="249"/>
    </row>
    <row r="9" ht="45.0" customHeight="1">
      <c r="A9" s="243"/>
      <c r="B9" s="244"/>
      <c r="C9" s="245"/>
      <c r="D9" s="246"/>
      <c r="E9" s="245"/>
      <c r="F9" s="247" t="s">
        <v>344</v>
      </c>
      <c r="G9" s="247" t="s">
        <v>345</v>
      </c>
      <c r="H9" s="247" t="s">
        <v>346</v>
      </c>
      <c r="I9" s="247" t="s">
        <v>347</v>
      </c>
      <c r="J9" s="247"/>
      <c r="K9" s="247"/>
      <c r="L9" s="247"/>
      <c r="M9" s="247"/>
      <c r="N9" s="247"/>
      <c r="O9" s="247"/>
      <c r="P9" s="150"/>
      <c r="Q9" s="120"/>
      <c r="R9" s="110"/>
      <c r="S9" s="110"/>
      <c r="T9" s="110"/>
      <c r="U9" s="110"/>
      <c r="V9" s="249"/>
      <c r="W9" s="249"/>
      <c r="X9" s="249"/>
      <c r="Y9" s="249"/>
      <c r="Z9" s="249"/>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c r="V10" s="249"/>
      <c r="W10" s="249"/>
      <c r="X10" s="249"/>
      <c r="Y10" s="249"/>
      <c r="Z10" s="249"/>
    </row>
    <row r="11" ht="13.5" customHeight="1">
      <c r="A11" s="162"/>
      <c r="B11" s="163"/>
      <c r="C11" s="171"/>
      <c r="D11" s="174" t="s">
        <v>445</v>
      </c>
      <c r="E11" s="155"/>
      <c r="F11" s="165" t="s">
        <v>353</v>
      </c>
      <c r="G11" s="165"/>
      <c r="H11" s="165"/>
      <c r="I11" s="165"/>
      <c r="J11" s="165"/>
      <c r="K11" s="165"/>
      <c r="L11" s="165"/>
      <c r="M11" s="165"/>
      <c r="N11" s="165"/>
      <c r="O11" s="165"/>
      <c r="P11" s="110"/>
      <c r="Q11" s="120"/>
      <c r="R11" s="110"/>
      <c r="S11" s="110"/>
      <c r="T11" s="110"/>
      <c r="U11" s="110"/>
      <c r="V11" s="249"/>
      <c r="W11" s="249"/>
      <c r="X11" s="249"/>
      <c r="Y11" s="249"/>
      <c r="Z11" s="249"/>
    </row>
    <row r="12" ht="13.5" customHeight="1">
      <c r="A12" s="162"/>
      <c r="B12" s="163"/>
      <c r="C12" s="171"/>
      <c r="D12" s="174" t="s">
        <v>446</v>
      </c>
      <c r="E12" s="155"/>
      <c r="F12" s="165"/>
      <c r="G12" s="165" t="s">
        <v>353</v>
      </c>
      <c r="H12" s="165"/>
      <c r="I12" s="165"/>
      <c r="J12" s="165"/>
      <c r="K12" s="165"/>
      <c r="L12" s="165"/>
      <c r="M12" s="165"/>
      <c r="N12" s="165"/>
      <c r="O12" s="165"/>
      <c r="P12" s="110"/>
      <c r="Q12" s="110"/>
      <c r="R12" s="110"/>
      <c r="S12" s="110"/>
      <c r="T12" s="110"/>
      <c r="U12" s="110"/>
      <c r="V12" s="249"/>
      <c r="W12" s="249"/>
      <c r="X12" s="249"/>
      <c r="Y12" s="249"/>
      <c r="Z12" s="249"/>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c r="V13" s="249"/>
      <c r="W13" s="249"/>
      <c r="X13" s="249"/>
      <c r="Y13" s="249"/>
      <c r="Z13" s="249"/>
    </row>
    <row r="14" ht="13.5" customHeight="1">
      <c r="A14" s="162"/>
      <c r="B14" s="163"/>
      <c r="C14" s="171"/>
      <c r="D14" s="174" t="s">
        <v>447</v>
      </c>
      <c r="E14" s="173"/>
      <c r="F14" s="165"/>
      <c r="G14" s="165"/>
      <c r="H14" s="165" t="s">
        <v>353</v>
      </c>
      <c r="I14" s="165"/>
      <c r="J14" s="165"/>
      <c r="K14" s="165"/>
      <c r="L14" s="165"/>
      <c r="M14" s="165"/>
      <c r="N14" s="165"/>
      <c r="O14" s="165"/>
      <c r="P14" s="110"/>
      <c r="Q14" s="110"/>
      <c r="R14" s="110"/>
      <c r="S14" s="110"/>
      <c r="T14" s="110"/>
      <c r="U14" s="110"/>
      <c r="V14" s="249"/>
      <c r="W14" s="249"/>
      <c r="X14" s="249"/>
      <c r="Y14" s="249"/>
      <c r="Z14" s="249"/>
    </row>
    <row r="15" ht="13.5" customHeight="1">
      <c r="A15" s="162"/>
      <c r="B15" s="163"/>
      <c r="C15" s="171"/>
      <c r="D15" s="174" t="s">
        <v>448</v>
      </c>
      <c r="E15" s="173"/>
      <c r="F15" s="165"/>
      <c r="G15" s="165"/>
      <c r="H15" s="165"/>
      <c r="I15" s="165" t="s">
        <v>353</v>
      </c>
      <c r="J15" s="165"/>
      <c r="K15" s="165"/>
      <c r="L15" s="165"/>
      <c r="M15" s="165"/>
      <c r="N15" s="165"/>
      <c r="O15" s="165"/>
      <c r="P15" s="110"/>
      <c r="Q15" s="110"/>
      <c r="R15" s="110"/>
      <c r="S15" s="110"/>
      <c r="T15" s="110"/>
      <c r="U15" s="110"/>
      <c r="V15" s="249"/>
      <c r="W15" s="249"/>
      <c r="X15" s="249"/>
      <c r="Y15" s="249"/>
      <c r="Z15" s="249"/>
    </row>
    <row r="16" ht="13.5" customHeight="1">
      <c r="A16" s="162"/>
      <c r="B16" s="163"/>
      <c r="C16" s="171"/>
      <c r="D16" s="174"/>
      <c r="E16" s="173"/>
      <c r="F16" s="165"/>
      <c r="G16" s="165"/>
      <c r="H16" s="165"/>
      <c r="I16" s="165"/>
      <c r="J16" s="165"/>
      <c r="K16" s="165"/>
      <c r="L16" s="165"/>
      <c r="M16" s="165"/>
      <c r="N16" s="165"/>
      <c r="O16" s="165"/>
      <c r="P16" s="110"/>
      <c r="Q16" s="110"/>
      <c r="R16" s="110"/>
      <c r="S16" s="110"/>
      <c r="T16" s="110"/>
      <c r="U16" s="110"/>
      <c r="V16" s="249"/>
      <c r="W16" s="249"/>
      <c r="X16" s="249"/>
      <c r="Y16" s="249"/>
      <c r="Z16" s="249"/>
    </row>
    <row r="17" ht="13.5" customHeight="1">
      <c r="A17" s="162"/>
      <c r="B17" s="163"/>
      <c r="C17" s="171"/>
      <c r="D17" s="174"/>
      <c r="E17" s="173"/>
      <c r="F17" s="266"/>
      <c r="G17" s="266"/>
      <c r="H17" s="266"/>
      <c r="I17" s="266"/>
      <c r="J17" s="266"/>
      <c r="K17" s="267"/>
      <c r="L17" s="267"/>
      <c r="M17" s="267"/>
      <c r="N17" s="267"/>
      <c r="O17" s="266"/>
      <c r="P17" s="175"/>
      <c r="Q17" s="110"/>
      <c r="R17" s="110"/>
      <c r="S17" s="110"/>
      <c r="T17" s="110"/>
      <c r="U17" s="110"/>
      <c r="V17" s="249"/>
      <c r="W17" s="249"/>
      <c r="X17" s="249"/>
      <c r="Y17" s="249"/>
      <c r="Z17" s="249"/>
    </row>
    <row r="18" ht="13.5" customHeight="1">
      <c r="A18" s="162"/>
      <c r="B18" s="163"/>
      <c r="C18" s="171"/>
      <c r="D18" s="268"/>
      <c r="E18" s="269"/>
      <c r="F18" s="267"/>
      <c r="G18" s="267"/>
      <c r="H18" s="267"/>
      <c r="I18" s="267"/>
      <c r="J18" s="267"/>
      <c r="K18" s="266"/>
      <c r="L18" s="267"/>
      <c r="M18" s="267"/>
      <c r="N18" s="267"/>
      <c r="O18" s="267"/>
      <c r="P18" s="175"/>
      <c r="Q18" s="110"/>
      <c r="R18" s="110"/>
      <c r="S18" s="110"/>
      <c r="T18" s="110"/>
      <c r="U18" s="110"/>
      <c r="V18" s="249"/>
      <c r="W18" s="249"/>
      <c r="X18" s="249"/>
      <c r="Y18" s="249"/>
      <c r="Z18" s="249"/>
    </row>
    <row r="19" ht="13.5" customHeight="1">
      <c r="A19" s="162"/>
      <c r="B19" s="163"/>
      <c r="C19" s="270"/>
      <c r="D19" s="271"/>
      <c r="E19" s="13"/>
      <c r="F19" s="272"/>
      <c r="G19" s="267"/>
      <c r="H19" s="267"/>
      <c r="I19" s="267"/>
      <c r="J19" s="267"/>
      <c r="K19" s="267"/>
      <c r="L19" s="266"/>
      <c r="M19" s="266"/>
      <c r="N19" s="266"/>
      <c r="O19" s="267"/>
      <c r="P19" s="175"/>
      <c r="Q19" s="110"/>
      <c r="R19" s="110"/>
      <c r="S19" s="110"/>
      <c r="T19" s="110"/>
      <c r="U19" s="110"/>
      <c r="V19" s="249"/>
      <c r="W19" s="249"/>
      <c r="X19" s="249"/>
      <c r="Y19" s="249"/>
      <c r="Z19" s="249"/>
    </row>
    <row r="20" ht="13.5" customHeight="1">
      <c r="A20" s="157"/>
      <c r="B20" s="158"/>
      <c r="C20" s="226"/>
      <c r="D20" s="172"/>
      <c r="E20" s="273"/>
      <c r="F20" s="156"/>
      <c r="G20" s="156"/>
      <c r="H20" s="156"/>
      <c r="I20" s="156"/>
      <c r="J20" s="156"/>
      <c r="K20" s="156"/>
      <c r="L20" s="156"/>
      <c r="M20" s="156"/>
      <c r="N20" s="156"/>
      <c r="O20" s="156"/>
      <c r="P20" s="110"/>
      <c r="Q20" s="110"/>
      <c r="R20" s="110"/>
      <c r="S20" s="110"/>
      <c r="T20" s="110"/>
      <c r="U20" s="110"/>
      <c r="V20" s="249"/>
      <c r="W20" s="249"/>
      <c r="X20" s="249"/>
      <c r="Y20" s="249"/>
      <c r="Z20" s="249"/>
    </row>
    <row r="21" ht="13.5" customHeight="1">
      <c r="A21" s="157"/>
      <c r="B21" s="158"/>
      <c r="C21" s="226"/>
      <c r="D21" s="172"/>
      <c r="E21" s="227"/>
      <c r="F21" s="156"/>
      <c r="G21" s="156"/>
      <c r="H21" s="156"/>
      <c r="I21" s="156"/>
      <c r="J21" s="156"/>
      <c r="K21" s="156"/>
      <c r="L21" s="156"/>
      <c r="M21" s="156"/>
      <c r="N21" s="156"/>
      <c r="O21" s="156"/>
      <c r="P21" s="110"/>
      <c r="Q21" s="110"/>
      <c r="R21" s="110"/>
      <c r="S21" s="110"/>
      <c r="T21" s="110"/>
      <c r="U21" s="110"/>
      <c r="V21" s="249"/>
      <c r="W21" s="249"/>
      <c r="X21" s="249"/>
      <c r="Y21" s="249"/>
      <c r="Z21" s="249"/>
    </row>
    <row r="22" ht="13.5" customHeight="1">
      <c r="A22" s="157"/>
      <c r="B22" s="158"/>
      <c r="C22" s="226"/>
      <c r="D22" s="172"/>
      <c r="E22" s="227"/>
      <c r="F22" s="156"/>
      <c r="G22" s="156"/>
      <c r="H22" s="156"/>
      <c r="I22" s="156"/>
      <c r="J22" s="156"/>
      <c r="K22" s="156"/>
      <c r="L22" s="156"/>
      <c r="M22" s="156"/>
      <c r="N22" s="156"/>
      <c r="O22" s="156"/>
      <c r="P22" s="110"/>
      <c r="Q22" s="110"/>
      <c r="R22" s="110"/>
      <c r="S22" s="110"/>
      <c r="T22" s="110"/>
      <c r="U22" s="110"/>
      <c r="V22" s="249"/>
      <c r="W22" s="249"/>
      <c r="X22" s="249"/>
      <c r="Y22" s="249"/>
      <c r="Z22" s="249"/>
    </row>
    <row r="23" ht="13.5" customHeight="1">
      <c r="A23" s="157"/>
      <c r="B23" s="158"/>
      <c r="C23" s="226"/>
      <c r="D23" s="172"/>
      <c r="E23" s="227"/>
      <c r="F23" s="156"/>
      <c r="G23" s="156"/>
      <c r="H23" s="156"/>
      <c r="I23" s="156"/>
      <c r="J23" s="156"/>
      <c r="K23" s="156"/>
      <c r="L23" s="156"/>
      <c r="M23" s="156"/>
      <c r="N23" s="156"/>
      <c r="O23" s="156"/>
      <c r="P23" s="110"/>
      <c r="Q23" s="110"/>
      <c r="R23" s="110"/>
      <c r="S23" s="110"/>
      <c r="T23" s="110"/>
      <c r="U23" s="110"/>
      <c r="V23" s="249"/>
      <c r="W23" s="249"/>
      <c r="X23" s="249"/>
      <c r="Y23" s="249"/>
      <c r="Z23" s="249"/>
    </row>
    <row r="24" ht="13.5" customHeight="1">
      <c r="A24" s="157"/>
      <c r="B24" s="158"/>
      <c r="C24" s="226"/>
      <c r="D24" s="172"/>
      <c r="E24" s="227"/>
      <c r="F24" s="156"/>
      <c r="G24" s="156"/>
      <c r="H24" s="156"/>
      <c r="I24" s="156"/>
      <c r="J24" s="156"/>
      <c r="K24" s="156"/>
      <c r="L24" s="156"/>
      <c r="M24" s="156"/>
      <c r="N24" s="156"/>
      <c r="O24" s="156"/>
      <c r="P24" s="110"/>
      <c r="Q24" s="110"/>
      <c r="R24" s="110"/>
      <c r="S24" s="110"/>
      <c r="T24" s="110"/>
      <c r="U24" s="110"/>
      <c r="V24" s="249"/>
      <c r="W24" s="249"/>
      <c r="X24" s="249"/>
      <c r="Y24" s="249"/>
      <c r="Z24" s="249"/>
    </row>
    <row r="25" ht="13.5" customHeight="1">
      <c r="A25" s="176" t="s">
        <v>359</v>
      </c>
      <c r="B25" s="177" t="s">
        <v>360</v>
      </c>
      <c r="C25" s="178"/>
      <c r="D25" s="179"/>
      <c r="E25" s="180"/>
      <c r="F25" s="156"/>
      <c r="G25" s="156"/>
      <c r="H25" s="156"/>
      <c r="I25" s="156"/>
      <c r="J25" s="156"/>
      <c r="K25" s="156"/>
      <c r="L25" s="156"/>
      <c r="M25" s="156"/>
      <c r="N25" s="156"/>
      <c r="O25" s="156"/>
      <c r="P25" s="110"/>
      <c r="Q25" s="110"/>
      <c r="R25" s="110"/>
      <c r="S25" s="110"/>
      <c r="T25" s="110"/>
      <c r="U25" s="110"/>
      <c r="V25" s="249"/>
      <c r="W25" s="249"/>
      <c r="X25" s="249"/>
      <c r="Y25" s="249"/>
      <c r="Z25" s="249"/>
    </row>
    <row r="26" ht="13.5" customHeight="1">
      <c r="A26" s="181"/>
      <c r="B26" s="254"/>
      <c r="C26" s="183"/>
      <c r="D26" s="184" t="s">
        <v>453</v>
      </c>
      <c r="E26" s="185"/>
      <c r="F26" s="165" t="s">
        <v>353</v>
      </c>
      <c r="G26" s="165"/>
      <c r="H26" s="165"/>
      <c r="I26" s="165"/>
      <c r="J26" s="165"/>
      <c r="K26" s="165"/>
      <c r="L26" s="165"/>
      <c r="M26" s="165"/>
      <c r="N26" s="165"/>
      <c r="O26" s="165"/>
      <c r="P26" s="110"/>
      <c r="Q26" s="110"/>
      <c r="R26" s="110"/>
      <c r="S26" s="110"/>
      <c r="T26" s="110"/>
      <c r="U26" s="110"/>
      <c r="V26" s="249"/>
      <c r="W26" s="249"/>
      <c r="X26" s="249"/>
      <c r="Y26" s="249"/>
      <c r="Z26" s="249"/>
    </row>
    <row r="27" ht="13.5" customHeight="1">
      <c r="A27" s="181"/>
      <c r="B27" s="255"/>
      <c r="C27" s="183"/>
      <c r="D27" s="184" t="s">
        <v>454</v>
      </c>
      <c r="E27" s="185"/>
      <c r="F27" s="165"/>
      <c r="G27" s="165" t="s">
        <v>353</v>
      </c>
      <c r="H27" s="165"/>
      <c r="I27" s="165"/>
      <c r="J27" s="165"/>
      <c r="K27" s="165"/>
      <c r="L27" s="165"/>
      <c r="M27" s="165"/>
      <c r="N27" s="165"/>
      <c r="O27" s="165"/>
      <c r="P27" s="110"/>
      <c r="Q27" s="110"/>
      <c r="R27" s="110"/>
      <c r="S27" s="110"/>
      <c r="T27" s="110"/>
      <c r="U27" s="110"/>
      <c r="V27" s="249"/>
      <c r="W27" s="249"/>
      <c r="X27" s="249"/>
      <c r="Y27" s="249"/>
      <c r="Z27" s="249"/>
    </row>
    <row r="28" ht="13.5" customHeight="1">
      <c r="A28" s="181"/>
      <c r="B28" s="255"/>
      <c r="C28" s="183"/>
      <c r="D28" s="184"/>
      <c r="E28" s="185"/>
      <c r="F28" s="165"/>
      <c r="G28" s="165"/>
      <c r="H28" s="165"/>
      <c r="I28" s="165"/>
      <c r="J28" s="165"/>
      <c r="K28" s="165"/>
      <c r="L28" s="249"/>
      <c r="M28" s="165"/>
      <c r="N28" s="165"/>
      <c r="O28" s="165"/>
      <c r="P28" s="110"/>
      <c r="Q28" s="110"/>
      <c r="R28" s="110"/>
      <c r="S28" s="110"/>
      <c r="T28" s="110"/>
      <c r="U28" s="110"/>
      <c r="V28" s="249"/>
      <c r="W28" s="249"/>
      <c r="X28" s="249"/>
      <c r="Y28" s="249"/>
      <c r="Z28" s="249"/>
    </row>
    <row r="29" ht="13.5" customHeight="1">
      <c r="A29" s="181"/>
      <c r="B29" s="254"/>
      <c r="C29" s="183"/>
      <c r="D29" s="184" t="s">
        <v>455</v>
      </c>
      <c r="E29" s="185"/>
      <c r="F29" s="165"/>
      <c r="G29" s="165"/>
      <c r="H29" s="165" t="s">
        <v>353</v>
      </c>
      <c r="I29" s="165"/>
      <c r="J29" s="165"/>
      <c r="K29" s="165"/>
      <c r="L29" s="165"/>
      <c r="M29" s="165"/>
      <c r="N29" s="165"/>
      <c r="O29" s="165"/>
      <c r="P29" s="110"/>
      <c r="Q29" s="110"/>
      <c r="R29" s="110"/>
      <c r="S29" s="110"/>
      <c r="T29" s="110"/>
      <c r="U29" s="110"/>
      <c r="V29" s="249"/>
      <c r="W29" s="249"/>
      <c r="X29" s="249"/>
      <c r="Y29" s="249"/>
      <c r="Z29" s="249"/>
    </row>
    <row r="30" ht="13.5" customHeight="1">
      <c r="A30" s="181"/>
      <c r="B30" s="255"/>
      <c r="C30" s="183"/>
      <c r="D30" s="184" t="s">
        <v>456</v>
      </c>
      <c r="E30" s="185"/>
      <c r="F30" s="165"/>
      <c r="G30" s="165"/>
      <c r="H30" s="165"/>
      <c r="I30" s="165" t="s">
        <v>353</v>
      </c>
      <c r="J30" s="165"/>
      <c r="K30" s="165"/>
      <c r="L30" s="165"/>
      <c r="M30" s="165"/>
      <c r="N30" s="165"/>
      <c r="O30" s="165"/>
      <c r="P30" s="110"/>
      <c r="Q30" s="110"/>
      <c r="R30" s="110"/>
      <c r="S30" s="110"/>
      <c r="T30" s="110"/>
      <c r="U30" s="110"/>
      <c r="V30" s="249"/>
      <c r="W30" s="249"/>
      <c r="X30" s="249"/>
      <c r="Y30" s="249"/>
      <c r="Z30" s="249"/>
    </row>
    <row r="31" ht="13.5" customHeight="1">
      <c r="A31" s="181"/>
      <c r="B31" s="254"/>
      <c r="C31" s="183"/>
      <c r="D31" s="184"/>
      <c r="E31" s="185"/>
      <c r="F31" s="165"/>
      <c r="G31" s="165"/>
      <c r="H31" s="165"/>
      <c r="I31" s="165"/>
      <c r="J31" s="165"/>
      <c r="K31" s="165"/>
      <c r="L31" s="165"/>
      <c r="M31" s="165"/>
      <c r="N31" s="165"/>
      <c r="O31" s="165"/>
      <c r="P31" s="110"/>
      <c r="Q31" s="110"/>
      <c r="R31" s="110"/>
      <c r="S31" s="110"/>
      <c r="T31" s="110"/>
      <c r="U31" s="110"/>
      <c r="V31" s="249"/>
      <c r="W31" s="249"/>
      <c r="X31" s="249"/>
      <c r="Y31" s="249"/>
      <c r="Z31" s="249"/>
    </row>
    <row r="32" ht="13.5" customHeight="1">
      <c r="A32" s="181"/>
      <c r="B32" s="182"/>
      <c r="C32" s="183"/>
      <c r="D32" s="184"/>
      <c r="E32" s="188"/>
      <c r="F32" s="165"/>
      <c r="G32" s="165"/>
      <c r="H32" s="165"/>
      <c r="I32" s="165"/>
      <c r="J32" s="165"/>
      <c r="K32" s="165"/>
      <c r="L32" s="165"/>
      <c r="M32" s="165"/>
      <c r="N32" s="165"/>
      <c r="O32" s="165"/>
      <c r="P32" s="110"/>
      <c r="Q32" s="110"/>
      <c r="R32" s="110"/>
      <c r="S32" s="110"/>
      <c r="T32" s="110"/>
      <c r="U32" s="110"/>
      <c r="V32" s="249"/>
      <c r="W32" s="249"/>
      <c r="X32" s="249"/>
      <c r="Y32" s="249"/>
      <c r="Z32" s="249"/>
    </row>
    <row r="33" ht="13.5" customHeight="1">
      <c r="A33" s="181"/>
      <c r="B33" s="182"/>
      <c r="C33" s="183"/>
      <c r="D33" s="184"/>
      <c r="E33" s="188"/>
      <c r="F33" s="165"/>
      <c r="G33" s="165"/>
      <c r="H33" s="165"/>
      <c r="I33" s="165"/>
      <c r="J33" s="165"/>
      <c r="K33" s="165"/>
      <c r="L33" s="165"/>
      <c r="M33" s="165"/>
      <c r="N33" s="165"/>
      <c r="O33" s="165"/>
      <c r="P33" s="110"/>
      <c r="Q33" s="110"/>
      <c r="R33" s="110"/>
      <c r="S33" s="110"/>
      <c r="T33" s="110"/>
      <c r="U33" s="110"/>
      <c r="V33" s="249"/>
      <c r="W33" s="249"/>
      <c r="X33" s="249"/>
      <c r="Y33" s="249"/>
      <c r="Z33" s="249"/>
    </row>
    <row r="34" ht="13.5" customHeight="1">
      <c r="A34" s="181"/>
      <c r="B34" s="182"/>
      <c r="C34" s="183"/>
      <c r="D34" s="184"/>
      <c r="E34" s="188"/>
      <c r="F34" s="165"/>
      <c r="G34" s="165"/>
      <c r="H34" s="165"/>
      <c r="I34" s="165"/>
      <c r="J34" s="165"/>
      <c r="K34" s="165"/>
      <c r="L34" s="165"/>
      <c r="M34" s="165"/>
      <c r="N34" s="165"/>
      <c r="O34" s="165"/>
      <c r="P34" s="110"/>
      <c r="Q34" s="110"/>
      <c r="R34" s="110"/>
      <c r="S34" s="110"/>
      <c r="T34" s="110"/>
      <c r="U34" s="110"/>
      <c r="V34" s="249"/>
      <c r="W34" s="249"/>
      <c r="X34" s="249"/>
      <c r="Y34" s="249"/>
      <c r="Z34" s="249"/>
    </row>
    <row r="35" ht="13.5" customHeight="1">
      <c r="A35" s="181"/>
      <c r="B35" s="182"/>
      <c r="C35" s="183"/>
      <c r="D35" s="184"/>
      <c r="E35" s="188"/>
      <c r="F35" s="165"/>
      <c r="G35" s="165"/>
      <c r="H35" s="165"/>
      <c r="I35" s="165"/>
      <c r="J35" s="165"/>
      <c r="K35" s="165"/>
      <c r="L35" s="165"/>
      <c r="M35" s="165"/>
      <c r="N35" s="165"/>
      <c r="O35" s="165"/>
      <c r="P35" s="110"/>
      <c r="Q35" s="110"/>
      <c r="R35" s="110"/>
      <c r="S35" s="110"/>
      <c r="T35" s="110"/>
      <c r="U35" s="110"/>
      <c r="V35" s="249"/>
      <c r="W35" s="249"/>
      <c r="X35" s="249"/>
      <c r="Y35" s="249"/>
      <c r="Z35" s="249"/>
    </row>
    <row r="36" ht="13.5" customHeight="1">
      <c r="A36" s="262"/>
      <c r="B36" s="182"/>
      <c r="C36" s="183"/>
      <c r="D36" s="184"/>
      <c r="E36" s="188"/>
      <c r="F36" s="165"/>
      <c r="G36" s="165"/>
      <c r="H36" s="165"/>
      <c r="I36" s="165"/>
      <c r="J36" s="165"/>
      <c r="K36" s="165"/>
      <c r="L36" s="165"/>
      <c r="M36" s="165"/>
      <c r="N36" s="165"/>
      <c r="O36" s="165"/>
      <c r="P36" s="110"/>
      <c r="Q36" s="110"/>
      <c r="R36" s="110"/>
      <c r="S36" s="110"/>
      <c r="T36" s="110"/>
      <c r="U36" s="110"/>
      <c r="V36" s="249"/>
      <c r="W36" s="249"/>
      <c r="X36" s="249"/>
      <c r="Y36" s="249"/>
      <c r="Z36" s="249"/>
    </row>
    <row r="37" ht="13.5" customHeight="1">
      <c r="A37" s="264"/>
      <c r="B37" s="237"/>
      <c r="C37" s="238"/>
      <c r="D37" s="239"/>
      <c r="E37" s="265"/>
      <c r="F37" s="156"/>
      <c r="G37" s="156"/>
      <c r="H37" s="156"/>
      <c r="I37" s="156"/>
      <c r="J37" s="156"/>
      <c r="K37" s="156"/>
      <c r="L37" s="156"/>
      <c r="M37" s="156"/>
      <c r="N37" s="156"/>
      <c r="O37" s="156"/>
      <c r="P37" s="110"/>
      <c r="Q37" s="110"/>
      <c r="R37" s="110"/>
      <c r="S37" s="110"/>
      <c r="T37" s="110"/>
      <c r="U37" s="110"/>
      <c r="V37" s="249"/>
      <c r="W37" s="249"/>
      <c r="X37" s="249"/>
      <c r="Y37" s="249"/>
      <c r="Z37" s="249"/>
    </row>
    <row r="38" ht="13.5" customHeight="1">
      <c r="A38" s="264"/>
      <c r="B38" s="237"/>
      <c r="C38" s="238"/>
      <c r="D38" s="239"/>
      <c r="E38" s="265"/>
      <c r="F38" s="156"/>
      <c r="G38" s="156"/>
      <c r="H38" s="156"/>
      <c r="I38" s="156"/>
      <c r="J38" s="156"/>
      <c r="K38" s="156"/>
      <c r="L38" s="156"/>
      <c r="M38" s="156"/>
      <c r="N38" s="156"/>
      <c r="O38" s="156"/>
      <c r="P38" s="110"/>
      <c r="Q38" s="110"/>
      <c r="R38" s="110"/>
      <c r="S38" s="110"/>
      <c r="T38" s="110"/>
      <c r="U38" s="110"/>
      <c r="V38" s="249"/>
      <c r="W38" s="249"/>
      <c r="X38" s="249"/>
      <c r="Y38" s="249"/>
      <c r="Z38" s="249"/>
    </row>
    <row r="39" ht="13.5" customHeight="1">
      <c r="A39" s="264"/>
      <c r="B39" s="237"/>
      <c r="C39" s="238"/>
      <c r="D39" s="239"/>
      <c r="E39" s="265"/>
      <c r="F39" s="156"/>
      <c r="G39" s="156"/>
      <c r="H39" s="156"/>
      <c r="I39" s="156"/>
      <c r="J39" s="156"/>
      <c r="K39" s="156"/>
      <c r="L39" s="156"/>
      <c r="M39" s="156"/>
      <c r="N39" s="156"/>
      <c r="O39" s="156"/>
      <c r="P39" s="110"/>
      <c r="Q39" s="110"/>
      <c r="R39" s="110"/>
      <c r="S39" s="110"/>
      <c r="T39" s="110"/>
      <c r="U39" s="110"/>
      <c r="V39" s="249"/>
      <c r="W39" s="249"/>
      <c r="X39" s="249"/>
      <c r="Y39" s="249"/>
      <c r="Z39" s="249"/>
    </row>
    <row r="40" ht="13.5" customHeight="1">
      <c r="A40" s="264"/>
      <c r="B40" s="237"/>
      <c r="C40" s="238"/>
      <c r="D40" s="239"/>
      <c r="E40" s="265"/>
      <c r="F40" s="156"/>
      <c r="G40" s="156"/>
      <c r="H40" s="156"/>
      <c r="I40" s="156"/>
      <c r="J40" s="156"/>
      <c r="K40" s="156"/>
      <c r="L40" s="156"/>
      <c r="M40" s="156"/>
      <c r="N40" s="156"/>
      <c r="O40" s="156"/>
      <c r="P40" s="110"/>
      <c r="Q40" s="110"/>
      <c r="R40" s="110"/>
      <c r="S40" s="110"/>
      <c r="T40" s="110"/>
      <c r="U40" s="110"/>
      <c r="V40" s="249"/>
      <c r="W40" s="249"/>
      <c r="X40" s="249"/>
      <c r="Y40" s="249"/>
      <c r="Z40" s="249"/>
    </row>
    <row r="41" ht="13.5" customHeight="1">
      <c r="A41" s="264"/>
      <c r="B41" s="237"/>
      <c r="C41" s="238"/>
      <c r="D41" s="239"/>
      <c r="E41" s="265"/>
      <c r="F41" s="156"/>
      <c r="G41" s="156"/>
      <c r="H41" s="156"/>
      <c r="I41" s="156"/>
      <c r="J41" s="156"/>
      <c r="K41" s="156"/>
      <c r="L41" s="156"/>
      <c r="M41" s="156"/>
      <c r="N41" s="156"/>
      <c r="O41" s="156"/>
      <c r="P41" s="110"/>
      <c r="Q41" s="110"/>
      <c r="R41" s="110"/>
      <c r="S41" s="110"/>
      <c r="T41" s="110"/>
      <c r="U41" s="110"/>
      <c r="V41" s="249"/>
      <c r="W41" s="249"/>
      <c r="X41" s="249"/>
      <c r="Y41" s="249"/>
      <c r="Z41" s="249"/>
    </row>
    <row r="42" ht="13.5" customHeight="1">
      <c r="A42" s="228" t="s">
        <v>367</v>
      </c>
      <c r="B42" s="240" t="s">
        <v>368</v>
      </c>
      <c r="C42" s="225"/>
      <c r="D42" s="241"/>
      <c r="E42" s="200"/>
      <c r="F42" s="201" t="s">
        <v>38</v>
      </c>
      <c r="G42" s="201" t="s">
        <v>220</v>
      </c>
      <c r="H42" s="201" t="s">
        <v>220</v>
      </c>
      <c r="I42" s="201" t="s">
        <v>38</v>
      </c>
      <c r="J42" s="201"/>
      <c r="K42" s="201"/>
      <c r="L42" s="201"/>
      <c r="M42" s="201"/>
      <c r="N42" s="201"/>
      <c r="O42" s="201"/>
      <c r="P42" s="110"/>
      <c r="Q42" s="110"/>
      <c r="R42" s="110"/>
      <c r="S42" s="110"/>
      <c r="T42" s="110"/>
      <c r="U42" s="110"/>
      <c r="V42" s="249"/>
      <c r="W42" s="249"/>
      <c r="X42" s="249"/>
      <c r="Y42" s="249"/>
      <c r="Z42" s="249"/>
    </row>
    <row r="43" ht="13.5" customHeight="1">
      <c r="A43" s="260"/>
      <c r="B43" s="204" t="s">
        <v>369</v>
      </c>
      <c r="C43" s="12"/>
      <c r="D43" s="13"/>
      <c r="E43" s="205"/>
      <c r="F43" s="206"/>
      <c r="G43" s="206"/>
      <c r="H43" s="206"/>
      <c r="I43" s="206"/>
      <c r="J43" s="206"/>
      <c r="K43" s="206"/>
      <c r="L43" s="206"/>
      <c r="M43" s="206"/>
      <c r="N43" s="206"/>
      <c r="O43" s="206"/>
      <c r="P43" s="110"/>
      <c r="Q43" s="110"/>
      <c r="R43" s="110"/>
      <c r="S43" s="110"/>
      <c r="T43" s="110"/>
      <c r="U43" s="110"/>
      <c r="V43" s="249"/>
      <c r="W43" s="249"/>
      <c r="X43" s="249"/>
      <c r="Y43" s="249"/>
      <c r="Z43" s="249"/>
    </row>
    <row r="44" ht="13.5" customHeight="1">
      <c r="A44" s="260"/>
      <c r="B44" s="208" t="s">
        <v>371</v>
      </c>
      <c r="C44" s="12"/>
      <c r="D44" s="13"/>
      <c r="E44" s="209"/>
      <c r="F44" s="210"/>
      <c r="G44" s="210"/>
      <c r="H44" s="210"/>
      <c r="I44" s="210"/>
      <c r="J44" s="210"/>
      <c r="K44" s="210"/>
      <c r="L44" s="210"/>
      <c r="M44" s="210"/>
      <c r="N44" s="210"/>
      <c r="O44" s="210"/>
      <c r="P44" s="110"/>
      <c r="Q44" s="110"/>
      <c r="R44" s="110"/>
      <c r="S44" s="110"/>
      <c r="T44" s="110"/>
      <c r="U44" s="110"/>
      <c r="V44" s="249"/>
      <c r="W44" s="249"/>
      <c r="X44" s="249"/>
      <c r="Y44" s="249"/>
      <c r="Z44" s="249"/>
    </row>
    <row r="45" ht="12.0" customHeight="1">
      <c r="A45" s="261"/>
      <c r="B45" s="215" t="s">
        <v>372</v>
      </c>
      <c r="C45" s="216"/>
      <c r="D45" s="217"/>
      <c r="E45" s="218"/>
      <c r="F45" s="219"/>
      <c r="G45" s="219"/>
      <c r="H45" s="219"/>
      <c r="I45" s="219"/>
      <c r="J45" s="219"/>
      <c r="K45" s="219"/>
      <c r="L45" s="219"/>
      <c r="M45" s="219"/>
      <c r="N45" s="219"/>
      <c r="O45" s="219"/>
      <c r="P45" s="110"/>
      <c r="Q45" s="110"/>
      <c r="R45" s="110"/>
      <c r="S45" s="110"/>
      <c r="T45" s="110"/>
      <c r="U45" s="110"/>
      <c r="V45" s="249"/>
      <c r="W45" s="249"/>
      <c r="X45" s="249"/>
      <c r="Y45" s="249"/>
      <c r="Z45" s="249"/>
    </row>
    <row r="46" ht="12.0" customHeight="1">
      <c r="A46" s="143"/>
      <c r="B46" s="110"/>
      <c r="C46" s="111"/>
      <c r="D46" s="110"/>
      <c r="E46" s="110"/>
      <c r="F46" s="110"/>
      <c r="G46" s="110"/>
      <c r="H46" s="110"/>
      <c r="I46" s="110"/>
      <c r="J46" s="110"/>
      <c r="K46" s="110"/>
      <c r="L46" s="110"/>
      <c r="M46" s="110"/>
      <c r="N46" s="110"/>
      <c r="O46" s="110"/>
      <c r="P46" s="110"/>
      <c r="Q46" s="110"/>
      <c r="R46" s="110"/>
      <c r="S46" s="110"/>
      <c r="T46" s="110"/>
      <c r="U46" s="110"/>
      <c r="V46" s="249"/>
      <c r="W46" s="249"/>
      <c r="X46" s="249"/>
      <c r="Y46" s="249"/>
      <c r="Z46" s="249"/>
    </row>
    <row r="47" ht="13.5" customHeight="1">
      <c r="A47" s="110"/>
      <c r="B47" s="143"/>
      <c r="C47" s="110"/>
      <c r="D47" s="111"/>
      <c r="E47" s="110"/>
      <c r="F47" s="110"/>
      <c r="G47" s="110"/>
      <c r="H47" s="110"/>
      <c r="I47" s="110"/>
      <c r="J47" s="110"/>
      <c r="K47" s="110"/>
      <c r="L47" s="110"/>
      <c r="M47" s="110"/>
      <c r="N47" s="110"/>
      <c r="O47" s="110"/>
      <c r="P47" s="110"/>
      <c r="Q47" s="110"/>
      <c r="R47" s="110"/>
      <c r="S47" s="110"/>
      <c r="T47" s="110"/>
      <c r="U47" s="110"/>
      <c r="V47" s="249"/>
      <c r="W47" s="249"/>
      <c r="X47" s="249"/>
      <c r="Y47" s="249"/>
      <c r="Z47" s="249"/>
    </row>
    <row r="48" ht="13.5" customHeight="1">
      <c r="A48" s="110"/>
      <c r="B48" s="143"/>
      <c r="C48" s="110"/>
      <c r="D48" s="111"/>
      <c r="E48" s="110"/>
      <c r="F48" s="110"/>
      <c r="G48" s="110"/>
      <c r="H48" s="110"/>
      <c r="I48" s="110"/>
      <c r="J48" s="110"/>
      <c r="K48" s="110"/>
      <c r="L48" s="110"/>
      <c r="M48" s="110"/>
      <c r="N48" s="110"/>
      <c r="O48" s="110"/>
      <c r="P48" s="110"/>
      <c r="Q48" s="110"/>
      <c r="R48" s="110"/>
      <c r="S48" s="110"/>
      <c r="T48" s="110"/>
      <c r="U48" s="110"/>
      <c r="V48" s="249"/>
      <c r="W48" s="249"/>
      <c r="X48" s="249"/>
      <c r="Y48" s="249"/>
      <c r="Z48" s="249"/>
    </row>
    <row r="49" ht="13.5" customHeight="1">
      <c r="A49" s="110"/>
      <c r="B49" s="143"/>
      <c r="C49" s="110"/>
      <c r="D49" s="111"/>
      <c r="E49" s="110"/>
      <c r="F49" s="110"/>
      <c r="G49" s="110"/>
      <c r="H49" s="110"/>
      <c r="I49" s="110"/>
      <c r="J49" s="110"/>
      <c r="K49" s="110"/>
      <c r="L49" s="110"/>
      <c r="M49" s="110"/>
      <c r="N49" s="110"/>
      <c r="O49" s="110"/>
      <c r="P49" s="110"/>
      <c r="Q49" s="110"/>
      <c r="R49" s="110"/>
      <c r="S49" s="110"/>
      <c r="T49" s="110"/>
      <c r="U49" s="110"/>
      <c r="V49" s="249"/>
      <c r="W49" s="249"/>
      <c r="X49" s="249"/>
      <c r="Y49" s="249"/>
      <c r="Z49" s="249"/>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249"/>
      <c r="W50" s="249"/>
      <c r="X50" s="249"/>
      <c r="Y50" s="249"/>
      <c r="Z50" s="249"/>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249"/>
      <c r="W51" s="249"/>
      <c r="X51" s="249"/>
      <c r="Y51" s="249"/>
      <c r="Z51" s="249"/>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249"/>
      <c r="W52" s="249"/>
      <c r="X52" s="249"/>
      <c r="Y52" s="249"/>
      <c r="Z52" s="249"/>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249"/>
      <c r="W53" s="249"/>
      <c r="X53" s="249"/>
      <c r="Y53" s="249"/>
      <c r="Z53" s="249"/>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249"/>
      <c r="W54" s="249"/>
      <c r="X54" s="249"/>
      <c r="Y54" s="249"/>
      <c r="Z54" s="249"/>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249"/>
      <c r="W55" s="249"/>
      <c r="X55" s="249"/>
      <c r="Y55" s="249"/>
      <c r="Z55" s="249"/>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249"/>
      <c r="W56" s="249"/>
      <c r="X56" s="249"/>
      <c r="Y56" s="249"/>
      <c r="Z56" s="249"/>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249"/>
      <c r="W57" s="249"/>
      <c r="X57" s="249"/>
      <c r="Y57" s="249"/>
      <c r="Z57" s="249"/>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249"/>
      <c r="W58" s="249"/>
      <c r="X58" s="249"/>
      <c r="Y58" s="249"/>
      <c r="Z58" s="249"/>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249"/>
      <c r="W59" s="249"/>
      <c r="X59" s="249"/>
      <c r="Y59" s="249"/>
      <c r="Z59" s="249"/>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249"/>
      <c r="W60" s="249"/>
      <c r="X60" s="249"/>
      <c r="Y60" s="249"/>
      <c r="Z60" s="249"/>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249"/>
      <c r="W61" s="249"/>
      <c r="X61" s="249"/>
      <c r="Y61" s="249"/>
      <c r="Z61" s="249"/>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249"/>
      <c r="W62" s="249"/>
      <c r="X62" s="249"/>
      <c r="Y62" s="249"/>
      <c r="Z62" s="249"/>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249"/>
      <c r="W63" s="249"/>
      <c r="X63" s="249"/>
      <c r="Y63" s="249"/>
      <c r="Z63" s="249"/>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249"/>
      <c r="W64" s="249"/>
      <c r="X64" s="249"/>
      <c r="Y64" s="249"/>
      <c r="Z64" s="249"/>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249"/>
      <c r="W65" s="249"/>
      <c r="X65" s="249"/>
      <c r="Y65" s="249"/>
      <c r="Z65" s="249"/>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249"/>
      <c r="W66" s="249"/>
      <c r="X66" s="249"/>
      <c r="Y66" s="249"/>
      <c r="Z66" s="249"/>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249"/>
      <c r="W67" s="249"/>
      <c r="X67" s="249"/>
      <c r="Y67" s="249"/>
      <c r="Z67" s="249"/>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249"/>
      <c r="W68" s="249"/>
      <c r="X68" s="249"/>
      <c r="Y68" s="249"/>
      <c r="Z68" s="249"/>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249"/>
      <c r="W69" s="249"/>
      <c r="X69" s="249"/>
      <c r="Y69" s="249"/>
      <c r="Z69" s="249"/>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249"/>
      <c r="W70" s="249"/>
      <c r="X70" s="249"/>
      <c r="Y70" s="249"/>
      <c r="Z70" s="249"/>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249"/>
      <c r="W71" s="249"/>
      <c r="X71" s="249"/>
      <c r="Y71" s="249"/>
      <c r="Z71" s="249"/>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249"/>
      <c r="W72" s="249"/>
      <c r="X72" s="249"/>
      <c r="Y72" s="249"/>
      <c r="Z72" s="249"/>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249"/>
      <c r="W73" s="249"/>
      <c r="X73" s="249"/>
      <c r="Y73" s="249"/>
      <c r="Z73" s="249"/>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249"/>
      <c r="W74" s="249"/>
      <c r="X74" s="249"/>
      <c r="Y74" s="249"/>
      <c r="Z74" s="249"/>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249"/>
      <c r="W75" s="249"/>
      <c r="X75" s="249"/>
      <c r="Y75" s="249"/>
      <c r="Z75" s="249"/>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249"/>
      <c r="W76" s="249"/>
      <c r="X76" s="249"/>
      <c r="Y76" s="249"/>
      <c r="Z76" s="249"/>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249"/>
      <c r="W77" s="249"/>
      <c r="X77" s="249"/>
      <c r="Y77" s="249"/>
      <c r="Z77" s="249"/>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249"/>
      <c r="W78" s="249"/>
      <c r="X78" s="249"/>
      <c r="Y78" s="249"/>
      <c r="Z78" s="249"/>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249"/>
      <c r="W79" s="249"/>
      <c r="X79" s="249"/>
      <c r="Y79" s="249"/>
      <c r="Z79" s="249"/>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249"/>
      <c r="W80" s="249"/>
      <c r="X80" s="249"/>
      <c r="Y80" s="249"/>
      <c r="Z80" s="249"/>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249"/>
      <c r="W81" s="249"/>
      <c r="X81" s="249"/>
      <c r="Y81" s="249"/>
      <c r="Z81" s="249"/>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249"/>
      <c r="W82" s="249"/>
      <c r="X82" s="249"/>
      <c r="Y82" s="249"/>
      <c r="Z82" s="249"/>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249"/>
      <c r="W83" s="249"/>
      <c r="X83" s="249"/>
      <c r="Y83" s="249"/>
      <c r="Z83" s="249"/>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249"/>
      <c r="W84" s="249"/>
      <c r="X84" s="249"/>
      <c r="Y84" s="249"/>
      <c r="Z84" s="249"/>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249"/>
      <c r="W85" s="249"/>
      <c r="X85" s="249"/>
      <c r="Y85" s="249"/>
      <c r="Z85" s="249"/>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249"/>
      <c r="W86" s="249"/>
      <c r="X86" s="249"/>
      <c r="Y86" s="249"/>
      <c r="Z86" s="249"/>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249"/>
      <c r="W87" s="249"/>
      <c r="X87" s="249"/>
      <c r="Y87" s="249"/>
      <c r="Z87" s="249"/>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249"/>
      <c r="W88" s="249"/>
      <c r="X88" s="249"/>
      <c r="Y88" s="249"/>
      <c r="Z88" s="249"/>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249"/>
      <c r="W89" s="249"/>
      <c r="X89" s="249"/>
      <c r="Y89" s="249"/>
      <c r="Z89" s="249"/>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249"/>
      <c r="W90" s="249"/>
      <c r="X90" s="249"/>
      <c r="Y90" s="249"/>
      <c r="Z90" s="249"/>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249"/>
      <c r="W91" s="249"/>
      <c r="X91" s="249"/>
      <c r="Y91" s="249"/>
      <c r="Z91" s="249"/>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249"/>
      <c r="W92" s="249"/>
      <c r="X92" s="249"/>
      <c r="Y92" s="249"/>
      <c r="Z92" s="249"/>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249"/>
      <c r="W93" s="249"/>
      <c r="X93" s="249"/>
      <c r="Y93" s="249"/>
      <c r="Z93" s="249"/>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249"/>
      <c r="W94" s="249"/>
      <c r="X94" s="249"/>
      <c r="Y94" s="249"/>
      <c r="Z94" s="249"/>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249"/>
      <c r="W95" s="249"/>
      <c r="X95" s="249"/>
      <c r="Y95" s="249"/>
      <c r="Z95" s="249"/>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249"/>
      <c r="W96" s="249"/>
      <c r="X96" s="249"/>
      <c r="Y96" s="249"/>
      <c r="Z96" s="249"/>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249"/>
      <c r="W97" s="249"/>
      <c r="X97" s="249"/>
      <c r="Y97" s="249"/>
      <c r="Z97" s="249"/>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249"/>
      <c r="W98" s="249"/>
      <c r="X98" s="249"/>
      <c r="Y98" s="249"/>
      <c r="Z98" s="249"/>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249"/>
      <c r="W99" s="249"/>
      <c r="X99" s="249"/>
      <c r="Y99" s="249"/>
      <c r="Z99" s="249"/>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249"/>
      <c r="W100" s="249"/>
      <c r="X100" s="249"/>
      <c r="Y100" s="249"/>
      <c r="Z100" s="249"/>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249"/>
      <c r="W101" s="249"/>
      <c r="X101" s="249"/>
      <c r="Y101" s="249"/>
      <c r="Z101" s="249"/>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249"/>
      <c r="W102" s="249"/>
      <c r="X102" s="249"/>
      <c r="Y102" s="249"/>
      <c r="Z102" s="249"/>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249"/>
      <c r="W103" s="249"/>
      <c r="X103" s="249"/>
      <c r="Y103" s="249"/>
      <c r="Z103" s="249"/>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249"/>
      <c r="W104" s="249"/>
      <c r="X104" s="249"/>
      <c r="Y104" s="249"/>
      <c r="Z104" s="249"/>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249"/>
      <c r="W105" s="249"/>
      <c r="X105" s="249"/>
      <c r="Y105" s="249"/>
      <c r="Z105" s="249"/>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249"/>
      <c r="W106" s="249"/>
      <c r="X106" s="249"/>
      <c r="Y106" s="249"/>
      <c r="Z106" s="249"/>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249"/>
      <c r="W107" s="249"/>
      <c r="X107" s="249"/>
      <c r="Y107" s="249"/>
      <c r="Z107" s="249"/>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249"/>
      <c r="W108" s="249"/>
      <c r="X108" s="249"/>
      <c r="Y108" s="249"/>
      <c r="Z108" s="249"/>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249"/>
      <c r="W109" s="249"/>
      <c r="X109" s="249"/>
      <c r="Y109" s="249"/>
      <c r="Z109" s="249"/>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249"/>
      <c r="W110" s="249"/>
      <c r="X110" s="249"/>
      <c r="Y110" s="249"/>
      <c r="Z110" s="249"/>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249"/>
      <c r="W111" s="249"/>
      <c r="X111" s="249"/>
      <c r="Y111" s="249"/>
      <c r="Z111" s="249"/>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249"/>
      <c r="W112" s="249"/>
      <c r="X112" s="249"/>
      <c r="Y112" s="249"/>
      <c r="Z112" s="249"/>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249"/>
      <c r="W113" s="249"/>
      <c r="X113" s="249"/>
      <c r="Y113" s="249"/>
      <c r="Z113" s="249"/>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249"/>
      <c r="W114" s="249"/>
      <c r="X114" s="249"/>
      <c r="Y114" s="249"/>
      <c r="Z114" s="249"/>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249"/>
      <c r="W115" s="249"/>
      <c r="X115" s="249"/>
      <c r="Y115" s="249"/>
      <c r="Z115" s="249"/>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249"/>
      <c r="W116" s="249"/>
      <c r="X116" s="249"/>
      <c r="Y116" s="249"/>
      <c r="Z116" s="249"/>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249"/>
      <c r="W117" s="249"/>
      <c r="X117" s="249"/>
      <c r="Y117" s="249"/>
      <c r="Z117" s="249"/>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249"/>
      <c r="W118" s="249"/>
      <c r="X118" s="249"/>
      <c r="Y118" s="249"/>
      <c r="Z118" s="249"/>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249"/>
      <c r="W119" s="249"/>
      <c r="X119" s="249"/>
      <c r="Y119" s="249"/>
      <c r="Z119" s="249"/>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249"/>
      <c r="W120" s="249"/>
      <c r="X120" s="249"/>
      <c r="Y120" s="249"/>
      <c r="Z120" s="249"/>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249"/>
      <c r="W121" s="249"/>
      <c r="X121" s="249"/>
      <c r="Y121" s="249"/>
      <c r="Z121" s="249"/>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249"/>
      <c r="W122" s="249"/>
      <c r="X122" s="249"/>
      <c r="Y122" s="249"/>
      <c r="Z122" s="249"/>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249"/>
      <c r="W123" s="249"/>
      <c r="X123" s="249"/>
      <c r="Y123" s="249"/>
      <c r="Z123" s="249"/>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249"/>
      <c r="W124" s="249"/>
      <c r="X124" s="249"/>
      <c r="Y124" s="249"/>
      <c r="Z124" s="249"/>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249"/>
      <c r="W125" s="249"/>
      <c r="X125" s="249"/>
      <c r="Y125" s="249"/>
      <c r="Z125" s="249"/>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249"/>
      <c r="W126" s="249"/>
      <c r="X126" s="249"/>
      <c r="Y126" s="249"/>
      <c r="Z126" s="249"/>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249"/>
      <c r="W127" s="249"/>
      <c r="X127" s="249"/>
      <c r="Y127" s="249"/>
      <c r="Z127" s="249"/>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249"/>
      <c r="W128" s="249"/>
      <c r="X128" s="249"/>
      <c r="Y128" s="249"/>
      <c r="Z128" s="249"/>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249"/>
      <c r="W129" s="249"/>
      <c r="X129" s="249"/>
      <c r="Y129" s="249"/>
      <c r="Z129" s="249"/>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249"/>
      <c r="W130" s="249"/>
      <c r="X130" s="249"/>
      <c r="Y130" s="249"/>
      <c r="Z130" s="249"/>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249"/>
      <c r="W131" s="249"/>
      <c r="X131" s="249"/>
      <c r="Y131" s="249"/>
      <c r="Z131" s="249"/>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249"/>
      <c r="W132" s="249"/>
      <c r="X132" s="249"/>
      <c r="Y132" s="249"/>
      <c r="Z132" s="249"/>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249"/>
      <c r="W133" s="249"/>
      <c r="X133" s="249"/>
      <c r="Y133" s="249"/>
      <c r="Z133" s="249"/>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249"/>
      <c r="W134" s="249"/>
      <c r="X134" s="249"/>
      <c r="Y134" s="249"/>
      <c r="Z134" s="249"/>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249"/>
      <c r="W135" s="249"/>
      <c r="X135" s="249"/>
      <c r="Y135" s="249"/>
      <c r="Z135" s="249"/>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249"/>
      <c r="W136" s="249"/>
      <c r="X136" s="249"/>
      <c r="Y136" s="249"/>
      <c r="Z136" s="249"/>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249"/>
      <c r="W137" s="249"/>
      <c r="X137" s="249"/>
      <c r="Y137" s="249"/>
      <c r="Z137" s="249"/>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249"/>
      <c r="W138" s="249"/>
      <c r="X138" s="249"/>
      <c r="Y138" s="249"/>
      <c r="Z138" s="249"/>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249"/>
      <c r="W139" s="249"/>
      <c r="X139" s="249"/>
      <c r="Y139" s="249"/>
      <c r="Z139" s="249"/>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249"/>
      <c r="W140" s="249"/>
      <c r="X140" s="249"/>
      <c r="Y140" s="249"/>
      <c r="Z140" s="249"/>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249"/>
      <c r="W141" s="249"/>
      <c r="X141" s="249"/>
      <c r="Y141" s="249"/>
      <c r="Z141" s="249"/>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249"/>
      <c r="W142" s="249"/>
      <c r="X142" s="249"/>
      <c r="Y142" s="249"/>
      <c r="Z142" s="249"/>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249"/>
      <c r="W143" s="249"/>
      <c r="X143" s="249"/>
      <c r="Y143" s="249"/>
      <c r="Z143" s="249"/>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249"/>
      <c r="W144" s="249"/>
      <c r="X144" s="249"/>
      <c r="Y144" s="249"/>
      <c r="Z144" s="249"/>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249"/>
      <c r="W145" s="249"/>
      <c r="X145" s="249"/>
      <c r="Y145" s="249"/>
      <c r="Z145" s="249"/>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249"/>
      <c r="W146" s="249"/>
      <c r="X146" s="249"/>
      <c r="Y146" s="249"/>
      <c r="Z146" s="249"/>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249"/>
      <c r="W147" s="249"/>
      <c r="X147" s="249"/>
      <c r="Y147" s="249"/>
      <c r="Z147" s="249"/>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249"/>
      <c r="W148" s="249"/>
      <c r="X148" s="249"/>
      <c r="Y148" s="249"/>
      <c r="Z148" s="249"/>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249"/>
      <c r="W149" s="249"/>
      <c r="X149" s="249"/>
      <c r="Y149" s="249"/>
      <c r="Z149" s="249"/>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249"/>
      <c r="W150" s="249"/>
      <c r="X150" s="249"/>
      <c r="Y150" s="249"/>
      <c r="Z150" s="249"/>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249"/>
      <c r="W151" s="249"/>
      <c r="X151" s="249"/>
      <c r="Y151" s="249"/>
      <c r="Z151" s="249"/>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249"/>
      <c r="W152" s="249"/>
      <c r="X152" s="249"/>
      <c r="Y152" s="249"/>
      <c r="Z152" s="249"/>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249"/>
      <c r="W153" s="249"/>
      <c r="X153" s="249"/>
      <c r="Y153" s="249"/>
      <c r="Z153" s="249"/>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249"/>
      <c r="W154" s="249"/>
      <c r="X154" s="249"/>
      <c r="Y154" s="249"/>
      <c r="Z154" s="249"/>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249"/>
      <c r="W155" s="249"/>
      <c r="X155" s="249"/>
      <c r="Y155" s="249"/>
      <c r="Z155" s="249"/>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249"/>
      <c r="W156" s="249"/>
      <c r="X156" s="249"/>
      <c r="Y156" s="249"/>
      <c r="Z156" s="249"/>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249"/>
      <c r="W157" s="249"/>
      <c r="X157" s="249"/>
      <c r="Y157" s="249"/>
      <c r="Z157" s="249"/>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249"/>
      <c r="W158" s="249"/>
      <c r="X158" s="249"/>
      <c r="Y158" s="249"/>
      <c r="Z158" s="249"/>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249"/>
      <c r="W159" s="249"/>
      <c r="X159" s="249"/>
      <c r="Y159" s="249"/>
      <c r="Z159" s="249"/>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249"/>
      <c r="W160" s="249"/>
      <c r="X160" s="249"/>
      <c r="Y160" s="249"/>
      <c r="Z160" s="249"/>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249"/>
      <c r="W161" s="249"/>
      <c r="X161" s="249"/>
      <c r="Y161" s="249"/>
      <c r="Z161" s="249"/>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249"/>
      <c r="W162" s="249"/>
      <c r="X162" s="249"/>
      <c r="Y162" s="249"/>
      <c r="Z162" s="249"/>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249"/>
      <c r="W163" s="249"/>
      <c r="X163" s="249"/>
      <c r="Y163" s="249"/>
      <c r="Z163" s="249"/>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249"/>
      <c r="W164" s="249"/>
      <c r="X164" s="249"/>
      <c r="Y164" s="249"/>
      <c r="Z164" s="249"/>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249"/>
      <c r="W165" s="249"/>
      <c r="X165" s="249"/>
      <c r="Y165" s="249"/>
      <c r="Z165" s="249"/>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249"/>
      <c r="W166" s="249"/>
      <c r="X166" s="249"/>
      <c r="Y166" s="249"/>
      <c r="Z166" s="249"/>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249"/>
      <c r="W167" s="249"/>
      <c r="X167" s="249"/>
      <c r="Y167" s="249"/>
      <c r="Z167" s="249"/>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249"/>
      <c r="W168" s="249"/>
      <c r="X168" s="249"/>
      <c r="Y168" s="249"/>
      <c r="Z168" s="249"/>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249"/>
      <c r="W169" s="249"/>
      <c r="X169" s="249"/>
      <c r="Y169" s="249"/>
      <c r="Z169" s="249"/>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249"/>
      <c r="W170" s="249"/>
      <c r="X170" s="249"/>
      <c r="Y170" s="249"/>
      <c r="Z170" s="249"/>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249"/>
      <c r="W171" s="249"/>
      <c r="X171" s="249"/>
      <c r="Y171" s="249"/>
      <c r="Z171" s="249"/>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249"/>
      <c r="W172" s="249"/>
      <c r="X172" s="249"/>
      <c r="Y172" s="249"/>
      <c r="Z172" s="249"/>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249"/>
      <c r="W173" s="249"/>
      <c r="X173" s="249"/>
      <c r="Y173" s="249"/>
      <c r="Z173" s="249"/>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249"/>
      <c r="W174" s="249"/>
      <c r="X174" s="249"/>
      <c r="Y174" s="249"/>
      <c r="Z174" s="249"/>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249"/>
      <c r="W175" s="249"/>
      <c r="X175" s="249"/>
      <c r="Y175" s="249"/>
      <c r="Z175" s="249"/>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249"/>
      <c r="W176" s="249"/>
      <c r="X176" s="249"/>
      <c r="Y176" s="249"/>
      <c r="Z176" s="249"/>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249"/>
      <c r="W177" s="249"/>
      <c r="X177" s="249"/>
      <c r="Y177" s="249"/>
      <c r="Z177" s="249"/>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249"/>
      <c r="W178" s="249"/>
      <c r="X178" s="249"/>
      <c r="Y178" s="249"/>
      <c r="Z178" s="249"/>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249"/>
      <c r="W179" s="249"/>
      <c r="X179" s="249"/>
      <c r="Y179" s="249"/>
      <c r="Z179" s="249"/>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249"/>
      <c r="W180" s="249"/>
      <c r="X180" s="249"/>
      <c r="Y180" s="249"/>
      <c r="Z180" s="249"/>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249"/>
      <c r="W181" s="249"/>
      <c r="X181" s="249"/>
      <c r="Y181" s="249"/>
      <c r="Z181" s="249"/>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249"/>
      <c r="W182" s="249"/>
      <c r="X182" s="249"/>
      <c r="Y182" s="249"/>
      <c r="Z182" s="249"/>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249"/>
      <c r="W183" s="249"/>
      <c r="X183" s="249"/>
      <c r="Y183" s="249"/>
      <c r="Z183" s="249"/>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249"/>
      <c r="W184" s="249"/>
      <c r="X184" s="249"/>
      <c r="Y184" s="249"/>
      <c r="Z184" s="249"/>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249"/>
      <c r="W185" s="249"/>
      <c r="X185" s="249"/>
      <c r="Y185" s="249"/>
      <c r="Z185" s="249"/>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249"/>
      <c r="W186" s="249"/>
      <c r="X186" s="249"/>
      <c r="Y186" s="249"/>
      <c r="Z186" s="249"/>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249"/>
      <c r="W187" s="249"/>
      <c r="X187" s="249"/>
      <c r="Y187" s="249"/>
      <c r="Z187" s="249"/>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249"/>
      <c r="W188" s="249"/>
      <c r="X188" s="249"/>
      <c r="Y188" s="249"/>
      <c r="Z188" s="249"/>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249"/>
      <c r="W189" s="249"/>
      <c r="X189" s="249"/>
      <c r="Y189" s="249"/>
      <c r="Z189" s="249"/>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249"/>
      <c r="W190" s="249"/>
      <c r="X190" s="249"/>
      <c r="Y190" s="249"/>
      <c r="Z190" s="249"/>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249"/>
      <c r="W191" s="249"/>
      <c r="X191" s="249"/>
      <c r="Y191" s="249"/>
      <c r="Z191" s="249"/>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249"/>
      <c r="W192" s="249"/>
      <c r="X192" s="249"/>
      <c r="Y192" s="249"/>
      <c r="Z192" s="249"/>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249"/>
      <c r="W193" s="249"/>
      <c r="X193" s="249"/>
      <c r="Y193" s="249"/>
      <c r="Z193" s="249"/>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249"/>
      <c r="W194" s="249"/>
      <c r="X194" s="249"/>
      <c r="Y194" s="249"/>
      <c r="Z194" s="249"/>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249"/>
      <c r="W195" s="249"/>
      <c r="X195" s="249"/>
      <c r="Y195" s="249"/>
      <c r="Z195" s="249"/>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249"/>
      <c r="W196" s="249"/>
      <c r="X196" s="249"/>
      <c r="Y196" s="249"/>
      <c r="Z196" s="249"/>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249"/>
      <c r="W197" s="249"/>
      <c r="X197" s="249"/>
      <c r="Y197" s="249"/>
      <c r="Z197" s="249"/>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249"/>
      <c r="W198" s="249"/>
      <c r="X198" s="249"/>
      <c r="Y198" s="249"/>
      <c r="Z198" s="249"/>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249"/>
      <c r="W199" s="249"/>
      <c r="X199" s="249"/>
      <c r="Y199" s="249"/>
      <c r="Z199" s="249"/>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249"/>
      <c r="W200" s="249"/>
      <c r="X200" s="249"/>
      <c r="Y200" s="249"/>
      <c r="Z200" s="249"/>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249"/>
      <c r="W201" s="249"/>
      <c r="X201" s="249"/>
      <c r="Y201" s="249"/>
      <c r="Z201" s="249"/>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249"/>
      <c r="W202" s="249"/>
      <c r="X202" s="249"/>
      <c r="Y202" s="249"/>
      <c r="Z202" s="249"/>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249"/>
      <c r="W203" s="249"/>
      <c r="X203" s="249"/>
      <c r="Y203" s="249"/>
      <c r="Z203" s="249"/>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249"/>
      <c r="W204" s="249"/>
      <c r="X204" s="249"/>
      <c r="Y204" s="249"/>
      <c r="Z204" s="249"/>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249"/>
      <c r="W205" s="249"/>
      <c r="X205" s="249"/>
      <c r="Y205" s="249"/>
      <c r="Z205" s="249"/>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249"/>
      <c r="W206" s="249"/>
      <c r="X206" s="249"/>
      <c r="Y206" s="249"/>
      <c r="Z206" s="249"/>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249"/>
      <c r="W207" s="249"/>
      <c r="X207" s="249"/>
      <c r="Y207" s="249"/>
      <c r="Z207" s="249"/>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249"/>
      <c r="W208" s="249"/>
      <c r="X208" s="249"/>
      <c r="Y208" s="249"/>
      <c r="Z208" s="249"/>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249"/>
      <c r="W209" s="249"/>
      <c r="X209" s="249"/>
      <c r="Y209" s="249"/>
      <c r="Z209" s="249"/>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249"/>
      <c r="W210" s="249"/>
      <c r="X210" s="249"/>
      <c r="Y210" s="249"/>
      <c r="Z210" s="249"/>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249"/>
      <c r="W211" s="249"/>
      <c r="X211" s="249"/>
      <c r="Y211" s="249"/>
      <c r="Z211" s="249"/>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249"/>
      <c r="W212" s="249"/>
      <c r="X212" s="249"/>
      <c r="Y212" s="249"/>
      <c r="Z212" s="249"/>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249"/>
      <c r="W213" s="249"/>
      <c r="X213" s="249"/>
      <c r="Y213" s="249"/>
      <c r="Z213" s="249"/>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249"/>
      <c r="W214" s="249"/>
      <c r="X214" s="249"/>
      <c r="Y214" s="249"/>
      <c r="Z214" s="249"/>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249"/>
      <c r="W215" s="249"/>
      <c r="X215" s="249"/>
      <c r="Y215" s="249"/>
      <c r="Z215" s="249"/>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249"/>
      <c r="W216" s="249"/>
      <c r="X216" s="249"/>
      <c r="Y216" s="249"/>
      <c r="Z216" s="249"/>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249"/>
      <c r="W217" s="249"/>
      <c r="X217" s="249"/>
      <c r="Y217" s="249"/>
      <c r="Z217" s="249"/>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249"/>
      <c r="W218" s="249"/>
      <c r="X218" s="249"/>
      <c r="Y218" s="249"/>
      <c r="Z218" s="249"/>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249"/>
      <c r="W219" s="249"/>
      <c r="X219" s="249"/>
      <c r="Y219" s="249"/>
      <c r="Z219" s="249"/>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249"/>
      <c r="W220" s="249"/>
      <c r="X220" s="249"/>
      <c r="Y220" s="249"/>
      <c r="Z220" s="249"/>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249"/>
      <c r="W221" s="249"/>
      <c r="X221" s="249"/>
      <c r="Y221" s="249"/>
      <c r="Z221" s="249"/>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249"/>
      <c r="W222" s="249"/>
      <c r="X222" s="249"/>
      <c r="Y222" s="249"/>
      <c r="Z222" s="249"/>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249"/>
      <c r="W223" s="249"/>
      <c r="X223" s="249"/>
      <c r="Y223" s="249"/>
      <c r="Z223" s="249"/>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249"/>
      <c r="W224" s="249"/>
      <c r="X224" s="249"/>
      <c r="Y224" s="249"/>
      <c r="Z224" s="249"/>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249"/>
      <c r="W225" s="249"/>
      <c r="X225" s="249"/>
      <c r="Y225" s="249"/>
      <c r="Z225" s="249"/>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249"/>
      <c r="W226" s="249"/>
      <c r="X226" s="249"/>
      <c r="Y226" s="249"/>
      <c r="Z226" s="249"/>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249"/>
      <c r="W227" s="249"/>
      <c r="X227" s="249"/>
      <c r="Y227" s="249"/>
      <c r="Z227" s="249"/>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249"/>
      <c r="W228" s="249"/>
      <c r="X228" s="249"/>
      <c r="Y228" s="249"/>
      <c r="Z228" s="249"/>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249"/>
      <c r="W229" s="249"/>
      <c r="X229" s="249"/>
      <c r="Y229" s="249"/>
      <c r="Z229" s="249"/>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249"/>
      <c r="W230" s="249"/>
      <c r="X230" s="249"/>
      <c r="Y230" s="249"/>
      <c r="Z230" s="249"/>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249"/>
      <c r="W231" s="249"/>
      <c r="X231" s="249"/>
      <c r="Y231" s="249"/>
      <c r="Z231" s="249"/>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249"/>
      <c r="W232" s="249"/>
      <c r="X232" s="249"/>
      <c r="Y232" s="249"/>
      <c r="Z232" s="249"/>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249"/>
      <c r="W233" s="249"/>
      <c r="X233" s="249"/>
      <c r="Y233" s="249"/>
      <c r="Z233" s="249"/>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249"/>
      <c r="W234" s="249"/>
      <c r="X234" s="249"/>
      <c r="Y234" s="249"/>
      <c r="Z234" s="249"/>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249"/>
      <c r="W235" s="249"/>
      <c r="X235" s="249"/>
      <c r="Y235" s="249"/>
      <c r="Z235" s="249"/>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249"/>
      <c r="W236" s="249"/>
      <c r="X236" s="249"/>
      <c r="Y236" s="249"/>
      <c r="Z236" s="249"/>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249"/>
      <c r="W237" s="249"/>
      <c r="X237" s="249"/>
      <c r="Y237" s="249"/>
      <c r="Z237" s="249"/>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249"/>
      <c r="W238" s="249"/>
      <c r="X238" s="249"/>
      <c r="Y238" s="249"/>
      <c r="Z238" s="249"/>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249"/>
      <c r="W239" s="249"/>
      <c r="X239" s="249"/>
      <c r="Y239" s="249"/>
      <c r="Z239" s="249"/>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249"/>
      <c r="W240" s="249"/>
      <c r="X240" s="249"/>
      <c r="Y240" s="249"/>
      <c r="Z240" s="249"/>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249"/>
      <c r="W241" s="249"/>
      <c r="X241" s="249"/>
      <c r="Y241" s="249"/>
      <c r="Z241" s="249"/>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249"/>
      <c r="W242" s="249"/>
      <c r="X242" s="249"/>
      <c r="Y242" s="249"/>
      <c r="Z242" s="249"/>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249"/>
      <c r="W243" s="249"/>
      <c r="X243" s="249"/>
      <c r="Y243" s="249"/>
      <c r="Z243" s="249"/>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249"/>
      <c r="W244" s="249"/>
      <c r="X244" s="249"/>
      <c r="Y244" s="249"/>
      <c r="Z244" s="249"/>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249"/>
      <c r="W245" s="249"/>
      <c r="X245" s="249"/>
      <c r="Y245" s="249"/>
      <c r="Z245" s="249"/>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B2"/>
    <mergeCell ref="C2:E2"/>
    <mergeCell ref="F2:K2"/>
    <mergeCell ref="L2:O2"/>
    <mergeCell ref="C3:E3"/>
    <mergeCell ref="F3:K3"/>
    <mergeCell ref="L3:N3"/>
    <mergeCell ref="A3:B3"/>
    <mergeCell ref="A4:B4"/>
    <mergeCell ref="C4:D4"/>
    <mergeCell ref="F4:K4"/>
    <mergeCell ref="L4:O4"/>
    <mergeCell ref="A5:B5"/>
    <mergeCell ref="C5:O5"/>
    <mergeCell ref="D19:E19"/>
    <mergeCell ref="B42:D42"/>
    <mergeCell ref="B43:D43"/>
    <mergeCell ref="B44:D44"/>
    <mergeCell ref="B45:D45"/>
    <mergeCell ref="A6:B6"/>
    <mergeCell ref="C6:E6"/>
    <mergeCell ref="F6:K6"/>
    <mergeCell ref="L6:N6"/>
    <mergeCell ref="A7:B7"/>
    <mergeCell ref="C7:E7"/>
    <mergeCell ref="F7:K7"/>
  </mergeCells>
  <dataValidations>
    <dataValidation type="list" allowBlank="1" showInputMessage="1" showErrorMessage="1" prompt=" - " sqref="F43:O43">
      <formula1>"P,F"</formula1>
    </dataValidation>
    <dataValidation type="list" allowBlank="1" showInputMessage="1" showErrorMessage="1" prompt=" - " sqref="F10:O27 F28:K28 M28:O28 F29:O41">
      <formula1>"O"</formula1>
    </dataValidation>
    <dataValidation type="list" allowBlank="1" showInputMessage="1" showErrorMessage="1" prompt=" - " sqref="F42:O42">
      <formula1>"N,A,B"</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5.2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249"/>
      <c r="W1" s="249"/>
      <c r="X1" s="249"/>
      <c r="Y1" s="249"/>
      <c r="Z1" s="249"/>
    </row>
    <row r="2" ht="13.5" customHeight="1">
      <c r="A2" s="112" t="s">
        <v>337</v>
      </c>
      <c r="B2" s="113"/>
      <c r="C2" s="250" t="str">
        <f>Functions!E21</f>
        <v>F-11</v>
      </c>
      <c r="D2" s="251"/>
      <c r="E2" s="252"/>
      <c r="F2" s="116" t="s">
        <v>71</v>
      </c>
      <c r="G2" s="117"/>
      <c r="H2" s="117"/>
      <c r="I2" s="117"/>
      <c r="J2" s="117"/>
      <c r="K2" s="117"/>
      <c r="L2" s="118" t="str">
        <f>Functions!D21</f>
        <v>FEFO–MLOR scoring and FEFO benchmark</v>
      </c>
      <c r="M2" s="113"/>
      <c r="N2" s="113"/>
      <c r="O2" s="119"/>
      <c r="P2" s="110"/>
      <c r="Q2" s="120"/>
      <c r="R2" s="110"/>
      <c r="S2" s="110"/>
      <c r="T2" s="110"/>
      <c r="U2" s="110"/>
      <c r="V2" s="249"/>
      <c r="W2" s="249"/>
      <c r="X2" s="249"/>
      <c r="Y2" s="249"/>
      <c r="Z2" s="249"/>
    </row>
    <row r="3" ht="13.5" customHeight="1">
      <c r="A3" s="121" t="s">
        <v>338</v>
      </c>
      <c r="B3" s="13"/>
      <c r="C3" s="253" t="s">
        <v>183</v>
      </c>
      <c r="D3" s="123"/>
      <c r="E3" s="124"/>
      <c r="F3" s="125" t="s">
        <v>339</v>
      </c>
      <c r="G3" s="12"/>
      <c r="H3" s="12"/>
      <c r="I3" s="12"/>
      <c r="J3" s="12"/>
      <c r="K3" s="13"/>
      <c r="L3" s="126"/>
      <c r="M3" s="123"/>
      <c r="N3" s="123"/>
      <c r="O3" s="127"/>
      <c r="P3" s="110"/>
      <c r="Q3" s="110"/>
      <c r="R3" s="110"/>
      <c r="S3" s="110"/>
      <c r="T3" s="110"/>
      <c r="U3" s="110"/>
      <c r="V3" s="249"/>
      <c r="W3" s="249"/>
      <c r="X3" s="249"/>
      <c r="Y3" s="249"/>
      <c r="Z3" s="249"/>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c r="V4" s="249"/>
      <c r="W4" s="249"/>
      <c r="X4" s="249"/>
      <c r="Y4" s="249"/>
      <c r="Z4" s="249"/>
    </row>
    <row r="5">
      <c r="A5" s="121" t="s">
        <v>342</v>
      </c>
      <c r="B5" s="13"/>
      <c r="C5" s="132" t="s">
        <v>457</v>
      </c>
      <c r="D5" s="12"/>
      <c r="E5" s="12"/>
      <c r="F5" s="12"/>
      <c r="G5" s="12"/>
      <c r="H5" s="12"/>
      <c r="I5" s="12"/>
      <c r="J5" s="12"/>
      <c r="K5" s="12"/>
      <c r="L5" s="12"/>
      <c r="M5" s="12"/>
      <c r="N5" s="12"/>
      <c r="O5" s="131"/>
      <c r="P5" s="110"/>
      <c r="Q5" s="110"/>
      <c r="R5" s="110"/>
      <c r="S5" s="110"/>
      <c r="T5" s="110"/>
      <c r="U5" s="110"/>
      <c r="V5" s="249"/>
      <c r="W5" s="249"/>
      <c r="X5" s="249"/>
      <c r="Y5" s="249"/>
      <c r="Z5" s="249"/>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c r="V6" s="249"/>
      <c r="W6" s="249"/>
      <c r="X6" s="249"/>
      <c r="Y6" s="249"/>
      <c r="Z6" s="249"/>
    </row>
    <row r="7" ht="13.5" customHeight="1">
      <c r="A7" s="137">
        <f>COUNTIF(F41:O41,"P")</f>
        <v>0</v>
      </c>
      <c r="B7" s="138"/>
      <c r="C7" s="139">
        <f>COUNTIF(F41:O41,"F")</f>
        <v>0</v>
      </c>
      <c r="D7" s="140"/>
      <c r="E7" s="138"/>
      <c r="F7" s="139">
        <f>SUM(O7,-A7,-C7)</f>
        <v>7</v>
      </c>
      <c r="G7" s="140"/>
      <c r="H7" s="140"/>
      <c r="I7" s="140"/>
      <c r="J7" s="140"/>
      <c r="K7" s="138"/>
      <c r="L7" s="141">
        <f>COUNTIF(F40:O40,"N")</f>
        <v>4</v>
      </c>
      <c r="M7" s="141">
        <f>COUNTIF(F40:O40,"A")</f>
        <v>1</v>
      </c>
      <c r="N7" s="141">
        <f>COUNTIF(F40:O40,"B")</f>
        <v>2</v>
      </c>
      <c r="O7" s="142">
        <f>COUNTA(F9:O9)</f>
        <v>7</v>
      </c>
      <c r="P7" s="242"/>
      <c r="Q7" s="110"/>
      <c r="R7" s="110"/>
      <c r="S7" s="110"/>
      <c r="T7" s="110"/>
      <c r="U7" s="110"/>
      <c r="V7" s="249"/>
      <c r="W7" s="249"/>
      <c r="X7" s="249"/>
      <c r="Y7" s="249"/>
      <c r="Z7" s="249"/>
    </row>
    <row r="8" ht="12.0" customHeight="1">
      <c r="A8" s="110"/>
      <c r="B8" s="143"/>
      <c r="C8" s="110"/>
      <c r="D8" s="111"/>
      <c r="E8" s="110"/>
      <c r="F8" s="110"/>
      <c r="G8" s="110"/>
      <c r="H8" s="110"/>
      <c r="I8" s="110"/>
      <c r="J8" s="110"/>
      <c r="K8" s="110"/>
      <c r="L8" s="110"/>
      <c r="M8" s="110"/>
      <c r="N8" s="110"/>
      <c r="O8" s="110"/>
      <c r="P8" s="110"/>
      <c r="Q8" s="110"/>
      <c r="R8" s="110"/>
      <c r="S8" s="110"/>
      <c r="T8" s="110"/>
      <c r="U8" s="110"/>
      <c r="V8" s="249"/>
      <c r="W8" s="249"/>
      <c r="X8" s="249"/>
      <c r="Y8" s="249"/>
      <c r="Z8" s="249"/>
    </row>
    <row r="9" ht="45.0" customHeight="1">
      <c r="A9" s="243"/>
      <c r="B9" s="244"/>
      <c r="C9" s="245"/>
      <c r="D9" s="246"/>
      <c r="E9" s="245"/>
      <c r="F9" s="247" t="s">
        <v>344</v>
      </c>
      <c r="G9" s="247" t="s">
        <v>345</v>
      </c>
      <c r="H9" s="247" t="s">
        <v>346</v>
      </c>
      <c r="I9" s="247" t="s">
        <v>347</v>
      </c>
      <c r="J9" s="247" t="s">
        <v>348</v>
      </c>
      <c r="K9" s="247" t="s">
        <v>349</v>
      </c>
      <c r="L9" s="247" t="s">
        <v>458</v>
      </c>
      <c r="M9" s="247"/>
      <c r="N9" s="247"/>
      <c r="O9" s="247"/>
      <c r="P9" s="150"/>
      <c r="Q9" s="120"/>
      <c r="R9" s="110"/>
      <c r="S9" s="110"/>
      <c r="T9" s="110"/>
      <c r="U9" s="110"/>
      <c r="V9" s="249"/>
      <c r="W9" s="249"/>
      <c r="X9" s="249"/>
      <c r="Y9" s="249"/>
      <c r="Z9" s="249"/>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c r="V10" s="249"/>
      <c r="W10" s="249"/>
      <c r="X10" s="249"/>
      <c r="Y10" s="249"/>
      <c r="Z10" s="249"/>
    </row>
    <row r="11" ht="13.5" customHeight="1">
      <c r="A11" s="162"/>
      <c r="B11" s="163"/>
      <c r="C11" s="171"/>
      <c r="D11" s="174" t="s">
        <v>459</v>
      </c>
      <c r="E11" s="155"/>
      <c r="F11" s="165" t="s">
        <v>353</v>
      </c>
      <c r="G11" s="165"/>
      <c r="H11" s="165"/>
      <c r="I11" s="165"/>
      <c r="J11" s="165"/>
      <c r="K11" s="165"/>
      <c r="L11" s="165"/>
      <c r="M11" s="165"/>
      <c r="N11" s="165"/>
      <c r="O11" s="165"/>
      <c r="P11" s="110"/>
      <c r="Q11" s="120"/>
      <c r="R11" s="110"/>
      <c r="S11" s="110"/>
      <c r="T11" s="110"/>
      <c r="U11" s="110"/>
      <c r="V11" s="249"/>
      <c r="W11" s="249"/>
      <c r="X11" s="249"/>
      <c r="Y11" s="249"/>
      <c r="Z11" s="249"/>
    </row>
    <row r="12" ht="13.5" customHeight="1">
      <c r="A12" s="162"/>
      <c r="B12" s="163"/>
      <c r="C12" s="171"/>
      <c r="D12" s="174" t="s">
        <v>460</v>
      </c>
      <c r="E12" s="155"/>
      <c r="F12" s="165"/>
      <c r="G12" s="165" t="s">
        <v>353</v>
      </c>
      <c r="H12" s="165"/>
      <c r="I12" s="165"/>
      <c r="J12" s="165"/>
      <c r="K12" s="165"/>
      <c r="L12" s="165"/>
      <c r="M12" s="165"/>
      <c r="N12" s="165"/>
      <c r="O12" s="165"/>
      <c r="P12" s="110"/>
      <c r="Q12" s="110"/>
      <c r="R12" s="110"/>
      <c r="S12" s="110"/>
      <c r="T12" s="110"/>
      <c r="U12" s="110"/>
      <c r="V12" s="249"/>
      <c r="W12" s="249"/>
      <c r="X12" s="249"/>
      <c r="Y12" s="249"/>
      <c r="Z12" s="249"/>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c r="V13" s="249"/>
      <c r="W13" s="249"/>
      <c r="X13" s="249"/>
      <c r="Y13" s="249"/>
      <c r="Z13" s="249"/>
    </row>
    <row r="14" ht="13.5" customHeight="1">
      <c r="A14" s="162"/>
      <c r="B14" s="163"/>
      <c r="C14" s="171"/>
      <c r="D14" s="174" t="s">
        <v>462</v>
      </c>
      <c r="E14" s="173"/>
      <c r="F14" s="165"/>
      <c r="G14" s="165"/>
      <c r="H14" s="165" t="s">
        <v>353</v>
      </c>
      <c r="I14" s="165"/>
      <c r="J14" s="165"/>
      <c r="K14" s="165"/>
      <c r="L14" s="165"/>
      <c r="M14" s="165"/>
      <c r="N14" s="165"/>
      <c r="O14" s="165"/>
      <c r="P14" s="110"/>
      <c r="Q14" s="110"/>
      <c r="R14" s="110"/>
      <c r="S14" s="110"/>
      <c r="T14" s="110"/>
      <c r="U14" s="110"/>
      <c r="V14" s="249"/>
      <c r="W14" s="249"/>
      <c r="X14" s="249"/>
      <c r="Y14" s="249"/>
      <c r="Z14" s="249"/>
    </row>
    <row r="15" ht="13.5" customHeight="1">
      <c r="A15" s="162"/>
      <c r="B15" s="163"/>
      <c r="C15" s="171"/>
      <c r="D15" s="174" t="s">
        <v>463</v>
      </c>
      <c r="E15" s="173"/>
      <c r="F15" s="165"/>
      <c r="G15" s="165"/>
      <c r="H15" s="165"/>
      <c r="I15" s="165" t="s">
        <v>353</v>
      </c>
      <c r="J15" s="165"/>
      <c r="K15" s="165"/>
      <c r="L15" s="165"/>
      <c r="M15" s="165"/>
      <c r="N15" s="165"/>
      <c r="O15" s="165"/>
      <c r="P15" s="110"/>
      <c r="Q15" s="110"/>
      <c r="R15" s="110"/>
      <c r="S15" s="110"/>
      <c r="T15" s="110"/>
      <c r="U15" s="110"/>
      <c r="V15" s="249"/>
      <c r="W15" s="249"/>
      <c r="X15" s="249"/>
      <c r="Y15" s="249"/>
      <c r="Z15" s="249"/>
    </row>
    <row r="16" ht="13.5" customHeight="1">
      <c r="A16" s="162"/>
      <c r="B16" s="163"/>
      <c r="C16" s="171"/>
      <c r="D16" s="174"/>
      <c r="E16" s="173"/>
      <c r="F16" s="165"/>
      <c r="G16" s="165"/>
      <c r="H16" s="165"/>
      <c r="I16" s="165"/>
      <c r="J16" s="165"/>
      <c r="K16" s="165"/>
      <c r="L16" s="165"/>
      <c r="M16" s="165"/>
      <c r="N16" s="165"/>
      <c r="O16" s="165"/>
      <c r="P16" s="110"/>
      <c r="Q16" s="110"/>
      <c r="R16" s="110"/>
      <c r="S16" s="110"/>
      <c r="T16" s="110"/>
      <c r="U16" s="110"/>
      <c r="V16" s="249"/>
      <c r="W16" s="249"/>
      <c r="X16" s="249"/>
      <c r="Y16" s="249"/>
      <c r="Z16" s="249"/>
    </row>
    <row r="17" ht="13.5" customHeight="1">
      <c r="A17" s="162"/>
      <c r="B17" s="163"/>
      <c r="C17" s="171"/>
      <c r="D17" s="174" t="s">
        <v>471</v>
      </c>
      <c r="E17" s="173"/>
      <c r="F17" s="266"/>
      <c r="G17" s="266"/>
      <c r="H17" s="266"/>
      <c r="I17" s="266"/>
      <c r="J17" s="266" t="s">
        <v>353</v>
      </c>
      <c r="K17" s="267"/>
      <c r="L17" s="267"/>
      <c r="M17" s="267"/>
      <c r="N17" s="267"/>
      <c r="O17" s="266"/>
      <c r="P17" s="175"/>
      <c r="Q17" s="110"/>
      <c r="R17" s="110"/>
      <c r="S17" s="110"/>
      <c r="T17" s="110"/>
      <c r="U17" s="110"/>
      <c r="V17" s="249"/>
      <c r="W17" s="249"/>
      <c r="X17" s="249"/>
      <c r="Y17" s="249"/>
      <c r="Z17" s="249"/>
    </row>
    <row r="18" ht="13.5" customHeight="1">
      <c r="A18" s="162"/>
      <c r="B18" s="163"/>
      <c r="C18" s="171"/>
      <c r="D18" s="268" t="s">
        <v>472</v>
      </c>
      <c r="E18" s="269"/>
      <c r="F18" s="267"/>
      <c r="G18" s="267"/>
      <c r="H18" s="267"/>
      <c r="I18" s="267"/>
      <c r="J18" s="267"/>
      <c r="K18" s="266" t="s">
        <v>353</v>
      </c>
      <c r="L18" s="267"/>
      <c r="M18" s="267"/>
      <c r="N18" s="267"/>
      <c r="O18" s="267"/>
      <c r="P18" s="175"/>
      <c r="Q18" s="110"/>
      <c r="R18" s="110"/>
      <c r="S18" s="110"/>
      <c r="T18" s="110"/>
      <c r="U18" s="110"/>
      <c r="V18" s="249"/>
      <c r="W18" s="249"/>
      <c r="X18" s="249"/>
      <c r="Y18" s="249"/>
      <c r="Z18" s="249"/>
    </row>
    <row r="19" ht="13.5" customHeight="1">
      <c r="A19" s="162"/>
      <c r="B19" s="163"/>
      <c r="C19" s="270"/>
      <c r="D19" s="271"/>
      <c r="E19" s="13"/>
      <c r="F19" s="272"/>
      <c r="G19" s="267"/>
      <c r="H19" s="267"/>
      <c r="I19" s="267"/>
      <c r="J19" s="267"/>
      <c r="K19" s="267"/>
      <c r="L19" s="266"/>
      <c r="M19" s="266"/>
      <c r="N19" s="266"/>
      <c r="O19" s="267"/>
      <c r="P19" s="175"/>
      <c r="Q19" s="110"/>
      <c r="R19" s="110"/>
      <c r="S19" s="110"/>
      <c r="T19" s="110"/>
      <c r="U19" s="110"/>
      <c r="V19" s="249"/>
      <c r="W19" s="249"/>
      <c r="X19" s="249"/>
      <c r="Y19" s="249"/>
      <c r="Z19" s="249"/>
    </row>
    <row r="20" ht="13.5" customHeight="1">
      <c r="A20" s="157"/>
      <c r="B20" s="158"/>
      <c r="C20" s="226"/>
      <c r="D20" s="172" t="s">
        <v>473</v>
      </c>
      <c r="E20" s="273"/>
      <c r="F20" s="156"/>
      <c r="G20" s="156"/>
      <c r="H20" s="156"/>
      <c r="I20" s="156"/>
      <c r="J20" s="156"/>
      <c r="K20" s="156"/>
      <c r="L20" s="156" t="s">
        <v>353</v>
      </c>
      <c r="M20" s="156"/>
      <c r="N20" s="156"/>
      <c r="O20" s="156"/>
      <c r="P20" s="110"/>
      <c r="Q20" s="110"/>
      <c r="R20" s="110"/>
      <c r="S20" s="110"/>
      <c r="T20" s="110"/>
      <c r="U20" s="110"/>
      <c r="V20" s="249"/>
      <c r="W20" s="249"/>
      <c r="X20" s="249"/>
      <c r="Y20" s="249"/>
      <c r="Z20" s="249"/>
    </row>
    <row r="21" ht="13.5" customHeight="1">
      <c r="A21" s="157"/>
      <c r="B21" s="158"/>
      <c r="C21" s="226"/>
      <c r="D21" s="172"/>
      <c r="E21" s="227"/>
      <c r="F21" s="156"/>
      <c r="G21" s="156"/>
      <c r="H21" s="156"/>
      <c r="I21" s="156"/>
      <c r="J21" s="156"/>
      <c r="K21" s="156"/>
      <c r="L21" s="156"/>
      <c r="M21" s="156"/>
      <c r="N21" s="156"/>
      <c r="O21" s="156"/>
      <c r="P21" s="110"/>
      <c r="Q21" s="110"/>
      <c r="R21" s="110"/>
      <c r="S21" s="110"/>
      <c r="T21" s="110"/>
      <c r="U21" s="110"/>
      <c r="V21" s="249"/>
      <c r="W21" s="249"/>
      <c r="X21" s="249"/>
      <c r="Y21" s="249"/>
      <c r="Z21" s="249"/>
    </row>
    <row r="22" ht="13.5" customHeight="1">
      <c r="A22" s="157"/>
      <c r="B22" s="158"/>
      <c r="C22" s="226"/>
      <c r="D22" s="172"/>
      <c r="E22" s="227"/>
      <c r="F22" s="156"/>
      <c r="G22" s="156"/>
      <c r="H22" s="156"/>
      <c r="I22" s="156"/>
      <c r="J22" s="156"/>
      <c r="K22" s="156"/>
      <c r="L22" s="156"/>
      <c r="M22" s="156"/>
      <c r="N22" s="156"/>
      <c r="O22" s="156"/>
      <c r="P22" s="110"/>
      <c r="Q22" s="110"/>
      <c r="R22" s="110"/>
      <c r="S22" s="110"/>
      <c r="T22" s="110"/>
      <c r="U22" s="110"/>
      <c r="V22" s="249"/>
      <c r="W22" s="249"/>
      <c r="X22" s="249"/>
      <c r="Y22" s="249"/>
      <c r="Z22" s="249"/>
    </row>
    <row r="23" ht="13.5" customHeight="1">
      <c r="A23" s="157"/>
      <c r="B23" s="158"/>
      <c r="C23" s="226"/>
      <c r="D23" s="172"/>
      <c r="E23" s="227"/>
      <c r="F23" s="156"/>
      <c r="G23" s="156"/>
      <c r="H23" s="156"/>
      <c r="I23" s="156"/>
      <c r="J23" s="156"/>
      <c r="K23" s="156"/>
      <c r="L23" s="156"/>
      <c r="M23" s="156"/>
      <c r="N23" s="156"/>
      <c r="O23" s="156"/>
      <c r="P23" s="110"/>
      <c r="Q23" s="110"/>
      <c r="R23" s="110"/>
      <c r="S23" s="110"/>
      <c r="T23" s="110"/>
      <c r="U23" s="110"/>
      <c r="V23" s="249"/>
      <c r="W23" s="249"/>
      <c r="X23" s="249"/>
      <c r="Y23" s="249"/>
      <c r="Z23" s="249"/>
    </row>
    <row r="24" ht="13.5" customHeight="1">
      <c r="A24" s="157"/>
      <c r="B24" s="158"/>
      <c r="C24" s="226"/>
      <c r="D24" s="172"/>
      <c r="E24" s="227"/>
      <c r="F24" s="156"/>
      <c r="G24" s="156"/>
      <c r="H24" s="156"/>
      <c r="I24" s="156"/>
      <c r="J24" s="156"/>
      <c r="K24" s="156"/>
      <c r="L24" s="156"/>
      <c r="M24" s="156"/>
      <c r="N24" s="156"/>
      <c r="O24" s="156"/>
      <c r="P24" s="110"/>
      <c r="Q24" s="110"/>
      <c r="R24" s="110"/>
      <c r="S24" s="110"/>
      <c r="T24" s="110"/>
      <c r="U24" s="110"/>
      <c r="V24" s="249"/>
      <c r="W24" s="249"/>
      <c r="X24" s="249"/>
      <c r="Y24" s="249"/>
      <c r="Z24" s="249"/>
    </row>
    <row r="25" ht="13.5" customHeight="1">
      <c r="A25" s="157"/>
      <c r="B25" s="158"/>
      <c r="C25" s="226"/>
      <c r="D25" s="172"/>
      <c r="E25" s="227"/>
      <c r="F25" s="156"/>
      <c r="G25" s="156"/>
      <c r="H25" s="156"/>
      <c r="I25" s="156"/>
      <c r="J25" s="156"/>
      <c r="K25" s="156"/>
      <c r="L25" s="156"/>
      <c r="M25" s="156"/>
      <c r="N25" s="156"/>
      <c r="O25" s="156"/>
      <c r="P25" s="110"/>
      <c r="Q25" s="110"/>
      <c r="R25" s="110"/>
      <c r="S25" s="110"/>
      <c r="T25" s="110"/>
      <c r="U25" s="110"/>
      <c r="V25" s="249"/>
      <c r="W25" s="249"/>
      <c r="X25" s="249"/>
      <c r="Y25" s="249"/>
      <c r="Z25" s="249"/>
    </row>
    <row r="26" ht="13.5" customHeight="1">
      <c r="A26" s="157"/>
      <c r="B26" s="158"/>
      <c r="C26" s="226"/>
      <c r="D26" s="172"/>
      <c r="E26" s="227"/>
      <c r="F26" s="156"/>
      <c r="G26" s="156"/>
      <c r="H26" s="156"/>
      <c r="I26" s="156"/>
      <c r="J26" s="156"/>
      <c r="K26" s="156"/>
      <c r="L26" s="156"/>
      <c r="M26" s="156"/>
      <c r="N26" s="156"/>
      <c r="O26" s="156"/>
      <c r="P26" s="110"/>
      <c r="Q26" s="110"/>
      <c r="R26" s="110"/>
      <c r="S26" s="110"/>
      <c r="T26" s="110"/>
      <c r="U26" s="110"/>
      <c r="V26" s="249"/>
      <c r="W26" s="249"/>
      <c r="X26" s="249"/>
      <c r="Y26" s="249"/>
      <c r="Z26" s="249"/>
    </row>
    <row r="27" ht="13.5" customHeight="1">
      <c r="A27" s="157"/>
      <c r="B27" s="158"/>
      <c r="C27" s="226"/>
      <c r="D27" s="172"/>
      <c r="E27" s="227"/>
      <c r="F27" s="156"/>
      <c r="G27" s="156"/>
      <c r="H27" s="156"/>
      <c r="I27" s="156"/>
      <c r="J27" s="156"/>
      <c r="K27" s="156"/>
      <c r="L27" s="156"/>
      <c r="M27" s="156"/>
      <c r="N27" s="156"/>
      <c r="O27" s="156"/>
      <c r="P27" s="110"/>
      <c r="Q27" s="110"/>
      <c r="R27" s="110"/>
      <c r="S27" s="110"/>
      <c r="T27" s="110"/>
      <c r="U27" s="110"/>
      <c r="V27" s="249"/>
      <c r="W27" s="249"/>
      <c r="X27" s="249"/>
      <c r="Y27" s="249"/>
      <c r="Z27" s="249"/>
    </row>
    <row r="28" ht="13.5" customHeight="1">
      <c r="A28" s="157"/>
      <c r="B28" s="158"/>
      <c r="C28" s="226"/>
      <c r="D28" s="172"/>
      <c r="E28" s="227"/>
      <c r="F28" s="156"/>
      <c r="G28" s="156"/>
      <c r="H28" s="156"/>
      <c r="I28" s="156"/>
      <c r="J28" s="156"/>
      <c r="K28" s="156"/>
      <c r="L28" s="156"/>
      <c r="M28" s="156"/>
      <c r="N28" s="156"/>
      <c r="O28" s="156"/>
      <c r="P28" s="110"/>
      <c r="Q28" s="110"/>
      <c r="R28" s="110"/>
      <c r="S28" s="110"/>
      <c r="T28" s="110"/>
      <c r="U28" s="110"/>
      <c r="V28" s="249"/>
      <c r="W28" s="249"/>
      <c r="X28" s="249"/>
      <c r="Y28" s="249"/>
      <c r="Z28" s="249"/>
    </row>
    <row r="29" ht="13.5" customHeight="1">
      <c r="A29" s="176" t="s">
        <v>359</v>
      </c>
      <c r="B29" s="177" t="s">
        <v>360</v>
      </c>
      <c r="C29" s="178"/>
      <c r="D29" s="179"/>
      <c r="E29" s="180"/>
      <c r="F29" s="156"/>
      <c r="G29" s="156"/>
      <c r="H29" s="156"/>
      <c r="I29" s="156"/>
      <c r="J29" s="156"/>
      <c r="K29" s="156"/>
      <c r="L29" s="156"/>
      <c r="M29" s="156"/>
      <c r="N29" s="156"/>
      <c r="O29" s="156"/>
      <c r="P29" s="110"/>
      <c r="Q29" s="110"/>
      <c r="R29" s="110"/>
      <c r="S29" s="110"/>
      <c r="T29" s="110"/>
      <c r="U29" s="110"/>
      <c r="V29" s="249"/>
      <c r="W29" s="249"/>
      <c r="X29" s="249"/>
      <c r="Y29" s="249"/>
      <c r="Z29" s="249"/>
    </row>
    <row r="30" ht="13.5" customHeight="1">
      <c r="A30" s="181"/>
      <c r="B30" s="254"/>
      <c r="C30" s="183"/>
      <c r="D30" s="184" t="s">
        <v>474</v>
      </c>
      <c r="E30" s="185"/>
      <c r="F30" s="165" t="s">
        <v>353</v>
      </c>
      <c r="G30" s="165"/>
      <c r="H30" s="165"/>
      <c r="I30" s="165"/>
      <c r="J30" s="165"/>
      <c r="K30" s="165"/>
      <c r="L30" s="165"/>
      <c r="M30" s="165"/>
      <c r="N30" s="165"/>
      <c r="O30" s="165"/>
      <c r="P30" s="110"/>
      <c r="Q30" s="110"/>
      <c r="R30" s="110"/>
      <c r="S30" s="110"/>
      <c r="T30" s="110"/>
      <c r="U30" s="110"/>
      <c r="V30" s="249"/>
      <c r="W30" s="249"/>
      <c r="X30" s="249"/>
      <c r="Y30" s="249"/>
      <c r="Z30" s="249"/>
    </row>
    <row r="31" ht="13.5" customHeight="1">
      <c r="A31" s="181"/>
      <c r="B31" s="255"/>
      <c r="C31" s="183"/>
      <c r="D31" s="184"/>
      <c r="E31" s="185"/>
      <c r="F31" s="165"/>
      <c r="G31" s="165"/>
      <c r="H31" s="165"/>
      <c r="I31" s="165"/>
      <c r="J31" s="165"/>
      <c r="K31" s="165"/>
      <c r="L31" s="249"/>
      <c r="M31" s="165"/>
      <c r="N31" s="165"/>
      <c r="O31" s="165"/>
      <c r="P31" s="110"/>
      <c r="Q31" s="110"/>
      <c r="R31" s="110"/>
      <c r="S31" s="110"/>
      <c r="T31" s="110"/>
      <c r="U31" s="110"/>
      <c r="V31" s="249"/>
      <c r="W31" s="249"/>
      <c r="X31" s="249"/>
      <c r="Y31" s="249"/>
      <c r="Z31" s="249"/>
    </row>
    <row r="32" ht="13.5" customHeight="1">
      <c r="A32" s="181"/>
      <c r="B32" s="254"/>
      <c r="C32" s="183"/>
      <c r="D32" s="184" t="s">
        <v>475</v>
      </c>
      <c r="E32" s="185"/>
      <c r="F32" s="165"/>
      <c r="G32" s="165" t="s">
        <v>353</v>
      </c>
      <c r="H32" s="165"/>
      <c r="I32" s="165"/>
      <c r="J32" s="165"/>
      <c r="K32" s="165"/>
      <c r="L32" s="165"/>
      <c r="M32" s="165"/>
      <c r="N32" s="165"/>
      <c r="O32" s="165"/>
      <c r="P32" s="110"/>
      <c r="Q32" s="110"/>
      <c r="R32" s="110"/>
      <c r="S32" s="110"/>
      <c r="T32" s="110"/>
      <c r="U32" s="110"/>
      <c r="V32" s="249"/>
      <c r="W32" s="249"/>
      <c r="X32" s="249"/>
      <c r="Y32" s="249"/>
      <c r="Z32" s="249"/>
    </row>
    <row r="33" ht="13.5" customHeight="1">
      <c r="A33" s="181"/>
      <c r="B33" s="255"/>
      <c r="C33" s="183"/>
      <c r="D33" s="184" t="s">
        <v>476</v>
      </c>
      <c r="E33" s="185"/>
      <c r="F33" s="165"/>
      <c r="G33" s="165"/>
      <c r="H33" s="165" t="s">
        <v>353</v>
      </c>
      <c r="I33" s="165"/>
      <c r="J33" s="165"/>
      <c r="K33" s="165"/>
      <c r="L33" s="165"/>
      <c r="M33" s="165"/>
      <c r="N33" s="165"/>
      <c r="O33" s="165"/>
      <c r="P33" s="110"/>
      <c r="Q33" s="110"/>
      <c r="R33" s="110"/>
      <c r="S33" s="110"/>
      <c r="T33" s="110"/>
      <c r="U33" s="110"/>
      <c r="V33" s="249"/>
      <c r="W33" s="249"/>
      <c r="X33" s="249"/>
      <c r="Y33" s="249"/>
      <c r="Z33" s="249"/>
    </row>
    <row r="34" ht="13.5" customHeight="1">
      <c r="A34" s="181"/>
      <c r="B34" s="254"/>
      <c r="C34" s="183"/>
      <c r="D34" s="184" t="s">
        <v>477</v>
      </c>
      <c r="E34" s="185"/>
      <c r="F34" s="165"/>
      <c r="G34" s="165"/>
      <c r="H34" s="165"/>
      <c r="I34" s="165" t="s">
        <v>353</v>
      </c>
      <c r="J34" s="165"/>
      <c r="K34" s="165"/>
      <c r="L34" s="165"/>
      <c r="M34" s="165"/>
      <c r="N34" s="165"/>
      <c r="O34" s="165"/>
      <c r="P34" s="110"/>
      <c r="Q34" s="110"/>
      <c r="R34" s="110"/>
      <c r="S34" s="110"/>
      <c r="T34" s="110"/>
      <c r="U34" s="110"/>
      <c r="V34" s="249"/>
      <c r="W34" s="249"/>
      <c r="X34" s="249"/>
      <c r="Y34" s="249"/>
      <c r="Z34" s="249"/>
    </row>
    <row r="35" ht="13.5" customHeight="1">
      <c r="A35" s="181"/>
      <c r="B35" s="182"/>
      <c r="C35" s="183"/>
      <c r="D35" s="184"/>
      <c r="E35" s="188"/>
      <c r="F35" s="165"/>
      <c r="G35" s="165"/>
      <c r="H35" s="165"/>
      <c r="I35" s="165"/>
      <c r="J35" s="165"/>
      <c r="K35" s="165"/>
      <c r="L35" s="165"/>
      <c r="M35" s="165"/>
      <c r="N35" s="165"/>
      <c r="O35" s="165"/>
      <c r="P35" s="110"/>
      <c r="Q35" s="110"/>
      <c r="R35" s="110"/>
      <c r="S35" s="110"/>
      <c r="T35" s="110"/>
      <c r="U35" s="110"/>
      <c r="V35" s="249"/>
      <c r="W35" s="249"/>
      <c r="X35" s="249"/>
      <c r="Y35" s="249"/>
      <c r="Z35" s="249"/>
    </row>
    <row r="36" ht="13.5" customHeight="1">
      <c r="A36" s="181"/>
      <c r="B36" s="182"/>
      <c r="C36" s="183"/>
      <c r="D36" s="184" t="s">
        <v>478</v>
      </c>
      <c r="E36" s="188"/>
      <c r="F36" s="165"/>
      <c r="G36" s="165"/>
      <c r="H36" s="165"/>
      <c r="I36" s="165"/>
      <c r="J36" s="165" t="s">
        <v>353</v>
      </c>
      <c r="K36" s="165"/>
      <c r="L36" s="165"/>
      <c r="M36" s="165"/>
      <c r="N36" s="165"/>
      <c r="O36" s="165"/>
      <c r="P36" s="110"/>
      <c r="Q36" s="110"/>
      <c r="R36" s="110"/>
      <c r="S36" s="110"/>
      <c r="T36" s="110"/>
      <c r="U36" s="110"/>
      <c r="V36" s="249"/>
      <c r="W36" s="249"/>
      <c r="X36" s="249"/>
      <c r="Y36" s="249"/>
      <c r="Z36" s="249"/>
    </row>
    <row r="37" ht="13.5" customHeight="1">
      <c r="A37" s="181"/>
      <c r="B37" s="182"/>
      <c r="C37" s="183"/>
      <c r="D37" s="184"/>
      <c r="E37" s="188"/>
      <c r="F37" s="165"/>
      <c r="G37" s="165"/>
      <c r="H37" s="165"/>
      <c r="I37" s="165"/>
      <c r="J37" s="165"/>
      <c r="K37" s="165"/>
      <c r="L37" s="165"/>
      <c r="M37" s="165"/>
      <c r="N37" s="165"/>
      <c r="O37" s="165"/>
      <c r="P37" s="110"/>
      <c r="Q37" s="110"/>
      <c r="R37" s="110"/>
      <c r="S37" s="110"/>
      <c r="T37" s="110"/>
      <c r="U37" s="110"/>
      <c r="V37" s="249"/>
      <c r="W37" s="249"/>
      <c r="X37" s="249"/>
      <c r="Y37" s="249"/>
      <c r="Z37" s="249"/>
    </row>
    <row r="38" ht="13.5" customHeight="1">
      <c r="A38" s="262"/>
      <c r="B38" s="182"/>
      <c r="C38" s="183"/>
      <c r="D38" s="184" t="s">
        <v>479</v>
      </c>
      <c r="E38" s="188"/>
      <c r="F38" s="165"/>
      <c r="G38" s="165"/>
      <c r="H38" s="165"/>
      <c r="I38" s="165"/>
      <c r="J38" s="165"/>
      <c r="K38" s="165" t="s">
        <v>353</v>
      </c>
      <c r="L38" s="165"/>
      <c r="M38" s="165"/>
      <c r="N38" s="165"/>
      <c r="O38" s="165"/>
      <c r="P38" s="110"/>
      <c r="Q38" s="110"/>
      <c r="R38" s="110"/>
      <c r="S38" s="110"/>
      <c r="T38" s="110"/>
      <c r="U38" s="110"/>
      <c r="V38" s="249"/>
      <c r="W38" s="249"/>
      <c r="X38" s="249"/>
      <c r="Y38" s="249"/>
      <c r="Z38" s="249"/>
    </row>
    <row r="39" ht="13.5" customHeight="1">
      <c r="A39" s="264"/>
      <c r="B39" s="237"/>
      <c r="C39" s="238"/>
      <c r="D39" s="239" t="s">
        <v>480</v>
      </c>
      <c r="E39" s="265"/>
      <c r="F39" s="156"/>
      <c r="G39" s="156"/>
      <c r="H39" s="156"/>
      <c r="I39" s="156"/>
      <c r="J39" s="156"/>
      <c r="K39" s="156"/>
      <c r="L39" s="156" t="s">
        <v>353</v>
      </c>
      <c r="M39" s="156"/>
      <c r="N39" s="156"/>
      <c r="O39" s="156"/>
      <c r="P39" s="110"/>
      <c r="Q39" s="110"/>
      <c r="R39" s="110"/>
      <c r="S39" s="110"/>
      <c r="T39" s="110"/>
      <c r="U39" s="110"/>
      <c r="V39" s="249"/>
      <c r="W39" s="249"/>
      <c r="X39" s="249"/>
      <c r="Y39" s="249"/>
      <c r="Z39" s="249"/>
    </row>
    <row r="40" ht="13.5" customHeight="1">
      <c r="A40" s="228" t="s">
        <v>367</v>
      </c>
      <c r="B40" s="240" t="s">
        <v>368</v>
      </c>
      <c r="C40" s="225"/>
      <c r="D40" s="241"/>
      <c r="E40" s="200"/>
      <c r="F40" s="201" t="s">
        <v>220</v>
      </c>
      <c r="G40" s="201" t="s">
        <v>221</v>
      </c>
      <c r="H40" s="201" t="s">
        <v>220</v>
      </c>
      <c r="I40" s="201" t="s">
        <v>220</v>
      </c>
      <c r="J40" s="201" t="s">
        <v>38</v>
      </c>
      <c r="K40" s="201" t="s">
        <v>221</v>
      </c>
      <c r="L40" s="201" t="s">
        <v>220</v>
      </c>
      <c r="M40" s="201"/>
      <c r="N40" s="201"/>
      <c r="O40" s="201"/>
      <c r="P40" s="110"/>
      <c r="Q40" s="110"/>
      <c r="R40" s="110"/>
      <c r="S40" s="110"/>
      <c r="T40" s="110"/>
      <c r="U40" s="110"/>
      <c r="V40" s="249"/>
      <c r="W40" s="249"/>
      <c r="X40" s="249"/>
      <c r="Y40" s="249"/>
      <c r="Z40" s="249"/>
    </row>
    <row r="41" ht="13.5" customHeight="1">
      <c r="A41" s="260"/>
      <c r="B41" s="204" t="s">
        <v>369</v>
      </c>
      <c r="C41" s="12"/>
      <c r="D41" s="13"/>
      <c r="E41" s="205"/>
      <c r="F41" s="206"/>
      <c r="G41" s="206"/>
      <c r="H41" s="206"/>
      <c r="I41" s="206"/>
      <c r="J41" s="206"/>
      <c r="K41" s="206"/>
      <c r="L41" s="206"/>
      <c r="M41" s="206"/>
      <c r="N41" s="206"/>
      <c r="O41" s="206"/>
      <c r="P41" s="110"/>
      <c r="Q41" s="110"/>
      <c r="R41" s="110"/>
      <c r="S41" s="110"/>
      <c r="T41" s="110"/>
      <c r="U41" s="110"/>
      <c r="V41" s="249"/>
      <c r="W41" s="249"/>
      <c r="X41" s="249"/>
      <c r="Y41" s="249"/>
      <c r="Z41" s="249"/>
    </row>
    <row r="42" ht="13.5" customHeight="1">
      <c r="A42" s="260"/>
      <c r="B42" s="208" t="s">
        <v>371</v>
      </c>
      <c r="C42" s="12"/>
      <c r="D42" s="13"/>
      <c r="E42" s="209"/>
      <c r="F42" s="210"/>
      <c r="G42" s="210"/>
      <c r="H42" s="210"/>
      <c r="I42" s="210"/>
      <c r="J42" s="210"/>
      <c r="K42" s="210"/>
      <c r="L42" s="210"/>
      <c r="M42" s="210"/>
      <c r="N42" s="210"/>
      <c r="O42" s="210"/>
      <c r="P42" s="110"/>
      <c r="Q42" s="110"/>
      <c r="R42" s="110"/>
      <c r="S42" s="110"/>
      <c r="T42" s="110"/>
      <c r="U42" s="110"/>
      <c r="V42" s="249"/>
      <c r="W42" s="249"/>
      <c r="X42" s="249"/>
      <c r="Y42" s="249"/>
      <c r="Z42" s="249"/>
    </row>
    <row r="43" ht="12.0" customHeight="1">
      <c r="A43" s="261"/>
      <c r="B43" s="215" t="s">
        <v>372</v>
      </c>
      <c r="C43" s="216"/>
      <c r="D43" s="217"/>
      <c r="E43" s="218"/>
      <c r="F43" s="219"/>
      <c r="G43" s="219"/>
      <c r="H43" s="219"/>
      <c r="I43" s="219"/>
      <c r="J43" s="219"/>
      <c r="K43" s="219"/>
      <c r="L43" s="219"/>
      <c r="M43" s="219"/>
      <c r="N43" s="219"/>
      <c r="O43" s="219"/>
      <c r="P43" s="110"/>
      <c r="Q43" s="110"/>
      <c r="R43" s="110"/>
      <c r="S43" s="110"/>
      <c r="T43" s="110"/>
      <c r="U43" s="110"/>
      <c r="V43" s="249"/>
      <c r="W43" s="249"/>
      <c r="X43" s="249"/>
      <c r="Y43" s="249"/>
      <c r="Z43" s="249"/>
    </row>
    <row r="44" ht="12.0" customHeight="1">
      <c r="A44" s="143"/>
      <c r="B44" s="110"/>
      <c r="C44" s="111"/>
      <c r="D44" s="110"/>
      <c r="E44" s="110"/>
      <c r="F44" s="110"/>
      <c r="G44" s="110"/>
      <c r="H44" s="110"/>
      <c r="I44" s="110"/>
      <c r="J44" s="110"/>
      <c r="K44" s="110"/>
      <c r="L44" s="110"/>
      <c r="M44" s="110"/>
      <c r="N44" s="110"/>
      <c r="O44" s="110"/>
      <c r="P44" s="110"/>
      <c r="Q44" s="110"/>
      <c r="R44" s="110"/>
      <c r="S44" s="110"/>
      <c r="T44" s="110"/>
      <c r="U44" s="110"/>
      <c r="V44" s="249"/>
      <c r="W44" s="249"/>
      <c r="X44" s="249"/>
      <c r="Y44" s="249"/>
      <c r="Z44" s="249"/>
    </row>
    <row r="45" ht="13.5" customHeight="1">
      <c r="A45" s="110"/>
      <c r="B45" s="143"/>
      <c r="C45" s="110"/>
      <c r="D45" s="111"/>
      <c r="E45" s="110"/>
      <c r="F45" s="110"/>
      <c r="G45" s="110"/>
      <c r="H45" s="110"/>
      <c r="I45" s="110"/>
      <c r="J45" s="110"/>
      <c r="K45" s="110"/>
      <c r="L45" s="110"/>
      <c r="M45" s="110"/>
      <c r="N45" s="110"/>
      <c r="O45" s="110"/>
      <c r="P45" s="110"/>
      <c r="Q45" s="110"/>
      <c r="R45" s="110"/>
      <c r="S45" s="110"/>
      <c r="T45" s="110"/>
      <c r="U45" s="110"/>
      <c r="V45" s="249"/>
      <c r="W45" s="249"/>
      <c r="X45" s="249"/>
      <c r="Y45" s="249"/>
      <c r="Z45" s="249"/>
    </row>
    <row r="46" ht="13.5" customHeight="1">
      <c r="A46" s="110"/>
      <c r="B46" s="143"/>
      <c r="C46" s="110"/>
      <c r="D46" s="111"/>
      <c r="E46" s="110"/>
      <c r="F46" s="110"/>
      <c r="G46" s="110"/>
      <c r="H46" s="110"/>
      <c r="I46" s="110"/>
      <c r="J46" s="110"/>
      <c r="K46" s="110"/>
      <c r="L46" s="110"/>
      <c r="M46" s="110"/>
      <c r="N46" s="110"/>
      <c r="O46" s="110"/>
      <c r="P46" s="110"/>
      <c r="Q46" s="110"/>
      <c r="R46" s="110"/>
      <c r="S46" s="110"/>
      <c r="T46" s="110"/>
      <c r="U46" s="110"/>
      <c r="V46" s="249"/>
      <c r="W46" s="249"/>
      <c r="X46" s="249"/>
      <c r="Y46" s="249"/>
      <c r="Z46" s="249"/>
    </row>
    <row r="47" ht="13.5" customHeight="1">
      <c r="A47" s="110"/>
      <c r="B47" s="143"/>
      <c r="C47" s="110"/>
      <c r="D47" s="111"/>
      <c r="E47" s="110"/>
      <c r="F47" s="110"/>
      <c r="G47" s="110"/>
      <c r="H47" s="110"/>
      <c r="I47" s="110"/>
      <c r="J47" s="110"/>
      <c r="K47" s="110"/>
      <c r="L47" s="110"/>
      <c r="M47" s="110"/>
      <c r="N47" s="110"/>
      <c r="O47" s="110"/>
      <c r="P47" s="110"/>
      <c r="Q47" s="110"/>
      <c r="R47" s="110"/>
      <c r="S47" s="110"/>
      <c r="T47" s="110"/>
      <c r="U47" s="110"/>
      <c r="V47" s="249"/>
      <c r="W47" s="249"/>
      <c r="X47" s="249"/>
      <c r="Y47" s="249"/>
      <c r="Z47" s="249"/>
    </row>
    <row r="48" ht="13.5" customHeight="1">
      <c r="A48" s="110"/>
      <c r="B48" s="143"/>
      <c r="C48" s="110"/>
      <c r="D48" s="111"/>
      <c r="E48" s="110"/>
      <c r="F48" s="110"/>
      <c r="G48" s="110"/>
      <c r="H48" s="110"/>
      <c r="I48" s="110"/>
      <c r="J48" s="110"/>
      <c r="K48" s="110"/>
      <c r="L48" s="110"/>
      <c r="M48" s="110"/>
      <c r="N48" s="110"/>
      <c r="O48" s="110"/>
      <c r="P48" s="110"/>
      <c r="Q48" s="110"/>
      <c r="R48" s="110"/>
      <c r="S48" s="110"/>
      <c r="T48" s="110"/>
      <c r="U48" s="110"/>
      <c r="V48" s="249"/>
      <c r="W48" s="249"/>
      <c r="X48" s="249"/>
      <c r="Y48" s="249"/>
      <c r="Z48" s="249"/>
    </row>
    <row r="49" ht="13.5" customHeight="1">
      <c r="A49" s="110"/>
      <c r="B49" s="143"/>
      <c r="C49" s="110"/>
      <c r="D49" s="111"/>
      <c r="E49" s="110"/>
      <c r="F49" s="110"/>
      <c r="G49" s="110"/>
      <c r="H49" s="110"/>
      <c r="I49" s="110"/>
      <c r="J49" s="110"/>
      <c r="K49" s="110"/>
      <c r="L49" s="110"/>
      <c r="M49" s="110"/>
      <c r="N49" s="110"/>
      <c r="O49" s="110"/>
      <c r="P49" s="110"/>
      <c r="Q49" s="110"/>
      <c r="R49" s="110"/>
      <c r="S49" s="110"/>
      <c r="T49" s="110"/>
      <c r="U49" s="110"/>
      <c r="V49" s="249"/>
      <c r="W49" s="249"/>
      <c r="X49" s="249"/>
      <c r="Y49" s="249"/>
      <c r="Z49" s="249"/>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249"/>
      <c r="W50" s="249"/>
      <c r="X50" s="249"/>
      <c r="Y50" s="249"/>
      <c r="Z50" s="249"/>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249"/>
      <c r="W51" s="249"/>
      <c r="X51" s="249"/>
      <c r="Y51" s="249"/>
      <c r="Z51" s="249"/>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249"/>
      <c r="W52" s="249"/>
      <c r="X52" s="249"/>
      <c r="Y52" s="249"/>
      <c r="Z52" s="249"/>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249"/>
      <c r="W53" s="249"/>
      <c r="X53" s="249"/>
      <c r="Y53" s="249"/>
      <c r="Z53" s="249"/>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249"/>
      <c r="W54" s="249"/>
      <c r="X54" s="249"/>
      <c r="Y54" s="249"/>
      <c r="Z54" s="249"/>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249"/>
      <c r="W55" s="249"/>
      <c r="X55" s="249"/>
      <c r="Y55" s="249"/>
      <c r="Z55" s="249"/>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249"/>
      <c r="W56" s="249"/>
      <c r="X56" s="249"/>
      <c r="Y56" s="249"/>
      <c r="Z56" s="249"/>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249"/>
      <c r="W57" s="249"/>
      <c r="X57" s="249"/>
      <c r="Y57" s="249"/>
      <c r="Z57" s="249"/>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249"/>
      <c r="W58" s="249"/>
      <c r="X58" s="249"/>
      <c r="Y58" s="249"/>
      <c r="Z58" s="249"/>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249"/>
      <c r="W59" s="249"/>
      <c r="X59" s="249"/>
      <c r="Y59" s="249"/>
      <c r="Z59" s="249"/>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249"/>
      <c r="W60" s="249"/>
      <c r="X60" s="249"/>
      <c r="Y60" s="249"/>
      <c r="Z60" s="249"/>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249"/>
      <c r="W61" s="249"/>
      <c r="X61" s="249"/>
      <c r="Y61" s="249"/>
      <c r="Z61" s="249"/>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249"/>
      <c r="W62" s="249"/>
      <c r="X62" s="249"/>
      <c r="Y62" s="249"/>
      <c r="Z62" s="249"/>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249"/>
      <c r="W63" s="249"/>
      <c r="X63" s="249"/>
      <c r="Y63" s="249"/>
      <c r="Z63" s="249"/>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249"/>
      <c r="W64" s="249"/>
      <c r="X64" s="249"/>
      <c r="Y64" s="249"/>
      <c r="Z64" s="249"/>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249"/>
      <c r="W65" s="249"/>
      <c r="X65" s="249"/>
      <c r="Y65" s="249"/>
      <c r="Z65" s="249"/>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249"/>
      <c r="W66" s="249"/>
      <c r="X66" s="249"/>
      <c r="Y66" s="249"/>
      <c r="Z66" s="249"/>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249"/>
      <c r="W67" s="249"/>
      <c r="X67" s="249"/>
      <c r="Y67" s="249"/>
      <c r="Z67" s="249"/>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249"/>
      <c r="W68" s="249"/>
      <c r="X68" s="249"/>
      <c r="Y68" s="249"/>
      <c r="Z68" s="249"/>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249"/>
      <c r="W69" s="249"/>
      <c r="X69" s="249"/>
      <c r="Y69" s="249"/>
      <c r="Z69" s="249"/>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249"/>
      <c r="W70" s="249"/>
      <c r="X70" s="249"/>
      <c r="Y70" s="249"/>
      <c r="Z70" s="249"/>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249"/>
      <c r="W71" s="249"/>
      <c r="X71" s="249"/>
      <c r="Y71" s="249"/>
      <c r="Z71" s="249"/>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249"/>
      <c r="W72" s="249"/>
      <c r="X72" s="249"/>
      <c r="Y72" s="249"/>
      <c r="Z72" s="249"/>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249"/>
      <c r="W73" s="249"/>
      <c r="X73" s="249"/>
      <c r="Y73" s="249"/>
      <c r="Z73" s="249"/>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249"/>
      <c r="W74" s="249"/>
      <c r="X74" s="249"/>
      <c r="Y74" s="249"/>
      <c r="Z74" s="249"/>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249"/>
      <c r="W75" s="249"/>
      <c r="X75" s="249"/>
      <c r="Y75" s="249"/>
      <c r="Z75" s="249"/>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249"/>
      <c r="W76" s="249"/>
      <c r="X76" s="249"/>
      <c r="Y76" s="249"/>
      <c r="Z76" s="249"/>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249"/>
      <c r="W77" s="249"/>
      <c r="X77" s="249"/>
      <c r="Y77" s="249"/>
      <c r="Z77" s="249"/>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249"/>
      <c r="W78" s="249"/>
      <c r="X78" s="249"/>
      <c r="Y78" s="249"/>
      <c r="Z78" s="249"/>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249"/>
      <c r="W79" s="249"/>
      <c r="X79" s="249"/>
      <c r="Y79" s="249"/>
      <c r="Z79" s="249"/>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249"/>
      <c r="W80" s="249"/>
      <c r="X80" s="249"/>
      <c r="Y80" s="249"/>
      <c r="Z80" s="249"/>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249"/>
      <c r="W81" s="249"/>
      <c r="X81" s="249"/>
      <c r="Y81" s="249"/>
      <c r="Z81" s="249"/>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249"/>
      <c r="W82" s="249"/>
      <c r="X82" s="249"/>
      <c r="Y82" s="249"/>
      <c r="Z82" s="249"/>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249"/>
      <c r="W83" s="249"/>
      <c r="X83" s="249"/>
      <c r="Y83" s="249"/>
      <c r="Z83" s="249"/>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249"/>
      <c r="W84" s="249"/>
      <c r="X84" s="249"/>
      <c r="Y84" s="249"/>
      <c r="Z84" s="249"/>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249"/>
      <c r="W85" s="249"/>
      <c r="X85" s="249"/>
      <c r="Y85" s="249"/>
      <c r="Z85" s="249"/>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249"/>
      <c r="W86" s="249"/>
      <c r="X86" s="249"/>
      <c r="Y86" s="249"/>
      <c r="Z86" s="249"/>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249"/>
      <c r="W87" s="249"/>
      <c r="X87" s="249"/>
      <c r="Y87" s="249"/>
      <c r="Z87" s="249"/>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249"/>
      <c r="W88" s="249"/>
      <c r="X88" s="249"/>
      <c r="Y88" s="249"/>
      <c r="Z88" s="249"/>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249"/>
      <c r="W89" s="249"/>
      <c r="X89" s="249"/>
      <c r="Y89" s="249"/>
      <c r="Z89" s="249"/>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249"/>
      <c r="W90" s="249"/>
      <c r="X90" s="249"/>
      <c r="Y90" s="249"/>
      <c r="Z90" s="249"/>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249"/>
      <c r="W91" s="249"/>
      <c r="X91" s="249"/>
      <c r="Y91" s="249"/>
      <c r="Z91" s="249"/>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249"/>
      <c r="W92" s="249"/>
      <c r="X92" s="249"/>
      <c r="Y92" s="249"/>
      <c r="Z92" s="249"/>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249"/>
      <c r="W93" s="249"/>
      <c r="X93" s="249"/>
      <c r="Y93" s="249"/>
      <c r="Z93" s="249"/>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249"/>
      <c r="W94" s="249"/>
      <c r="X94" s="249"/>
      <c r="Y94" s="249"/>
      <c r="Z94" s="249"/>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249"/>
      <c r="W95" s="249"/>
      <c r="X95" s="249"/>
      <c r="Y95" s="249"/>
      <c r="Z95" s="249"/>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249"/>
      <c r="W96" s="249"/>
      <c r="X96" s="249"/>
      <c r="Y96" s="249"/>
      <c r="Z96" s="249"/>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249"/>
      <c r="W97" s="249"/>
      <c r="X97" s="249"/>
      <c r="Y97" s="249"/>
      <c r="Z97" s="249"/>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249"/>
      <c r="W98" s="249"/>
      <c r="X98" s="249"/>
      <c r="Y98" s="249"/>
      <c r="Z98" s="249"/>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249"/>
      <c r="W99" s="249"/>
      <c r="X99" s="249"/>
      <c r="Y99" s="249"/>
      <c r="Z99" s="249"/>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249"/>
      <c r="W100" s="249"/>
      <c r="X100" s="249"/>
      <c r="Y100" s="249"/>
      <c r="Z100" s="249"/>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249"/>
      <c r="W101" s="249"/>
      <c r="X101" s="249"/>
      <c r="Y101" s="249"/>
      <c r="Z101" s="249"/>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249"/>
      <c r="W102" s="249"/>
      <c r="X102" s="249"/>
      <c r="Y102" s="249"/>
      <c r="Z102" s="249"/>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249"/>
      <c r="W103" s="249"/>
      <c r="X103" s="249"/>
      <c r="Y103" s="249"/>
      <c r="Z103" s="249"/>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249"/>
      <c r="W104" s="249"/>
      <c r="X104" s="249"/>
      <c r="Y104" s="249"/>
      <c r="Z104" s="249"/>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249"/>
      <c r="W105" s="249"/>
      <c r="X105" s="249"/>
      <c r="Y105" s="249"/>
      <c r="Z105" s="249"/>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249"/>
      <c r="W106" s="249"/>
      <c r="X106" s="249"/>
      <c r="Y106" s="249"/>
      <c r="Z106" s="249"/>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249"/>
      <c r="W107" s="249"/>
      <c r="X107" s="249"/>
      <c r="Y107" s="249"/>
      <c r="Z107" s="249"/>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249"/>
      <c r="W108" s="249"/>
      <c r="X108" s="249"/>
      <c r="Y108" s="249"/>
      <c r="Z108" s="249"/>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249"/>
      <c r="W109" s="249"/>
      <c r="X109" s="249"/>
      <c r="Y109" s="249"/>
      <c r="Z109" s="249"/>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249"/>
      <c r="W110" s="249"/>
      <c r="X110" s="249"/>
      <c r="Y110" s="249"/>
      <c r="Z110" s="249"/>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249"/>
      <c r="W111" s="249"/>
      <c r="X111" s="249"/>
      <c r="Y111" s="249"/>
      <c r="Z111" s="249"/>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249"/>
      <c r="W112" s="249"/>
      <c r="X112" s="249"/>
      <c r="Y112" s="249"/>
      <c r="Z112" s="249"/>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249"/>
      <c r="W113" s="249"/>
      <c r="X113" s="249"/>
      <c r="Y113" s="249"/>
      <c r="Z113" s="249"/>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249"/>
      <c r="W114" s="249"/>
      <c r="X114" s="249"/>
      <c r="Y114" s="249"/>
      <c r="Z114" s="249"/>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249"/>
      <c r="W115" s="249"/>
      <c r="X115" s="249"/>
      <c r="Y115" s="249"/>
      <c r="Z115" s="249"/>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249"/>
      <c r="W116" s="249"/>
      <c r="X116" s="249"/>
      <c r="Y116" s="249"/>
      <c r="Z116" s="249"/>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249"/>
      <c r="W117" s="249"/>
      <c r="X117" s="249"/>
      <c r="Y117" s="249"/>
      <c r="Z117" s="249"/>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249"/>
      <c r="W118" s="249"/>
      <c r="X118" s="249"/>
      <c r="Y118" s="249"/>
      <c r="Z118" s="249"/>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249"/>
      <c r="W119" s="249"/>
      <c r="X119" s="249"/>
      <c r="Y119" s="249"/>
      <c r="Z119" s="249"/>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249"/>
      <c r="W120" s="249"/>
      <c r="X120" s="249"/>
      <c r="Y120" s="249"/>
      <c r="Z120" s="249"/>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249"/>
      <c r="W121" s="249"/>
      <c r="X121" s="249"/>
      <c r="Y121" s="249"/>
      <c r="Z121" s="249"/>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249"/>
      <c r="W122" s="249"/>
      <c r="X122" s="249"/>
      <c r="Y122" s="249"/>
      <c r="Z122" s="249"/>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249"/>
      <c r="W123" s="249"/>
      <c r="X123" s="249"/>
      <c r="Y123" s="249"/>
      <c r="Z123" s="249"/>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249"/>
      <c r="W124" s="249"/>
      <c r="X124" s="249"/>
      <c r="Y124" s="249"/>
      <c r="Z124" s="249"/>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249"/>
      <c r="W125" s="249"/>
      <c r="X125" s="249"/>
      <c r="Y125" s="249"/>
      <c r="Z125" s="249"/>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249"/>
      <c r="W126" s="249"/>
      <c r="X126" s="249"/>
      <c r="Y126" s="249"/>
      <c r="Z126" s="249"/>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249"/>
      <c r="W127" s="249"/>
      <c r="X127" s="249"/>
      <c r="Y127" s="249"/>
      <c r="Z127" s="249"/>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249"/>
      <c r="W128" s="249"/>
      <c r="X128" s="249"/>
      <c r="Y128" s="249"/>
      <c r="Z128" s="249"/>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249"/>
      <c r="W129" s="249"/>
      <c r="X129" s="249"/>
      <c r="Y129" s="249"/>
      <c r="Z129" s="249"/>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249"/>
      <c r="W130" s="249"/>
      <c r="X130" s="249"/>
      <c r="Y130" s="249"/>
      <c r="Z130" s="249"/>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249"/>
      <c r="W131" s="249"/>
      <c r="X131" s="249"/>
      <c r="Y131" s="249"/>
      <c r="Z131" s="249"/>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249"/>
      <c r="W132" s="249"/>
      <c r="X132" s="249"/>
      <c r="Y132" s="249"/>
      <c r="Z132" s="249"/>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249"/>
      <c r="W133" s="249"/>
      <c r="X133" s="249"/>
      <c r="Y133" s="249"/>
      <c r="Z133" s="249"/>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249"/>
      <c r="W134" s="249"/>
      <c r="X134" s="249"/>
      <c r="Y134" s="249"/>
      <c r="Z134" s="249"/>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249"/>
      <c r="W135" s="249"/>
      <c r="X135" s="249"/>
      <c r="Y135" s="249"/>
      <c r="Z135" s="249"/>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249"/>
      <c r="W136" s="249"/>
      <c r="X136" s="249"/>
      <c r="Y136" s="249"/>
      <c r="Z136" s="249"/>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249"/>
      <c r="W137" s="249"/>
      <c r="X137" s="249"/>
      <c r="Y137" s="249"/>
      <c r="Z137" s="249"/>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249"/>
      <c r="W138" s="249"/>
      <c r="X138" s="249"/>
      <c r="Y138" s="249"/>
      <c r="Z138" s="249"/>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249"/>
      <c r="W139" s="249"/>
      <c r="X139" s="249"/>
      <c r="Y139" s="249"/>
      <c r="Z139" s="249"/>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249"/>
      <c r="W140" s="249"/>
      <c r="X140" s="249"/>
      <c r="Y140" s="249"/>
      <c r="Z140" s="249"/>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249"/>
      <c r="W141" s="249"/>
      <c r="X141" s="249"/>
      <c r="Y141" s="249"/>
      <c r="Z141" s="249"/>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249"/>
      <c r="W142" s="249"/>
      <c r="X142" s="249"/>
      <c r="Y142" s="249"/>
      <c r="Z142" s="249"/>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249"/>
      <c r="W143" s="249"/>
      <c r="X143" s="249"/>
      <c r="Y143" s="249"/>
      <c r="Z143" s="249"/>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249"/>
      <c r="W144" s="249"/>
      <c r="X144" s="249"/>
      <c r="Y144" s="249"/>
      <c r="Z144" s="249"/>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249"/>
      <c r="W145" s="249"/>
      <c r="X145" s="249"/>
      <c r="Y145" s="249"/>
      <c r="Z145" s="249"/>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249"/>
      <c r="W146" s="249"/>
      <c r="X146" s="249"/>
      <c r="Y146" s="249"/>
      <c r="Z146" s="249"/>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249"/>
      <c r="W147" s="249"/>
      <c r="X147" s="249"/>
      <c r="Y147" s="249"/>
      <c r="Z147" s="249"/>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249"/>
      <c r="W148" s="249"/>
      <c r="X148" s="249"/>
      <c r="Y148" s="249"/>
      <c r="Z148" s="249"/>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249"/>
      <c r="W149" s="249"/>
      <c r="X149" s="249"/>
      <c r="Y149" s="249"/>
      <c r="Z149" s="249"/>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249"/>
      <c r="W150" s="249"/>
      <c r="X150" s="249"/>
      <c r="Y150" s="249"/>
      <c r="Z150" s="249"/>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249"/>
      <c r="W151" s="249"/>
      <c r="X151" s="249"/>
      <c r="Y151" s="249"/>
      <c r="Z151" s="249"/>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249"/>
      <c r="W152" s="249"/>
      <c r="X152" s="249"/>
      <c r="Y152" s="249"/>
      <c r="Z152" s="249"/>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249"/>
      <c r="W153" s="249"/>
      <c r="X153" s="249"/>
      <c r="Y153" s="249"/>
      <c r="Z153" s="249"/>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249"/>
      <c r="W154" s="249"/>
      <c r="X154" s="249"/>
      <c r="Y154" s="249"/>
      <c r="Z154" s="249"/>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249"/>
      <c r="W155" s="249"/>
      <c r="X155" s="249"/>
      <c r="Y155" s="249"/>
      <c r="Z155" s="249"/>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249"/>
      <c r="W156" s="249"/>
      <c r="X156" s="249"/>
      <c r="Y156" s="249"/>
      <c r="Z156" s="249"/>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249"/>
      <c r="W157" s="249"/>
      <c r="X157" s="249"/>
      <c r="Y157" s="249"/>
      <c r="Z157" s="249"/>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249"/>
      <c r="W158" s="249"/>
      <c r="X158" s="249"/>
      <c r="Y158" s="249"/>
      <c r="Z158" s="249"/>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249"/>
      <c r="W159" s="249"/>
      <c r="X159" s="249"/>
      <c r="Y159" s="249"/>
      <c r="Z159" s="249"/>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249"/>
      <c r="W160" s="249"/>
      <c r="X160" s="249"/>
      <c r="Y160" s="249"/>
      <c r="Z160" s="249"/>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249"/>
      <c r="W161" s="249"/>
      <c r="X161" s="249"/>
      <c r="Y161" s="249"/>
      <c r="Z161" s="249"/>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249"/>
      <c r="W162" s="249"/>
      <c r="X162" s="249"/>
      <c r="Y162" s="249"/>
      <c r="Z162" s="249"/>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249"/>
      <c r="W163" s="249"/>
      <c r="X163" s="249"/>
      <c r="Y163" s="249"/>
      <c r="Z163" s="249"/>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249"/>
      <c r="W164" s="249"/>
      <c r="X164" s="249"/>
      <c r="Y164" s="249"/>
      <c r="Z164" s="249"/>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249"/>
      <c r="W165" s="249"/>
      <c r="X165" s="249"/>
      <c r="Y165" s="249"/>
      <c r="Z165" s="249"/>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249"/>
      <c r="W166" s="249"/>
      <c r="X166" s="249"/>
      <c r="Y166" s="249"/>
      <c r="Z166" s="249"/>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249"/>
      <c r="W167" s="249"/>
      <c r="X167" s="249"/>
      <c r="Y167" s="249"/>
      <c r="Z167" s="249"/>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249"/>
      <c r="W168" s="249"/>
      <c r="X168" s="249"/>
      <c r="Y168" s="249"/>
      <c r="Z168" s="249"/>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249"/>
      <c r="W169" s="249"/>
      <c r="X169" s="249"/>
      <c r="Y169" s="249"/>
      <c r="Z169" s="249"/>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249"/>
      <c r="W170" s="249"/>
      <c r="X170" s="249"/>
      <c r="Y170" s="249"/>
      <c r="Z170" s="249"/>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249"/>
      <c r="W171" s="249"/>
      <c r="X171" s="249"/>
      <c r="Y171" s="249"/>
      <c r="Z171" s="249"/>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249"/>
      <c r="W172" s="249"/>
      <c r="X172" s="249"/>
      <c r="Y172" s="249"/>
      <c r="Z172" s="249"/>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249"/>
      <c r="W173" s="249"/>
      <c r="X173" s="249"/>
      <c r="Y173" s="249"/>
      <c r="Z173" s="249"/>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249"/>
      <c r="W174" s="249"/>
      <c r="X174" s="249"/>
      <c r="Y174" s="249"/>
      <c r="Z174" s="249"/>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249"/>
      <c r="W175" s="249"/>
      <c r="X175" s="249"/>
      <c r="Y175" s="249"/>
      <c r="Z175" s="249"/>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249"/>
      <c r="W176" s="249"/>
      <c r="X176" s="249"/>
      <c r="Y176" s="249"/>
      <c r="Z176" s="249"/>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249"/>
      <c r="W177" s="249"/>
      <c r="X177" s="249"/>
      <c r="Y177" s="249"/>
      <c r="Z177" s="249"/>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249"/>
      <c r="W178" s="249"/>
      <c r="X178" s="249"/>
      <c r="Y178" s="249"/>
      <c r="Z178" s="249"/>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249"/>
      <c r="W179" s="249"/>
      <c r="X179" s="249"/>
      <c r="Y179" s="249"/>
      <c r="Z179" s="249"/>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249"/>
      <c r="W180" s="249"/>
      <c r="X180" s="249"/>
      <c r="Y180" s="249"/>
      <c r="Z180" s="249"/>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249"/>
      <c r="W181" s="249"/>
      <c r="X181" s="249"/>
      <c r="Y181" s="249"/>
      <c r="Z181" s="249"/>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249"/>
      <c r="W182" s="249"/>
      <c r="X182" s="249"/>
      <c r="Y182" s="249"/>
      <c r="Z182" s="249"/>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249"/>
      <c r="W183" s="249"/>
      <c r="X183" s="249"/>
      <c r="Y183" s="249"/>
      <c r="Z183" s="249"/>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249"/>
      <c r="W184" s="249"/>
      <c r="X184" s="249"/>
      <c r="Y184" s="249"/>
      <c r="Z184" s="249"/>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249"/>
      <c r="W185" s="249"/>
      <c r="X185" s="249"/>
      <c r="Y185" s="249"/>
      <c r="Z185" s="249"/>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249"/>
      <c r="W186" s="249"/>
      <c r="X186" s="249"/>
      <c r="Y186" s="249"/>
      <c r="Z186" s="249"/>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249"/>
      <c r="W187" s="249"/>
      <c r="X187" s="249"/>
      <c r="Y187" s="249"/>
      <c r="Z187" s="249"/>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249"/>
      <c r="W188" s="249"/>
      <c r="X188" s="249"/>
      <c r="Y188" s="249"/>
      <c r="Z188" s="249"/>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249"/>
      <c r="W189" s="249"/>
      <c r="X189" s="249"/>
      <c r="Y189" s="249"/>
      <c r="Z189" s="249"/>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249"/>
      <c r="W190" s="249"/>
      <c r="X190" s="249"/>
      <c r="Y190" s="249"/>
      <c r="Z190" s="249"/>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249"/>
      <c r="W191" s="249"/>
      <c r="X191" s="249"/>
      <c r="Y191" s="249"/>
      <c r="Z191" s="249"/>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249"/>
      <c r="W192" s="249"/>
      <c r="X192" s="249"/>
      <c r="Y192" s="249"/>
      <c r="Z192" s="249"/>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249"/>
      <c r="W193" s="249"/>
      <c r="X193" s="249"/>
      <c r="Y193" s="249"/>
      <c r="Z193" s="249"/>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249"/>
      <c r="W194" s="249"/>
      <c r="X194" s="249"/>
      <c r="Y194" s="249"/>
      <c r="Z194" s="249"/>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249"/>
      <c r="W195" s="249"/>
      <c r="X195" s="249"/>
      <c r="Y195" s="249"/>
      <c r="Z195" s="249"/>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249"/>
      <c r="W196" s="249"/>
      <c r="X196" s="249"/>
      <c r="Y196" s="249"/>
      <c r="Z196" s="249"/>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249"/>
      <c r="W197" s="249"/>
      <c r="X197" s="249"/>
      <c r="Y197" s="249"/>
      <c r="Z197" s="249"/>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249"/>
      <c r="W198" s="249"/>
      <c r="X198" s="249"/>
      <c r="Y198" s="249"/>
      <c r="Z198" s="249"/>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249"/>
      <c r="W199" s="249"/>
      <c r="X199" s="249"/>
      <c r="Y199" s="249"/>
      <c r="Z199" s="249"/>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249"/>
      <c r="W200" s="249"/>
      <c r="X200" s="249"/>
      <c r="Y200" s="249"/>
      <c r="Z200" s="249"/>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249"/>
      <c r="W201" s="249"/>
      <c r="X201" s="249"/>
      <c r="Y201" s="249"/>
      <c r="Z201" s="249"/>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249"/>
      <c r="W202" s="249"/>
      <c r="X202" s="249"/>
      <c r="Y202" s="249"/>
      <c r="Z202" s="249"/>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249"/>
      <c r="W203" s="249"/>
      <c r="X203" s="249"/>
      <c r="Y203" s="249"/>
      <c r="Z203" s="249"/>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249"/>
      <c r="W204" s="249"/>
      <c r="X204" s="249"/>
      <c r="Y204" s="249"/>
      <c r="Z204" s="249"/>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249"/>
      <c r="W205" s="249"/>
      <c r="X205" s="249"/>
      <c r="Y205" s="249"/>
      <c r="Z205" s="249"/>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249"/>
      <c r="W206" s="249"/>
      <c r="X206" s="249"/>
      <c r="Y206" s="249"/>
      <c r="Z206" s="249"/>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249"/>
      <c r="W207" s="249"/>
      <c r="X207" s="249"/>
      <c r="Y207" s="249"/>
      <c r="Z207" s="249"/>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249"/>
      <c r="W208" s="249"/>
      <c r="X208" s="249"/>
      <c r="Y208" s="249"/>
      <c r="Z208" s="249"/>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249"/>
      <c r="W209" s="249"/>
      <c r="X209" s="249"/>
      <c r="Y209" s="249"/>
      <c r="Z209" s="249"/>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249"/>
      <c r="W210" s="249"/>
      <c r="X210" s="249"/>
      <c r="Y210" s="249"/>
      <c r="Z210" s="249"/>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249"/>
      <c r="W211" s="249"/>
      <c r="X211" s="249"/>
      <c r="Y211" s="249"/>
      <c r="Z211" s="249"/>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249"/>
      <c r="W212" s="249"/>
      <c r="X212" s="249"/>
      <c r="Y212" s="249"/>
      <c r="Z212" s="249"/>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249"/>
      <c r="W213" s="249"/>
      <c r="X213" s="249"/>
      <c r="Y213" s="249"/>
      <c r="Z213" s="249"/>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249"/>
      <c r="W214" s="249"/>
      <c r="X214" s="249"/>
      <c r="Y214" s="249"/>
      <c r="Z214" s="249"/>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249"/>
      <c r="W215" s="249"/>
      <c r="X215" s="249"/>
      <c r="Y215" s="249"/>
      <c r="Z215" s="249"/>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249"/>
      <c r="W216" s="249"/>
      <c r="X216" s="249"/>
      <c r="Y216" s="249"/>
      <c r="Z216" s="249"/>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249"/>
      <c r="W217" s="249"/>
      <c r="X217" s="249"/>
      <c r="Y217" s="249"/>
      <c r="Z217" s="249"/>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249"/>
      <c r="W218" s="249"/>
      <c r="X218" s="249"/>
      <c r="Y218" s="249"/>
      <c r="Z218" s="249"/>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249"/>
      <c r="W219" s="249"/>
      <c r="X219" s="249"/>
      <c r="Y219" s="249"/>
      <c r="Z219" s="249"/>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249"/>
      <c r="W220" s="249"/>
      <c r="X220" s="249"/>
      <c r="Y220" s="249"/>
      <c r="Z220" s="249"/>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249"/>
      <c r="W221" s="249"/>
      <c r="X221" s="249"/>
      <c r="Y221" s="249"/>
      <c r="Z221" s="249"/>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249"/>
      <c r="W222" s="249"/>
      <c r="X222" s="249"/>
      <c r="Y222" s="249"/>
      <c r="Z222" s="249"/>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249"/>
      <c r="W223" s="249"/>
      <c r="X223" s="249"/>
      <c r="Y223" s="249"/>
      <c r="Z223" s="249"/>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249"/>
      <c r="W224" s="249"/>
      <c r="X224" s="249"/>
      <c r="Y224" s="249"/>
      <c r="Z224" s="249"/>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249"/>
      <c r="W225" s="249"/>
      <c r="X225" s="249"/>
      <c r="Y225" s="249"/>
      <c r="Z225" s="249"/>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249"/>
      <c r="W226" s="249"/>
      <c r="X226" s="249"/>
      <c r="Y226" s="249"/>
      <c r="Z226" s="249"/>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249"/>
      <c r="W227" s="249"/>
      <c r="X227" s="249"/>
      <c r="Y227" s="249"/>
      <c r="Z227" s="249"/>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249"/>
      <c r="W228" s="249"/>
      <c r="X228" s="249"/>
      <c r="Y228" s="249"/>
      <c r="Z228" s="249"/>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249"/>
      <c r="W229" s="249"/>
      <c r="X229" s="249"/>
      <c r="Y229" s="249"/>
      <c r="Z229" s="249"/>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249"/>
      <c r="W230" s="249"/>
      <c r="X230" s="249"/>
      <c r="Y230" s="249"/>
      <c r="Z230" s="249"/>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249"/>
      <c r="W231" s="249"/>
      <c r="X231" s="249"/>
      <c r="Y231" s="249"/>
      <c r="Z231" s="249"/>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249"/>
      <c r="W232" s="249"/>
      <c r="X232" s="249"/>
      <c r="Y232" s="249"/>
      <c r="Z232" s="249"/>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249"/>
      <c r="W233" s="249"/>
      <c r="X233" s="249"/>
      <c r="Y233" s="249"/>
      <c r="Z233" s="249"/>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249"/>
      <c r="W234" s="249"/>
      <c r="X234" s="249"/>
      <c r="Y234" s="249"/>
      <c r="Z234" s="249"/>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249"/>
      <c r="W235" s="249"/>
      <c r="X235" s="249"/>
      <c r="Y235" s="249"/>
      <c r="Z235" s="249"/>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249"/>
      <c r="W236" s="249"/>
      <c r="X236" s="249"/>
      <c r="Y236" s="249"/>
      <c r="Z236" s="249"/>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249"/>
      <c r="W237" s="249"/>
      <c r="X237" s="249"/>
      <c r="Y237" s="249"/>
      <c r="Z237" s="249"/>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249"/>
      <c r="W238" s="249"/>
      <c r="X238" s="249"/>
      <c r="Y238" s="249"/>
      <c r="Z238" s="249"/>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249"/>
      <c r="W239" s="249"/>
      <c r="X239" s="249"/>
      <c r="Y239" s="249"/>
      <c r="Z239" s="249"/>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249"/>
      <c r="W240" s="249"/>
      <c r="X240" s="249"/>
      <c r="Y240" s="249"/>
      <c r="Z240" s="249"/>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249"/>
      <c r="W241" s="249"/>
      <c r="X241" s="249"/>
      <c r="Y241" s="249"/>
      <c r="Z241" s="249"/>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249"/>
      <c r="W242" s="249"/>
      <c r="X242" s="249"/>
      <c r="Y242" s="249"/>
      <c r="Z242" s="249"/>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249"/>
      <c r="W243" s="249"/>
      <c r="X243" s="249"/>
      <c r="Y243" s="249"/>
      <c r="Z243" s="249"/>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B2"/>
    <mergeCell ref="C2:E2"/>
    <mergeCell ref="F2:K2"/>
    <mergeCell ref="L2:O2"/>
    <mergeCell ref="C3:E3"/>
    <mergeCell ref="F3:K3"/>
    <mergeCell ref="L3:N3"/>
    <mergeCell ref="A3:B3"/>
    <mergeCell ref="A4:B4"/>
    <mergeCell ref="C4:D4"/>
    <mergeCell ref="F4:K4"/>
    <mergeCell ref="L4:O4"/>
    <mergeCell ref="A5:B5"/>
    <mergeCell ref="C5:O5"/>
    <mergeCell ref="D19:E19"/>
    <mergeCell ref="B40:D40"/>
    <mergeCell ref="B41:D41"/>
    <mergeCell ref="B42:D42"/>
    <mergeCell ref="B43:D43"/>
    <mergeCell ref="A6:B6"/>
    <mergeCell ref="C6:E6"/>
    <mergeCell ref="F6:K6"/>
    <mergeCell ref="L6:N6"/>
    <mergeCell ref="A7:B7"/>
    <mergeCell ref="C7:E7"/>
    <mergeCell ref="F7:K7"/>
  </mergeCells>
  <dataValidations>
    <dataValidation type="list" allowBlank="1" showInputMessage="1" showErrorMessage="1" prompt=" - " sqref="F41:O41">
      <formula1>"P,F"</formula1>
    </dataValidation>
    <dataValidation type="list" allowBlank="1" showInputMessage="1" showErrorMessage="1" prompt=" - " sqref="F10:O30 F31:K31 M31:O31 F32:O39">
      <formula1>"O"</formula1>
    </dataValidation>
    <dataValidation type="list" allowBlank="1" showInputMessage="1" showErrorMessage="1" prompt=" - " sqref="F40:O40">
      <formula1>"N,A,B"</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5.2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249"/>
      <c r="W1" s="249"/>
      <c r="X1" s="249"/>
      <c r="Y1" s="249"/>
      <c r="Z1" s="249"/>
    </row>
    <row r="2" ht="13.5" customHeight="1">
      <c r="A2" s="112" t="s">
        <v>337</v>
      </c>
      <c r="B2" s="113"/>
      <c r="C2" s="250" t="str">
        <f>Functions!E22</f>
        <v>F-12</v>
      </c>
      <c r="D2" s="251"/>
      <c r="E2" s="252"/>
      <c r="F2" s="116" t="s">
        <v>71</v>
      </c>
      <c r="G2" s="117"/>
      <c r="H2" s="117"/>
      <c r="I2" s="117"/>
      <c r="J2" s="117"/>
      <c r="K2" s="117"/>
      <c r="L2" s="118" t="str">
        <f>Functions!D22</f>
        <v>Tier precedence and expiration-window boundaries</v>
      </c>
      <c r="M2" s="113"/>
      <c r="N2" s="113"/>
      <c r="O2" s="119"/>
      <c r="P2" s="110"/>
      <c r="Q2" s="120"/>
      <c r="R2" s="110"/>
      <c r="S2" s="110"/>
      <c r="T2" s="110"/>
      <c r="U2" s="110"/>
      <c r="V2" s="249"/>
      <c r="W2" s="249"/>
      <c r="X2" s="249"/>
      <c r="Y2" s="249"/>
      <c r="Z2" s="249"/>
    </row>
    <row r="3" ht="13.5" customHeight="1">
      <c r="A3" s="121" t="s">
        <v>338</v>
      </c>
      <c r="B3" s="13"/>
      <c r="C3" s="253" t="s">
        <v>183</v>
      </c>
      <c r="D3" s="123"/>
      <c r="E3" s="124"/>
      <c r="F3" s="125" t="s">
        <v>339</v>
      </c>
      <c r="G3" s="12"/>
      <c r="H3" s="12"/>
      <c r="I3" s="12"/>
      <c r="J3" s="12"/>
      <c r="K3" s="13"/>
      <c r="L3" s="126"/>
      <c r="M3" s="123"/>
      <c r="N3" s="123"/>
      <c r="O3" s="127"/>
      <c r="P3" s="110"/>
      <c r="Q3" s="110"/>
      <c r="R3" s="110"/>
      <c r="S3" s="110"/>
      <c r="T3" s="110"/>
      <c r="U3" s="110"/>
      <c r="V3" s="249"/>
      <c r="W3" s="249"/>
      <c r="X3" s="249"/>
      <c r="Y3" s="249"/>
      <c r="Z3" s="249"/>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c r="V4" s="249"/>
      <c r="W4" s="249"/>
      <c r="X4" s="249"/>
      <c r="Y4" s="249"/>
      <c r="Z4" s="249"/>
    </row>
    <row r="5">
      <c r="A5" s="121" t="s">
        <v>342</v>
      </c>
      <c r="B5" s="13"/>
      <c r="C5" s="132" t="s">
        <v>169</v>
      </c>
      <c r="D5" s="12"/>
      <c r="E5" s="12"/>
      <c r="F5" s="12"/>
      <c r="G5" s="12"/>
      <c r="H5" s="12"/>
      <c r="I5" s="12"/>
      <c r="J5" s="12"/>
      <c r="K5" s="12"/>
      <c r="L5" s="12"/>
      <c r="M5" s="12"/>
      <c r="N5" s="12"/>
      <c r="O5" s="131"/>
      <c r="P5" s="110"/>
      <c r="Q5" s="110"/>
      <c r="R5" s="110"/>
      <c r="S5" s="110"/>
      <c r="T5" s="110"/>
      <c r="U5" s="110"/>
      <c r="V5" s="249"/>
      <c r="W5" s="249"/>
      <c r="X5" s="249"/>
      <c r="Y5" s="249"/>
      <c r="Z5" s="249"/>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c r="V6" s="249"/>
      <c r="W6" s="249"/>
      <c r="X6" s="249"/>
      <c r="Y6" s="249"/>
      <c r="Z6" s="249"/>
    </row>
    <row r="7" ht="13.5" customHeight="1">
      <c r="A7" s="137">
        <f>COUNTIF(F45:O45,"P")</f>
        <v>0</v>
      </c>
      <c r="B7" s="138"/>
      <c r="C7" s="139">
        <f>COUNTIF(F45:O45,"F")</f>
        <v>0</v>
      </c>
      <c r="D7" s="140"/>
      <c r="E7" s="138"/>
      <c r="F7" s="139">
        <f>SUM(O7,-A7,-C7)</f>
        <v>4</v>
      </c>
      <c r="G7" s="140"/>
      <c r="H7" s="140"/>
      <c r="I7" s="140"/>
      <c r="J7" s="140"/>
      <c r="K7" s="138"/>
      <c r="L7" s="141">
        <f>COUNTIF(F44:O44,"N")</f>
        <v>2</v>
      </c>
      <c r="M7" s="141">
        <f>COUNTIF(F44:O44,"A")</f>
        <v>0</v>
      </c>
      <c r="N7" s="141">
        <f>COUNTIF(F44:O44,"B")</f>
        <v>2</v>
      </c>
      <c r="O7" s="142">
        <f>COUNTA(F9:O9)</f>
        <v>4</v>
      </c>
      <c r="P7" s="242"/>
      <c r="Q7" s="110"/>
      <c r="R7" s="110"/>
      <c r="S7" s="110"/>
      <c r="T7" s="110"/>
      <c r="U7" s="110"/>
      <c r="V7" s="249"/>
      <c r="W7" s="249"/>
      <c r="X7" s="249"/>
      <c r="Y7" s="249"/>
      <c r="Z7" s="249"/>
    </row>
    <row r="8" ht="12.0" customHeight="1">
      <c r="A8" s="110"/>
      <c r="B8" s="143"/>
      <c r="C8" s="110"/>
      <c r="D8" s="111"/>
      <c r="E8" s="110"/>
      <c r="F8" s="110"/>
      <c r="G8" s="110"/>
      <c r="H8" s="110"/>
      <c r="I8" s="110"/>
      <c r="J8" s="110"/>
      <c r="K8" s="110"/>
      <c r="L8" s="110"/>
      <c r="M8" s="110"/>
      <c r="N8" s="110"/>
      <c r="O8" s="110"/>
      <c r="P8" s="110"/>
      <c r="Q8" s="110"/>
      <c r="R8" s="110"/>
      <c r="S8" s="110"/>
      <c r="T8" s="110"/>
      <c r="U8" s="110"/>
      <c r="V8" s="249"/>
      <c r="W8" s="249"/>
      <c r="X8" s="249"/>
      <c r="Y8" s="249"/>
      <c r="Z8" s="249"/>
    </row>
    <row r="9" ht="45.0" customHeight="1">
      <c r="A9" s="243"/>
      <c r="B9" s="244"/>
      <c r="C9" s="245"/>
      <c r="D9" s="246"/>
      <c r="E9" s="245"/>
      <c r="F9" s="247" t="s">
        <v>344</v>
      </c>
      <c r="G9" s="247" t="s">
        <v>345</v>
      </c>
      <c r="H9" s="247" t="s">
        <v>346</v>
      </c>
      <c r="I9" s="247" t="s">
        <v>347</v>
      </c>
      <c r="J9" s="247"/>
      <c r="K9" s="247"/>
      <c r="L9" s="247"/>
      <c r="M9" s="247"/>
      <c r="N9" s="247"/>
      <c r="O9" s="247"/>
      <c r="P9" s="150"/>
      <c r="Q9" s="120"/>
      <c r="R9" s="110"/>
      <c r="S9" s="110"/>
      <c r="T9" s="110"/>
      <c r="U9" s="110"/>
      <c r="V9" s="249"/>
      <c r="W9" s="249"/>
      <c r="X9" s="249"/>
      <c r="Y9" s="249"/>
      <c r="Z9" s="249"/>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c r="V10" s="249"/>
      <c r="W10" s="249"/>
      <c r="X10" s="249"/>
      <c r="Y10" s="249"/>
      <c r="Z10" s="249"/>
    </row>
    <row r="11" ht="13.5" customHeight="1">
      <c r="A11" s="162"/>
      <c r="B11" s="163"/>
      <c r="C11" s="171"/>
      <c r="D11" s="174" t="s">
        <v>461</v>
      </c>
      <c r="E11" s="155"/>
      <c r="F11" s="165" t="s">
        <v>353</v>
      </c>
      <c r="G11" s="165"/>
      <c r="H11" s="165"/>
      <c r="I11" s="165"/>
      <c r="J11" s="165"/>
      <c r="K11" s="165"/>
      <c r="L11" s="165"/>
      <c r="M11" s="165"/>
      <c r="N11" s="165"/>
      <c r="O11" s="165"/>
      <c r="P11" s="110"/>
      <c r="Q11" s="120"/>
      <c r="R11" s="110"/>
      <c r="S11" s="110"/>
      <c r="T11" s="110"/>
      <c r="U11" s="110"/>
      <c r="V11" s="249"/>
      <c r="W11" s="249"/>
      <c r="X11" s="249"/>
      <c r="Y11" s="249"/>
      <c r="Z11" s="249"/>
    </row>
    <row r="12" ht="13.5" customHeight="1">
      <c r="A12" s="162"/>
      <c r="B12" s="163"/>
      <c r="C12" s="171"/>
      <c r="D12" s="174" t="s">
        <v>464</v>
      </c>
      <c r="E12" s="155"/>
      <c r="F12" s="165"/>
      <c r="G12" s="165" t="s">
        <v>353</v>
      </c>
      <c r="H12" s="165"/>
      <c r="I12" s="165"/>
      <c r="J12" s="165"/>
      <c r="K12" s="165"/>
      <c r="L12" s="165"/>
      <c r="M12" s="165"/>
      <c r="N12" s="165"/>
      <c r="O12" s="165"/>
      <c r="P12" s="110"/>
      <c r="Q12" s="110"/>
      <c r="R12" s="110"/>
      <c r="S12" s="110"/>
      <c r="T12" s="110"/>
      <c r="U12" s="110"/>
      <c r="V12" s="249"/>
      <c r="W12" s="249"/>
      <c r="X12" s="249"/>
      <c r="Y12" s="249"/>
      <c r="Z12" s="249"/>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c r="V13" s="249"/>
      <c r="W13" s="249"/>
      <c r="X13" s="249"/>
      <c r="Y13" s="249"/>
      <c r="Z13" s="249"/>
    </row>
    <row r="14" ht="13.5" customHeight="1">
      <c r="A14" s="162"/>
      <c r="B14" s="163"/>
      <c r="C14" s="171"/>
      <c r="D14" s="174" t="s">
        <v>465</v>
      </c>
      <c r="E14" s="173"/>
      <c r="F14" s="165"/>
      <c r="G14" s="165"/>
      <c r="H14" s="165" t="s">
        <v>353</v>
      </c>
      <c r="I14" s="165"/>
      <c r="J14" s="165"/>
      <c r="K14" s="165"/>
      <c r="L14" s="165"/>
      <c r="M14" s="165"/>
      <c r="N14" s="165"/>
      <c r="O14" s="165"/>
      <c r="P14" s="110"/>
      <c r="Q14" s="110"/>
      <c r="R14" s="110"/>
      <c r="S14" s="110"/>
      <c r="T14" s="110"/>
      <c r="U14" s="110"/>
      <c r="V14" s="249"/>
      <c r="W14" s="249"/>
      <c r="X14" s="249"/>
      <c r="Y14" s="249"/>
      <c r="Z14" s="249"/>
    </row>
    <row r="15" ht="13.5" customHeight="1">
      <c r="A15" s="162"/>
      <c r="B15" s="163"/>
      <c r="C15" s="171"/>
      <c r="D15" s="174" t="s">
        <v>466</v>
      </c>
      <c r="E15" s="173"/>
      <c r="F15" s="165"/>
      <c r="G15" s="165"/>
      <c r="H15" s="165"/>
      <c r="I15" s="165" t="s">
        <v>353</v>
      </c>
      <c r="J15" s="165"/>
      <c r="K15" s="165"/>
      <c r="L15" s="165"/>
      <c r="M15" s="165"/>
      <c r="N15" s="165"/>
      <c r="O15" s="165"/>
      <c r="P15" s="110"/>
      <c r="Q15" s="110"/>
      <c r="R15" s="110"/>
      <c r="S15" s="110"/>
      <c r="T15" s="110"/>
      <c r="U15" s="110"/>
      <c r="V15" s="249"/>
      <c r="W15" s="249"/>
      <c r="X15" s="249"/>
      <c r="Y15" s="249"/>
      <c r="Z15" s="249"/>
    </row>
    <row r="16" ht="13.5" customHeight="1">
      <c r="A16" s="162"/>
      <c r="B16" s="163"/>
      <c r="C16" s="171"/>
      <c r="D16" s="174"/>
      <c r="E16" s="173"/>
      <c r="F16" s="165"/>
      <c r="G16" s="165"/>
      <c r="H16" s="165"/>
      <c r="I16" s="165"/>
      <c r="J16" s="165"/>
      <c r="K16" s="165"/>
      <c r="L16" s="165"/>
      <c r="M16" s="165"/>
      <c r="N16" s="165"/>
      <c r="O16" s="165"/>
      <c r="P16" s="110"/>
      <c r="Q16" s="110"/>
      <c r="R16" s="110"/>
      <c r="S16" s="110"/>
      <c r="T16" s="110"/>
      <c r="U16" s="110"/>
      <c r="V16" s="249"/>
      <c r="W16" s="249"/>
      <c r="X16" s="249"/>
      <c r="Y16" s="249"/>
      <c r="Z16" s="249"/>
    </row>
    <row r="17" ht="13.5" customHeight="1">
      <c r="A17" s="162"/>
      <c r="B17" s="163"/>
      <c r="C17" s="171"/>
      <c r="D17" s="174"/>
      <c r="E17" s="173"/>
      <c r="F17" s="266"/>
      <c r="G17" s="266"/>
      <c r="H17" s="266"/>
      <c r="I17" s="266"/>
      <c r="J17" s="266"/>
      <c r="K17" s="267"/>
      <c r="L17" s="267"/>
      <c r="M17" s="267"/>
      <c r="N17" s="267"/>
      <c r="O17" s="266"/>
      <c r="P17" s="175"/>
      <c r="Q17" s="110"/>
      <c r="R17" s="110"/>
      <c r="S17" s="110"/>
      <c r="T17" s="110"/>
      <c r="U17" s="110"/>
      <c r="V17" s="249"/>
      <c r="W17" s="249"/>
      <c r="X17" s="249"/>
      <c r="Y17" s="249"/>
      <c r="Z17" s="249"/>
    </row>
    <row r="18" ht="13.5" customHeight="1">
      <c r="A18" s="162"/>
      <c r="B18" s="163"/>
      <c r="C18" s="171"/>
      <c r="D18" s="268"/>
      <c r="E18" s="269"/>
      <c r="F18" s="267"/>
      <c r="G18" s="267"/>
      <c r="H18" s="267"/>
      <c r="I18" s="267"/>
      <c r="J18" s="267"/>
      <c r="K18" s="266"/>
      <c r="L18" s="267"/>
      <c r="M18" s="267"/>
      <c r="N18" s="267"/>
      <c r="O18" s="267"/>
      <c r="P18" s="175"/>
      <c r="Q18" s="110"/>
      <c r="R18" s="110"/>
      <c r="S18" s="110"/>
      <c r="T18" s="110"/>
      <c r="U18" s="110"/>
      <c r="V18" s="249"/>
      <c r="W18" s="249"/>
      <c r="X18" s="249"/>
      <c r="Y18" s="249"/>
      <c r="Z18" s="249"/>
    </row>
    <row r="19" ht="13.5" customHeight="1">
      <c r="A19" s="162"/>
      <c r="B19" s="163"/>
      <c r="C19" s="270"/>
      <c r="D19" s="271"/>
      <c r="E19" s="13"/>
      <c r="F19" s="272"/>
      <c r="G19" s="267"/>
      <c r="H19" s="267"/>
      <c r="I19" s="267"/>
      <c r="J19" s="267"/>
      <c r="K19" s="267"/>
      <c r="L19" s="266"/>
      <c r="M19" s="266"/>
      <c r="N19" s="266"/>
      <c r="O19" s="267"/>
      <c r="P19" s="175"/>
      <c r="Q19" s="110"/>
      <c r="R19" s="110"/>
      <c r="S19" s="110"/>
      <c r="T19" s="110"/>
      <c r="U19" s="110"/>
      <c r="V19" s="249"/>
      <c r="W19" s="249"/>
      <c r="X19" s="249"/>
      <c r="Y19" s="249"/>
      <c r="Z19" s="249"/>
    </row>
    <row r="20" ht="13.5" customHeight="1">
      <c r="A20" s="157"/>
      <c r="B20" s="158"/>
      <c r="C20" s="226"/>
      <c r="D20" s="172"/>
      <c r="E20" s="273"/>
      <c r="F20" s="156"/>
      <c r="G20" s="156"/>
      <c r="H20" s="156"/>
      <c r="I20" s="156"/>
      <c r="J20" s="156"/>
      <c r="K20" s="156"/>
      <c r="L20" s="156"/>
      <c r="M20" s="156"/>
      <c r="N20" s="156"/>
      <c r="O20" s="156"/>
      <c r="P20" s="110"/>
      <c r="Q20" s="110"/>
      <c r="R20" s="110"/>
      <c r="S20" s="110"/>
      <c r="T20" s="110"/>
      <c r="U20" s="110"/>
      <c r="V20" s="249"/>
      <c r="W20" s="249"/>
      <c r="X20" s="249"/>
      <c r="Y20" s="249"/>
      <c r="Z20" s="249"/>
    </row>
    <row r="21" ht="13.5" customHeight="1">
      <c r="A21" s="157"/>
      <c r="B21" s="158"/>
      <c r="C21" s="226"/>
      <c r="D21" s="172"/>
      <c r="E21" s="227"/>
      <c r="F21" s="156"/>
      <c r="G21" s="156"/>
      <c r="H21" s="156"/>
      <c r="I21" s="156"/>
      <c r="J21" s="156"/>
      <c r="K21" s="156"/>
      <c r="L21" s="156"/>
      <c r="M21" s="156"/>
      <c r="N21" s="156"/>
      <c r="O21" s="156"/>
      <c r="P21" s="110"/>
      <c r="Q21" s="110"/>
      <c r="R21" s="110"/>
      <c r="S21" s="110"/>
      <c r="T21" s="110"/>
      <c r="U21" s="110"/>
      <c r="V21" s="249"/>
      <c r="W21" s="249"/>
      <c r="X21" s="249"/>
      <c r="Y21" s="249"/>
      <c r="Z21" s="249"/>
    </row>
    <row r="22" ht="13.5" customHeight="1">
      <c r="A22" s="157"/>
      <c r="B22" s="158"/>
      <c r="C22" s="226"/>
      <c r="D22" s="172"/>
      <c r="E22" s="227"/>
      <c r="F22" s="156"/>
      <c r="G22" s="156"/>
      <c r="H22" s="156"/>
      <c r="I22" s="156"/>
      <c r="J22" s="156"/>
      <c r="K22" s="156"/>
      <c r="L22" s="156"/>
      <c r="M22" s="156"/>
      <c r="N22" s="156"/>
      <c r="O22" s="156"/>
      <c r="P22" s="110"/>
      <c r="Q22" s="110"/>
      <c r="R22" s="110"/>
      <c r="S22" s="110"/>
      <c r="T22" s="110"/>
      <c r="U22" s="110"/>
      <c r="V22" s="249"/>
      <c r="W22" s="249"/>
      <c r="X22" s="249"/>
      <c r="Y22" s="249"/>
      <c r="Z22" s="249"/>
    </row>
    <row r="23" ht="13.5" customHeight="1">
      <c r="A23" s="157"/>
      <c r="B23" s="158"/>
      <c r="C23" s="226"/>
      <c r="D23" s="172"/>
      <c r="E23" s="227"/>
      <c r="F23" s="156"/>
      <c r="G23" s="156"/>
      <c r="H23" s="156"/>
      <c r="I23" s="156"/>
      <c r="J23" s="156"/>
      <c r="K23" s="156"/>
      <c r="L23" s="156"/>
      <c r="M23" s="156"/>
      <c r="N23" s="156"/>
      <c r="O23" s="156"/>
      <c r="P23" s="110"/>
      <c r="Q23" s="110"/>
      <c r="R23" s="110"/>
      <c r="S23" s="110"/>
      <c r="T23" s="110"/>
      <c r="U23" s="110"/>
      <c r="V23" s="249"/>
      <c r="W23" s="249"/>
      <c r="X23" s="249"/>
      <c r="Y23" s="249"/>
      <c r="Z23" s="249"/>
    </row>
    <row r="24" ht="13.5" customHeight="1">
      <c r="A24" s="157"/>
      <c r="B24" s="158"/>
      <c r="C24" s="226"/>
      <c r="D24" s="172"/>
      <c r="E24" s="227"/>
      <c r="F24" s="156"/>
      <c r="G24" s="156"/>
      <c r="H24" s="156"/>
      <c r="I24" s="156"/>
      <c r="J24" s="156"/>
      <c r="K24" s="156"/>
      <c r="L24" s="156"/>
      <c r="M24" s="156"/>
      <c r="N24" s="156"/>
      <c r="O24" s="156"/>
      <c r="P24" s="110"/>
      <c r="Q24" s="110"/>
      <c r="R24" s="110"/>
      <c r="S24" s="110"/>
      <c r="T24" s="110"/>
      <c r="U24" s="110"/>
      <c r="V24" s="249"/>
      <c r="W24" s="249"/>
      <c r="X24" s="249"/>
      <c r="Y24" s="249"/>
      <c r="Z24" s="249"/>
    </row>
    <row r="25" ht="13.5" customHeight="1">
      <c r="A25" s="157"/>
      <c r="B25" s="158"/>
      <c r="C25" s="226"/>
      <c r="D25" s="172"/>
      <c r="E25" s="227"/>
      <c r="F25" s="156"/>
      <c r="G25" s="156"/>
      <c r="H25" s="156"/>
      <c r="I25" s="156"/>
      <c r="J25" s="156"/>
      <c r="K25" s="156"/>
      <c r="L25" s="156"/>
      <c r="M25" s="156"/>
      <c r="N25" s="156"/>
      <c r="O25" s="156"/>
      <c r="P25" s="110"/>
      <c r="Q25" s="110"/>
      <c r="R25" s="110"/>
      <c r="S25" s="110"/>
      <c r="T25" s="110"/>
      <c r="U25" s="110"/>
      <c r="V25" s="249"/>
      <c r="W25" s="249"/>
      <c r="X25" s="249"/>
      <c r="Y25" s="249"/>
      <c r="Z25" s="249"/>
    </row>
    <row r="26" ht="13.5" customHeight="1">
      <c r="A26" s="157"/>
      <c r="B26" s="158"/>
      <c r="C26" s="226"/>
      <c r="D26" s="172"/>
      <c r="E26" s="227"/>
      <c r="F26" s="156"/>
      <c r="G26" s="156"/>
      <c r="H26" s="156"/>
      <c r="I26" s="156"/>
      <c r="J26" s="156"/>
      <c r="K26" s="156"/>
      <c r="L26" s="156"/>
      <c r="M26" s="156"/>
      <c r="N26" s="156"/>
      <c r="O26" s="156"/>
      <c r="P26" s="110"/>
      <c r="Q26" s="110"/>
      <c r="R26" s="110"/>
      <c r="S26" s="110"/>
      <c r="T26" s="110"/>
      <c r="U26" s="110"/>
      <c r="V26" s="249"/>
      <c r="W26" s="249"/>
      <c r="X26" s="249"/>
      <c r="Y26" s="249"/>
      <c r="Z26" s="249"/>
    </row>
    <row r="27" ht="13.5" customHeight="1">
      <c r="A27" s="157"/>
      <c r="B27" s="158"/>
      <c r="C27" s="226"/>
      <c r="D27" s="172"/>
      <c r="E27" s="227"/>
      <c r="F27" s="156"/>
      <c r="G27" s="156"/>
      <c r="H27" s="156"/>
      <c r="I27" s="156"/>
      <c r="J27" s="156"/>
      <c r="K27" s="156"/>
      <c r="L27" s="156"/>
      <c r="M27" s="156"/>
      <c r="N27" s="156"/>
      <c r="O27" s="156"/>
      <c r="P27" s="110"/>
      <c r="Q27" s="110"/>
      <c r="R27" s="110"/>
      <c r="S27" s="110"/>
      <c r="T27" s="110"/>
      <c r="U27" s="110"/>
      <c r="V27" s="249"/>
      <c r="W27" s="249"/>
      <c r="X27" s="249"/>
      <c r="Y27" s="249"/>
      <c r="Z27" s="249"/>
    </row>
    <row r="28" ht="13.5" customHeight="1">
      <c r="A28" s="157"/>
      <c r="B28" s="158"/>
      <c r="C28" s="226"/>
      <c r="D28" s="172"/>
      <c r="E28" s="227"/>
      <c r="F28" s="156"/>
      <c r="G28" s="156"/>
      <c r="H28" s="156"/>
      <c r="I28" s="156"/>
      <c r="J28" s="156"/>
      <c r="K28" s="156"/>
      <c r="L28" s="156"/>
      <c r="M28" s="156"/>
      <c r="N28" s="156"/>
      <c r="O28" s="156"/>
      <c r="P28" s="110"/>
      <c r="Q28" s="110"/>
      <c r="R28" s="110"/>
      <c r="S28" s="110"/>
      <c r="T28" s="110"/>
      <c r="U28" s="110"/>
      <c r="V28" s="249"/>
      <c r="W28" s="249"/>
      <c r="X28" s="249"/>
      <c r="Y28" s="249"/>
      <c r="Z28" s="249"/>
    </row>
    <row r="29" ht="13.5" customHeight="1">
      <c r="A29" s="176" t="s">
        <v>359</v>
      </c>
      <c r="B29" s="177" t="s">
        <v>360</v>
      </c>
      <c r="C29" s="178"/>
      <c r="D29" s="179"/>
      <c r="E29" s="180"/>
      <c r="F29" s="156"/>
      <c r="G29" s="156"/>
      <c r="H29" s="156"/>
      <c r="I29" s="156"/>
      <c r="J29" s="156"/>
      <c r="K29" s="156"/>
      <c r="L29" s="156"/>
      <c r="M29" s="156"/>
      <c r="N29" s="156"/>
      <c r="O29" s="156"/>
      <c r="P29" s="110"/>
      <c r="Q29" s="110"/>
      <c r="R29" s="110"/>
      <c r="S29" s="110"/>
      <c r="T29" s="110"/>
      <c r="U29" s="110"/>
      <c r="V29" s="249"/>
      <c r="W29" s="249"/>
      <c r="X29" s="249"/>
      <c r="Y29" s="249"/>
      <c r="Z29" s="249"/>
    </row>
    <row r="30" ht="13.5" customHeight="1">
      <c r="A30" s="181"/>
      <c r="B30" s="254"/>
      <c r="C30" s="183"/>
      <c r="D30" s="184" t="s">
        <v>467</v>
      </c>
      <c r="E30" s="185"/>
      <c r="F30" s="165" t="s">
        <v>353</v>
      </c>
      <c r="G30" s="165"/>
      <c r="H30" s="165"/>
      <c r="I30" s="165"/>
      <c r="J30" s="165"/>
      <c r="K30" s="165"/>
      <c r="L30" s="165"/>
      <c r="M30" s="165"/>
      <c r="N30" s="165"/>
      <c r="O30" s="165"/>
      <c r="P30" s="110"/>
      <c r="Q30" s="110"/>
      <c r="R30" s="110"/>
      <c r="S30" s="110"/>
      <c r="T30" s="110"/>
      <c r="U30" s="110"/>
      <c r="V30" s="249"/>
      <c r="W30" s="249"/>
      <c r="X30" s="249"/>
      <c r="Y30" s="249"/>
      <c r="Z30" s="249"/>
    </row>
    <row r="31" ht="13.5" customHeight="1">
      <c r="A31" s="181"/>
      <c r="B31" s="255"/>
      <c r="C31" s="183"/>
      <c r="D31" s="184"/>
      <c r="E31" s="185"/>
      <c r="F31" s="165"/>
      <c r="G31" s="165"/>
      <c r="H31" s="165"/>
      <c r="I31" s="165"/>
      <c r="J31" s="165"/>
      <c r="K31" s="165"/>
      <c r="L31" s="249"/>
      <c r="M31" s="165"/>
      <c r="N31" s="165"/>
      <c r="O31" s="165"/>
      <c r="P31" s="110"/>
      <c r="Q31" s="110"/>
      <c r="R31" s="110"/>
      <c r="S31" s="110"/>
      <c r="T31" s="110"/>
      <c r="U31" s="110"/>
      <c r="V31" s="249"/>
      <c r="W31" s="249"/>
      <c r="X31" s="249"/>
      <c r="Y31" s="249"/>
      <c r="Z31" s="249"/>
    </row>
    <row r="32" ht="13.5" customHeight="1">
      <c r="A32" s="181"/>
      <c r="B32" s="254"/>
      <c r="C32" s="183"/>
      <c r="D32" s="184" t="s">
        <v>468</v>
      </c>
      <c r="E32" s="185"/>
      <c r="F32" s="165"/>
      <c r="G32" s="165" t="s">
        <v>353</v>
      </c>
      <c r="H32" s="165"/>
      <c r="I32" s="165"/>
      <c r="J32" s="165"/>
      <c r="K32" s="165"/>
      <c r="L32" s="165"/>
      <c r="M32" s="165"/>
      <c r="N32" s="165"/>
      <c r="O32" s="165"/>
      <c r="P32" s="110"/>
      <c r="Q32" s="110"/>
      <c r="R32" s="110"/>
      <c r="S32" s="110"/>
      <c r="T32" s="110"/>
      <c r="U32" s="110"/>
      <c r="V32" s="249"/>
      <c r="W32" s="249"/>
      <c r="X32" s="249"/>
      <c r="Y32" s="249"/>
      <c r="Z32" s="249"/>
    </row>
    <row r="33" ht="13.5" customHeight="1">
      <c r="A33" s="181"/>
      <c r="B33" s="255"/>
      <c r="C33" s="183"/>
      <c r="D33" s="184" t="s">
        <v>469</v>
      </c>
      <c r="E33" s="185"/>
      <c r="F33" s="165"/>
      <c r="G33" s="165"/>
      <c r="H33" s="165" t="s">
        <v>353</v>
      </c>
      <c r="I33" s="165"/>
      <c r="J33" s="165"/>
      <c r="K33" s="165"/>
      <c r="L33" s="165"/>
      <c r="M33" s="165"/>
      <c r="N33" s="165"/>
      <c r="O33" s="165"/>
      <c r="P33" s="110"/>
      <c r="Q33" s="110"/>
      <c r="R33" s="110"/>
      <c r="S33" s="110"/>
      <c r="T33" s="110"/>
      <c r="U33" s="110"/>
      <c r="V33" s="249"/>
      <c r="W33" s="249"/>
      <c r="X33" s="249"/>
      <c r="Y33" s="249"/>
      <c r="Z33" s="249"/>
    </row>
    <row r="34" ht="13.5" customHeight="1">
      <c r="A34" s="181"/>
      <c r="B34" s="182"/>
      <c r="C34" s="183"/>
      <c r="D34" s="184" t="s">
        <v>470</v>
      </c>
      <c r="E34" s="188"/>
      <c r="F34" s="165"/>
      <c r="G34" s="165"/>
      <c r="H34" s="165"/>
      <c r="I34" s="165" t="s">
        <v>353</v>
      </c>
      <c r="J34" s="165"/>
      <c r="K34" s="165"/>
      <c r="L34" s="165"/>
      <c r="M34" s="165"/>
      <c r="N34" s="165"/>
      <c r="O34" s="165"/>
      <c r="P34" s="110"/>
      <c r="Q34" s="110"/>
      <c r="R34" s="110"/>
      <c r="S34" s="110"/>
      <c r="T34" s="110"/>
      <c r="U34" s="110"/>
      <c r="V34" s="249"/>
      <c r="W34" s="249"/>
      <c r="X34" s="249"/>
      <c r="Y34" s="249"/>
      <c r="Z34" s="249"/>
    </row>
    <row r="35" ht="13.5" customHeight="1">
      <c r="A35" s="181"/>
      <c r="B35" s="182"/>
      <c r="C35" s="183"/>
      <c r="D35" s="184"/>
      <c r="E35" s="188"/>
      <c r="F35" s="165"/>
      <c r="G35" s="165"/>
      <c r="H35" s="165"/>
      <c r="I35" s="165"/>
      <c r="J35" s="165"/>
      <c r="K35" s="165"/>
      <c r="L35" s="165"/>
      <c r="M35" s="165"/>
      <c r="N35" s="165"/>
      <c r="O35" s="165"/>
      <c r="P35" s="110"/>
      <c r="Q35" s="110"/>
      <c r="R35" s="110"/>
      <c r="S35" s="110"/>
      <c r="T35" s="110"/>
      <c r="U35" s="110"/>
      <c r="V35" s="249"/>
      <c r="W35" s="249"/>
      <c r="X35" s="249"/>
      <c r="Y35" s="249"/>
      <c r="Z35" s="249"/>
    </row>
    <row r="36" ht="13.5" customHeight="1">
      <c r="A36" s="181"/>
      <c r="B36" s="182"/>
      <c r="C36" s="183"/>
      <c r="D36" s="184"/>
      <c r="E36" s="188"/>
      <c r="F36" s="165"/>
      <c r="G36" s="165"/>
      <c r="H36" s="165"/>
      <c r="I36" s="165"/>
      <c r="J36" s="165"/>
      <c r="K36" s="165"/>
      <c r="L36" s="165"/>
      <c r="M36" s="165"/>
      <c r="N36" s="165"/>
      <c r="O36" s="165"/>
      <c r="P36" s="110"/>
      <c r="Q36" s="110"/>
      <c r="R36" s="110"/>
      <c r="S36" s="110"/>
      <c r="T36" s="110"/>
      <c r="U36" s="110"/>
      <c r="V36" s="249"/>
      <c r="W36" s="249"/>
      <c r="X36" s="249"/>
      <c r="Y36" s="249"/>
      <c r="Z36" s="249"/>
    </row>
    <row r="37" ht="13.5" customHeight="1">
      <c r="A37" s="262"/>
      <c r="B37" s="182"/>
      <c r="C37" s="183"/>
      <c r="D37" s="184"/>
      <c r="E37" s="188"/>
      <c r="F37" s="165"/>
      <c r="G37" s="165"/>
      <c r="H37" s="165"/>
      <c r="I37" s="165"/>
      <c r="J37" s="165"/>
      <c r="K37" s="165"/>
      <c r="L37" s="165"/>
      <c r="M37" s="165"/>
      <c r="N37" s="165"/>
      <c r="O37" s="165"/>
      <c r="P37" s="110"/>
      <c r="Q37" s="110"/>
      <c r="R37" s="110"/>
      <c r="S37" s="110"/>
      <c r="T37" s="110"/>
      <c r="U37" s="110"/>
      <c r="V37" s="249"/>
      <c r="W37" s="249"/>
      <c r="X37" s="249"/>
      <c r="Y37" s="249"/>
      <c r="Z37" s="249"/>
    </row>
    <row r="38" ht="13.5" customHeight="1">
      <c r="A38" s="264"/>
      <c r="B38" s="237"/>
      <c r="C38" s="238"/>
      <c r="D38" s="239"/>
      <c r="E38" s="265"/>
      <c r="F38" s="156"/>
      <c r="G38" s="156"/>
      <c r="H38" s="156"/>
      <c r="I38" s="156"/>
      <c r="J38" s="156"/>
      <c r="K38" s="156"/>
      <c r="L38" s="156"/>
      <c r="M38" s="156"/>
      <c r="N38" s="156"/>
      <c r="O38" s="156"/>
      <c r="P38" s="110"/>
      <c r="Q38" s="110"/>
      <c r="R38" s="110"/>
      <c r="S38" s="110"/>
      <c r="T38" s="110"/>
      <c r="U38" s="110"/>
      <c r="V38" s="249"/>
      <c r="W38" s="249"/>
      <c r="X38" s="249"/>
      <c r="Y38" s="249"/>
      <c r="Z38" s="249"/>
    </row>
    <row r="39" ht="13.5" customHeight="1">
      <c r="A39" s="264"/>
      <c r="B39" s="237"/>
      <c r="C39" s="238"/>
      <c r="D39" s="239"/>
      <c r="E39" s="265"/>
      <c r="F39" s="156"/>
      <c r="G39" s="156"/>
      <c r="H39" s="156"/>
      <c r="I39" s="156"/>
      <c r="J39" s="156"/>
      <c r="K39" s="156"/>
      <c r="L39" s="156"/>
      <c r="M39" s="156"/>
      <c r="N39" s="156"/>
      <c r="O39" s="156"/>
      <c r="P39" s="110"/>
      <c r="Q39" s="110"/>
      <c r="R39" s="110"/>
      <c r="S39" s="110"/>
      <c r="T39" s="110"/>
      <c r="U39" s="110"/>
      <c r="V39" s="249"/>
      <c r="W39" s="249"/>
      <c r="X39" s="249"/>
      <c r="Y39" s="249"/>
      <c r="Z39" s="249"/>
    </row>
    <row r="40" ht="13.5" customHeight="1">
      <c r="A40" s="264"/>
      <c r="B40" s="237"/>
      <c r="C40" s="238"/>
      <c r="D40" s="239"/>
      <c r="E40" s="265"/>
      <c r="F40" s="156"/>
      <c r="G40" s="156"/>
      <c r="H40" s="156"/>
      <c r="I40" s="156"/>
      <c r="J40" s="156"/>
      <c r="K40" s="156"/>
      <c r="L40" s="156"/>
      <c r="M40" s="156"/>
      <c r="N40" s="156"/>
      <c r="O40" s="156"/>
      <c r="P40" s="110"/>
      <c r="Q40" s="110"/>
      <c r="R40" s="110"/>
      <c r="S40" s="110"/>
      <c r="T40" s="110"/>
      <c r="U40" s="110"/>
      <c r="V40" s="249"/>
      <c r="W40" s="249"/>
      <c r="X40" s="249"/>
      <c r="Y40" s="249"/>
      <c r="Z40" s="249"/>
    </row>
    <row r="41" ht="13.5" customHeight="1">
      <c r="A41" s="264"/>
      <c r="B41" s="237"/>
      <c r="C41" s="238"/>
      <c r="D41" s="239"/>
      <c r="E41" s="265"/>
      <c r="F41" s="156"/>
      <c r="G41" s="156"/>
      <c r="H41" s="156"/>
      <c r="I41" s="156"/>
      <c r="J41" s="156"/>
      <c r="K41" s="156"/>
      <c r="L41" s="156"/>
      <c r="M41" s="156"/>
      <c r="N41" s="156"/>
      <c r="O41" s="156"/>
      <c r="P41" s="110"/>
      <c r="Q41" s="110"/>
      <c r="R41" s="110"/>
      <c r="S41" s="110"/>
      <c r="T41" s="110"/>
      <c r="U41" s="110"/>
      <c r="V41" s="249"/>
      <c r="W41" s="249"/>
      <c r="X41" s="249"/>
      <c r="Y41" s="249"/>
      <c r="Z41" s="249"/>
    </row>
    <row r="42" ht="13.5" customHeight="1">
      <c r="A42" s="264"/>
      <c r="B42" s="237"/>
      <c r="C42" s="238"/>
      <c r="D42" s="239"/>
      <c r="E42" s="265"/>
      <c r="F42" s="156"/>
      <c r="G42" s="156"/>
      <c r="H42" s="156"/>
      <c r="I42" s="156"/>
      <c r="J42" s="156"/>
      <c r="K42" s="156"/>
      <c r="L42" s="156"/>
      <c r="M42" s="156"/>
      <c r="N42" s="156"/>
      <c r="O42" s="156"/>
      <c r="P42" s="110"/>
      <c r="Q42" s="110"/>
      <c r="R42" s="110"/>
      <c r="S42" s="110"/>
      <c r="T42" s="110"/>
      <c r="U42" s="110"/>
      <c r="V42" s="249"/>
      <c r="W42" s="249"/>
      <c r="X42" s="249"/>
      <c r="Y42" s="249"/>
      <c r="Z42" s="249"/>
    </row>
    <row r="43" ht="13.5" customHeight="1">
      <c r="A43" s="264"/>
      <c r="B43" s="237"/>
      <c r="C43" s="238"/>
      <c r="D43" s="239"/>
      <c r="E43" s="265"/>
      <c r="F43" s="156"/>
      <c r="G43" s="156"/>
      <c r="H43" s="156"/>
      <c r="I43" s="156"/>
      <c r="J43" s="156"/>
      <c r="K43" s="156"/>
      <c r="L43" s="156"/>
      <c r="M43" s="156"/>
      <c r="N43" s="156"/>
      <c r="O43" s="156"/>
      <c r="P43" s="110"/>
      <c r="Q43" s="110"/>
      <c r="R43" s="110"/>
      <c r="S43" s="110"/>
      <c r="T43" s="110"/>
      <c r="U43" s="110"/>
      <c r="V43" s="249"/>
      <c r="W43" s="249"/>
      <c r="X43" s="249"/>
      <c r="Y43" s="249"/>
      <c r="Z43" s="249"/>
    </row>
    <row r="44" ht="13.5" customHeight="1">
      <c r="A44" s="228" t="s">
        <v>367</v>
      </c>
      <c r="B44" s="240" t="s">
        <v>368</v>
      </c>
      <c r="C44" s="225"/>
      <c r="D44" s="241"/>
      <c r="E44" s="200"/>
      <c r="F44" s="201" t="s">
        <v>220</v>
      </c>
      <c r="G44" s="201" t="s">
        <v>220</v>
      </c>
      <c r="H44" s="201" t="s">
        <v>221</v>
      </c>
      <c r="I44" s="201" t="s">
        <v>221</v>
      </c>
      <c r="J44" s="201"/>
      <c r="K44" s="201"/>
      <c r="L44" s="201"/>
      <c r="M44" s="201"/>
      <c r="N44" s="201"/>
      <c r="O44" s="201"/>
      <c r="P44" s="110"/>
      <c r="Q44" s="110"/>
      <c r="R44" s="110"/>
      <c r="S44" s="110"/>
      <c r="T44" s="110"/>
      <c r="U44" s="110"/>
      <c r="V44" s="249"/>
      <c r="W44" s="249"/>
      <c r="X44" s="249"/>
      <c r="Y44" s="249"/>
      <c r="Z44" s="249"/>
    </row>
    <row r="45" ht="13.5" customHeight="1">
      <c r="A45" s="260"/>
      <c r="B45" s="204" t="s">
        <v>369</v>
      </c>
      <c r="C45" s="12"/>
      <c r="D45" s="13"/>
      <c r="E45" s="205"/>
      <c r="F45" s="206"/>
      <c r="G45" s="206"/>
      <c r="H45" s="206"/>
      <c r="I45" s="206"/>
      <c r="J45" s="206"/>
      <c r="K45" s="206"/>
      <c r="L45" s="206"/>
      <c r="M45" s="206"/>
      <c r="N45" s="206"/>
      <c r="O45" s="206"/>
      <c r="P45" s="110"/>
      <c r="Q45" s="110"/>
      <c r="R45" s="110"/>
      <c r="S45" s="110"/>
      <c r="T45" s="110"/>
      <c r="U45" s="110"/>
      <c r="V45" s="249"/>
      <c r="W45" s="249"/>
      <c r="X45" s="249"/>
      <c r="Y45" s="249"/>
      <c r="Z45" s="249"/>
    </row>
    <row r="46" ht="13.5" customHeight="1">
      <c r="A46" s="260"/>
      <c r="B46" s="208" t="s">
        <v>371</v>
      </c>
      <c r="C46" s="12"/>
      <c r="D46" s="13"/>
      <c r="E46" s="209"/>
      <c r="F46" s="210"/>
      <c r="G46" s="210"/>
      <c r="H46" s="210"/>
      <c r="I46" s="210"/>
      <c r="J46" s="210"/>
      <c r="K46" s="210"/>
      <c r="L46" s="210"/>
      <c r="M46" s="210"/>
      <c r="N46" s="210"/>
      <c r="O46" s="210"/>
      <c r="P46" s="110"/>
      <c r="Q46" s="110"/>
      <c r="R46" s="110"/>
      <c r="S46" s="110"/>
      <c r="T46" s="110"/>
      <c r="U46" s="110"/>
      <c r="V46" s="249"/>
      <c r="W46" s="249"/>
      <c r="X46" s="249"/>
      <c r="Y46" s="249"/>
      <c r="Z46" s="249"/>
    </row>
    <row r="47" ht="12.0" customHeight="1">
      <c r="A47" s="261"/>
      <c r="B47" s="215" t="s">
        <v>372</v>
      </c>
      <c r="C47" s="216"/>
      <c r="D47" s="217"/>
      <c r="E47" s="218"/>
      <c r="F47" s="219"/>
      <c r="G47" s="219"/>
      <c r="H47" s="219"/>
      <c r="I47" s="219"/>
      <c r="J47" s="219"/>
      <c r="K47" s="219"/>
      <c r="L47" s="219"/>
      <c r="M47" s="219"/>
      <c r="N47" s="219"/>
      <c r="O47" s="219"/>
      <c r="P47" s="110"/>
      <c r="Q47" s="110"/>
      <c r="R47" s="110"/>
      <c r="S47" s="110"/>
      <c r="T47" s="110"/>
      <c r="U47" s="110"/>
      <c r="V47" s="249"/>
      <c r="W47" s="249"/>
      <c r="X47" s="249"/>
      <c r="Y47" s="249"/>
      <c r="Z47" s="249"/>
    </row>
    <row r="48" ht="12.0" customHeight="1">
      <c r="A48" s="143"/>
      <c r="B48" s="110"/>
      <c r="C48" s="111"/>
      <c r="D48" s="110"/>
      <c r="E48" s="110"/>
      <c r="F48" s="110"/>
      <c r="G48" s="110"/>
      <c r="H48" s="110"/>
      <c r="I48" s="110"/>
      <c r="J48" s="110"/>
      <c r="K48" s="110"/>
      <c r="L48" s="110"/>
      <c r="M48" s="110"/>
      <c r="N48" s="110"/>
      <c r="O48" s="110"/>
      <c r="P48" s="110"/>
      <c r="Q48" s="110"/>
      <c r="R48" s="110"/>
      <c r="S48" s="110"/>
      <c r="T48" s="110"/>
      <c r="U48" s="110"/>
      <c r="V48" s="249"/>
      <c r="W48" s="249"/>
      <c r="X48" s="249"/>
      <c r="Y48" s="249"/>
      <c r="Z48" s="249"/>
    </row>
    <row r="49" ht="13.5" customHeight="1">
      <c r="A49" s="110"/>
      <c r="B49" s="143"/>
      <c r="C49" s="110"/>
      <c r="D49" s="111"/>
      <c r="E49" s="110"/>
      <c r="F49" s="110"/>
      <c r="G49" s="110"/>
      <c r="H49" s="110"/>
      <c r="I49" s="110"/>
      <c r="J49" s="110"/>
      <c r="K49" s="110"/>
      <c r="L49" s="110"/>
      <c r="M49" s="110"/>
      <c r="N49" s="110"/>
      <c r="O49" s="110"/>
      <c r="P49" s="110"/>
      <c r="Q49" s="110"/>
      <c r="R49" s="110"/>
      <c r="S49" s="110"/>
      <c r="T49" s="110"/>
      <c r="U49" s="110"/>
      <c r="V49" s="249"/>
      <c r="W49" s="249"/>
      <c r="X49" s="249"/>
      <c r="Y49" s="249"/>
      <c r="Z49" s="249"/>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249"/>
      <c r="W50" s="249"/>
      <c r="X50" s="249"/>
      <c r="Y50" s="249"/>
      <c r="Z50" s="249"/>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249"/>
      <c r="W51" s="249"/>
      <c r="X51" s="249"/>
      <c r="Y51" s="249"/>
      <c r="Z51" s="249"/>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249"/>
      <c r="W52" s="249"/>
      <c r="X52" s="249"/>
      <c r="Y52" s="249"/>
      <c r="Z52" s="249"/>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249"/>
      <c r="W53" s="249"/>
      <c r="X53" s="249"/>
      <c r="Y53" s="249"/>
      <c r="Z53" s="249"/>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249"/>
      <c r="W54" s="249"/>
      <c r="X54" s="249"/>
      <c r="Y54" s="249"/>
      <c r="Z54" s="249"/>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249"/>
      <c r="W55" s="249"/>
      <c r="X55" s="249"/>
      <c r="Y55" s="249"/>
      <c r="Z55" s="249"/>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249"/>
      <c r="W56" s="249"/>
      <c r="X56" s="249"/>
      <c r="Y56" s="249"/>
      <c r="Z56" s="249"/>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249"/>
      <c r="W57" s="249"/>
      <c r="X57" s="249"/>
      <c r="Y57" s="249"/>
      <c r="Z57" s="249"/>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249"/>
      <c r="W58" s="249"/>
      <c r="X58" s="249"/>
      <c r="Y58" s="249"/>
      <c r="Z58" s="249"/>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249"/>
      <c r="W59" s="249"/>
      <c r="X59" s="249"/>
      <c r="Y59" s="249"/>
      <c r="Z59" s="249"/>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249"/>
      <c r="W60" s="249"/>
      <c r="X60" s="249"/>
      <c r="Y60" s="249"/>
      <c r="Z60" s="249"/>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249"/>
      <c r="W61" s="249"/>
      <c r="X61" s="249"/>
      <c r="Y61" s="249"/>
      <c r="Z61" s="249"/>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249"/>
      <c r="W62" s="249"/>
      <c r="X62" s="249"/>
      <c r="Y62" s="249"/>
      <c r="Z62" s="249"/>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249"/>
      <c r="W63" s="249"/>
      <c r="X63" s="249"/>
      <c r="Y63" s="249"/>
      <c r="Z63" s="249"/>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249"/>
      <c r="W64" s="249"/>
      <c r="X64" s="249"/>
      <c r="Y64" s="249"/>
      <c r="Z64" s="249"/>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249"/>
      <c r="W65" s="249"/>
      <c r="X65" s="249"/>
      <c r="Y65" s="249"/>
      <c r="Z65" s="249"/>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249"/>
      <c r="W66" s="249"/>
      <c r="X66" s="249"/>
      <c r="Y66" s="249"/>
      <c r="Z66" s="249"/>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249"/>
      <c r="W67" s="249"/>
      <c r="X67" s="249"/>
      <c r="Y67" s="249"/>
      <c r="Z67" s="249"/>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249"/>
      <c r="W68" s="249"/>
      <c r="X68" s="249"/>
      <c r="Y68" s="249"/>
      <c r="Z68" s="249"/>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249"/>
      <c r="W69" s="249"/>
      <c r="X69" s="249"/>
      <c r="Y69" s="249"/>
      <c r="Z69" s="249"/>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249"/>
      <c r="W70" s="249"/>
      <c r="X70" s="249"/>
      <c r="Y70" s="249"/>
      <c r="Z70" s="249"/>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249"/>
      <c r="W71" s="249"/>
      <c r="X71" s="249"/>
      <c r="Y71" s="249"/>
      <c r="Z71" s="249"/>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249"/>
      <c r="W72" s="249"/>
      <c r="X72" s="249"/>
      <c r="Y72" s="249"/>
      <c r="Z72" s="249"/>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249"/>
      <c r="W73" s="249"/>
      <c r="X73" s="249"/>
      <c r="Y73" s="249"/>
      <c r="Z73" s="249"/>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249"/>
      <c r="W74" s="249"/>
      <c r="X74" s="249"/>
      <c r="Y74" s="249"/>
      <c r="Z74" s="249"/>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249"/>
      <c r="W75" s="249"/>
      <c r="X75" s="249"/>
      <c r="Y75" s="249"/>
      <c r="Z75" s="249"/>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249"/>
      <c r="W76" s="249"/>
      <c r="X76" s="249"/>
      <c r="Y76" s="249"/>
      <c r="Z76" s="249"/>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249"/>
      <c r="W77" s="249"/>
      <c r="X77" s="249"/>
      <c r="Y77" s="249"/>
      <c r="Z77" s="249"/>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249"/>
      <c r="W78" s="249"/>
      <c r="X78" s="249"/>
      <c r="Y78" s="249"/>
      <c r="Z78" s="249"/>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249"/>
      <c r="W79" s="249"/>
      <c r="X79" s="249"/>
      <c r="Y79" s="249"/>
      <c r="Z79" s="249"/>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249"/>
      <c r="W80" s="249"/>
      <c r="X80" s="249"/>
      <c r="Y80" s="249"/>
      <c r="Z80" s="249"/>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249"/>
      <c r="W81" s="249"/>
      <c r="X81" s="249"/>
      <c r="Y81" s="249"/>
      <c r="Z81" s="249"/>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249"/>
      <c r="W82" s="249"/>
      <c r="X82" s="249"/>
      <c r="Y82" s="249"/>
      <c r="Z82" s="249"/>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249"/>
      <c r="W83" s="249"/>
      <c r="X83" s="249"/>
      <c r="Y83" s="249"/>
      <c r="Z83" s="249"/>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249"/>
      <c r="W84" s="249"/>
      <c r="X84" s="249"/>
      <c r="Y84" s="249"/>
      <c r="Z84" s="249"/>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249"/>
      <c r="W85" s="249"/>
      <c r="X85" s="249"/>
      <c r="Y85" s="249"/>
      <c r="Z85" s="249"/>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249"/>
      <c r="W86" s="249"/>
      <c r="X86" s="249"/>
      <c r="Y86" s="249"/>
      <c r="Z86" s="249"/>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249"/>
      <c r="W87" s="249"/>
      <c r="X87" s="249"/>
      <c r="Y87" s="249"/>
      <c r="Z87" s="249"/>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249"/>
      <c r="W88" s="249"/>
      <c r="X88" s="249"/>
      <c r="Y88" s="249"/>
      <c r="Z88" s="249"/>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249"/>
      <c r="W89" s="249"/>
      <c r="X89" s="249"/>
      <c r="Y89" s="249"/>
      <c r="Z89" s="249"/>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249"/>
      <c r="W90" s="249"/>
      <c r="X90" s="249"/>
      <c r="Y90" s="249"/>
      <c r="Z90" s="249"/>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249"/>
      <c r="W91" s="249"/>
      <c r="X91" s="249"/>
      <c r="Y91" s="249"/>
      <c r="Z91" s="249"/>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249"/>
      <c r="W92" s="249"/>
      <c r="X92" s="249"/>
      <c r="Y92" s="249"/>
      <c r="Z92" s="249"/>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249"/>
      <c r="W93" s="249"/>
      <c r="X93" s="249"/>
      <c r="Y93" s="249"/>
      <c r="Z93" s="249"/>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249"/>
      <c r="W94" s="249"/>
      <c r="X94" s="249"/>
      <c r="Y94" s="249"/>
      <c r="Z94" s="249"/>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249"/>
      <c r="W95" s="249"/>
      <c r="X95" s="249"/>
      <c r="Y95" s="249"/>
      <c r="Z95" s="249"/>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249"/>
      <c r="W96" s="249"/>
      <c r="X96" s="249"/>
      <c r="Y96" s="249"/>
      <c r="Z96" s="249"/>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249"/>
      <c r="W97" s="249"/>
      <c r="X97" s="249"/>
      <c r="Y97" s="249"/>
      <c r="Z97" s="249"/>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249"/>
      <c r="W98" s="249"/>
      <c r="X98" s="249"/>
      <c r="Y98" s="249"/>
      <c r="Z98" s="249"/>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249"/>
      <c r="W99" s="249"/>
      <c r="X99" s="249"/>
      <c r="Y99" s="249"/>
      <c r="Z99" s="249"/>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249"/>
      <c r="W100" s="249"/>
      <c r="X100" s="249"/>
      <c r="Y100" s="249"/>
      <c r="Z100" s="249"/>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249"/>
      <c r="W101" s="249"/>
      <c r="X101" s="249"/>
      <c r="Y101" s="249"/>
      <c r="Z101" s="249"/>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249"/>
      <c r="W102" s="249"/>
      <c r="X102" s="249"/>
      <c r="Y102" s="249"/>
      <c r="Z102" s="249"/>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249"/>
      <c r="W103" s="249"/>
      <c r="X103" s="249"/>
      <c r="Y103" s="249"/>
      <c r="Z103" s="249"/>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249"/>
      <c r="W104" s="249"/>
      <c r="X104" s="249"/>
      <c r="Y104" s="249"/>
      <c r="Z104" s="249"/>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249"/>
      <c r="W105" s="249"/>
      <c r="X105" s="249"/>
      <c r="Y105" s="249"/>
      <c r="Z105" s="249"/>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249"/>
      <c r="W106" s="249"/>
      <c r="X106" s="249"/>
      <c r="Y106" s="249"/>
      <c r="Z106" s="249"/>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249"/>
      <c r="W107" s="249"/>
      <c r="X107" s="249"/>
      <c r="Y107" s="249"/>
      <c r="Z107" s="249"/>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249"/>
      <c r="W108" s="249"/>
      <c r="X108" s="249"/>
      <c r="Y108" s="249"/>
      <c r="Z108" s="249"/>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249"/>
      <c r="W109" s="249"/>
      <c r="X109" s="249"/>
      <c r="Y109" s="249"/>
      <c r="Z109" s="249"/>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249"/>
      <c r="W110" s="249"/>
      <c r="X110" s="249"/>
      <c r="Y110" s="249"/>
      <c r="Z110" s="249"/>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249"/>
      <c r="W111" s="249"/>
      <c r="X111" s="249"/>
      <c r="Y111" s="249"/>
      <c r="Z111" s="249"/>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249"/>
      <c r="W112" s="249"/>
      <c r="X112" s="249"/>
      <c r="Y112" s="249"/>
      <c r="Z112" s="249"/>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249"/>
      <c r="W113" s="249"/>
      <c r="X113" s="249"/>
      <c r="Y113" s="249"/>
      <c r="Z113" s="249"/>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249"/>
      <c r="W114" s="249"/>
      <c r="X114" s="249"/>
      <c r="Y114" s="249"/>
      <c r="Z114" s="249"/>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249"/>
      <c r="W115" s="249"/>
      <c r="X115" s="249"/>
      <c r="Y115" s="249"/>
      <c r="Z115" s="249"/>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249"/>
      <c r="W116" s="249"/>
      <c r="X116" s="249"/>
      <c r="Y116" s="249"/>
      <c r="Z116" s="249"/>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249"/>
      <c r="W117" s="249"/>
      <c r="X117" s="249"/>
      <c r="Y117" s="249"/>
      <c r="Z117" s="249"/>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249"/>
      <c r="W118" s="249"/>
      <c r="X118" s="249"/>
      <c r="Y118" s="249"/>
      <c r="Z118" s="249"/>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249"/>
      <c r="W119" s="249"/>
      <c r="X119" s="249"/>
      <c r="Y119" s="249"/>
      <c r="Z119" s="249"/>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249"/>
      <c r="W120" s="249"/>
      <c r="X120" s="249"/>
      <c r="Y120" s="249"/>
      <c r="Z120" s="249"/>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249"/>
      <c r="W121" s="249"/>
      <c r="X121" s="249"/>
      <c r="Y121" s="249"/>
      <c r="Z121" s="249"/>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249"/>
      <c r="W122" s="249"/>
      <c r="X122" s="249"/>
      <c r="Y122" s="249"/>
      <c r="Z122" s="249"/>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249"/>
      <c r="W123" s="249"/>
      <c r="X123" s="249"/>
      <c r="Y123" s="249"/>
      <c r="Z123" s="249"/>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249"/>
      <c r="W124" s="249"/>
      <c r="X124" s="249"/>
      <c r="Y124" s="249"/>
      <c r="Z124" s="249"/>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249"/>
      <c r="W125" s="249"/>
      <c r="X125" s="249"/>
      <c r="Y125" s="249"/>
      <c r="Z125" s="249"/>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249"/>
      <c r="W126" s="249"/>
      <c r="X126" s="249"/>
      <c r="Y126" s="249"/>
      <c r="Z126" s="249"/>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249"/>
      <c r="W127" s="249"/>
      <c r="X127" s="249"/>
      <c r="Y127" s="249"/>
      <c r="Z127" s="249"/>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249"/>
      <c r="W128" s="249"/>
      <c r="X128" s="249"/>
      <c r="Y128" s="249"/>
      <c r="Z128" s="249"/>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249"/>
      <c r="W129" s="249"/>
      <c r="X129" s="249"/>
      <c r="Y129" s="249"/>
      <c r="Z129" s="249"/>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249"/>
      <c r="W130" s="249"/>
      <c r="X130" s="249"/>
      <c r="Y130" s="249"/>
      <c r="Z130" s="249"/>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249"/>
      <c r="W131" s="249"/>
      <c r="X131" s="249"/>
      <c r="Y131" s="249"/>
      <c r="Z131" s="249"/>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249"/>
      <c r="W132" s="249"/>
      <c r="X132" s="249"/>
      <c r="Y132" s="249"/>
      <c r="Z132" s="249"/>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249"/>
      <c r="W133" s="249"/>
      <c r="X133" s="249"/>
      <c r="Y133" s="249"/>
      <c r="Z133" s="249"/>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249"/>
      <c r="W134" s="249"/>
      <c r="X134" s="249"/>
      <c r="Y134" s="249"/>
      <c r="Z134" s="249"/>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249"/>
      <c r="W135" s="249"/>
      <c r="X135" s="249"/>
      <c r="Y135" s="249"/>
      <c r="Z135" s="249"/>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249"/>
      <c r="W136" s="249"/>
      <c r="X136" s="249"/>
      <c r="Y136" s="249"/>
      <c r="Z136" s="249"/>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249"/>
      <c r="W137" s="249"/>
      <c r="X137" s="249"/>
      <c r="Y137" s="249"/>
      <c r="Z137" s="249"/>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249"/>
      <c r="W138" s="249"/>
      <c r="X138" s="249"/>
      <c r="Y138" s="249"/>
      <c r="Z138" s="249"/>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249"/>
      <c r="W139" s="249"/>
      <c r="X139" s="249"/>
      <c r="Y139" s="249"/>
      <c r="Z139" s="249"/>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249"/>
      <c r="W140" s="249"/>
      <c r="X140" s="249"/>
      <c r="Y140" s="249"/>
      <c r="Z140" s="249"/>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249"/>
      <c r="W141" s="249"/>
      <c r="X141" s="249"/>
      <c r="Y141" s="249"/>
      <c r="Z141" s="249"/>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249"/>
      <c r="W142" s="249"/>
      <c r="X142" s="249"/>
      <c r="Y142" s="249"/>
      <c r="Z142" s="249"/>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249"/>
      <c r="W143" s="249"/>
      <c r="X143" s="249"/>
      <c r="Y143" s="249"/>
      <c r="Z143" s="249"/>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249"/>
      <c r="W144" s="249"/>
      <c r="X144" s="249"/>
      <c r="Y144" s="249"/>
      <c r="Z144" s="249"/>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249"/>
      <c r="W145" s="249"/>
      <c r="X145" s="249"/>
      <c r="Y145" s="249"/>
      <c r="Z145" s="249"/>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249"/>
      <c r="W146" s="249"/>
      <c r="X146" s="249"/>
      <c r="Y146" s="249"/>
      <c r="Z146" s="249"/>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249"/>
      <c r="W147" s="249"/>
      <c r="X147" s="249"/>
      <c r="Y147" s="249"/>
      <c r="Z147" s="249"/>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249"/>
      <c r="W148" s="249"/>
      <c r="X148" s="249"/>
      <c r="Y148" s="249"/>
      <c r="Z148" s="249"/>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249"/>
      <c r="W149" s="249"/>
      <c r="X149" s="249"/>
      <c r="Y149" s="249"/>
      <c r="Z149" s="249"/>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249"/>
      <c r="W150" s="249"/>
      <c r="X150" s="249"/>
      <c r="Y150" s="249"/>
      <c r="Z150" s="249"/>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249"/>
      <c r="W151" s="249"/>
      <c r="X151" s="249"/>
      <c r="Y151" s="249"/>
      <c r="Z151" s="249"/>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249"/>
      <c r="W152" s="249"/>
      <c r="X152" s="249"/>
      <c r="Y152" s="249"/>
      <c r="Z152" s="249"/>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249"/>
      <c r="W153" s="249"/>
      <c r="X153" s="249"/>
      <c r="Y153" s="249"/>
      <c r="Z153" s="249"/>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249"/>
      <c r="W154" s="249"/>
      <c r="X154" s="249"/>
      <c r="Y154" s="249"/>
      <c r="Z154" s="249"/>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249"/>
      <c r="W155" s="249"/>
      <c r="X155" s="249"/>
      <c r="Y155" s="249"/>
      <c r="Z155" s="249"/>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249"/>
      <c r="W156" s="249"/>
      <c r="X156" s="249"/>
      <c r="Y156" s="249"/>
      <c r="Z156" s="249"/>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249"/>
      <c r="W157" s="249"/>
      <c r="X157" s="249"/>
      <c r="Y157" s="249"/>
      <c r="Z157" s="249"/>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249"/>
      <c r="W158" s="249"/>
      <c r="X158" s="249"/>
      <c r="Y158" s="249"/>
      <c r="Z158" s="249"/>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249"/>
      <c r="W159" s="249"/>
      <c r="X159" s="249"/>
      <c r="Y159" s="249"/>
      <c r="Z159" s="249"/>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249"/>
      <c r="W160" s="249"/>
      <c r="X160" s="249"/>
      <c r="Y160" s="249"/>
      <c r="Z160" s="249"/>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249"/>
      <c r="W161" s="249"/>
      <c r="X161" s="249"/>
      <c r="Y161" s="249"/>
      <c r="Z161" s="249"/>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249"/>
      <c r="W162" s="249"/>
      <c r="X162" s="249"/>
      <c r="Y162" s="249"/>
      <c r="Z162" s="249"/>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249"/>
      <c r="W163" s="249"/>
      <c r="X163" s="249"/>
      <c r="Y163" s="249"/>
      <c r="Z163" s="249"/>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249"/>
      <c r="W164" s="249"/>
      <c r="X164" s="249"/>
      <c r="Y164" s="249"/>
      <c r="Z164" s="249"/>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249"/>
      <c r="W165" s="249"/>
      <c r="X165" s="249"/>
      <c r="Y165" s="249"/>
      <c r="Z165" s="249"/>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249"/>
      <c r="W166" s="249"/>
      <c r="X166" s="249"/>
      <c r="Y166" s="249"/>
      <c r="Z166" s="249"/>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249"/>
      <c r="W167" s="249"/>
      <c r="X167" s="249"/>
      <c r="Y167" s="249"/>
      <c r="Z167" s="249"/>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249"/>
      <c r="W168" s="249"/>
      <c r="X168" s="249"/>
      <c r="Y168" s="249"/>
      <c r="Z168" s="249"/>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249"/>
      <c r="W169" s="249"/>
      <c r="X169" s="249"/>
      <c r="Y169" s="249"/>
      <c r="Z169" s="249"/>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249"/>
      <c r="W170" s="249"/>
      <c r="X170" s="249"/>
      <c r="Y170" s="249"/>
      <c r="Z170" s="249"/>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249"/>
      <c r="W171" s="249"/>
      <c r="X171" s="249"/>
      <c r="Y171" s="249"/>
      <c r="Z171" s="249"/>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249"/>
      <c r="W172" s="249"/>
      <c r="X172" s="249"/>
      <c r="Y172" s="249"/>
      <c r="Z172" s="249"/>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249"/>
      <c r="W173" s="249"/>
      <c r="X173" s="249"/>
      <c r="Y173" s="249"/>
      <c r="Z173" s="249"/>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249"/>
      <c r="W174" s="249"/>
      <c r="X174" s="249"/>
      <c r="Y174" s="249"/>
      <c r="Z174" s="249"/>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249"/>
      <c r="W175" s="249"/>
      <c r="X175" s="249"/>
      <c r="Y175" s="249"/>
      <c r="Z175" s="249"/>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249"/>
      <c r="W176" s="249"/>
      <c r="X176" s="249"/>
      <c r="Y176" s="249"/>
      <c r="Z176" s="249"/>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249"/>
      <c r="W177" s="249"/>
      <c r="X177" s="249"/>
      <c r="Y177" s="249"/>
      <c r="Z177" s="249"/>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249"/>
      <c r="W178" s="249"/>
      <c r="X178" s="249"/>
      <c r="Y178" s="249"/>
      <c r="Z178" s="249"/>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249"/>
      <c r="W179" s="249"/>
      <c r="X179" s="249"/>
      <c r="Y179" s="249"/>
      <c r="Z179" s="249"/>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249"/>
      <c r="W180" s="249"/>
      <c r="X180" s="249"/>
      <c r="Y180" s="249"/>
      <c r="Z180" s="249"/>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249"/>
      <c r="W181" s="249"/>
      <c r="X181" s="249"/>
      <c r="Y181" s="249"/>
      <c r="Z181" s="249"/>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249"/>
      <c r="W182" s="249"/>
      <c r="X182" s="249"/>
      <c r="Y182" s="249"/>
      <c r="Z182" s="249"/>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249"/>
      <c r="W183" s="249"/>
      <c r="X183" s="249"/>
      <c r="Y183" s="249"/>
      <c r="Z183" s="249"/>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249"/>
      <c r="W184" s="249"/>
      <c r="X184" s="249"/>
      <c r="Y184" s="249"/>
      <c r="Z184" s="249"/>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249"/>
      <c r="W185" s="249"/>
      <c r="X185" s="249"/>
      <c r="Y185" s="249"/>
      <c r="Z185" s="249"/>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249"/>
      <c r="W186" s="249"/>
      <c r="X186" s="249"/>
      <c r="Y186" s="249"/>
      <c r="Z186" s="249"/>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249"/>
      <c r="W187" s="249"/>
      <c r="X187" s="249"/>
      <c r="Y187" s="249"/>
      <c r="Z187" s="249"/>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249"/>
      <c r="W188" s="249"/>
      <c r="X188" s="249"/>
      <c r="Y188" s="249"/>
      <c r="Z188" s="249"/>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249"/>
      <c r="W189" s="249"/>
      <c r="X189" s="249"/>
      <c r="Y189" s="249"/>
      <c r="Z189" s="249"/>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249"/>
      <c r="W190" s="249"/>
      <c r="X190" s="249"/>
      <c r="Y190" s="249"/>
      <c r="Z190" s="249"/>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249"/>
      <c r="W191" s="249"/>
      <c r="X191" s="249"/>
      <c r="Y191" s="249"/>
      <c r="Z191" s="249"/>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249"/>
      <c r="W192" s="249"/>
      <c r="X192" s="249"/>
      <c r="Y192" s="249"/>
      <c r="Z192" s="249"/>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249"/>
      <c r="W193" s="249"/>
      <c r="X193" s="249"/>
      <c r="Y193" s="249"/>
      <c r="Z193" s="249"/>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249"/>
      <c r="W194" s="249"/>
      <c r="X194" s="249"/>
      <c r="Y194" s="249"/>
      <c r="Z194" s="249"/>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249"/>
      <c r="W195" s="249"/>
      <c r="X195" s="249"/>
      <c r="Y195" s="249"/>
      <c r="Z195" s="249"/>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249"/>
      <c r="W196" s="249"/>
      <c r="X196" s="249"/>
      <c r="Y196" s="249"/>
      <c r="Z196" s="249"/>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249"/>
      <c r="W197" s="249"/>
      <c r="X197" s="249"/>
      <c r="Y197" s="249"/>
      <c r="Z197" s="249"/>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249"/>
      <c r="W198" s="249"/>
      <c r="X198" s="249"/>
      <c r="Y198" s="249"/>
      <c r="Z198" s="249"/>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249"/>
      <c r="W199" s="249"/>
      <c r="X199" s="249"/>
      <c r="Y199" s="249"/>
      <c r="Z199" s="249"/>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249"/>
      <c r="W200" s="249"/>
      <c r="X200" s="249"/>
      <c r="Y200" s="249"/>
      <c r="Z200" s="249"/>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249"/>
      <c r="W201" s="249"/>
      <c r="X201" s="249"/>
      <c r="Y201" s="249"/>
      <c r="Z201" s="249"/>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249"/>
      <c r="W202" s="249"/>
      <c r="X202" s="249"/>
      <c r="Y202" s="249"/>
      <c r="Z202" s="249"/>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249"/>
      <c r="W203" s="249"/>
      <c r="X203" s="249"/>
      <c r="Y203" s="249"/>
      <c r="Z203" s="249"/>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249"/>
      <c r="W204" s="249"/>
      <c r="X204" s="249"/>
      <c r="Y204" s="249"/>
      <c r="Z204" s="249"/>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249"/>
      <c r="W205" s="249"/>
      <c r="X205" s="249"/>
      <c r="Y205" s="249"/>
      <c r="Z205" s="249"/>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249"/>
      <c r="W206" s="249"/>
      <c r="X206" s="249"/>
      <c r="Y206" s="249"/>
      <c r="Z206" s="249"/>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249"/>
      <c r="W207" s="249"/>
      <c r="X207" s="249"/>
      <c r="Y207" s="249"/>
      <c r="Z207" s="249"/>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249"/>
      <c r="W208" s="249"/>
      <c r="X208" s="249"/>
      <c r="Y208" s="249"/>
      <c r="Z208" s="249"/>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249"/>
      <c r="W209" s="249"/>
      <c r="X209" s="249"/>
      <c r="Y209" s="249"/>
      <c r="Z209" s="249"/>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249"/>
      <c r="W210" s="249"/>
      <c r="X210" s="249"/>
      <c r="Y210" s="249"/>
      <c r="Z210" s="249"/>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249"/>
      <c r="W211" s="249"/>
      <c r="X211" s="249"/>
      <c r="Y211" s="249"/>
      <c r="Z211" s="249"/>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249"/>
      <c r="W212" s="249"/>
      <c r="X212" s="249"/>
      <c r="Y212" s="249"/>
      <c r="Z212" s="249"/>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249"/>
      <c r="W213" s="249"/>
      <c r="X213" s="249"/>
      <c r="Y213" s="249"/>
      <c r="Z213" s="249"/>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249"/>
      <c r="W214" s="249"/>
      <c r="X214" s="249"/>
      <c r="Y214" s="249"/>
      <c r="Z214" s="249"/>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249"/>
      <c r="W215" s="249"/>
      <c r="X215" s="249"/>
      <c r="Y215" s="249"/>
      <c r="Z215" s="249"/>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249"/>
      <c r="W216" s="249"/>
      <c r="X216" s="249"/>
      <c r="Y216" s="249"/>
      <c r="Z216" s="249"/>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249"/>
      <c r="W217" s="249"/>
      <c r="X217" s="249"/>
      <c r="Y217" s="249"/>
      <c r="Z217" s="249"/>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249"/>
      <c r="W218" s="249"/>
      <c r="X218" s="249"/>
      <c r="Y218" s="249"/>
      <c r="Z218" s="249"/>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249"/>
      <c r="W219" s="249"/>
      <c r="X219" s="249"/>
      <c r="Y219" s="249"/>
      <c r="Z219" s="249"/>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249"/>
      <c r="W220" s="249"/>
      <c r="X220" s="249"/>
      <c r="Y220" s="249"/>
      <c r="Z220" s="249"/>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249"/>
      <c r="W221" s="249"/>
      <c r="X221" s="249"/>
      <c r="Y221" s="249"/>
      <c r="Z221" s="249"/>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249"/>
      <c r="W222" s="249"/>
      <c r="X222" s="249"/>
      <c r="Y222" s="249"/>
      <c r="Z222" s="249"/>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249"/>
      <c r="W223" s="249"/>
      <c r="X223" s="249"/>
      <c r="Y223" s="249"/>
      <c r="Z223" s="249"/>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249"/>
      <c r="W224" s="249"/>
      <c r="X224" s="249"/>
      <c r="Y224" s="249"/>
      <c r="Z224" s="249"/>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249"/>
      <c r="W225" s="249"/>
      <c r="X225" s="249"/>
      <c r="Y225" s="249"/>
      <c r="Z225" s="249"/>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249"/>
      <c r="W226" s="249"/>
      <c r="X226" s="249"/>
      <c r="Y226" s="249"/>
      <c r="Z226" s="249"/>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249"/>
      <c r="W227" s="249"/>
      <c r="X227" s="249"/>
      <c r="Y227" s="249"/>
      <c r="Z227" s="249"/>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249"/>
      <c r="W228" s="249"/>
      <c r="X228" s="249"/>
      <c r="Y228" s="249"/>
      <c r="Z228" s="249"/>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249"/>
      <c r="W229" s="249"/>
      <c r="X229" s="249"/>
      <c r="Y229" s="249"/>
      <c r="Z229" s="249"/>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249"/>
      <c r="W230" s="249"/>
      <c r="X230" s="249"/>
      <c r="Y230" s="249"/>
      <c r="Z230" s="249"/>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249"/>
      <c r="W231" s="249"/>
      <c r="X231" s="249"/>
      <c r="Y231" s="249"/>
      <c r="Z231" s="249"/>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249"/>
      <c r="W232" s="249"/>
      <c r="X232" s="249"/>
      <c r="Y232" s="249"/>
      <c r="Z232" s="249"/>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249"/>
      <c r="W233" s="249"/>
      <c r="X233" s="249"/>
      <c r="Y233" s="249"/>
      <c r="Z233" s="249"/>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249"/>
      <c r="W234" s="249"/>
      <c r="X234" s="249"/>
      <c r="Y234" s="249"/>
      <c r="Z234" s="249"/>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249"/>
      <c r="W235" s="249"/>
      <c r="X235" s="249"/>
      <c r="Y235" s="249"/>
      <c r="Z235" s="249"/>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249"/>
      <c r="W236" s="249"/>
      <c r="X236" s="249"/>
      <c r="Y236" s="249"/>
      <c r="Z236" s="249"/>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249"/>
      <c r="W237" s="249"/>
      <c r="X237" s="249"/>
      <c r="Y237" s="249"/>
      <c r="Z237" s="249"/>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249"/>
      <c r="W238" s="249"/>
      <c r="X238" s="249"/>
      <c r="Y238" s="249"/>
      <c r="Z238" s="249"/>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249"/>
      <c r="W239" s="249"/>
      <c r="X239" s="249"/>
      <c r="Y239" s="249"/>
      <c r="Z239" s="249"/>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249"/>
      <c r="W240" s="249"/>
      <c r="X240" s="249"/>
      <c r="Y240" s="249"/>
      <c r="Z240" s="249"/>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249"/>
      <c r="W241" s="249"/>
      <c r="X241" s="249"/>
      <c r="Y241" s="249"/>
      <c r="Z241" s="249"/>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249"/>
      <c r="W242" s="249"/>
      <c r="X242" s="249"/>
      <c r="Y242" s="249"/>
      <c r="Z242" s="249"/>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249"/>
      <c r="W243" s="249"/>
      <c r="X243" s="249"/>
      <c r="Y243" s="249"/>
      <c r="Z243" s="249"/>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249"/>
      <c r="W244" s="249"/>
      <c r="X244" s="249"/>
      <c r="Y244" s="249"/>
      <c r="Z244" s="249"/>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249"/>
      <c r="W245" s="249"/>
      <c r="X245" s="249"/>
      <c r="Y245" s="249"/>
      <c r="Z245" s="249"/>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249"/>
      <c r="W246" s="249"/>
      <c r="X246" s="249"/>
      <c r="Y246" s="249"/>
      <c r="Z246" s="249"/>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249"/>
      <c r="W247" s="249"/>
      <c r="X247" s="249"/>
      <c r="Y247" s="249"/>
      <c r="Z247" s="249"/>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B2"/>
    <mergeCell ref="C2:E2"/>
    <mergeCell ref="F2:K2"/>
    <mergeCell ref="L2:O2"/>
    <mergeCell ref="C3:E3"/>
    <mergeCell ref="F3:K3"/>
    <mergeCell ref="L3:N3"/>
    <mergeCell ref="A3:B3"/>
    <mergeCell ref="A4:B4"/>
    <mergeCell ref="C4:D4"/>
    <mergeCell ref="F4:K4"/>
    <mergeCell ref="L4:O4"/>
    <mergeCell ref="A5:B5"/>
    <mergeCell ref="C5:O5"/>
    <mergeCell ref="D19:E19"/>
    <mergeCell ref="B44:D44"/>
    <mergeCell ref="B45:D45"/>
    <mergeCell ref="B46:D46"/>
    <mergeCell ref="B47:D47"/>
    <mergeCell ref="A6:B6"/>
    <mergeCell ref="C6:E6"/>
    <mergeCell ref="F6:K6"/>
    <mergeCell ref="L6:N6"/>
    <mergeCell ref="A7:B7"/>
    <mergeCell ref="C7:E7"/>
    <mergeCell ref="F7:K7"/>
  </mergeCells>
  <dataValidations>
    <dataValidation type="list" allowBlank="1" showInputMessage="1" showErrorMessage="1" prompt=" - " sqref="F45:O45">
      <formula1>"P,F"</formula1>
    </dataValidation>
    <dataValidation type="list" allowBlank="1" showInputMessage="1" showErrorMessage="1" prompt=" - " sqref="F10:O30 F31:K31 M31:O31 F32:O43">
      <formula1>"O"</formula1>
    </dataValidation>
    <dataValidation type="list" allowBlank="1" showInputMessage="1" showErrorMessage="1" prompt=" - " sqref="F44:O44">
      <formula1>"N,A,B"</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5.2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249"/>
      <c r="W1" s="249"/>
      <c r="X1" s="249"/>
      <c r="Y1" s="249"/>
      <c r="Z1" s="249"/>
    </row>
    <row r="2" ht="13.5" customHeight="1">
      <c r="A2" s="112" t="s">
        <v>337</v>
      </c>
      <c r="B2" s="113"/>
      <c r="C2" s="250" t="str">
        <f>Functions!E23</f>
        <v>F-13</v>
      </c>
      <c r="D2" s="251"/>
      <c r="E2" s="252"/>
      <c r="F2" s="116" t="s">
        <v>71</v>
      </c>
      <c r="G2" s="117"/>
      <c r="H2" s="117"/>
      <c r="I2" s="117"/>
      <c r="J2" s="117"/>
      <c r="K2" s="117"/>
      <c r="L2" s="118" t="str">
        <f>Functions!D23</f>
        <v>Capture, scope, offline idempotency and order review</v>
      </c>
      <c r="M2" s="113"/>
      <c r="N2" s="113"/>
      <c r="O2" s="119"/>
      <c r="P2" s="110"/>
      <c r="Q2" s="120"/>
      <c r="R2" s="110"/>
      <c r="S2" s="110"/>
      <c r="T2" s="110"/>
      <c r="U2" s="110"/>
      <c r="V2" s="249"/>
      <c r="W2" s="249"/>
      <c r="X2" s="249"/>
      <c r="Y2" s="249"/>
      <c r="Z2" s="249"/>
    </row>
    <row r="3" ht="13.5" customHeight="1">
      <c r="A3" s="121" t="s">
        <v>338</v>
      </c>
      <c r="B3" s="13"/>
      <c r="C3" s="253" t="s">
        <v>183</v>
      </c>
      <c r="D3" s="123"/>
      <c r="E3" s="124"/>
      <c r="F3" s="125" t="s">
        <v>339</v>
      </c>
      <c r="G3" s="12"/>
      <c r="H3" s="12"/>
      <c r="I3" s="12"/>
      <c r="J3" s="12"/>
      <c r="K3" s="13"/>
      <c r="L3" s="126"/>
      <c r="M3" s="123"/>
      <c r="N3" s="123"/>
      <c r="O3" s="127"/>
      <c r="P3" s="110"/>
      <c r="Q3" s="110"/>
      <c r="R3" s="110"/>
      <c r="S3" s="110"/>
      <c r="T3" s="110"/>
      <c r="U3" s="110"/>
      <c r="V3" s="249"/>
      <c r="W3" s="249"/>
      <c r="X3" s="249"/>
      <c r="Y3" s="249"/>
      <c r="Z3" s="249"/>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c r="V4" s="249"/>
      <c r="W4" s="249"/>
      <c r="X4" s="249"/>
      <c r="Y4" s="249"/>
      <c r="Z4" s="249"/>
    </row>
    <row r="5">
      <c r="A5" s="121" t="s">
        <v>342</v>
      </c>
      <c r="B5" s="13"/>
      <c r="C5" s="132" t="s">
        <v>175</v>
      </c>
      <c r="D5" s="12"/>
      <c r="E5" s="12"/>
      <c r="F5" s="12"/>
      <c r="G5" s="12"/>
      <c r="H5" s="12"/>
      <c r="I5" s="12"/>
      <c r="J5" s="12"/>
      <c r="K5" s="12"/>
      <c r="L5" s="12"/>
      <c r="M5" s="12"/>
      <c r="N5" s="12"/>
      <c r="O5" s="131"/>
      <c r="P5" s="110"/>
      <c r="Q5" s="110"/>
      <c r="R5" s="110"/>
      <c r="S5" s="110"/>
      <c r="T5" s="110"/>
      <c r="U5" s="110"/>
      <c r="V5" s="249"/>
      <c r="W5" s="249"/>
      <c r="X5" s="249"/>
      <c r="Y5" s="249"/>
      <c r="Z5" s="249"/>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c r="V6" s="249"/>
      <c r="W6" s="249"/>
      <c r="X6" s="249"/>
      <c r="Y6" s="249"/>
      <c r="Z6" s="249"/>
    </row>
    <row r="7" ht="13.5" customHeight="1">
      <c r="A7" s="137">
        <f>COUNTIF(F51:O51,"P")</f>
        <v>0</v>
      </c>
      <c r="B7" s="138"/>
      <c r="C7" s="139">
        <f>COUNTIF(F51:O51,"F")</f>
        <v>0</v>
      </c>
      <c r="D7" s="140"/>
      <c r="E7" s="138"/>
      <c r="F7" s="139">
        <f>SUM(O7,-A7,-C7)</f>
        <v>5</v>
      </c>
      <c r="G7" s="140"/>
      <c r="H7" s="140"/>
      <c r="I7" s="140"/>
      <c r="J7" s="140"/>
      <c r="K7" s="138"/>
      <c r="L7" s="141">
        <f>COUNTIF(F50:O50,"N")</f>
        <v>2</v>
      </c>
      <c r="M7" s="141">
        <f>COUNTIF(F50:O50,"A")</f>
        <v>2</v>
      </c>
      <c r="N7" s="141">
        <f>COUNTIF(F50:O50,"B")</f>
        <v>1</v>
      </c>
      <c r="O7" s="142">
        <f>COUNTA(F9:O9)</f>
        <v>5</v>
      </c>
      <c r="P7" s="242"/>
      <c r="Q7" s="110"/>
      <c r="R7" s="110"/>
      <c r="S7" s="110"/>
      <c r="T7" s="110"/>
      <c r="U7" s="110"/>
      <c r="V7" s="249"/>
      <c r="W7" s="249"/>
      <c r="X7" s="249"/>
      <c r="Y7" s="249"/>
      <c r="Z7" s="249"/>
    </row>
    <row r="8" ht="12.0" customHeight="1">
      <c r="A8" s="110"/>
      <c r="B8" s="143"/>
      <c r="C8" s="110"/>
      <c r="D8" s="111"/>
      <c r="E8" s="110"/>
      <c r="F8" s="110"/>
      <c r="G8" s="110"/>
      <c r="H8" s="110"/>
      <c r="I8" s="110"/>
      <c r="J8" s="110"/>
      <c r="K8" s="110"/>
      <c r="L8" s="110"/>
      <c r="M8" s="110"/>
      <c r="N8" s="110"/>
      <c r="O8" s="110"/>
      <c r="P8" s="110"/>
      <c r="Q8" s="110"/>
      <c r="R8" s="110"/>
      <c r="S8" s="110"/>
      <c r="T8" s="110"/>
      <c r="U8" s="110"/>
      <c r="V8" s="249"/>
      <c r="W8" s="249"/>
      <c r="X8" s="249"/>
      <c r="Y8" s="249"/>
      <c r="Z8" s="249"/>
    </row>
    <row r="9" ht="45.0" customHeight="1">
      <c r="A9" s="243"/>
      <c r="B9" s="244"/>
      <c r="C9" s="245"/>
      <c r="D9" s="246"/>
      <c r="E9" s="245"/>
      <c r="F9" s="247" t="s">
        <v>344</v>
      </c>
      <c r="G9" s="247" t="s">
        <v>345</v>
      </c>
      <c r="H9" s="247" t="s">
        <v>346</v>
      </c>
      <c r="I9" s="247" t="s">
        <v>347</v>
      </c>
      <c r="J9" s="247" t="s">
        <v>348</v>
      </c>
      <c r="K9" s="247"/>
      <c r="L9" s="247"/>
      <c r="M9" s="247"/>
      <c r="N9" s="247"/>
      <c r="O9" s="247"/>
      <c r="P9" s="150"/>
      <c r="Q9" s="120"/>
      <c r="R9" s="110"/>
      <c r="S9" s="110"/>
      <c r="T9" s="110"/>
      <c r="U9" s="110"/>
      <c r="V9" s="249"/>
      <c r="W9" s="249"/>
      <c r="X9" s="249"/>
      <c r="Y9" s="249"/>
      <c r="Z9" s="249"/>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c r="V10" s="249"/>
      <c r="W10" s="249"/>
      <c r="X10" s="249"/>
      <c r="Y10" s="249"/>
      <c r="Z10" s="249"/>
    </row>
    <row r="11" ht="13.5" customHeight="1">
      <c r="A11" s="162"/>
      <c r="B11" s="163"/>
      <c r="C11" s="171"/>
      <c r="D11" s="174" t="s">
        <v>487</v>
      </c>
      <c r="E11" s="155"/>
      <c r="F11" s="165" t="s">
        <v>353</v>
      </c>
      <c r="G11" s="165"/>
      <c r="H11" s="165"/>
      <c r="I11" s="165"/>
      <c r="J11" s="165"/>
      <c r="K11" s="165"/>
      <c r="L11" s="165"/>
      <c r="M11" s="165"/>
      <c r="N11" s="165"/>
      <c r="O11" s="165"/>
      <c r="P11" s="110"/>
      <c r="Q11" s="120"/>
      <c r="R11" s="110"/>
      <c r="S11" s="110"/>
      <c r="T11" s="110"/>
      <c r="U11" s="110"/>
      <c r="V11" s="249"/>
      <c r="W11" s="249"/>
      <c r="X11" s="249"/>
      <c r="Y11" s="249"/>
      <c r="Z11" s="249"/>
    </row>
    <row r="12" ht="13.5" customHeight="1">
      <c r="A12" s="162"/>
      <c r="B12" s="163"/>
      <c r="C12" s="171"/>
      <c r="D12" s="174" t="s">
        <v>488</v>
      </c>
      <c r="E12" s="155"/>
      <c r="F12" s="165"/>
      <c r="G12" s="165" t="s">
        <v>353</v>
      </c>
      <c r="H12" s="165"/>
      <c r="I12" s="165"/>
      <c r="J12" s="165"/>
      <c r="K12" s="165"/>
      <c r="L12" s="165"/>
      <c r="M12" s="165"/>
      <c r="N12" s="165"/>
      <c r="O12" s="165"/>
      <c r="P12" s="110"/>
      <c r="Q12" s="110"/>
      <c r="R12" s="110"/>
      <c r="S12" s="110"/>
      <c r="T12" s="110"/>
      <c r="U12" s="110"/>
      <c r="V12" s="249"/>
      <c r="W12" s="249"/>
      <c r="X12" s="249"/>
      <c r="Y12" s="249"/>
      <c r="Z12" s="249"/>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c r="V13" s="249"/>
      <c r="W13" s="249"/>
      <c r="X13" s="249"/>
      <c r="Y13" s="249"/>
      <c r="Z13" s="249"/>
    </row>
    <row r="14" ht="13.5" customHeight="1">
      <c r="A14" s="162"/>
      <c r="B14" s="163"/>
      <c r="C14" s="171"/>
      <c r="D14" s="174" t="s">
        <v>489</v>
      </c>
      <c r="E14" s="173"/>
      <c r="F14" s="165"/>
      <c r="G14" s="165"/>
      <c r="H14" s="165" t="s">
        <v>353</v>
      </c>
      <c r="I14" s="165"/>
      <c r="J14" s="165"/>
      <c r="K14" s="165"/>
      <c r="L14" s="165"/>
      <c r="M14" s="165"/>
      <c r="N14" s="165"/>
      <c r="O14" s="165"/>
      <c r="P14" s="110"/>
      <c r="Q14" s="110"/>
      <c r="R14" s="110"/>
      <c r="S14" s="110"/>
      <c r="T14" s="110"/>
      <c r="U14" s="110"/>
      <c r="V14" s="249"/>
      <c r="W14" s="249"/>
      <c r="X14" s="249"/>
      <c r="Y14" s="249"/>
      <c r="Z14" s="249"/>
    </row>
    <row r="15" ht="13.5" customHeight="1">
      <c r="A15" s="162"/>
      <c r="B15" s="163"/>
      <c r="C15" s="171"/>
      <c r="D15" s="174" t="s">
        <v>490</v>
      </c>
      <c r="E15" s="173"/>
      <c r="F15" s="165"/>
      <c r="G15" s="165"/>
      <c r="H15" s="165"/>
      <c r="I15" s="165" t="s">
        <v>353</v>
      </c>
      <c r="J15" s="165"/>
      <c r="K15" s="165"/>
      <c r="L15" s="165"/>
      <c r="M15" s="165"/>
      <c r="N15" s="165"/>
      <c r="O15" s="165"/>
      <c r="P15" s="110"/>
      <c r="Q15" s="110"/>
      <c r="R15" s="110"/>
      <c r="S15" s="110"/>
      <c r="T15" s="110"/>
      <c r="U15" s="110"/>
      <c r="V15" s="249"/>
      <c r="W15" s="249"/>
      <c r="X15" s="249"/>
      <c r="Y15" s="249"/>
      <c r="Z15" s="249"/>
    </row>
    <row r="16" ht="13.5" customHeight="1">
      <c r="A16" s="162"/>
      <c r="B16" s="163"/>
      <c r="C16" s="171"/>
      <c r="D16" s="174" t="s">
        <v>491</v>
      </c>
      <c r="E16" s="173"/>
      <c r="F16" s="165"/>
      <c r="G16" s="165"/>
      <c r="H16" s="165"/>
      <c r="I16" s="165"/>
      <c r="J16" s="165" t="s">
        <v>353</v>
      </c>
      <c r="K16" s="165"/>
      <c r="L16" s="165"/>
      <c r="M16" s="165"/>
      <c r="N16" s="165"/>
      <c r="O16" s="165"/>
      <c r="P16" s="110"/>
      <c r="Q16" s="110"/>
      <c r="R16" s="110"/>
      <c r="S16" s="110"/>
      <c r="T16" s="110"/>
      <c r="U16" s="110"/>
      <c r="V16" s="249"/>
      <c r="W16" s="249"/>
      <c r="X16" s="249"/>
      <c r="Y16" s="249"/>
      <c r="Z16" s="249"/>
    </row>
    <row r="17" ht="13.5" customHeight="1">
      <c r="A17" s="162"/>
      <c r="B17" s="163"/>
      <c r="C17" s="171"/>
      <c r="D17" s="174"/>
      <c r="E17" s="173"/>
      <c r="F17" s="274"/>
      <c r="G17" s="274"/>
      <c r="H17" s="274"/>
      <c r="I17" s="274"/>
      <c r="J17" s="274"/>
      <c r="K17" s="275"/>
      <c r="L17" s="275"/>
      <c r="M17" s="275"/>
      <c r="N17" s="275"/>
      <c r="O17" s="274"/>
      <c r="P17" s="175"/>
      <c r="Q17" s="110"/>
      <c r="R17" s="110"/>
      <c r="S17" s="110"/>
      <c r="T17" s="110"/>
      <c r="U17" s="110"/>
      <c r="V17" s="249"/>
      <c r="W17" s="249"/>
      <c r="X17" s="249"/>
      <c r="Y17" s="249"/>
      <c r="Z17" s="249"/>
    </row>
    <row r="18" ht="13.5" customHeight="1">
      <c r="A18" s="162"/>
      <c r="B18" s="163"/>
      <c r="C18" s="171"/>
      <c r="D18" s="268"/>
      <c r="E18" s="269"/>
      <c r="F18" s="267"/>
      <c r="G18" s="267"/>
      <c r="H18" s="267"/>
      <c r="I18" s="267"/>
      <c r="J18" s="267"/>
      <c r="K18" s="266"/>
      <c r="L18" s="267"/>
      <c r="M18" s="267"/>
      <c r="N18" s="267"/>
      <c r="O18" s="267"/>
      <c r="P18" s="175"/>
      <c r="Q18" s="110"/>
      <c r="R18" s="110"/>
      <c r="S18" s="110"/>
      <c r="T18" s="110"/>
      <c r="U18" s="110"/>
      <c r="V18" s="249"/>
      <c r="W18" s="249"/>
      <c r="X18" s="249"/>
      <c r="Y18" s="249"/>
      <c r="Z18" s="249"/>
    </row>
    <row r="19" ht="13.5" customHeight="1">
      <c r="A19" s="162"/>
      <c r="B19" s="163"/>
      <c r="C19" s="270"/>
      <c r="D19" s="271"/>
      <c r="E19" s="13"/>
      <c r="F19" s="272"/>
      <c r="G19" s="267"/>
      <c r="H19" s="267"/>
      <c r="I19" s="267"/>
      <c r="J19" s="267"/>
      <c r="K19" s="267"/>
      <c r="L19" s="266"/>
      <c r="M19" s="266"/>
      <c r="N19" s="266"/>
      <c r="O19" s="267"/>
      <c r="P19" s="175"/>
      <c r="Q19" s="110"/>
      <c r="R19" s="110"/>
      <c r="S19" s="110"/>
      <c r="T19" s="110"/>
      <c r="U19" s="110"/>
      <c r="V19" s="249"/>
      <c r="W19" s="249"/>
      <c r="X19" s="249"/>
      <c r="Y19" s="249"/>
      <c r="Z19" s="249"/>
    </row>
    <row r="20" ht="13.5" customHeight="1">
      <c r="A20" s="157"/>
      <c r="B20" s="158"/>
      <c r="C20" s="226"/>
      <c r="D20" s="172"/>
      <c r="E20" s="273"/>
      <c r="F20" s="156"/>
      <c r="G20" s="156"/>
      <c r="H20" s="156"/>
      <c r="I20" s="156"/>
      <c r="J20" s="156"/>
      <c r="K20" s="156"/>
      <c r="L20" s="156"/>
      <c r="M20" s="156"/>
      <c r="N20" s="156"/>
      <c r="O20" s="156"/>
      <c r="P20" s="110"/>
      <c r="Q20" s="110"/>
      <c r="R20" s="110"/>
      <c r="S20" s="110"/>
      <c r="T20" s="110"/>
      <c r="U20" s="110"/>
      <c r="V20" s="249"/>
      <c r="W20" s="249"/>
      <c r="X20" s="249"/>
      <c r="Y20" s="249"/>
      <c r="Z20" s="249"/>
    </row>
    <row r="21" ht="13.5" customHeight="1">
      <c r="A21" s="157"/>
      <c r="B21" s="158"/>
      <c r="C21" s="226"/>
      <c r="D21" s="172"/>
      <c r="E21" s="227"/>
      <c r="F21" s="156"/>
      <c r="G21" s="156"/>
      <c r="H21" s="156"/>
      <c r="I21" s="156"/>
      <c r="J21" s="156"/>
      <c r="K21" s="156"/>
      <c r="L21" s="156"/>
      <c r="M21" s="156"/>
      <c r="N21" s="156"/>
      <c r="O21" s="156"/>
      <c r="P21" s="110"/>
      <c r="Q21" s="110"/>
      <c r="R21" s="110"/>
      <c r="S21" s="110"/>
      <c r="T21" s="110"/>
      <c r="U21" s="110"/>
      <c r="V21" s="249"/>
      <c r="W21" s="249"/>
      <c r="X21" s="249"/>
      <c r="Y21" s="249"/>
      <c r="Z21" s="249"/>
    </row>
    <row r="22" ht="13.5" customHeight="1">
      <c r="A22" s="157"/>
      <c r="B22" s="158"/>
      <c r="C22" s="226"/>
      <c r="D22" s="172"/>
      <c r="E22" s="227"/>
      <c r="F22" s="156"/>
      <c r="G22" s="156"/>
      <c r="H22" s="156"/>
      <c r="I22" s="156"/>
      <c r="J22" s="156"/>
      <c r="K22" s="156"/>
      <c r="L22" s="156"/>
      <c r="M22" s="156"/>
      <c r="N22" s="156"/>
      <c r="O22" s="156"/>
      <c r="P22" s="110"/>
      <c r="Q22" s="110"/>
      <c r="R22" s="110"/>
      <c r="S22" s="110"/>
      <c r="T22" s="110"/>
      <c r="U22" s="110"/>
      <c r="V22" s="249"/>
      <c r="W22" s="249"/>
      <c r="X22" s="249"/>
      <c r="Y22" s="249"/>
      <c r="Z22" s="249"/>
    </row>
    <row r="23" ht="13.5" customHeight="1">
      <c r="A23" s="157"/>
      <c r="B23" s="158"/>
      <c r="C23" s="226"/>
      <c r="D23" s="172"/>
      <c r="E23" s="227"/>
      <c r="F23" s="156"/>
      <c r="G23" s="156"/>
      <c r="H23" s="156"/>
      <c r="I23" s="156"/>
      <c r="J23" s="156"/>
      <c r="K23" s="156"/>
      <c r="L23" s="156"/>
      <c r="M23" s="156"/>
      <c r="N23" s="156"/>
      <c r="O23" s="156"/>
      <c r="P23" s="110"/>
      <c r="Q23" s="110"/>
      <c r="R23" s="110"/>
      <c r="S23" s="110"/>
      <c r="T23" s="110"/>
      <c r="U23" s="110"/>
      <c r="V23" s="249"/>
      <c r="W23" s="249"/>
      <c r="X23" s="249"/>
      <c r="Y23" s="249"/>
      <c r="Z23" s="249"/>
    </row>
    <row r="24" ht="13.5" customHeight="1">
      <c r="A24" s="157"/>
      <c r="B24" s="158"/>
      <c r="C24" s="226"/>
      <c r="D24" s="172"/>
      <c r="E24" s="227"/>
      <c r="F24" s="156"/>
      <c r="G24" s="156"/>
      <c r="H24" s="156"/>
      <c r="I24" s="156"/>
      <c r="J24" s="156"/>
      <c r="K24" s="156"/>
      <c r="L24" s="156"/>
      <c r="M24" s="156"/>
      <c r="N24" s="156"/>
      <c r="O24" s="156"/>
      <c r="P24" s="110"/>
      <c r="Q24" s="110"/>
      <c r="R24" s="110"/>
      <c r="S24" s="110"/>
      <c r="T24" s="110"/>
      <c r="U24" s="110"/>
      <c r="V24" s="249"/>
      <c r="W24" s="249"/>
      <c r="X24" s="249"/>
      <c r="Y24" s="249"/>
      <c r="Z24" s="249"/>
    </row>
    <row r="25" ht="13.5" customHeight="1">
      <c r="A25" s="157"/>
      <c r="B25" s="158"/>
      <c r="C25" s="226"/>
      <c r="D25" s="172"/>
      <c r="E25" s="227"/>
      <c r="F25" s="156"/>
      <c r="G25" s="156"/>
      <c r="H25" s="156"/>
      <c r="I25" s="156"/>
      <c r="J25" s="156"/>
      <c r="K25" s="156"/>
      <c r="L25" s="156"/>
      <c r="M25" s="156"/>
      <c r="N25" s="156"/>
      <c r="O25" s="156"/>
      <c r="P25" s="110"/>
      <c r="Q25" s="110"/>
      <c r="R25" s="110"/>
      <c r="S25" s="110"/>
      <c r="T25" s="110"/>
      <c r="U25" s="110"/>
      <c r="V25" s="249"/>
      <c r="W25" s="249"/>
      <c r="X25" s="249"/>
      <c r="Y25" s="249"/>
      <c r="Z25" s="249"/>
    </row>
    <row r="26" ht="14.25" customHeight="1">
      <c r="A26" s="157"/>
      <c r="B26" s="158"/>
      <c r="C26" s="226"/>
      <c r="D26" s="172"/>
      <c r="E26" s="227"/>
      <c r="F26" s="156"/>
      <c r="G26" s="156"/>
      <c r="H26" s="156"/>
      <c r="I26" s="156"/>
      <c r="J26" s="156"/>
      <c r="K26" s="156"/>
      <c r="L26" s="156"/>
      <c r="M26" s="156"/>
      <c r="N26" s="156"/>
      <c r="O26" s="156"/>
      <c r="P26" s="110"/>
      <c r="Q26" s="110"/>
      <c r="R26" s="110"/>
      <c r="S26" s="110"/>
      <c r="T26" s="110"/>
      <c r="U26" s="110"/>
      <c r="V26" s="249"/>
      <c r="W26" s="249"/>
      <c r="X26" s="249"/>
      <c r="Y26" s="249"/>
      <c r="Z26" s="249"/>
    </row>
    <row r="27" ht="14.25" customHeight="1">
      <c r="A27" s="157"/>
      <c r="B27" s="158"/>
      <c r="C27" s="226"/>
      <c r="D27" s="172"/>
      <c r="E27" s="227"/>
      <c r="F27" s="156"/>
      <c r="G27" s="156"/>
      <c r="H27" s="156"/>
      <c r="I27" s="156"/>
      <c r="J27" s="156"/>
      <c r="K27" s="156"/>
      <c r="L27" s="156"/>
      <c r="M27" s="156"/>
      <c r="N27" s="156"/>
      <c r="O27" s="156"/>
      <c r="P27" s="110"/>
      <c r="Q27" s="110"/>
      <c r="R27" s="110"/>
      <c r="S27" s="110"/>
      <c r="T27" s="110"/>
      <c r="U27" s="110"/>
      <c r="V27" s="249"/>
      <c r="W27" s="249"/>
      <c r="X27" s="249"/>
      <c r="Y27" s="249"/>
      <c r="Z27" s="249"/>
    </row>
    <row r="28" ht="14.25" customHeight="1">
      <c r="A28" s="157"/>
      <c r="B28" s="158"/>
      <c r="C28" s="226"/>
      <c r="D28" s="172"/>
      <c r="E28" s="227"/>
      <c r="F28" s="156"/>
      <c r="G28" s="156"/>
      <c r="H28" s="156"/>
      <c r="I28" s="156"/>
      <c r="J28" s="156"/>
      <c r="K28" s="156"/>
      <c r="L28" s="156"/>
      <c r="M28" s="156"/>
      <c r="N28" s="156"/>
      <c r="O28" s="156"/>
      <c r="P28" s="110"/>
      <c r="Q28" s="110"/>
      <c r="R28" s="110"/>
      <c r="S28" s="110"/>
      <c r="T28" s="110"/>
      <c r="U28" s="110"/>
      <c r="V28" s="249"/>
      <c r="W28" s="249"/>
      <c r="X28" s="249"/>
      <c r="Y28" s="249"/>
      <c r="Z28" s="249"/>
    </row>
    <row r="29" ht="14.25" customHeight="1">
      <c r="A29" s="157"/>
      <c r="B29" s="158"/>
      <c r="C29" s="226"/>
      <c r="D29" s="172"/>
      <c r="E29" s="227"/>
      <c r="F29" s="156"/>
      <c r="G29" s="156"/>
      <c r="H29" s="156"/>
      <c r="I29" s="156"/>
      <c r="J29" s="156"/>
      <c r="K29" s="156"/>
      <c r="L29" s="156"/>
      <c r="M29" s="156"/>
      <c r="N29" s="156"/>
      <c r="O29" s="156"/>
      <c r="P29" s="110"/>
      <c r="Q29" s="110"/>
      <c r="R29" s="110"/>
      <c r="S29" s="110"/>
      <c r="T29" s="110"/>
      <c r="U29" s="110"/>
      <c r="V29" s="249"/>
      <c r="W29" s="249"/>
      <c r="X29" s="249"/>
      <c r="Y29" s="249"/>
      <c r="Z29" s="249"/>
    </row>
    <row r="30" ht="14.25" customHeight="1">
      <c r="A30" s="157"/>
      <c r="B30" s="158"/>
      <c r="C30" s="226"/>
      <c r="D30" s="172"/>
      <c r="E30" s="227"/>
      <c r="F30" s="156"/>
      <c r="G30" s="156"/>
      <c r="H30" s="156"/>
      <c r="I30" s="156"/>
      <c r="J30" s="156"/>
      <c r="K30" s="156"/>
      <c r="L30" s="156"/>
      <c r="M30" s="156"/>
      <c r="N30" s="156"/>
      <c r="O30" s="156"/>
      <c r="P30" s="110"/>
      <c r="Q30" s="110"/>
      <c r="R30" s="110"/>
      <c r="S30" s="110"/>
      <c r="T30" s="110"/>
      <c r="U30" s="110"/>
      <c r="V30" s="249"/>
      <c r="W30" s="249"/>
      <c r="X30" s="249"/>
      <c r="Y30" s="249"/>
      <c r="Z30" s="249"/>
    </row>
    <row r="31" ht="14.25" customHeight="1">
      <c r="A31" s="157"/>
      <c r="B31" s="158"/>
      <c r="C31" s="226"/>
      <c r="D31" s="172"/>
      <c r="E31" s="227"/>
      <c r="F31" s="156"/>
      <c r="G31" s="156"/>
      <c r="H31" s="156"/>
      <c r="I31" s="156"/>
      <c r="J31" s="156"/>
      <c r="K31" s="156"/>
      <c r="L31" s="156"/>
      <c r="M31" s="156"/>
      <c r="N31" s="156"/>
      <c r="O31" s="156"/>
      <c r="P31" s="110"/>
      <c r="Q31" s="110"/>
      <c r="R31" s="110"/>
      <c r="S31" s="110"/>
      <c r="T31" s="110"/>
      <c r="U31" s="110"/>
      <c r="V31" s="249"/>
      <c r="W31" s="249"/>
      <c r="X31" s="249"/>
      <c r="Y31" s="249"/>
      <c r="Z31" s="249"/>
    </row>
    <row r="32" ht="14.25" customHeight="1">
      <c r="A32" s="157"/>
      <c r="B32" s="158"/>
      <c r="C32" s="226"/>
      <c r="D32" s="172"/>
      <c r="E32" s="227"/>
      <c r="F32" s="156"/>
      <c r="G32" s="156"/>
      <c r="H32" s="156"/>
      <c r="I32" s="156"/>
      <c r="J32" s="156"/>
      <c r="K32" s="156"/>
      <c r="L32" s="156"/>
      <c r="M32" s="156"/>
      <c r="N32" s="156"/>
      <c r="O32" s="156"/>
      <c r="P32" s="110"/>
      <c r="Q32" s="110"/>
      <c r="R32" s="110"/>
      <c r="S32" s="110"/>
      <c r="T32" s="110"/>
      <c r="U32" s="110"/>
      <c r="V32" s="249"/>
      <c r="W32" s="249"/>
      <c r="X32" s="249"/>
      <c r="Y32" s="249"/>
      <c r="Z32" s="249"/>
    </row>
    <row r="33" ht="14.25" customHeight="1">
      <c r="A33" s="157"/>
      <c r="B33" s="158"/>
      <c r="C33" s="226"/>
      <c r="D33" s="172"/>
      <c r="E33" s="227"/>
      <c r="F33" s="156"/>
      <c r="G33" s="156"/>
      <c r="H33" s="156"/>
      <c r="I33" s="156"/>
      <c r="J33" s="156"/>
      <c r="K33" s="156"/>
      <c r="L33" s="156"/>
      <c r="M33" s="156"/>
      <c r="N33" s="156"/>
      <c r="O33" s="156"/>
      <c r="P33" s="110"/>
      <c r="Q33" s="110"/>
      <c r="R33" s="110"/>
      <c r="S33" s="110"/>
      <c r="T33" s="110"/>
      <c r="U33" s="110"/>
      <c r="V33" s="249"/>
      <c r="W33" s="249"/>
      <c r="X33" s="249"/>
      <c r="Y33" s="249"/>
      <c r="Z33" s="249"/>
    </row>
    <row r="34" ht="14.25" customHeight="1">
      <c r="A34" s="157"/>
      <c r="B34" s="158"/>
      <c r="C34" s="226"/>
      <c r="D34" s="172"/>
      <c r="E34" s="227"/>
      <c r="F34" s="156"/>
      <c r="G34" s="156"/>
      <c r="H34" s="156"/>
      <c r="I34" s="156"/>
      <c r="J34" s="156"/>
      <c r="K34" s="156"/>
      <c r="L34" s="156"/>
      <c r="M34" s="156"/>
      <c r="N34" s="156"/>
      <c r="O34" s="156"/>
      <c r="P34" s="110"/>
      <c r="Q34" s="110"/>
      <c r="R34" s="110"/>
      <c r="S34" s="110"/>
      <c r="T34" s="110"/>
      <c r="U34" s="110"/>
      <c r="V34" s="249"/>
      <c r="W34" s="249"/>
      <c r="X34" s="249"/>
      <c r="Y34" s="249"/>
      <c r="Z34" s="249"/>
    </row>
    <row r="35" ht="13.5" customHeight="1">
      <c r="A35" s="176" t="s">
        <v>359</v>
      </c>
      <c r="B35" s="177" t="s">
        <v>360</v>
      </c>
      <c r="C35" s="178"/>
      <c r="D35" s="179"/>
      <c r="E35" s="180"/>
      <c r="F35" s="156"/>
      <c r="G35" s="156"/>
      <c r="H35" s="156"/>
      <c r="I35" s="156"/>
      <c r="J35" s="156"/>
      <c r="K35" s="156"/>
      <c r="L35" s="156"/>
      <c r="M35" s="156"/>
      <c r="N35" s="156"/>
      <c r="O35" s="156"/>
      <c r="P35" s="110"/>
      <c r="Q35" s="110"/>
      <c r="R35" s="110"/>
      <c r="S35" s="110"/>
      <c r="T35" s="110"/>
      <c r="U35" s="110"/>
      <c r="V35" s="249"/>
      <c r="W35" s="249"/>
      <c r="X35" s="249"/>
      <c r="Y35" s="249"/>
      <c r="Z35" s="249"/>
    </row>
    <row r="36" ht="13.5" customHeight="1">
      <c r="A36" s="181"/>
      <c r="B36" s="254"/>
      <c r="C36" s="183"/>
      <c r="D36" s="184" t="s">
        <v>497</v>
      </c>
      <c r="E36" s="185"/>
      <c r="F36" s="165" t="s">
        <v>353</v>
      </c>
      <c r="G36" s="165"/>
      <c r="H36" s="165"/>
      <c r="I36" s="165"/>
      <c r="J36" s="165"/>
      <c r="K36" s="165"/>
      <c r="L36" s="165"/>
      <c r="M36" s="165"/>
      <c r="N36" s="165"/>
      <c r="O36" s="165"/>
      <c r="P36" s="110"/>
      <c r="Q36" s="110"/>
      <c r="R36" s="110"/>
      <c r="S36" s="110"/>
      <c r="T36" s="110"/>
      <c r="U36" s="110"/>
      <c r="V36" s="249"/>
      <c r="W36" s="249"/>
      <c r="X36" s="249"/>
      <c r="Y36" s="249"/>
      <c r="Z36" s="249"/>
    </row>
    <row r="37" ht="13.5" customHeight="1">
      <c r="A37" s="181"/>
      <c r="B37" s="255"/>
      <c r="C37" s="183"/>
      <c r="D37" s="184" t="s">
        <v>498</v>
      </c>
      <c r="E37" s="185"/>
      <c r="F37" s="165"/>
      <c r="G37" s="165" t="s">
        <v>353</v>
      </c>
      <c r="H37" s="165"/>
      <c r="I37" s="165"/>
      <c r="J37" s="165"/>
      <c r="K37" s="165"/>
      <c r="L37" s="249"/>
      <c r="M37" s="165"/>
      <c r="N37" s="165"/>
      <c r="O37" s="165"/>
      <c r="P37" s="110"/>
      <c r="Q37" s="110"/>
      <c r="R37" s="110"/>
      <c r="S37" s="110"/>
      <c r="T37" s="110"/>
      <c r="U37" s="110"/>
      <c r="V37" s="249"/>
      <c r="W37" s="249"/>
      <c r="X37" s="249"/>
      <c r="Y37" s="249"/>
      <c r="Z37" s="249"/>
    </row>
    <row r="38" ht="13.5" customHeight="1">
      <c r="A38" s="181"/>
      <c r="B38" s="255"/>
      <c r="C38" s="183"/>
      <c r="D38" s="184"/>
      <c r="E38" s="185"/>
      <c r="F38" s="165"/>
      <c r="G38" s="165"/>
      <c r="H38" s="165"/>
      <c r="I38" s="165"/>
      <c r="J38" s="165"/>
      <c r="K38" s="165"/>
      <c r="L38" s="165"/>
      <c r="M38" s="165"/>
      <c r="N38" s="165"/>
      <c r="O38" s="165"/>
      <c r="P38" s="110"/>
      <c r="Q38" s="110"/>
      <c r="R38" s="110"/>
      <c r="S38" s="110"/>
      <c r="T38" s="110"/>
      <c r="U38" s="110"/>
      <c r="V38" s="249"/>
      <c r="W38" s="249"/>
      <c r="X38" s="249"/>
      <c r="Y38" s="249"/>
      <c r="Z38" s="249"/>
    </row>
    <row r="39" ht="13.5" customHeight="1">
      <c r="A39" s="181"/>
      <c r="B39" s="255"/>
      <c r="C39" s="183"/>
      <c r="D39" s="184" t="s">
        <v>499</v>
      </c>
      <c r="E39" s="185"/>
      <c r="F39" s="165"/>
      <c r="G39" s="165"/>
      <c r="H39" s="165" t="s">
        <v>353</v>
      </c>
      <c r="I39" s="165"/>
      <c r="J39" s="165"/>
      <c r="K39" s="165"/>
      <c r="L39" s="165"/>
      <c r="M39" s="165"/>
      <c r="N39" s="165"/>
      <c r="O39" s="165"/>
      <c r="P39" s="110"/>
      <c r="Q39" s="110"/>
      <c r="R39" s="110"/>
      <c r="S39" s="110"/>
      <c r="T39" s="110"/>
      <c r="U39" s="110"/>
      <c r="V39" s="249"/>
      <c r="W39" s="249"/>
      <c r="X39" s="249"/>
      <c r="Y39" s="249"/>
      <c r="Z39" s="249"/>
    </row>
    <row r="40" ht="13.5" customHeight="1">
      <c r="A40" s="181"/>
      <c r="B40" s="182"/>
      <c r="C40" s="183"/>
      <c r="D40" s="184" t="s">
        <v>500</v>
      </c>
      <c r="E40" s="188"/>
      <c r="F40" s="165"/>
      <c r="G40" s="165"/>
      <c r="H40" s="165"/>
      <c r="I40" s="165" t="s">
        <v>353</v>
      </c>
      <c r="J40" s="165"/>
      <c r="K40" s="165"/>
      <c r="L40" s="165"/>
      <c r="M40" s="165"/>
      <c r="N40" s="165"/>
      <c r="O40" s="165"/>
      <c r="P40" s="110"/>
      <c r="Q40" s="110"/>
      <c r="R40" s="110"/>
      <c r="S40" s="110"/>
      <c r="T40" s="110"/>
      <c r="U40" s="110"/>
      <c r="V40" s="249"/>
      <c r="W40" s="249"/>
      <c r="X40" s="249"/>
      <c r="Y40" s="249"/>
      <c r="Z40" s="249"/>
    </row>
    <row r="41" ht="13.5" customHeight="1">
      <c r="A41" s="181"/>
      <c r="B41" s="182"/>
      <c r="C41" s="183"/>
      <c r="D41" s="184"/>
      <c r="E41" s="188"/>
      <c r="F41" s="165"/>
      <c r="G41" s="165"/>
      <c r="H41" s="165"/>
      <c r="I41" s="165"/>
      <c r="J41" s="165"/>
      <c r="K41" s="165"/>
      <c r="L41" s="165"/>
      <c r="M41" s="165"/>
      <c r="N41" s="165"/>
      <c r="O41" s="165"/>
      <c r="P41" s="110"/>
      <c r="Q41" s="110"/>
      <c r="R41" s="110"/>
      <c r="S41" s="110"/>
      <c r="T41" s="110"/>
      <c r="U41" s="110"/>
      <c r="V41" s="249"/>
      <c r="W41" s="249"/>
      <c r="X41" s="249"/>
      <c r="Y41" s="249"/>
      <c r="Z41" s="249"/>
    </row>
    <row r="42" ht="13.5" customHeight="1">
      <c r="A42" s="181"/>
      <c r="B42" s="182"/>
      <c r="C42" s="183"/>
      <c r="D42" s="184"/>
      <c r="E42" s="188"/>
      <c r="F42" s="165"/>
      <c r="G42" s="165"/>
      <c r="H42" s="165"/>
      <c r="I42" s="165"/>
      <c r="J42" s="165"/>
      <c r="K42" s="165"/>
      <c r="L42" s="165"/>
      <c r="M42" s="165"/>
      <c r="N42" s="165"/>
      <c r="O42" s="165"/>
      <c r="P42" s="110"/>
      <c r="Q42" s="110"/>
      <c r="R42" s="110"/>
      <c r="S42" s="110"/>
      <c r="T42" s="110"/>
      <c r="U42" s="110"/>
      <c r="V42" s="249"/>
      <c r="W42" s="249"/>
      <c r="X42" s="249"/>
      <c r="Y42" s="249"/>
      <c r="Z42" s="249"/>
    </row>
    <row r="43" ht="13.5" customHeight="1">
      <c r="A43" s="262"/>
      <c r="B43" s="182"/>
      <c r="C43" s="183"/>
      <c r="D43" s="184"/>
      <c r="E43" s="188"/>
      <c r="F43" s="165"/>
      <c r="G43" s="165"/>
      <c r="H43" s="165"/>
      <c r="I43" s="165"/>
      <c r="J43" s="165"/>
      <c r="K43" s="165"/>
      <c r="L43" s="165"/>
      <c r="M43" s="165"/>
      <c r="N43" s="165"/>
      <c r="O43" s="165"/>
      <c r="P43" s="110"/>
      <c r="Q43" s="110"/>
      <c r="R43" s="110"/>
      <c r="S43" s="110"/>
      <c r="T43" s="110"/>
      <c r="U43" s="110"/>
      <c r="V43" s="249"/>
      <c r="W43" s="249"/>
      <c r="X43" s="249"/>
      <c r="Y43" s="249"/>
      <c r="Z43" s="249"/>
    </row>
    <row r="44" ht="13.5" customHeight="1">
      <c r="A44" s="264"/>
      <c r="B44" s="237"/>
      <c r="C44" s="238"/>
      <c r="D44" s="239" t="s">
        <v>501</v>
      </c>
      <c r="E44" s="265"/>
      <c r="F44" s="156"/>
      <c r="G44" s="156"/>
      <c r="H44" s="156"/>
      <c r="I44" s="156"/>
      <c r="J44" s="156" t="s">
        <v>353</v>
      </c>
      <c r="K44" s="156"/>
      <c r="L44" s="156"/>
      <c r="M44" s="156"/>
      <c r="N44" s="156"/>
      <c r="O44" s="156"/>
      <c r="P44" s="110"/>
      <c r="Q44" s="110"/>
      <c r="R44" s="110"/>
      <c r="S44" s="110"/>
      <c r="T44" s="110"/>
      <c r="U44" s="110"/>
      <c r="V44" s="249"/>
      <c r="W44" s="249"/>
      <c r="X44" s="249"/>
      <c r="Y44" s="249"/>
      <c r="Z44" s="249"/>
    </row>
    <row r="45" ht="13.5" customHeight="1">
      <c r="A45" s="264"/>
      <c r="B45" s="237"/>
      <c r="C45" s="238"/>
      <c r="D45" s="239"/>
      <c r="E45" s="265"/>
      <c r="F45" s="156"/>
      <c r="G45" s="156"/>
      <c r="H45" s="156"/>
      <c r="I45" s="156"/>
      <c r="J45" s="156"/>
      <c r="K45" s="156"/>
      <c r="L45" s="156"/>
      <c r="M45" s="156"/>
      <c r="N45" s="156"/>
      <c r="O45" s="156"/>
      <c r="P45" s="110"/>
      <c r="Q45" s="110"/>
      <c r="R45" s="110"/>
      <c r="S45" s="110"/>
      <c r="T45" s="110"/>
      <c r="U45" s="110"/>
      <c r="V45" s="249"/>
      <c r="W45" s="249"/>
      <c r="X45" s="249"/>
      <c r="Y45" s="249"/>
      <c r="Z45" s="249"/>
    </row>
    <row r="46" ht="13.5" customHeight="1">
      <c r="A46" s="264"/>
      <c r="B46" s="237"/>
      <c r="C46" s="238"/>
      <c r="D46" s="239"/>
      <c r="E46" s="265"/>
      <c r="F46" s="156"/>
      <c r="G46" s="156"/>
      <c r="H46" s="156"/>
      <c r="I46" s="156"/>
      <c r="J46" s="156"/>
      <c r="K46" s="156"/>
      <c r="L46" s="156"/>
      <c r="M46" s="156"/>
      <c r="N46" s="156"/>
      <c r="O46" s="156"/>
      <c r="P46" s="110"/>
      <c r="Q46" s="110"/>
      <c r="R46" s="110"/>
      <c r="S46" s="110"/>
      <c r="T46" s="110"/>
      <c r="U46" s="110"/>
      <c r="V46" s="249"/>
      <c r="W46" s="249"/>
      <c r="X46" s="249"/>
      <c r="Y46" s="249"/>
      <c r="Z46" s="249"/>
    </row>
    <row r="47" ht="13.5" customHeight="1">
      <c r="A47" s="264"/>
      <c r="B47" s="237"/>
      <c r="C47" s="238"/>
      <c r="D47" s="239"/>
      <c r="E47" s="265"/>
      <c r="F47" s="156"/>
      <c r="G47" s="156"/>
      <c r="H47" s="156"/>
      <c r="I47" s="156"/>
      <c r="J47" s="156"/>
      <c r="K47" s="156"/>
      <c r="L47" s="156"/>
      <c r="M47" s="156"/>
      <c r="N47" s="156"/>
      <c r="O47" s="156"/>
      <c r="P47" s="110"/>
      <c r="Q47" s="110"/>
      <c r="R47" s="110"/>
      <c r="S47" s="110"/>
      <c r="T47" s="110"/>
      <c r="U47" s="110"/>
      <c r="V47" s="249"/>
      <c r="W47" s="249"/>
      <c r="X47" s="249"/>
      <c r="Y47" s="249"/>
      <c r="Z47" s="249"/>
    </row>
    <row r="48" ht="13.5" customHeight="1">
      <c r="A48" s="264"/>
      <c r="B48" s="237"/>
      <c r="C48" s="238"/>
      <c r="D48" s="239"/>
      <c r="E48" s="265"/>
      <c r="F48" s="156"/>
      <c r="G48" s="156"/>
      <c r="H48" s="156"/>
      <c r="I48" s="156"/>
      <c r="J48" s="156"/>
      <c r="K48" s="156"/>
      <c r="L48" s="156"/>
      <c r="M48" s="156"/>
      <c r="N48" s="156"/>
      <c r="O48" s="156"/>
      <c r="P48" s="110"/>
      <c r="Q48" s="110"/>
      <c r="R48" s="110"/>
      <c r="S48" s="110"/>
      <c r="T48" s="110"/>
      <c r="U48" s="110"/>
      <c r="V48" s="249"/>
      <c r="W48" s="249"/>
      <c r="X48" s="249"/>
      <c r="Y48" s="249"/>
      <c r="Z48" s="249"/>
    </row>
    <row r="49" ht="13.5" customHeight="1">
      <c r="A49" s="264"/>
      <c r="B49" s="237"/>
      <c r="C49" s="238"/>
      <c r="D49" s="239"/>
      <c r="E49" s="265"/>
      <c r="F49" s="156"/>
      <c r="G49" s="156"/>
      <c r="H49" s="156"/>
      <c r="I49" s="156"/>
      <c r="J49" s="156"/>
      <c r="K49" s="156"/>
      <c r="L49" s="156"/>
      <c r="M49" s="156"/>
      <c r="N49" s="156"/>
      <c r="O49" s="156"/>
      <c r="P49" s="110"/>
      <c r="Q49" s="110"/>
      <c r="R49" s="110"/>
      <c r="S49" s="110"/>
      <c r="T49" s="110"/>
      <c r="U49" s="110"/>
      <c r="V49" s="249"/>
      <c r="W49" s="249"/>
      <c r="X49" s="249"/>
      <c r="Y49" s="249"/>
      <c r="Z49" s="249"/>
    </row>
    <row r="50" ht="13.5" customHeight="1">
      <c r="A50" s="228" t="s">
        <v>367</v>
      </c>
      <c r="B50" s="240" t="s">
        <v>368</v>
      </c>
      <c r="C50" s="225"/>
      <c r="D50" s="241"/>
      <c r="E50" s="200"/>
      <c r="F50" s="201" t="s">
        <v>220</v>
      </c>
      <c r="G50" s="201" t="s">
        <v>220</v>
      </c>
      <c r="H50" s="201" t="s">
        <v>38</v>
      </c>
      <c r="I50" s="201" t="s">
        <v>221</v>
      </c>
      <c r="J50" s="201" t="s">
        <v>38</v>
      </c>
      <c r="K50" s="201"/>
      <c r="L50" s="201"/>
      <c r="M50" s="201"/>
      <c r="N50" s="201"/>
      <c r="O50" s="201"/>
      <c r="P50" s="110"/>
      <c r="Q50" s="110"/>
      <c r="R50" s="110"/>
      <c r="S50" s="110"/>
      <c r="T50" s="110"/>
      <c r="U50" s="110"/>
      <c r="V50" s="249"/>
      <c r="W50" s="249"/>
      <c r="X50" s="249"/>
      <c r="Y50" s="249"/>
      <c r="Z50" s="249"/>
    </row>
    <row r="51" ht="13.5" customHeight="1">
      <c r="A51" s="260"/>
      <c r="B51" s="204" t="s">
        <v>369</v>
      </c>
      <c r="C51" s="12"/>
      <c r="D51" s="13"/>
      <c r="E51" s="205"/>
      <c r="F51" s="206"/>
      <c r="G51" s="206"/>
      <c r="H51" s="206"/>
      <c r="I51" s="206"/>
      <c r="J51" s="206"/>
      <c r="K51" s="206"/>
      <c r="L51" s="206"/>
      <c r="M51" s="206"/>
      <c r="N51" s="206"/>
      <c r="O51" s="206"/>
      <c r="P51" s="110"/>
      <c r="Q51" s="110"/>
      <c r="R51" s="110"/>
      <c r="S51" s="110"/>
      <c r="T51" s="110"/>
      <c r="U51" s="110"/>
      <c r="V51" s="249"/>
      <c r="W51" s="249"/>
      <c r="X51" s="249"/>
      <c r="Y51" s="249"/>
      <c r="Z51" s="249"/>
    </row>
    <row r="52" ht="13.5" customHeight="1">
      <c r="A52" s="260"/>
      <c r="B52" s="208" t="s">
        <v>371</v>
      </c>
      <c r="C52" s="12"/>
      <c r="D52" s="13"/>
      <c r="E52" s="209"/>
      <c r="F52" s="210"/>
      <c r="G52" s="210"/>
      <c r="H52" s="210"/>
      <c r="I52" s="210"/>
      <c r="J52" s="210"/>
      <c r="K52" s="210"/>
      <c r="L52" s="210"/>
      <c r="M52" s="210"/>
      <c r="N52" s="210"/>
      <c r="O52" s="210"/>
      <c r="P52" s="110"/>
      <c r="Q52" s="110"/>
      <c r="R52" s="110"/>
      <c r="S52" s="110"/>
      <c r="T52" s="110"/>
      <c r="U52" s="110"/>
      <c r="V52" s="249"/>
      <c r="W52" s="249"/>
      <c r="X52" s="249"/>
      <c r="Y52" s="249"/>
      <c r="Z52" s="249"/>
    </row>
    <row r="53" ht="12.0" customHeight="1">
      <c r="A53" s="261"/>
      <c r="B53" s="215" t="s">
        <v>372</v>
      </c>
      <c r="C53" s="216"/>
      <c r="D53" s="217"/>
      <c r="E53" s="218"/>
      <c r="F53" s="219"/>
      <c r="G53" s="219"/>
      <c r="H53" s="219"/>
      <c r="I53" s="219"/>
      <c r="J53" s="219"/>
      <c r="K53" s="219"/>
      <c r="L53" s="219"/>
      <c r="M53" s="219"/>
      <c r="N53" s="219"/>
      <c r="O53" s="219"/>
      <c r="P53" s="110"/>
      <c r="Q53" s="110"/>
      <c r="R53" s="110"/>
      <c r="S53" s="110"/>
      <c r="T53" s="110"/>
      <c r="U53" s="110"/>
      <c r="V53" s="249"/>
      <c r="W53" s="249"/>
      <c r="X53" s="249"/>
      <c r="Y53" s="249"/>
      <c r="Z53" s="249"/>
    </row>
    <row r="54" ht="12.0" customHeight="1">
      <c r="A54" s="143"/>
      <c r="B54" s="110"/>
      <c r="C54" s="111"/>
      <c r="D54" s="110"/>
      <c r="E54" s="110"/>
      <c r="F54" s="110"/>
      <c r="G54" s="110"/>
      <c r="H54" s="110"/>
      <c r="I54" s="110"/>
      <c r="J54" s="110"/>
      <c r="K54" s="110"/>
      <c r="L54" s="110"/>
      <c r="M54" s="110"/>
      <c r="N54" s="110"/>
      <c r="O54" s="110"/>
      <c r="P54" s="110"/>
      <c r="Q54" s="110"/>
      <c r="R54" s="110"/>
      <c r="S54" s="110"/>
      <c r="T54" s="110"/>
      <c r="U54" s="110"/>
      <c r="V54" s="249"/>
      <c r="W54" s="249"/>
      <c r="X54" s="249"/>
      <c r="Y54" s="249"/>
      <c r="Z54" s="249"/>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249"/>
      <c r="W55" s="249"/>
      <c r="X55" s="249"/>
      <c r="Y55" s="249"/>
      <c r="Z55" s="249"/>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249"/>
      <c r="W56" s="249"/>
      <c r="X56" s="249"/>
      <c r="Y56" s="249"/>
      <c r="Z56" s="249"/>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249"/>
      <c r="W57" s="249"/>
      <c r="X57" s="249"/>
      <c r="Y57" s="249"/>
      <c r="Z57" s="249"/>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249"/>
      <c r="W58" s="249"/>
      <c r="X58" s="249"/>
      <c r="Y58" s="249"/>
      <c r="Z58" s="249"/>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249"/>
      <c r="W59" s="249"/>
      <c r="X59" s="249"/>
      <c r="Y59" s="249"/>
      <c r="Z59" s="249"/>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249"/>
      <c r="W60" s="249"/>
      <c r="X60" s="249"/>
      <c r="Y60" s="249"/>
      <c r="Z60" s="249"/>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249"/>
      <c r="W61" s="249"/>
      <c r="X61" s="249"/>
      <c r="Y61" s="249"/>
      <c r="Z61" s="249"/>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249"/>
      <c r="W62" s="249"/>
      <c r="X62" s="249"/>
      <c r="Y62" s="249"/>
      <c r="Z62" s="249"/>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249"/>
      <c r="W63" s="249"/>
      <c r="X63" s="249"/>
      <c r="Y63" s="249"/>
      <c r="Z63" s="249"/>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249"/>
      <c r="W64" s="249"/>
      <c r="X64" s="249"/>
      <c r="Y64" s="249"/>
      <c r="Z64" s="249"/>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249"/>
      <c r="W65" s="249"/>
      <c r="X65" s="249"/>
      <c r="Y65" s="249"/>
      <c r="Z65" s="249"/>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249"/>
      <c r="W66" s="249"/>
      <c r="X66" s="249"/>
      <c r="Y66" s="249"/>
      <c r="Z66" s="249"/>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249"/>
      <c r="W67" s="249"/>
      <c r="X67" s="249"/>
      <c r="Y67" s="249"/>
      <c r="Z67" s="249"/>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249"/>
      <c r="W68" s="249"/>
      <c r="X68" s="249"/>
      <c r="Y68" s="249"/>
      <c r="Z68" s="249"/>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249"/>
      <c r="W69" s="249"/>
      <c r="X69" s="249"/>
      <c r="Y69" s="249"/>
      <c r="Z69" s="249"/>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249"/>
      <c r="W70" s="249"/>
      <c r="X70" s="249"/>
      <c r="Y70" s="249"/>
      <c r="Z70" s="249"/>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249"/>
      <c r="W71" s="249"/>
      <c r="X71" s="249"/>
      <c r="Y71" s="249"/>
      <c r="Z71" s="249"/>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249"/>
      <c r="W72" s="249"/>
      <c r="X72" s="249"/>
      <c r="Y72" s="249"/>
      <c r="Z72" s="249"/>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249"/>
      <c r="W73" s="249"/>
      <c r="X73" s="249"/>
      <c r="Y73" s="249"/>
      <c r="Z73" s="249"/>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249"/>
      <c r="W74" s="249"/>
      <c r="X74" s="249"/>
      <c r="Y74" s="249"/>
      <c r="Z74" s="249"/>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249"/>
      <c r="W75" s="249"/>
      <c r="X75" s="249"/>
      <c r="Y75" s="249"/>
      <c r="Z75" s="249"/>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249"/>
      <c r="W76" s="249"/>
      <c r="X76" s="249"/>
      <c r="Y76" s="249"/>
      <c r="Z76" s="249"/>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249"/>
      <c r="W77" s="249"/>
      <c r="X77" s="249"/>
      <c r="Y77" s="249"/>
      <c r="Z77" s="249"/>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249"/>
      <c r="W78" s="249"/>
      <c r="X78" s="249"/>
      <c r="Y78" s="249"/>
      <c r="Z78" s="249"/>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249"/>
      <c r="W79" s="249"/>
      <c r="X79" s="249"/>
      <c r="Y79" s="249"/>
      <c r="Z79" s="249"/>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249"/>
      <c r="W80" s="249"/>
      <c r="X80" s="249"/>
      <c r="Y80" s="249"/>
      <c r="Z80" s="249"/>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249"/>
      <c r="W81" s="249"/>
      <c r="X81" s="249"/>
      <c r="Y81" s="249"/>
      <c r="Z81" s="249"/>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249"/>
      <c r="W82" s="249"/>
      <c r="X82" s="249"/>
      <c r="Y82" s="249"/>
      <c r="Z82" s="249"/>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249"/>
      <c r="W83" s="249"/>
      <c r="X83" s="249"/>
      <c r="Y83" s="249"/>
      <c r="Z83" s="249"/>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249"/>
      <c r="W84" s="249"/>
      <c r="X84" s="249"/>
      <c r="Y84" s="249"/>
      <c r="Z84" s="249"/>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249"/>
      <c r="W85" s="249"/>
      <c r="X85" s="249"/>
      <c r="Y85" s="249"/>
      <c r="Z85" s="249"/>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249"/>
      <c r="W86" s="249"/>
      <c r="X86" s="249"/>
      <c r="Y86" s="249"/>
      <c r="Z86" s="249"/>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249"/>
      <c r="W87" s="249"/>
      <c r="X87" s="249"/>
      <c r="Y87" s="249"/>
      <c r="Z87" s="249"/>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249"/>
      <c r="W88" s="249"/>
      <c r="X88" s="249"/>
      <c r="Y88" s="249"/>
      <c r="Z88" s="249"/>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249"/>
      <c r="W89" s="249"/>
      <c r="X89" s="249"/>
      <c r="Y89" s="249"/>
      <c r="Z89" s="249"/>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249"/>
      <c r="W90" s="249"/>
      <c r="X90" s="249"/>
      <c r="Y90" s="249"/>
      <c r="Z90" s="249"/>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249"/>
      <c r="W91" s="249"/>
      <c r="X91" s="249"/>
      <c r="Y91" s="249"/>
      <c r="Z91" s="249"/>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249"/>
      <c r="W92" s="249"/>
      <c r="X92" s="249"/>
      <c r="Y92" s="249"/>
      <c r="Z92" s="249"/>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249"/>
      <c r="W93" s="249"/>
      <c r="X93" s="249"/>
      <c r="Y93" s="249"/>
      <c r="Z93" s="249"/>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249"/>
      <c r="W94" s="249"/>
      <c r="X94" s="249"/>
      <c r="Y94" s="249"/>
      <c r="Z94" s="249"/>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249"/>
      <c r="W95" s="249"/>
      <c r="X95" s="249"/>
      <c r="Y95" s="249"/>
      <c r="Z95" s="249"/>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249"/>
      <c r="W96" s="249"/>
      <c r="X96" s="249"/>
      <c r="Y96" s="249"/>
      <c r="Z96" s="249"/>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249"/>
      <c r="W97" s="249"/>
      <c r="X97" s="249"/>
      <c r="Y97" s="249"/>
      <c r="Z97" s="249"/>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249"/>
      <c r="W98" s="249"/>
      <c r="X98" s="249"/>
      <c r="Y98" s="249"/>
      <c r="Z98" s="249"/>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249"/>
      <c r="W99" s="249"/>
      <c r="X99" s="249"/>
      <c r="Y99" s="249"/>
      <c r="Z99" s="249"/>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249"/>
      <c r="W100" s="249"/>
      <c r="X100" s="249"/>
      <c r="Y100" s="249"/>
      <c r="Z100" s="249"/>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249"/>
      <c r="W101" s="249"/>
      <c r="X101" s="249"/>
      <c r="Y101" s="249"/>
      <c r="Z101" s="249"/>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249"/>
      <c r="W102" s="249"/>
      <c r="X102" s="249"/>
      <c r="Y102" s="249"/>
      <c r="Z102" s="249"/>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249"/>
      <c r="W103" s="249"/>
      <c r="X103" s="249"/>
      <c r="Y103" s="249"/>
      <c r="Z103" s="249"/>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249"/>
      <c r="W104" s="249"/>
      <c r="X104" s="249"/>
      <c r="Y104" s="249"/>
      <c r="Z104" s="249"/>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249"/>
      <c r="W105" s="249"/>
      <c r="X105" s="249"/>
      <c r="Y105" s="249"/>
      <c r="Z105" s="249"/>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249"/>
      <c r="W106" s="249"/>
      <c r="X106" s="249"/>
      <c r="Y106" s="249"/>
      <c r="Z106" s="249"/>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249"/>
      <c r="W107" s="249"/>
      <c r="X107" s="249"/>
      <c r="Y107" s="249"/>
      <c r="Z107" s="249"/>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249"/>
      <c r="W108" s="249"/>
      <c r="X108" s="249"/>
      <c r="Y108" s="249"/>
      <c r="Z108" s="249"/>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249"/>
      <c r="W109" s="249"/>
      <c r="X109" s="249"/>
      <c r="Y109" s="249"/>
      <c r="Z109" s="249"/>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249"/>
      <c r="W110" s="249"/>
      <c r="X110" s="249"/>
      <c r="Y110" s="249"/>
      <c r="Z110" s="249"/>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249"/>
      <c r="W111" s="249"/>
      <c r="X111" s="249"/>
      <c r="Y111" s="249"/>
      <c r="Z111" s="249"/>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249"/>
      <c r="W112" s="249"/>
      <c r="X112" s="249"/>
      <c r="Y112" s="249"/>
      <c r="Z112" s="249"/>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249"/>
      <c r="W113" s="249"/>
      <c r="X113" s="249"/>
      <c r="Y113" s="249"/>
      <c r="Z113" s="249"/>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249"/>
      <c r="W114" s="249"/>
      <c r="X114" s="249"/>
      <c r="Y114" s="249"/>
      <c r="Z114" s="249"/>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249"/>
      <c r="W115" s="249"/>
      <c r="X115" s="249"/>
      <c r="Y115" s="249"/>
      <c r="Z115" s="249"/>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249"/>
      <c r="W116" s="249"/>
      <c r="X116" s="249"/>
      <c r="Y116" s="249"/>
      <c r="Z116" s="249"/>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249"/>
      <c r="W117" s="249"/>
      <c r="X117" s="249"/>
      <c r="Y117" s="249"/>
      <c r="Z117" s="249"/>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249"/>
      <c r="W118" s="249"/>
      <c r="X118" s="249"/>
      <c r="Y118" s="249"/>
      <c r="Z118" s="249"/>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249"/>
      <c r="W119" s="249"/>
      <c r="X119" s="249"/>
      <c r="Y119" s="249"/>
      <c r="Z119" s="249"/>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249"/>
      <c r="W120" s="249"/>
      <c r="X120" s="249"/>
      <c r="Y120" s="249"/>
      <c r="Z120" s="249"/>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249"/>
      <c r="W121" s="249"/>
      <c r="X121" s="249"/>
      <c r="Y121" s="249"/>
      <c r="Z121" s="249"/>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249"/>
      <c r="W122" s="249"/>
      <c r="X122" s="249"/>
      <c r="Y122" s="249"/>
      <c r="Z122" s="249"/>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249"/>
      <c r="W123" s="249"/>
      <c r="X123" s="249"/>
      <c r="Y123" s="249"/>
      <c r="Z123" s="249"/>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249"/>
      <c r="W124" s="249"/>
      <c r="X124" s="249"/>
      <c r="Y124" s="249"/>
      <c r="Z124" s="249"/>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249"/>
      <c r="W125" s="249"/>
      <c r="X125" s="249"/>
      <c r="Y125" s="249"/>
      <c r="Z125" s="249"/>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249"/>
      <c r="W126" s="249"/>
      <c r="X126" s="249"/>
      <c r="Y126" s="249"/>
      <c r="Z126" s="249"/>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249"/>
      <c r="W127" s="249"/>
      <c r="X127" s="249"/>
      <c r="Y127" s="249"/>
      <c r="Z127" s="249"/>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249"/>
      <c r="W128" s="249"/>
      <c r="X128" s="249"/>
      <c r="Y128" s="249"/>
      <c r="Z128" s="249"/>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249"/>
      <c r="W129" s="249"/>
      <c r="X129" s="249"/>
      <c r="Y129" s="249"/>
      <c r="Z129" s="249"/>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249"/>
      <c r="W130" s="249"/>
      <c r="X130" s="249"/>
      <c r="Y130" s="249"/>
      <c r="Z130" s="249"/>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249"/>
      <c r="W131" s="249"/>
      <c r="X131" s="249"/>
      <c r="Y131" s="249"/>
      <c r="Z131" s="249"/>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249"/>
      <c r="W132" s="249"/>
      <c r="X132" s="249"/>
      <c r="Y132" s="249"/>
      <c r="Z132" s="249"/>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249"/>
      <c r="W133" s="249"/>
      <c r="X133" s="249"/>
      <c r="Y133" s="249"/>
      <c r="Z133" s="249"/>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249"/>
      <c r="W134" s="249"/>
      <c r="X134" s="249"/>
      <c r="Y134" s="249"/>
      <c r="Z134" s="249"/>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249"/>
      <c r="W135" s="249"/>
      <c r="X135" s="249"/>
      <c r="Y135" s="249"/>
      <c r="Z135" s="249"/>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249"/>
      <c r="W136" s="249"/>
      <c r="X136" s="249"/>
      <c r="Y136" s="249"/>
      <c r="Z136" s="249"/>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249"/>
      <c r="W137" s="249"/>
      <c r="X137" s="249"/>
      <c r="Y137" s="249"/>
      <c r="Z137" s="249"/>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249"/>
      <c r="W138" s="249"/>
      <c r="X138" s="249"/>
      <c r="Y138" s="249"/>
      <c r="Z138" s="249"/>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249"/>
      <c r="W139" s="249"/>
      <c r="X139" s="249"/>
      <c r="Y139" s="249"/>
      <c r="Z139" s="249"/>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249"/>
      <c r="W140" s="249"/>
      <c r="X140" s="249"/>
      <c r="Y140" s="249"/>
      <c r="Z140" s="249"/>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249"/>
      <c r="W141" s="249"/>
      <c r="X141" s="249"/>
      <c r="Y141" s="249"/>
      <c r="Z141" s="249"/>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249"/>
      <c r="W142" s="249"/>
      <c r="X142" s="249"/>
      <c r="Y142" s="249"/>
      <c r="Z142" s="249"/>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249"/>
      <c r="W143" s="249"/>
      <c r="X143" s="249"/>
      <c r="Y143" s="249"/>
      <c r="Z143" s="249"/>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249"/>
      <c r="W144" s="249"/>
      <c r="X144" s="249"/>
      <c r="Y144" s="249"/>
      <c r="Z144" s="249"/>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249"/>
      <c r="W145" s="249"/>
      <c r="X145" s="249"/>
      <c r="Y145" s="249"/>
      <c r="Z145" s="249"/>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249"/>
      <c r="W146" s="249"/>
      <c r="X146" s="249"/>
      <c r="Y146" s="249"/>
      <c r="Z146" s="249"/>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249"/>
      <c r="W147" s="249"/>
      <c r="X147" s="249"/>
      <c r="Y147" s="249"/>
      <c r="Z147" s="249"/>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249"/>
      <c r="W148" s="249"/>
      <c r="X148" s="249"/>
      <c r="Y148" s="249"/>
      <c r="Z148" s="249"/>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249"/>
      <c r="W149" s="249"/>
      <c r="X149" s="249"/>
      <c r="Y149" s="249"/>
      <c r="Z149" s="249"/>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249"/>
      <c r="W150" s="249"/>
      <c r="X150" s="249"/>
      <c r="Y150" s="249"/>
      <c r="Z150" s="249"/>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249"/>
      <c r="W151" s="249"/>
      <c r="X151" s="249"/>
      <c r="Y151" s="249"/>
      <c r="Z151" s="249"/>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249"/>
      <c r="W152" s="249"/>
      <c r="X152" s="249"/>
      <c r="Y152" s="249"/>
      <c r="Z152" s="249"/>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249"/>
      <c r="W153" s="249"/>
      <c r="X153" s="249"/>
      <c r="Y153" s="249"/>
      <c r="Z153" s="249"/>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249"/>
      <c r="W154" s="249"/>
      <c r="X154" s="249"/>
      <c r="Y154" s="249"/>
      <c r="Z154" s="249"/>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249"/>
      <c r="W155" s="249"/>
      <c r="X155" s="249"/>
      <c r="Y155" s="249"/>
      <c r="Z155" s="249"/>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249"/>
      <c r="W156" s="249"/>
      <c r="X156" s="249"/>
      <c r="Y156" s="249"/>
      <c r="Z156" s="249"/>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249"/>
      <c r="W157" s="249"/>
      <c r="X157" s="249"/>
      <c r="Y157" s="249"/>
      <c r="Z157" s="249"/>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249"/>
      <c r="W158" s="249"/>
      <c r="X158" s="249"/>
      <c r="Y158" s="249"/>
      <c r="Z158" s="249"/>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249"/>
      <c r="W159" s="249"/>
      <c r="X159" s="249"/>
      <c r="Y159" s="249"/>
      <c r="Z159" s="249"/>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249"/>
      <c r="W160" s="249"/>
      <c r="X160" s="249"/>
      <c r="Y160" s="249"/>
      <c r="Z160" s="249"/>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249"/>
      <c r="W161" s="249"/>
      <c r="X161" s="249"/>
      <c r="Y161" s="249"/>
      <c r="Z161" s="249"/>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249"/>
      <c r="W162" s="249"/>
      <c r="X162" s="249"/>
      <c r="Y162" s="249"/>
      <c r="Z162" s="249"/>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249"/>
      <c r="W163" s="249"/>
      <c r="X163" s="249"/>
      <c r="Y163" s="249"/>
      <c r="Z163" s="249"/>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249"/>
      <c r="W164" s="249"/>
      <c r="X164" s="249"/>
      <c r="Y164" s="249"/>
      <c r="Z164" s="249"/>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249"/>
      <c r="W165" s="249"/>
      <c r="X165" s="249"/>
      <c r="Y165" s="249"/>
      <c r="Z165" s="249"/>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249"/>
      <c r="W166" s="249"/>
      <c r="X166" s="249"/>
      <c r="Y166" s="249"/>
      <c r="Z166" s="249"/>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249"/>
      <c r="W167" s="249"/>
      <c r="X167" s="249"/>
      <c r="Y167" s="249"/>
      <c r="Z167" s="249"/>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249"/>
      <c r="W168" s="249"/>
      <c r="X168" s="249"/>
      <c r="Y168" s="249"/>
      <c r="Z168" s="249"/>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249"/>
      <c r="W169" s="249"/>
      <c r="X169" s="249"/>
      <c r="Y169" s="249"/>
      <c r="Z169" s="249"/>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249"/>
      <c r="W170" s="249"/>
      <c r="X170" s="249"/>
      <c r="Y170" s="249"/>
      <c r="Z170" s="249"/>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249"/>
      <c r="W171" s="249"/>
      <c r="X171" s="249"/>
      <c r="Y171" s="249"/>
      <c r="Z171" s="249"/>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249"/>
      <c r="W172" s="249"/>
      <c r="X172" s="249"/>
      <c r="Y172" s="249"/>
      <c r="Z172" s="249"/>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249"/>
      <c r="W173" s="249"/>
      <c r="X173" s="249"/>
      <c r="Y173" s="249"/>
      <c r="Z173" s="249"/>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249"/>
      <c r="W174" s="249"/>
      <c r="X174" s="249"/>
      <c r="Y174" s="249"/>
      <c r="Z174" s="249"/>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249"/>
      <c r="W175" s="249"/>
      <c r="X175" s="249"/>
      <c r="Y175" s="249"/>
      <c r="Z175" s="249"/>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249"/>
      <c r="W176" s="249"/>
      <c r="X176" s="249"/>
      <c r="Y176" s="249"/>
      <c r="Z176" s="249"/>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249"/>
      <c r="W177" s="249"/>
      <c r="X177" s="249"/>
      <c r="Y177" s="249"/>
      <c r="Z177" s="249"/>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249"/>
      <c r="W178" s="249"/>
      <c r="X178" s="249"/>
      <c r="Y178" s="249"/>
      <c r="Z178" s="249"/>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249"/>
      <c r="W179" s="249"/>
      <c r="X179" s="249"/>
      <c r="Y179" s="249"/>
      <c r="Z179" s="249"/>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249"/>
      <c r="W180" s="249"/>
      <c r="X180" s="249"/>
      <c r="Y180" s="249"/>
      <c r="Z180" s="249"/>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249"/>
      <c r="W181" s="249"/>
      <c r="X181" s="249"/>
      <c r="Y181" s="249"/>
      <c r="Z181" s="249"/>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249"/>
      <c r="W182" s="249"/>
      <c r="X182" s="249"/>
      <c r="Y182" s="249"/>
      <c r="Z182" s="249"/>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249"/>
      <c r="W183" s="249"/>
      <c r="X183" s="249"/>
      <c r="Y183" s="249"/>
      <c r="Z183" s="249"/>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249"/>
      <c r="W184" s="249"/>
      <c r="X184" s="249"/>
      <c r="Y184" s="249"/>
      <c r="Z184" s="249"/>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249"/>
      <c r="W185" s="249"/>
      <c r="X185" s="249"/>
      <c r="Y185" s="249"/>
      <c r="Z185" s="249"/>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249"/>
      <c r="W186" s="249"/>
      <c r="X186" s="249"/>
      <c r="Y186" s="249"/>
      <c r="Z186" s="249"/>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249"/>
      <c r="W187" s="249"/>
      <c r="X187" s="249"/>
      <c r="Y187" s="249"/>
      <c r="Z187" s="249"/>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249"/>
      <c r="W188" s="249"/>
      <c r="X188" s="249"/>
      <c r="Y188" s="249"/>
      <c r="Z188" s="249"/>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249"/>
      <c r="W189" s="249"/>
      <c r="X189" s="249"/>
      <c r="Y189" s="249"/>
      <c r="Z189" s="249"/>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249"/>
      <c r="W190" s="249"/>
      <c r="X190" s="249"/>
      <c r="Y190" s="249"/>
      <c r="Z190" s="249"/>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249"/>
      <c r="W191" s="249"/>
      <c r="X191" s="249"/>
      <c r="Y191" s="249"/>
      <c r="Z191" s="249"/>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249"/>
      <c r="W192" s="249"/>
      <c r="X192" s="249"/>
      <c r="Y192" s="249"/>
      <c r="Z192" s="249"/>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249"/>
      <c r="W193" s="249"/>
      <c r="X193" s="249"/>
      <c r="Y193" s="249"/>
      <c r="Z193" s="249"/>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249"/>
      <c r="W194" s="249"/>
      <c r="X194" s="249"/>
      <c r="Y194" s="249"/>
      <c r="Z194" s="249"/>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249"/>
      <c r="W195" s="249"/>
      <c r="X195" s="249"/>
      <c r="Y195" s="249"/>
      <c r="Z195" s="249"/>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249"/>
      <c r="W196" s="249"/>
      <c r="X196" s="249"/>
      <c r="Y196" s="249"/>
      <c r="Z196" s="249"/>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249"/>
      <c r="W197" s="249"/>
      <c r="X197" s="249"/>
      <c r="Y197" s="249"/>
      <c r="Z197" s="249"/>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249"/>
      <c r="W198" s="249"/>
      <c r="X198" s="249"/>
      <c r="Y198" s="249"/>
      <c r="Z198" s="249"/>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249"/>
      <c r="W199" s="249"/>
      <c r="X199" s="249"/>
      <c r="Y199" s="249"/>
      <c r="Z199" s="249"/>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249"/>
      <c r="W200" s="249"/>
      <c r="X200" s="249"/>
      <c r="Y200" s="249"/>
      <c r="Z200" s="249"/>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249"/>
      <c r="W201" s="249"/>
      <c r="X201" s="249"/>
      <c r="Y201" s="249"/>
      <c r="Z201" s="249"/>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249"/>
      <c r="W202" s="249"/>
      <c r="X202" s="249"/>
      <c r="Y202" s="249"/>
      <c r="Z202" s="249"/>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249"/>
      <c r="W203" s="249"/>
      <c r="X203" s="249"/>
      <c r="Y203" s="249"/>
      <c r="Z203" s="249"/>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249"/>
      <c r="W204" s="249"/>
      <c r="X204" s="249"/>
      <c r="Y204" s="249"/>
      <c r="Z204" s="249"/>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249"/>
      <c r="W205" s="249"/>
      <c r="X205" s="249"/>
      <c r="Y205" s="249"/>
      <c r="Z205" s="249"/>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249"/>
      <c r="W206" s="249"/>
      <c r="X206" s="249"/>
      <c r="Y206" s="249"/>
      <c r="Z206" s="249"/>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249"/>
      <c r="W207" s="249"/>
      <c r="X207" s="249"/>
      <c r="Y207" s="249"/>
      <c r="Z207" s="249"/>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249"/>
      <c r="W208" s="249"/>
      <c r="X208" s="249"/>
      <c r="Y208" s="249"/>
      <c r="Z208" s="249"/>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249"/>
      <c r="W209" s="249"/>
      <c r="X209" s="249"/>
      <c r="Y209" s="249"/>
      <c r="Z209" s="249"/>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249"/>
      <c r="W210" s="249"/>
      <c r="X210" s="249"/>
      <c r="Y210" s="249"/>
      <c r="Z210" s="249"/>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249"/>
      <c r="W211" s="249"/>
      <c r="X211" s="249"/>
      <c r="Y211" s="249"/>
      <c r="Z211" s="249"/>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249"/>
      <c r="W212" s="249"/>
      <c r="X212" s="249"/>
      <c r="Y212" s="249"/>
      <c r="Z212" s="249"/>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249"/>
      <c r="W213" s="249"/>
      <c r="X213" s="249"/>
      <c r="Y213" s="249"/>
      <c r="Z213" s="249"/>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249"/>
      <c r="W214" s="249"/>
      <c r="X214" s="249"/>
      <c r="Y214" s="249"/>
      <c r="Z214" s="249"/>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249"/>
      <c r="W215" s="249"/>
      <c r="X215" s="249"/>
      <c r="Y215" s="249"/>
      <c r="Z215" s="249"/>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249"/>
      <c r="W216" s="249"/>
      <c r="X216" s="249"/>
      <c r="Y216" s="249"/>
      <c r="Z216" s="249"/>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249"/>
      <c r="W217" s="249"/>
      <c r="X217" s="249"/>
      <c r="Y217" s="249"/>
      <c r="Z217" s="249"/>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249"/>
      <c r="W218" s="249"/>
      <c r="X218" s="249"/>
      <c r="Y218" s="249"/>
      <c r="Z218" s="249"/>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249"/>
      <c r="W219" s="249"/>
      <c r="X219" s="249"/>
      <c r="Y219" s="249"/>
      <c r="Z219" s="249"/>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249"/>
      <c r="W220" s="249"/>
      <c r="X220" s="249"/>
      <c r="Y220" s="249"/>
      <c r="Z220" s="249"/>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249"/>
      <c r="W221" s="249"/>
      <c r="X221" s="249"/>
      <c r="Y221" s="249"/>
      <c r="Z221" s="249"/>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249"/>
      <c r="W222" s="249"/>
      <c r="X222" s="249"/>
      <c r="Y222" s="249"/>
      <c r="Z222" s="249"/>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249"/>
      <c r="W223" s="249"/>
      <c r="X223" s="249"/>
      <c r="Y223" s="249"/>
      <c r="Z223" s="249"/>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249"/>
      <c r="W224" s="249"/>
      <c r="X224" s="249"/>
      <c r="Y224" s="249"/>
      <c r="Z224" s="249"/>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249"/>
      <c r="W225" s="249"/>
      <c r="X225" s="249"/>
      <c r="Y225" s="249"/>
      <c r="Z225" s="249"/>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249"/>
      <c r="W226" s="249"/>
      <c r="X226" s="249"/>
      <c r="Y226" s="249"/>
      <c r="Z226" s="249"/>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249"/>
      <c r="W227" s="249"/>
      <c r="X227" s="249"/>
      <c r="Y227" s="249"/>
      <c r="Z227" s="249"/>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249"/>
      <c r="W228" s="249"/>
      <c r="X228" s="249"/>
      <c r="Y228" s="249"/>
      <c r="Z228" s="249"/>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249"/>
      <c r="W229" s="249"/>
      <c r="X229" s="249"/>
      <c r="Y229" s="249"/>
      <c r="Z229" s="249"/>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249"/>
      <c r="W230" s="249"/>
      <c r="X230" s="249"/>
      <c r="Y230" s="249"/>
      <c r="Z230" s="249"/>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249"/>
      <c r="W231" s="249"/>
      <c r="X231" s="249"/>
      <c r="Y231" s="249"/>
      <c r="Z231" s="249"/>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249"/>
      <c r="W232" s="249"/>
      <c r="X232" s="249"/>
      <c r="Y232" s="249"/>
      <c r="Z232" s="249"/>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249"/>
      <c r="W233" s="249"/>
      <c r="X233" s="249"/>
      <c r="Y233" s="249"/>
      <c r="Z233" s="249"/>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249"/>
      <c r="W234" s="249"/>
      <c r="X234" s="249"/>
      <c r="Y234" s="249"/>
      <c r="Z234" s="249"/>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249"/>
      <c r="W235" s="249"/>
      <c r="X235" s="249"/>
      <c r="Y235" s="249"/>
      <c r="Z235" s="249"/>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249"/>
      <c r="W236" s="249"/>
      <c r="X236" s="249"/>
      <c r="Y236" s="249"/>
      <c r="Z236" s="249"/>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249"/>
      <c r="W237" s="249"/>
      <c r="X237" s="249"/>
      <c r="Y237" s="249"/>
      <c r="Z237" s="249"/>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249"/>
      <c r="W238" s="249"/>
      <c r="X238" s="249"/>
      <c r="Y238" s="249"/>
      <c r="Z238" s="249"/>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249"/>
      <c r="W239" s="249"/>
      <c r="X239" s="249"/>
      <c r="Y239" s="249"/>
      <c r="Z239" s="249"/>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249"/>
      <c r="W240" s="249"/>
      <c r="X240" s="249"/>
      <c r="Y240" s="249"/>
      <c r="Z240" s="249"/>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249"/>
      <c r="W241" s="249"/>
      <c r="X241" s="249"/>
      <c r="Y241" s="249"/>
      <c r="Z241" s="249"/>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249"/>
      <c r="W242" s="249"/>
      <c r="X242" s="249"/>
      <c r="Y242" s="249"/>
      <c r="Z242" s="249"/>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249"/>
      <c r="W243" s="249"/>
      <c r="X243" s="249"/>
      <c r="Y243" s="249"/>
      <c r="Z243" s="249"/>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249"/>
      <c r="W244" s="249"/>
      <c r="X244" s="249"/>
      <c r="Y244" s="249"/>
      <c r="Z244" s="249"/>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249"/>
      <c r="W245" s="249"/>
      <c r="X245" s="249"/>
      <c r="Y245" s="249"/>
      <c r="Z245" s="249"/>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249"/>
      <c r="W246" s="249"/>
      <c r="X246" s="249"/>
      <c r="Y246" s="249"/>
      <c r="Z246" s="249"/>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249"/>
      <c r="W247" s="249"/>
      <c r="X247" s="249"/>
      <c r="Y247" s="249"/>
      <c r="Z247" s="249"/>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249"/>
      <c r="W248" s="249"/>
      <c r="X248" s="249"/>
      <c r="Y248" s="249"/>
      <c r="Z248" s="249"/>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249"/>
      <c r="W249" s="249"/>
      <c r="X249" s="249"/>
      <c r="Y249" s="249"/>
      <c r="Z249" s="249"/>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c r="V250" s="249"/>
      <c r="W250" s="249"/>
      <c r="X250" s="249"/>
      <c r="Y250" s="249"/>
      <c r="Z250" s="249"/>
    </row>
    <row r="251" ht="13.5" customHeight="1">
      <c r="A251" s="110"/>
      <c r="B251" s="143"/>
      <c r="C251" s="110"/>
      <c r="D251" s="111"/>
      <c r="E251" s="110"/>
      <c r="F251" s="110"/>
      <c r="G251" s="110"/>
      <c r="H251" s="110"/>
      <c r="I251" s="110"/>
      <c r="J251" s="110"/>
      <c r="K251" s="110"/>
      <c r="L251" s="110"/>
      <c r="M251" s="110"/>
      <c r="N251" s="110"/>
      <c r="O251" s="110"/>
      <c r="P251" s="110"/>
      <c r="Q251" s="110"/>
      <c r="R251" s="110"/>
      <c r="S251" s="110"/>
      <c r="T251" s="110"/>
      <c r="U251" s="110"/>
      <c r="V251" s="249"/>
      <c r="W251" s="249"/>
      <c r="X251" s="249"/>
      <c r="Y251" s="249"/>
      <c r="Z251" s="249"/>
    </row>
    <row r="252" ht="13.5" customHeight="1">
      <c r="A252" s="110"/>
      <c r="B252" s="143"/>
      <c r="C252" s="110"/>
      <c r="D252" s="111"/>
      <c r="E252" s="110"/>
      <c r="F252" s="110"/>
      <c r="G252" s="110"/>
      <c r="H252" s="110"/>
      <c r="I252" s="110"/>
      <c r="J252" s="110"/>
      <c r="K252" s="110"/>
      <c r="L252" s="110"/>
      <c r="M252" s="110"/>
      <c r="N252" s="110"/>
      <c r="O252" s="110"/>
      <c r="P252" s="110"/>
      <c r="Q252" s="110"/>
      <c r="R252" s="110"/>
      <c r="S252" s="110"/>
      <c r="T252" s="110"/>
      <c r="U252" s="110"/>
      <c r="V252" s="249"/>
      <c r="W252" s="249"/>
      <c r="X252" s="249"/>
      <c r="Y252" s="249"/>
      <c r="Z252" s="249"/>
    </row>
    <row r="253" ht="13.5" customHeight="1">
      <c r="A253" s="110"/>
      <c r="B253" s="143"/>
      <c r="C253" s="110"/>
      <c r="D253" s="111"/>
      <c r="E253" s="110"/>
      <c r="F253" s="110"/>
      <c r="G253" s="110"/>
      <c r="H253" s="110"/>
      <c r="I253" s="110"/>
      <c r="J253" s="110"/>
      <c r="K253" s="110"/>
      <c r="L253" s="110"/>
      <c r="M253" s="110"/>
      <c r="N253" s="110"/>
      <c r="O253" s="110"/>
      <c r="P253" s="110"/>
      <c r="Q253" s="110"/>
      <c r="R253" s="110"/>
      <c r="S253" s="110"/>
      <c r="T253" s="110"/>
      <c r="U253" s="110"/>
      <c r="V253" s="249"/>
      <c r="W253" s="249"/>
      <c r="X253" s="249"/>
      <c r="Y253" s="249"/>
      <c r="Z253" s="249"/>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B2"/>
    <mergeCell ref="C2:E2"/>
    <mergeCell ref="F2:K2"/>
    <mergeCell ref="L2:O2"/>
    <mergeCell ref="C3:E3"/>
    <mergeCell ref="F3:K3"/>
    <mergeCell ref="L3:N3"/>
    <mergeCell ref="A3:B3"/>
    <mergeCell ref="A4:B4"/>
    <mergeCell ref="C4:D4"/>
    <mergeCell ref="F4:K4"/>
    <mergeCell ref="L4:O4"/>
    <mergeCell ref="A5:B5"/>
    <mergeCell ref="C5:O5"/>
    <mergeCell ref="D19:E19"/>
    <mergeCell ref="B50:D50"/>
    <mergeCell ref="B51:D51"/>
    <mergeCell ref="B52:D52"/>
    <mergeCell ref="B53:D53"/>
    <mergeCell ref="A6:B6"/>
    <mergeCell ref="C6:E6"/>
    <mergeCell ref="F6:K6"/>
    <mergeCell ref="L6:N6"/>
    <mergeCell ref="A7:B7"/>
    <mergeCell ref="C7:E7"/>
    <mergeCell ref="F7:K7"/>
  </mergeCells>
  <dataValidations>
    <dataValidation type="list" allowBlank="1" showInputMessage="1" showErrorMessage="1" prompt=" - " sqref="F51:O51">
      <formula1>"P,F"</formula1>
    </dataValidation>
    <dataValidation type="list" allowBlank="1" showInputMessage="1" showErrorMessage="1" prompt=" - " sqref="F10:O36 F37:K37 M37:O37 F38:O49">
      <formula1>"O"</formula1>
    </dataValidation>
    <dataValidation type="list" allowBlank="1" showInputMessage="1" showErrorMessage="1" prompt=" - " sqref="F50:O50">
      <formula1>"N,A,B"</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hidden="1" min="5" max="5" width="1.88"/>
    <col customWidth="1" min="6" max="6" width="5.75"/>
    <col customWidth="1" min="7" max="7" width="4.38"/>
    <col customWidth="1" min="8" max="8" width="5.5"/>
    <col customWidth="1" min="9" max="9" width="5.0"/>
    <col customWidth="1" min="10" max="10" width="5.25"/>
    <col customWidth="1" min="11" max="11" width="4.75"/>
    <col customWidth="1" min="12" max="12" width="4.5"/>
    <col customWidth="1" min="13" max="13" width="5.0"/>
    <col customWidth="1" min="14" max="14" width="4.25"/>
    <col customWidth="1" min="15" max="15" width="6.63"/>
    <col customWidth="1" min="16" max="16" width="2.88"/>
    <col customWidth="1" min="17" max="18" width="9.0"/>
    <col customWidth="1" min="19" max="21"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249"/>
      <c r="W1" s="249"/>
      <c r="X1" s="249"/>
      <c r="Y1" s="249"/>
      <c r="Z1" s="249"/>
    </row>
    <row r="2" ht="13.5" customHeight="1">
      <c r="A2" s="112" t="s">
        <v>337</v>
      </c>
      <c r="B2" s="113"/>
      <c r="C2" s="250" t="str">
        <f>Functions!E24</f>
        <v>F-14</v>
      </c>
      <c r="D2" s="251"/>
      <c r="E2" s="252"/>
      <c r="F2" s="116" t="s">
        <v>71</v>
      </c>
      <c r="G2" s="117"/>
      <c r="H2" s="117"/>
      <c r="I2" s="117"/>
      <c r="J2" s="117"/>
      <c r="K2" s="117"/>
      <c r="L2" s="118" t="str">
        <f>Functions!D24</f>
        <v>Campaign, batch discount scope and non-stacking</v>
      </c>
      <c r="M2" s="113"/>
      <c r="N2" s="113"/>
      <c r="O2" s="119"/>
      <c r="P2" s="110"/>
      <c r="Q2" s="120"/>
      <c r="R2" s="110"/>
      <c r="S2" s="110"/>
      <c r="T2" s="110"/>
      <c r="U2" s="110"/>
      <c r="V2" s="249"/>
      <c r="W2" s="249"/>
      <c r="X2" s="249"/>
      <c r="Y2" s="249"/>
      <c r="Z2" s="249"/>
    </row>
    <row r="3" ht="13.5" customHeight="1">
      <c r="A3" s="121" t="s">
        <v>338</v>
      </c>
      <c r="B3" s="13"/>
      <c r="C3" s="253" t="s">
        <v>183</v>
      </c>
      <c r="D3" s="123"/>
      <c r="E3" s="124"/>
      <c r="F3" s="125" t="s">
        <v>339</v>
      </c>
      <c r="G3" s="12"/>
      <c r="H3" s="12"/>
      <c r="I3" s="12"/>
      <c r="J3" s="12"/>
      <c r="K3" s="13"/>
      <c r="L3" s="126"/>
      <c r="M3" s="123"/>
      <c r="N3" s="123"/>
      <c r="O3" s="127"/>
      <c r="P3" s="110"/>
      <c r="Q3" s="110"/>
      <c r="R3" s="110"/>
      <c r="S3" s="110"/>
      <c r="T3" s="110"/>
      <c r="U3" s="110"/>
      <c r="V3" s="249"/>
      <c r="W3" s="249"/>
      <c r="X3" s="249"/>
      <c r="Y3" s="249"/>
      <c r="Z3" s="249"/>
    </row>
    <row r="4" ht="13.5" customHeight="1">
      <c r="A4" s="121" t="s">
        <v>340</v>
      </c>
      <c r="B4" s="13"/>
      <c r="C4" s="128"/>
      <c r="D4" s="12"/>
      <c r="E4" s="129"/>
      <c r="F4" s="125" t="s">
        <v>341</v>
      </c>
      <c r="G4" s="12"/>
      <c r="H4" s="12"/>
      <c r="I4" s="12"/>
      <c r="J4" s="12"/>
      <c r="K4" s="13"/>
      <c r="L4" s="130" t="str">
        <f>IF(OR(C4="",Functions!E6="N/A"),"N/A",C4*Functions!E6/1000-O7)</f>
        <v>N/A</v>
      </c>
      <c r="M4" s="12"/>
      <c r="N4" s="12"/>
      <c r="O4" s="131"/>
      <c r="P4" s="110"/>
      <c r="Q4" s="120"/>
      <c r="R4" s="110"/>
      <c r="S4" s="110"/>
      <c r="T4" s="110"/>
      <c r="U4" s="110"/>
      <c r="V4" s="249"/>
      <c r="W4" s="249"/>
      <c r="X4" s="249"/>
      <c r="Y4" s="249"/>
      <c r="Z4" s="249"/>
    </row>
    <row r="5">
      <c r="A5" s="121" t="s">
        <v>342</v>
      </c>
      <c r="B5" s="13"/>
      <c r="C5" s="132" t="s">
        <v>481</v>
      </c>
      <c r="D5" s="12"/>
      <c r="E5" s="12"/>
      <c r="F5" s="12"/>
      <c r="G5" s="12"/>
      <c r="H5" s="12"/>
      <c r="I5" s="12"/>
      <c r="J5" s="12"/>
      <c r="K5" s="12"/>
      <c r="L5" s="12"/>
      <c r="M5" s="12"/>
      <c r="N5" s="12"/>
      <c r="O5" s="131"/>
      <c r="P5" s="110"/>
      <c r="Q5" s="110"/>
      <c r="R5" s="110"/>
      <c r="S5" s="110"/>
      <c r="T5" s="110"/>
      <c r="U5" s="110"/>
      <c r="V5" s="249"/>
      <c r="W5" s="249"/>
      <c r="X5" s="249"/>
      <c r="Y5" s="249"/>
      <c r="Z5" s="249"/>
    </row>
    <row r="6" ht="13.5" customHeight="1">
      <c r="A6" s="133" t="s">
        <v>217</v>
      </c>
      <c r="B6" s="13"/>
      <c r="C6" s="134" t="s">
        <v>218</v>
      </c>
      <c r="D6" s="12"/>
      <c r="E6" s="13"/>
      <c r="F6" s="134" t="s">
        <v>219</v>
      </c>
      <c r="G6" s="12"/>
      <c r="H6" s="12"/>
      <c r="I6" s="12"/>
      <c r="J6" s="12"/>
      <c r="K6" s="13"/>
      <c r="L6" s="135" t="s">
        <v>343</v>
      </c>
      <c r="M6" s="12"/>
      <c r="N6" s="12"/>
      <c r="O6" s="136" t="s">
        <v>222</v>
      </c>
      <c r="P6" s="110"/>
      <c r="Q6" s="120"/>
      <c r="R6" s="110"/>
      <c r="S6" s="110"/>
      <c r="T6" s="110"/>
      <c r="U6" s="110"/>
      <c r="V6" s="249"/>
      <c r="W6" s="249"/>
      <c r="X6" s="249"/>
      <c r="Y6" s="249"/>
      <c r="Z6" s="249"/>
    </row>
    <row r="7" ht="13.5" customHeight="1">
      <c r="A7" s="137">
        <f>COUNTIF(F38:O38,"P")</f>
        <v>0</v>
      </c>
      <c r="B7" s="138"/>
      <c r="C7" s="139">
        <f>COUNTIF(F38:O38,"F")</f>
        <v>0</v>
      </c>
      <c r="D7" s="140"/>
      <c r="E7" s="138"/>
      <c r="F7" s="139">
        <f>SUM(O7,-A7,-C7)</f>
        <v>5</v>
      </c>
      <c r="G7" s="140"/>
      <c r="H7" s="140"/>
      <c r="I7" s="140"/>
      <c r="J7" s="140"/>
      <c r="K7" s="138"/>
      <c r="L7" s="141">
        <f>COUNTIF(F37:O37,"N")</f>
        <v>3</v>
      </c>
      <c r="M7" s="141">
        <f>COUNTIF(F37:O37,"A")</f>
        <v>1</v>
      </c>
      <c r="N7" s="141">
        <f>COUNTIF(F37:O37,"B")</f>
        <v>1</v>
      </c>
      <c r="O7" s="142">
        <f>COUNTA(F9:O9)</f>
        <v>5</v>
      </c>
      <c r="P7" s="242"/>
      <c r="Q7" s="110"/>
      <c r="R7" s="110"/>
      <c r="S7" s="110"/>
      <c r="T7" s="110"/>
      <c r="U7" s="110"/>
      <c r="V7" s="249"/>
      <c r="W7" s="249"/>
      <c r="X7" s="249"/>
      <c r="Y7" s="249"/>
      <c r="Z7" s="249"/>
    </row>
    <row r="8" ht="12.0" customHeight="1">
      <c r="A8" s="110"/>
      <c r="B8" s="143"/>
      <c r="C8" s="110"/>
      <c r="D8" s="111"/>
      <c r="E8" s="110"/>
      <c r="F8" s="110"/>
      <c r="G8" s="110"/>
      <c r="H8" s="110"/>
      <c r="I8" s="110"/>
      <c r="J8" s="110"/>
      <c r="K8" s="110"/>
      <c r="L8" s="110"/>
      <c r="M8" s="110"/>
      <c r="N8" s="110"/>
      <c r="O8" s="110"/>
      <c r="P8" s="110"/>
      <c r="Q8" s="110"/>
      <c r="R8" s="110"/>
      <c r="S8" s="110"/>
      <c r="T8" s="110"/>
      <c r="U8" s="110"/>
      <c r="V8" s="249"/>
      <c r="W8" s="249"/>
      <c r="X8" s="249"/>
      <c r="Y8" s="249"/>
      <c r="Z8" s="249"/>
    </row>
    <row r="9" ht="45.0" customHeight="1">
      <c r="A9" s="243"/>
      <c r="B9" s="244"/>
      <c r="C9" s="245"/>
      <c r="D9" s="246"/>
      <c r="E9" s="245"/>
      <c r="F9" s="247" t="s">
        <v>344</v>
      </c>
      <c r="G9" s="247" t="s">
        <v>345</v>
      </c>
      <c r="H9" s="247" t="s">
        <v>346</v>
      </c>
      <c r="I9" s="247" t="s">
        <v>347</v>
      </c>
      <c r="J9" s="247" t="s">
        <v>348</v>
      </c>
      <c r="K9" s="247"/>
      <c r="L9" s="247"/>
      <c r="M9" s="247"/>
      <c r="N9" s="247"/>
      <c r="O9" s="247"/>
      <c r="P9" s="150"/>
      <c r="Q9" s="120"/>
      <c r="R9" s="110"/>
      <c r="S9" s="110"/>
      <c r="T9" s="110"/>
      <c r="U9" s="110"/>
      <c r="V9" s="249"/>
      <c r="W9" s="249"/>
      <c r="X9" s="249"/>
      <c r="Y9" s="249"/>
      <c r="Z9" s="249"/>
    </row>
    <row r="10" ht="13.5" customHeight="1">
      <c r="A10" s="151" t="s">
        <v>350</v>
      </c>
      <c r="B10" s="163" t="s">
        <v>351</v>
      </c>
      <c r="C10" s="171"/>
      <c r="D10" s="174"/>
      <c r="E10" s="248"/>
      <c r="F10" s="165"/>
      <c r="G10" s="165"/>
      <c r="H10" s="165"/>
      <c r="I10" s="165"/>
      <c r="J10" s="165"/>
      <c r="K10" s="165"/>
      <c r="L10" s="165"/>
      <c r="M10" s="165"/>
      <c r="N10" s="165"/>
      <c r="O10" s="165"/>
      <c r="P10" s="110"/>
      <c r="Q10" s="110"/>
      <c r="R10" s="110"/>
      <c r="S10" s="110"/>
      <c r="T10" s="110"/>
      <c r="U10" s="110"/>
      <c r="V10" s="249"/>
      <c r="W10" s="249"/>
      <c r="X10" s="249"/>
      <c r="Y10" s="249"/>
      <c r="Z10" s="249"/>
    </row>
    <row r="11" ht="13.5" customHeight="1">
      <c r="A11" s="162"/>
      <c r="B11" s="163"/>
      <c r="C11" s="171"/>
      <c r="D11" s="174" t="s">
        <v>482</v>
      </c>
      <c r="E11" s="155"/>
      <c r="F11" s="165" t="s">
        <v>353</v>
      </c>
      <c r="G11" s="165"/>
      <c r="H11" s="165"/>
      <c r="I11" s="165"/>
      <c r="J11" s="165"/>
      <c r="K11" s="165"/>
      <c r="L11" s="165"/>
      <c r="M11" s="165"/>
      <c r="N11" s="165"/>
      <c r="O11" s="165"/>
      <c r="P11" s="110"/>
      <c r="Q11" s="120"/>
      <c r="R11" s="110"/>
      <c r="S11" s="110"/>
      <c r="T11" s="110"/>
      <c r="U11" s="110"/>
      <c r="V11" s="249"/>
      <c r="W11" s="249"/>
      <c r="X11" s="249"/>
      <c r="Y11" s="249"/>
      <c r="Z11" s="249"/>
    </row>
    <row r="12" ht="13.5" customHeight="1">
      <c r="A12" s="162"/>
      <c r="B12" s="163"/>
      <c r="C12" s="171"/>
      <c r="D12" s="174" t="s">
        <v>483</v>
      </c>
      <c r="E12" s="155"/>
      <c r="F12" s="165"/>
      <c r="G12" s="165" t="s">
        <v>353</v>
      </c>
      <c r="H12" s="165"/>
      <c r="I12" s="165"/>
      <c r="J12" s="165"/>
      <c r="K12" s="165"/>
      <c r="L12" s="165"/>
      <c r="M12" s="165"/>
      <c r="N12" s="165"/>
      <c r="O12" s="165"/>
      <c r="P12" s="110"/>
      <c r="Q12" s="110"/>
      <c r="R12" s="110"/>
      <c r="S12" s="110"/>
      <c r="T12" s="110"/>
      <c r="U12" s="110"/>
      <c r="V12" s="249"/>
      <c r="W12" s="249"/>
      <c r="X12" s="249"/>
      <c r="Y12" s="249"/>
      <c r="Z12" s="249"/>
    </row>
    <row r="13" ht="13.5" customHeight="1">
      <c r="A13" s="162"/>
      <c r="B13" s="163"/>
      <c r="C13" s="171"/>
      <c r="D13" s="174"/>
      <c r="E13" s="170"/>
      <c r="F13" s="165"/>
      <c r="G13" s="165"/>
      <c r="H13" s="165"/>
      <c r="I13" s="165"/>
      <c r="J13" s="165"/>
      <c r="K13" s="165"/>
      <c r="L13" s="165"/>
      <c r="M13" s="165"/>
      <c r="N13" s="165"/>
      <c r="O13" s="165"/>
      <c r="P13" s="110"/>
      <c r="Q13" s="110"/>
      <c r="R13" s="110"/>
      <c r="S13" s="110"/>
      <c r="T13" s="110"/>
      <c r="U13" s="110"/>
      <c r="V13" s="249"/>
      <c r="W13" s="249"/>
      <c r="X13" s="249"/>
      <c r="Y13" s="249"/>
      <c r="Z13" s="249"/>
    </row>
    <row r="14" ht="13.5" customHeight="1">
      <c r="A14" s="162"/>
      <c r="B14" s="163"/>
      <c r="C14" s="171"/>
      <c r="D14" s="174" t="s">
        <v>484</v>
      </c>
      <c r="E14" s="173"/>
      <c r="F14" s="165"/>
      <c r="G14" s="165"/>
      <c r="H14" s="165" t="s">
        <v>353</v>
      </c>
      <c r="I14" s="165"/>
      <c r="J14" s="165"/>
      <c r="K14" s="165"/>
      <c r="L14" s="165"/>
      <c r="M14" s="165"/>
      <c r="N14" s="165"/>
      <c r="O14" s="165"/>
      <c r="P14" s="110"/>
      <c r="Q14" s="110"/>
      <c r="R14" s="110"/>
      <c r="S14" s="110"/>
      <c r="T14" s="110"/>
      <c r="U14" s="110"/>
      <c r="V14" s="249"/>
      <c r="W14" s="249"/>
      <c r="X14" s="249"/>
      <c r="Y14" s="249"/>
      <c r="Z14" s="249"/>
    </row>
    <row r="15" ht="13.5" customHeight="1">
      <c r="A15" s="162"/>
      <c r="B15" s="163"/>
      <c r="C15" s="171"/>
      <c r="D15" s="174" t="s">
        <v>485</v>
      </c>
      <c r="E15" s="173"/>
      <c r="F15" s="165"/>
      <c r="G15" s="165"/>
      <c r="H15" s="165"/>
      <c r="I15" s="165" t="s">
        <v>353</v>
      </c>
      <c r="J15" s="165"/>
      <c r="K15" s="165"/>
      <c r="L15" s="165"/>
      <c r="M15" s="165"/>
      <c r="N15" s="165"/>
      <c r="O15" s="165"/>
      <c r="P15" s="110"/>
      <c r="Q15" s="110"/>
      <c r="R15" s="110"/>
      <c r="S15" s="110"/>
      <c r="T15" s="110"/>
      <c r="U15" s="110"/>
      <c r="V15" s="249"/>
      <c r="W15" s="249"/>
      <c r="X15" s="249"/>
      <c r="Y15" s="249"/>
      <c r="Z15" s="249"/>
    </row>
    <row r="16" ht="13.5" customHeight="1">
      <c r="A16" s="162"/>
      <c r="B16" s="163"/>
      <c r="C16" s="171"/>
      <c r="D16" s="174" t="s">
        <v>486</v>
      </c>
      <c r="E16" s="173"/>
      <c r="F16" s="165"/>
      <c r="G16" s="165"/>
      <c r="H16" s="165"/>
      <c r="I16" s="165"/>
      <c r="J16" s="165" t="s">
        <v>353</v>
      </c>
      <c r="K16" s="165"/>
      <c r="L16" s="165"/>
      <c r="M16" s="165"/>
      <c r="N16" s="165"/>
      <c r="O16" s="165"/>
      <c r="P16" s="110"/>
      <c r="Q16" s="110"/>
      <c r="R16" s="110"/>
      <c r="S16" s="110"/>
      <c r="T16" s="110"/>
      <c r="U16" s="110"/>
      <c r="V16" s="249"/>
      <c r="W16" s="249"/>
      <c r="X16" s="249"/>
      <c r="Y16" s="249"/>
      <c r="Z16" s="249"/>
    </row>
    <row r="17" ht="13.5" customHeight="1">
      <c r="A17" s="162"/>
      <c r="B17" s="163"/>
      <c r="C17" s="171"/>
      <c r="D17" s="174"/>
      <c r="E17" s="173"/>
      <c r="F17" s="266"/>
      <c r="G17" s="266"/>
      <c r="H17" s="266"/>
      <c r="I17" s="266"/>
      <c r="J17" s="266"/>
      <c r="K17" s="267"/>
      <c r="L17" s="267"/>
      <c r="M17" s="267"/>
      <c r="N17" s="267"/>
      <c r="O17" s="266"/>
      <c r="P17" s="175"/>
      <c r="Q17" s="110"/>
      <c r="R17" s="110"/>
      <c r="S17" s="110"/>
      <c r="T17" s="110"/>
      <c r="U17" s="110"/>
      <c r="V17" s="249"/>
      <c r="W17" s="249"/>
      <c r="X17" s="249"/>
      <c r="Y17" s="249"/>
      <c r="Z17" s="249"/>
    </row>
    <row r="18" ht="13.5" customHeight="1">
      <c r="A18" s="162"/>
      <c r="B18" s="163"/>
      <c r="C18" s="171"/>
      <c r="D18" s="268"/>
      <c r="E18" s="269"/>
      <c r="F18" s="267"/>
      <c r="G18" s="267"/>
      <c r="H18" s="267"/>
      <c r="I18" s="267"/>
      <c r="J18" s="267"/>
      <c r="K18" s="266"/>
      <c r="L18" s="267"/>
      <c r="M18" s="267"/>
      <c r="N18" s="267"/>
      <c r="O18" s="267"/>
      <c r="P18" s="175"/>
      <c r="Q18" s="110"/>
      <c r="R18" s="110"/>
      <c r="S18" s="110"/>
      <c r="T18" s="110"/>
      <c r="U18" s="110"/>
      <c r="V18" s="249"/>
      <c r="W18" s="249"/>
      <c r="X18" s="249"/>
      <c r="Y18" s="249"/>
      <c r="Z18" s="249"/>
    </row>
    <row r="19" ht="13.5" customHeight="1">
      <c r="A19" s="162"/>
      <c r="B19" s="163"/>
      <c r="C19" s="270"/>
      <c r="D19" s="271"/>
      <c r="E19" s="13"/>
      <c r="F19" s="272"/>
      <c r="G19" s="267"/>
      <c r="H19" s="267"/>
      <c r="I19" s="267"/>
      <c r="J19" s="267"/>
      <c r="K19" s="267"/>
      <c r="L19" s="266"/>
      <c r="M19" s="266"/>
      <c r="N19" s="266"/>
      <c r="O19" s="267"/>
      <c r="P19" s="175"/>
      <c r="Q19" s="110"/>
      <c r="R19" s="110"/>
      <c r="S19" s="110"/>
      <c r="T19" s="110"/>
      <c r="U19" s="110"/>
      <c r="V19" s="249"/>
      <c r="W19" s="249"/>
      <c r="X19" s="249"/>
      <c r="Y19" s="249"/>
      <c r="Z19" s="249"/>
    </row>
    <row r="20" ht="13.5" customHeight="1">
      <c r="A20" s="157"/>
      <c r="B20" s="158"/>
      <c r="C20" s="226"/>
      <c r="D20" s="172"/>
      <c r="E20" s="273"/>
      <c r="F20" s="156"/>
      <c r="G20" s="156"/>
      <c r="H20" s="156"/>
      <c r="I20" s="156"/>
      <c r="J20" s="156"/>
      <c r="K20" s="156"/>
      <c r="L20" s="156"/>
      <c r="M20" s="156"/>
      <c r="N20" s="156"/>
      <c r="O20" s="156"/>
      <c r="P20" s="110"/>
      <c r="Q20" s="110"/>
      <c r="R20" s="110"/>
      <c r="S20" s="110"/>
      <c r="T20" s="110"/>
      <c r="U20" s="110"/>
      <c r="V20" s="249"/>
      <c r="W20" s="249"/>
      <c r="X20" s="249"/>
      <c r="Y20" s="249"/>
      <c r="Z20" s="249"/>
    </row>
    <row r="21" ht="13.5" customHeight="1">
      <c r="A21" s="157"/>
      <c r="B21" s="158"/>
      <c r="C21" s="226"/>
      <c r="D21" s="172"/>
      <c r="E21" s="227"/>
      <c r="F21" s="156"/>
      <c r="G21" s="156"/>
      <c r="H21" s="156"/>
      <c r="I21" s="156"/>
      <c r="J21" s="156"/>
      <c r="K21" s="156"/>
      <c r="L21" s="156"/>
      <c r="M21" s="156"/>
      <c r="N21" s="156"/>
      <c r="O21" s="156"/>
      <c r="P21" s="110"/>
      <c r="Q21" s="110"/>
      <c r="R21" s="110"/>
      <c r="S21" s="110"/>
      <c r="T21" s="110"/>
      <c r="U21" s="110"/>
      <c r="V21" s="249"/>
      <c r="W21" s="249"/>
      <c r="X21" s="249"/>
      <c r="Y21" s="249"/>
      <c r="Z21" s="249"/>
    </row>
    <row r="22" ht="13.5" customHeight="1">
      <c r="A22" s="157"/>
      <c r="B22" s="158"/>
      <c r="C22" s="226"/>
      <c r="D22" s="172"/>
      <c r="E22" s="227"/>
      <c r="F22" s="156"/>
      <c r="G22" s="156"/>
      <c r="H22" s="156"/>
      <c r="I22" s="156"/>
      <c r="J22" s="156"/>
      <c r="K22" s="156"/>
      <c r="L22" s="156"/>
      <c r="M22" s="156"/>
      <c r="N22" s="156"/>
      <c r="O22" s="156"/>
      <c r="P22" s="110"/>
      <c r="Q22" s="110"/>
      <c r="R22" s="110"/>
      <c r="S22" s="110"/>
      <c r="T22" s="110"/>
      <c r="U22" s="110"/>
      <c r="V22" s="249"/>
      <c r="W22" s="249"/>
      <c r="X22" s="249"/>
      <c r="Y22" s="249"/>
      <c r="Z22" s="249"/>
    </row>
    <row r="23" ht="13.5" customHeight="1">
      <c r="A23" s="157"/>
      <c r="B23" s="158"/>
      <c r="C23" s="226"/>
      <c r="D23" s="172"/>
      <c r="E23" s="227"/>
      <c r="F23" s="156"/>
      <c r="G23" s="156"/>
      <c r="H23" s="156"/>
      <c r="I23" s="156"/>
      <c r="J23" s="156"/>
      <c r="K23" s="156"/>
      <c r="L23" s="156"/>
      <c r="M23" s="156"/>
      <c r="N23" s="156"/>
      <c r="O23" s="156"/>
      <c r="P23" s="110"/>
      <c r="Q23" s="110"/>
      <c r="R23" s="110"/>
      <c r="S23" s="110"/>
      <c r="T23" s="110"/>
      <c r="U23" s="110"/>
      <c r="V23" s="249"/>
      <c r="W23" s="249"/>
      <c r="X23" s="249"/>
      <c r="Y23" s="249"/>
      <c r="Z23" s="249"/>
    </row>
    <row r="24" ht="13.5" customHeight="1">
      <c r="A24" s="157"/>
      <c r="B24" s="158"/>
      <c r="C24" s="226"/>
      <c r="D24" s="172"/>
      <c r="E24" s="227"/>
      <c r="F24" s="156"/>
      <c r="G24" s="156"/>
      <c r="H24" s="156"/>
      <c r="I24" s="156"/>
      <c r="J24" s="156"/>
      <c r="K24" s="156"/>
      <c r="L24" s="156"/>
      <c r="M24" s="156"/>
      <c r="N24" s="156"/>
      <c r="O24" s="156"/>
      <c r="P24" s="110"/>
      <c r="Q24" s="110"/>
      <c r="R24" s="110"/>
      <c r="S24" s="110"/>
      <c r="T24" s="110"/>
      <c r="U24" s="110"/>
      <c r="V24" s="249"/>
      <c r="W24" s="249"/>
      <c r="X24" s="249"/>
      <c r="Y24" s="249"/>
      <c r="Z24" s="249"/>
    </row>
    <row r="25" ht="13.5" customHeight="1">
      <c r="A25" s="157"/>
      <c r="B25" s="158"/>
      <c r="C25" s="226"/>
      <c r="D25" s="172"/>
      <c r="E25" s="227"/>
      <c r="F25" s="156"/>
      <c r="G25" s="156"/>
      <c r="H25" s="156"/>
      <c r="I25" s="156"/>
      <c r="J25" s="156"/>
      <c r="K25" s="156"/>
      <c r="L25" s="156"/>
      <c r="M25" s="156"/>
      <c r="N25" s="156"/>
      <c r="O25" s="156"/>
      <c r="P25" s="110"/>
      <c r="Q25" s="110"/>
      <c r="R25" s="110"/>
      <c r="S25" s="110"/>
      <c r="T25" s="110"/>
      <c r="U25" s="110"/>
      <c r="V25" s="249"/>
      <c r="W25" s="249"/>
      <c r="X25" s="249"/>
      <c r="Y25" s="249"/>
      <c r="Z25" s="249"/>
    </row>
    <row r="26" ht="14.25" customHeight="1">
      <c r="A26" s="157"/>
      <c r="B26" s="158"/>
      <c r="C26" s="226"/>
      <c r="D26" s="172"/>
      <c r="E26" s="227"/>
      <c r="F26" s="156"/>
      <c r="G26" s="156"/>
      <c r="H26" s="156"/>
      <c r="I26" s="156"/>
      <c r="J26" s="156"/>
      <c r="K26" s="156"/>
      <c r="L26" s="156"/>
      <c r="M26" s="156"/>
      <c r="N26" s="156"/>
      <c r="O26" s="156"/>
      <c r="P26" s="110"/>
      <c r="Q26" s="110"/>
      <c r="R26" s="110"/>
      <c r="S26" s="110"/>
      <c r="T26" s="110"/>
      <c r="U26" s="110"/>
      <c r="V26" s="249"/>
      <c r="W26" s="249"/>
      <c r="X26" s="249"/>
      <c r="Y26" s="249"/>
      <c r="Z26" s="249"/>
    </row>
    <row r="27" ht="13.5" customHeight="1">
      <c r="A27" s="176" t="s">
        <v>359</v>
      </c>
      <c r="B27" s="177" t="s">
        <v>360</v>
      </c>
      <c r="C27" s="178"/>
      <c r="D27" s="179"/>
      <c r="E27" s="180"/>
      <c r="F27" s="156"/>
      <c r="G27" s="156"/>
      <c r="H27" s="156"/>
      <c r="I27" s="156"/>
      <c r="J27" s="156"/>
      <c r="K27" s="156"/>
      <c r="L27" s="156"/>
      <c r="M27" s="156"/>
      <c r="N27" s="156"/>
      <c r="O27" s="156"/>
      <c r="P27" s="110"/>
      <c r="Q27" s="110"/>
      <c r="R27" s="110"/>
      <c r="S27" s="110"/>
      <c r="T27" s="110"/>
      <c r="U27" s="110"/>
      <c r="V27" s="249"/>
      <c r="W27" s="249"/>
      <c r="X27" s="249"/>
      <c r="Y27" s="249"/>
      <c r="Z27" s="249"/>
    </row>
    <row r="28" ht="13.5" customHeight="1">
      <c r="A28" s="181"/>
      <c r="B28" s="254"/>
      <c r="C28" s="183"/>
      <c r="D28" s="184" t="s">
        <v>492</v>
      </c>
      <c r="E28" s="185"/>
      <c r="F28" s="165" t="s">
        <v>353</v>
      </c>
      <c r="G28" s="165"/>
      <c r="H28" s="165"/>
      <c r="I28" s="165"/>
      <c r="J28" s="165"/>
      <c r="K28" s="165"/>
      <c r="L28" s="165"/>
      <c r="M28" s="165"/>
      <c r="N28" s="165"/>
      <c r="O28" s="165"/>
      <c r="P28" s="110"/>
      <c r="Q28" s="110"/>
      <c r="R28" s="110"/>
      <c r="S28" s="110"/>
      <c r="T28" s="110"/>
      <c r="U28" s="110"/>
      <c r="V28" s="249"/>
      <c r="W28" s="249"/>
      <c r="X28" s="249"/>
      <c r="Y28" s="249"/>
      <c r="Z28" s="249"/>
    </row>
    <row r="29" ht="13.5" customHeight="1">
      <c r="A29" s="181"/>
      <c r="B29" s="255"/>
      <c r="C29" s="183"/>
      <c r="D29" s="184"/>
      <c r="E29" s="185"/>
      <c r="F29" s="165"/>
      <c r="G29" s="165"/>
      <c r="H29" s="165"/>
      <c r="I29" s="165"/>
      <c r="J29" s="165"/>
      <c r="K29" s="165"/>
      <c r="L29" s="165"/>
      <c r="M29" s="165"/>
      <c r="N29" s="165"/>
      <c r="O29" s="165"/>
      <c r="P29" s="110"/>
      <c r="Q29" s="110"/>
      <c r="R29" s="110"/>
      <c r="S29" s="110"/>
      <c r="T29" s="110"/>
      <c r="U29" s="110"/>
      <c r="V29" s="249"/>
      <c r="W29" s="249"/>
      <c r="X29" s="249"/>
      <c r="Y29" s="249"/>
      <c r="Z29" s="249"/>
    </row>
    <row r="30" ht="13.5" customHeight="1">
      <c r="A30" s="181"/>
      <c r="B30" s="255"/>
      <c r="C30" s="183"/>
      <c r="D30" s="184" t="s">
        <v>493</v>
      </c>
      <c r="E30" s="185"/>
      <c r="F30" s="165"/>
      <c r="G30" s="165" t="s">
        <v>353</v>
      </c>
      <c r="H30" s="165"/>
      <c r="I30" s="165"/>
      <c r="J30" s="165"/>
      <c r="K30" s="165"/>
      <c r="L30" s="165"/>
      <c r="M30" s="165"/>
      <c r="N30" s="165"/>
      <c r="O30" s="165"/>
      <c r="P30" s="110"/>
      <c r="Q30" s="110"/>
      <c r="R30" s="110"/>
      <c r="S30" s="110"/>
      <c r="T30" s="110"/>
      <c r="U30" s="110"/>
      <c r="V30" s="249"/>
      <c r="W30" s="249"/>
      <c r="X30" s="249"/>
      <c r="Y30" s="249"/>
      <c r="Z30" s="249"/>
    </row>
    <row r="31" ht="13.5" customHeight="1">
      <c r="A31" s="181"/>
      <c r="B31" s="182"/>
      <c r="C31" s="183"/>
      <c r="D31" s="184" t="s">
        <v>494</v>
      </c>
      <c r="E31" s="188"/>
      <c r="F31" s="165"/>
      <c r="G31" s="165"/>
      <c r="H31" s="165" t="s">
        <v>353</v>
      </c>
      <c r="I31" s="165"/>
      <c r="J31" s="165"/>
      <c r="K31" s="165"/>
      <c r="L31" s="165"/>
      <c r="M31" s="165"/>
      <c r="N31" s="165"/>
      <c r="O31" s="165"/>
      <c r="P31" s="110"/>
      <c r="Q31" s="110"/>
      <c r="R31" s="110"/>
      <c r="S31" s="110"/>
      <c r="T31" s="110"/>
      <c r="U31" s="110"/>
      <c r="V31" s="249"/>
      <c r="W31" s="249"/>
      <c r="X31" s="249"/>
      <c r="Y31" s="249"/>
      <c r="Z31" s="249"/>
    </row>
    <row r="32" ht="13.5" customHeight="1">
      <c r="A32" s="181"/>
      <c r="B32" s="182"/>
      <c r="C32" s="183"/>
      <c r="D32" s="184" t="s">
        <v>495</v>
      </c>
      <c r="E32" s="188"/>
      <c r="F32" s="165"/>
      <c r="G32" s="165"/>
      <c r="H32" s="165"/>
      <c r="I32" s="165" t="s">
        <v>353</v>
      </c>
      <c r="J32" s="165"/>
      <c r="K32" s="165"/>
      <c r="L32" s="165"/>
      <c r="M32" s="165"/>
      <c r="N32" s="165"/>
      <c r="O32" s="165"/>
      <c r="P32" s="110"/>
      <c r="Q32" s="110"/>
      <c r="R32" s="110"/>
      <c r="S32" s="110"/>
      <c r="T32" s="110"/>
      <c r="U32" s="110"/>
      <c r="V32" s="249"/>
      <c r="W32" s="249"/>
      <c r="X32" s="249"/>
      <c r="Y32" s="249"/>
      <c r="Z32" s="249"/>
    </row>
    <row r="33" ht="13.5" customHeight="1">
      <c r="A33" s="181"/>
      <c r="B33" s="182"/>
      <c r="C33" s="183"/>
      <c r="D33" s="184" t="s">
        <v>496</v>
      </c>
      <c r="E33" s="188"/>
      <c r="F33" s="165"/>
      <c r="G33" s="165"/>
      <c r="H33" s="165"/>
      <c r="I33" s="165"/>
      <c r="J33" s="165" t="s">
        <v>353</v>
      </c>
      <c r="K33" s="165"/>
      <c r="L33" s="165"/>
      <c r="M33" s="165"/>
      <c r="N33" s="165"/>
      <c r="O33" s="165"/>
      <c r="P33" s="110"/>
      <c r="Q33" s="110"/>
      <c r="R33" s="110"/>
      <c r="S33" s="110"/>
      <c r="T33" s="110"/>
      <c r="U33" s="110"/>
      <c r="V33" s="249"/>
      <c r="W33" s="249"/>
      <c r="X33" s="249"/>
      <c r="Y33" s="249"/>
      <c r="Z33" s="249"/>
    </row>
    <row r="34" ht="13.5" customHeight="1">
      <c r="A34" s="262"/>
      <c r="B34" s="182"/>
      <c r="C34" s="183"/>
      <c r="D34" s="184"/>
      <c r="E34" s="188"/>
      <c r="F34" s="165"/>
      <c r="G34" s="165"/>
      <c r="H34" s="165"/>
      <c r="I34" s="165"/>
      <c r="J34" s="165"/>
      <c r="K34" s="165"/>
      <c r="L34" s="165"/>
      <c r="M34" s="165"/>
      <c r="N34" s="165"/>
      <c r="O34" s="165"/>
      <c r="P34" s="110"/>
      <c r="Q34" s="110"/>
      <c r="R34" s="110"/>
      <c r="S34" s="110"/>
      <c r="T34" s="110"/>
      <c r="U34" s="110"/>
      <c r="V34" s="249"/>
      <c r="W34" s="249"/>
      <c r="X34" s="249"/>
      <c r="Y34" s="249"/>
      <c r="Z34" s="249"/>
    </row>
    <row r="35" ht="13.5" customHeight="1">
      <c r="A35" s="264"/>
      <c r="B35" s="237"/>
      <c r="C35" s="238"/>
      <c r="D35" s="239"/>
      <c r="E35" s="265"/>
      <c r="F35" s="156"/>
      <c r="G35" s="156"/>
      <c r="H35" s="156"/>
      <c r="I35" s="156"/>
      <c r="J35" s="156"/>
      <c r="K35" s="156"/>
      <c r="L35" s="156"/>
      <c r="M35" s="156"/>
      <c r="N35" s="156"/>
      <c r="O35" s="156"/>
      <c r="P35" s="110"/>
      <c r="Q35" s="110"/>
      <c r="R35" s="110"/>
      <c r="S35" s="110"/>
      <c r="T35" s="110"/>
      <c r="U35" s="110"/>
      <c r="V35" s="249"/>
      <c r="W35" s="249"/>
      <c r="X35" s="249"/>
      <c r="Y35" s="249"/>
      <c r="Z35" s="249"/>
    </row>
    <row r="36" ht="13.5" customHeight="1">
      <c r="A36" s="264"/>
      <c r="B36" s="237"/>
      <c r="C36" s="238"/>
      <c r="D36" s="239"/>
      <c r="E36" s="265"/>
      <c r="F36" s="156"/>
      <c r="G36" s="156"/>
      <c r="H36" s="156"/>
      <c r="I36" s="156"/>
      <c r="J36" s="156"/>
      <c r="K36" s="156"/>
      <c r="L36" s="156"/>
      <c r="M36" s="156"/>
      <c r="N36" s="156"/>
      <c r="O36" s="156"/>
      <c r="P36" s="110"/>
      <c r="Q36" s="110"/>
      <c r="R36" s="110"/>
      <c r="S36" s="110"/>
      <c r="T36" s="110"/>
      <c r="U36" s="110"/>
      <c r="V36" s="249"/>
      <c r="W36" s="249"/>
      <c r="X36" s="249"/>
      <c r="Y36" s="249"/>
      <c r="Z36" s="249"/>
    </row>
    <row r="37" ht="13.5" customHeight="1">
      <c r="A37" s="228" t="s">
        <v>367</v>
      </c>
      <c r="B37" s="240" t="s">
        <v>368</v>
      </c>
      <c r="C37" s="225"/>
      <c r="D37" s="241"/>
      <c r="E37" s="200"/>
      <c r="F37" s="201" t="s">
        <v>220</v>
      </c>
      <c r="G37" s="201" t="s">
        <v>221</v>
      </c>
      <c r="H37" s="201" t="s">
        <v>220</v>
      </c>
      <c r="I37" s="201" t="s">
        <v>38</v>
      </c>
      <c r="J37" s="201" t="s">
        <v>220</v>
      </c>
      <c r="K37" s="201"/>
      <c r="L37" s="201"/>
      <c r="M37" s="201"/>
      <c r="N37" s="201"/>
      <c r="O37" s="201"/>
      <c r="P37" s="110"/>
      <c r="Q37" s="110"/>
      <c r="R37" s="110"/>
      <c r="S37" s="110"/>
      <c r="T37" s="110"/>
      <c r="U37" s="110"/>
      <c r="V37" s="249"/>
      <c r="W37" s="249"/>
      <c r="X37" s="249"/>
      <c r="Y37" s="249"/>
      <c r="Z37" s="249"/>
    </row>
    <row r="38" ht="13.5" customHeight="1">
      <c r="A38" s="260"/>
      <c r="B38" s="204" t="s">
        <v>369</v>
      </c>
      <c r="C38" s="12"/>
      <c r="D38" s="13"/>
      <c r="E38" s="205"/>
      <c r="F38" s="206"/>
      <c r="G38" s="206"/>
      <c r="H38" s="206"/>
      <c r="I38" s="206"/>
      <c r="J38" s="206"/>
      <c r="K38" s="206"/>
      <c r="L38" s="206"/>
      <c r="M38" s="206"/>
      <c r="N38" s="206"/>
      <c r="O38" s="206"/>
      <c r="P38" s="110"/>
      <c r="Q38" s="110"/>
      <c r="R38" s="110"/>
      <c r="S38" s="110"/>
      <c r="T38" s="110"/>
      <c r="U38" s="110"/>
      <c r="V38" s="249"/>
      <c r="W38" s="249"/>
      <c r="X38" s="249"/>
      <c r="Y38" s="249"/>
      <c r="Z38" s="249"/>
    </row>
    <row r="39" ht="13.5" customHeight="1">
      <c r="A39" s="260"/>
      <c r="B39" s="208" t="s">
        <v>371</v>
      </c>
      <c r="C39" s="12"/>
      <c r="D39" s="13"/>
      <c r="E39" s="209"/>
      <c r="F39" s="210"/>
      <c r="G39" s="210"/>
      <c r="H39" s="210"/>
      <c r="I39" s="210"/>
      <c r="J39" s="210"/>
      <c r="K39" s="210"/>
      <c r="L39" s="210"/>
      <c r="M39" s="210"/>
      <c r="N39" s="210"/>
      <c r="O39" s="210"/>
      <c r="P39" s="110"/>
      <c r="Q39" s="110"/>
      <c r="R39" s="110"/>
      <c r="S39" s="110"/>
      <c r="T39" s="110"/>
      <c r="U39" s="110"/>
      <c r="V39" s="249"/>
      <c r="W39" s="249"/>
      <c r="X39" s="249"/>
      <c r="Y39" s="249"/>
      <c r="Z39" s="249"/>
    </row>
    <row r="40" ht="12.0" customHeight="1">
      <c r="A40" s="261"/>
      <c r="B40" s="215" t="s">
        <v>372</v>
      </c>
      <c r="C40" s="216"/>
      <c r="D40" s="217"/>
      <c r="E40" s="218"/>
      <c r="F40" s="219"/>
      <c r="G40" s="219"/>
      <c r="H40" s="219"/>
      <c r="I40" s="219"/>
      <c r="J40" s="219"/>
      <c r="K40" s="219"/>
      <c r="L40" s="219"/>
      <c r="M40" s="219"/>
      <c r="N40" s="219"/>
      <c r="O40" s="219"/>
      <c r="P40" s="110"/>
      <c r="Q40" s="110"/>
      <c r="R40" s="110"/>
      <c r="S40" s="110"/>
      <c r="T40" s="110"/>
      <c r="U40" s="110"/>
      <c r="V40" s="249"/>
      <c r="W40" s="249"/>
      <c r="X40" s="249"/>
      <c r="Y40" s="249"/>
      <c r="Z40" s="249"/>
    </row>
    <row r="41" ht="12.0" customHeight="1">
      <c r="A41" s="143"/>
      <c r="B41" s="110"/>
      <c r="C41" s="111"/>
      <c r="D41" s="110"/>
      <c r="E41" s="110"/>
      <c r="F41" s="110"/>
      <c r="G41" s="110"/>
      <c r="H41" s="110"/>
      <c r="I41" s="110"/>
      <c r="J41" s="110"/>
      <c r="K41" s="110"/>
      <c r="L41" s="110"/>
      <c r="M41" s="110"/>
      <c r="N41" s="110"/>
      <c r="O41" s="110"/>
      <c r="P41" s="110"/>
      <c r="Q41" s="110"/>
      <c r="R41" s="110"/>
      <c r="S41" s="110"/>
      <c r="T41" s="110"/>
      <c r="U41" s="110"/>
      <c r="V41" s="249"/>
      <c r="W41" s="249"/>
      <c r="X41" s="249"/>
      <c r="Y41" s="249"/>
      <c r="Z41" s="249"/>
    </row>
    <row r="42" ht="13.5" customHeight="1">
      <c r="A42" s="110"/>
      <c r="B42" s="143"/>
      <c r="C42" s="110"/>
      <c r="D42" s="111"/>
      <c r="E42" s="110"/>
      <c r="F42" s="110"/>
      <c r="G42" s="110"/>
      <c r="H42" s="110"/>
      <c r="I42" s="110"/>
      <c r="J42" s="110"/>
      <c r="K42" s="110"/>
      <c r="L42" s="110"/>
      <c r="M42" s="110"/>
      <c r="N42" s="110"/>
      <c r="O42" s="110"/>
      <c r="P42" s="110"/>
      <c r="Q42" s="110"/>
      <c r="R42" s="110"/>
      <c r="S42" s="110"/>
      <c r="T42" s="110"/>
      <c r="U42" s="110"/>
      <c r="V42" s="249"/>
      <c r="W42" s="249"/>
      <c r="X42" s="249"/>
      <c r="Y42" s="249"/>
      <c r="Z42" s="249"/>
    </row>
    <row r="43" ht="13.5" customHeight="1">
      <c r="A43" s="110"/>
      <c r="B43" s="143"/>
      <c r="C43" s="110"/>
      <c r="D43" s="111"/>
      <c r="E43" s="110"/>
      <c r="F43" s="110"/>
      <c r="G43" s="110"/>
      <c r="H43" s="110"/>
      <c r="I43" s="110"/>
      <c r="J43" s="110"/>
      <c r="K43" s="110"/>
      <c r="L43" s="110"/>
      <c r="M43" s="110"/>
      <c r="N43" s="110"/>
      <c r="O43" s="110"/>
      <c r="P43" s="110"/>
      <c r="Q43" s="110"/>
      <c r="R43" s="110"/>
      <c r="S43" s="110"/>
      <c r="T43" s="110"/>
      <c r="U43" s="110"/>
      <c r="V43" s="249"/>
      <c r="W43" s="249"/>
      <c r="X43" s="249"/>
      <c r="Y43" s="249"/>
      <c r="Z43" s="249"/>
    </row>
    <row r="44" ht="13.5" customHeight="1">
      <c r="A44" s="110"/>
      <c r="B44" s="143"/>
      <c r="C44" s="110"/>
      <c r="D44" s="111"/>
      <c r="E44" s="110"/>
      <c r="F44" s="110"/>
      <c r="G44" s="110"/>
      <c r="H44" s="110"/>
      <c r="I44" s="110"/>
      <c r="J44" s="110"/>
      <c r="K44" s="110"/>
      <c r="L44" s="110"/>
      <c r="M44" s="110"/>
      <c r="N44" s="110"/>
      <c r="O44" s="110"/>
      <c r="P44" s="110"/>
      <c r="Q44" s="110"/>
      <c r="R44" s="110"/>
      <c r="S44" s="110"/>
      <c r="T44" s="110"/>
      <c r="U44" s="110"/>
      <c r="V44" s="249"/>
      <c r="W44" s="249"/>
      <c r="X44" s="249"/>
      <c r="Y44" s="249"/>
      <c r="Z44" s="249"/>
    </row>
    <row r="45" ht="13.5" customHeight="1">
      <c r="A45" s="110"/>
      <c r="B45" s="143"/>
      <c r="C45" s="110"/>
      <c r="D45" s="111"/>
      <c r="E45" s="110"/>
      <c r="F45" s="110"/>
      <c r="G45" s="110"/>
      <c r="H45" s="110"/>
      <c r="I45" s="110"/>
      <c r="J45" s="110"/>
      <c r="K45" s="110"/>
      <c r="L45" s="110"/>
      <c r="M45" s="110"/>
      <c r="N45" s="110"/>
      <c r="O45" s="110"/>
      <c r="P45" s="110"/>
      <c r="Q45" s="110"/>
      <c r="R45" s="110"/>
      <c r="S45" s="110"/>
      <c r="T45" s="110"/>
      <c r="U45" s="110"/>
      <c r="V45" s="249"/>
      <c r="W45" s="249"/>
      <c r="X45" s="249"/>
      <c r="Y45" s="249"/>
      <c r="Z45" s="249"/>
    </row>
    <row r="46" ht="13.5" customHeight="1">
      <c r="A46" s="110"/>
      <c r="B46" s="143"/>
      <c r="C46" s="110"/>
      <c r="D46" s="111"/>
      <c r="E46" s="110"/>
      <c r="F46" s="110"/>
      <c r="G46" s="110"/>
      <c r="H46" s="110"/>
      <c r="I46" s="110"/>
      <c r="J46" s="110"/>
      <c r="K46" s="110"/>
      <c r="L46" s="110"/>
      <c r="M46" s="110"/>
      <c r="N46" s="110"/>
      <c r="O46" s="110"/>
      <c r="P46" s="110"/>
      <c r="Q46" s="110"/>
      <c r="R46" s="110"/>
      <c r="S46" s="110"/>
      <c r="T46" s="110"/>
      <c r="U46" s="110"/>
      <c r="V46" s="249"/>
      <c r="W46" s="249"/>
      <c r="X46" s="249"/>
      <c r="Y46" s="249"/>
      <c r="Z46" s="249"/>
    </row>
    <row r="47" ht="13.5" customHeight="1">
      <c r="A47" s="110"/>
      <c r="B47" s="143"/>
      <c r="C47" s="110"/>
      <c r="D47" s="111"/>
      <c r="E47" s="110"/>
      <c r="F47" s="110"/>
      <c r="G47" s="110"/>
      <c r="H47" s="110"/>
      <c r="I47" s="110"/>
      <c r="J47" s="110"/>
      <c r="K47" s="110"/>
      <c r="L47" s="110"/>
      <c r="M47" s="110"/>
      <c r="N47" s="110"/>
      <c r="O47" s="110"/>
      <c r="P47" s="110"/>
      <c r="Q47" s="110"/>
      <c r="R47" s="110"/>
      <c r="S47" s="110"/>
      <c r="T47" s="110"/>
      <c r="U47" s="110"/>
      <c r="V47" s="249"/>
      <c r="W47" s="249"/>
      <c r="X47" s="249"/>
      <c r="Y47" s="249"/>
      <c r="Z47" s="249"/>
    </row>
    <row r="48" ht="13.5" customHeight="1">
      <c r="A48" s="110"/>
      <c r="B48" s="143"/>
      <c r="C48" s="110"/>
      <c r="D48" s="111"/>
      <c r="E48" s="110"/>
      <c r="F48" s="110"/>
      <c r="G48" s="110"/>
      <c r="H48" s="110"/>
      <c r="I48" s="110"/>
      <c r="J48" s="110"/>
      <c r="K48" s="110"/>
      <c r="L48" s="110"/>
      <c r="M48" s="110"/>
      <c r="N48" s="110"/>
      <c r="O48" s="110"/>
      <c r="P48" s="110"/>
      <c r="Q48" s="110"/>
      <c r="R48" s="110"/>
      <c r="S48" s="110"/>
      <c r="T48" s="110"/>
      <c r="U48" s="110"/>
      <c r="V48" s="249"/>
      <c r="W48" s="249"/>
      <c r="X48" s="249"/>
      <c r="Y48" s="249"/>
      <c r="Z48" s="249"/>
    </row>
    <row r="49" ht="13.5" customHeight="1">
      <c r="A49" s="110"/>
      <c r="B49" s="143"/>
      <c r="C49" s="110"/>
      <c r="D49" s="111"/>
      <c r="E49" s="110"/>
      <c r="F49" s="110"/>
      <c r="G49" s="110"/>
      <c r="H49" s="110"/>
      <c r="I49" s="110"/>
      <c r="J49" s="110"/>
      <c r="K49" s="110"/>
      <c r="L49" s="110"/>
      <c r="M49" s="110"/>
      <c r="N49" s="110"/>
      <c r="O49" s="110"/>
      <c r="P49" s="110"/>
      <c r="Q49" s="110"/>
      <c r="R49" s="110"/>
      <c r="S49" s="110"/>
      <c r="T49" s="110"/>
      <c r="U49" s="110"/>
      <c r="V49" s="249"/>
      <c r="W49" s="249"/>
      <c r="X49" s="249"/>
      <c r="Y49" s="249"/>
      <c r="Z49" s="249"/>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249"/>
      <c r="W50" s="249"/>
      <c r="X50" s="249"/>
      <c r="Y50" s="249"/>
      <c r="Z50" s="249"/>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249"/>
      <c r="W51" s="249"/>
      <c r="X51" s="249"/>
      <c r="Y51" s="249"/>
      <c r="Z51" s="249"/>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249"/>
      <c r="W52" s="249"/>
      <c r="X52" s="249"/>
      <c r="Y52" s="249"/>
      <c r="Z52" s="249"/>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249"/>
      <c r="W53" s="249"/>
      <c r="X53" s="249"/>
      <c r="Y53" s="249"/>
      <c r="Z53" s="249"/>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249"/>
      <c r="W54" s="249"/>
      <c r="X54" s="249"/>
      <c r="Y54" s="249"/>
      <c r="Z54" s="249"/>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249"/>
      <c r="W55" s="249"/>
      <c r="X55" s="249"/>
      <c r="Y55" s="249"/>
      <c r="Z55" s="249"/>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249"/>
      <c r="W56" s="249"/>
      <c r="X56" s="249"/>
      <c r="Y56" s="249"/>
      <c r="Z56" s="249"/>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249"/>
      <c r="W57" s="249"/>
      <c r="X57" s="249"/>
      <c r="Y57" s="249"/>
      <c r="Z57" s="249"/>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249"/>
      <c r="W58" s="249"/>
      <c r="X58" s="249"/>
      <c r="Y58" s="249"/>
      <c r="Z58" s="249"/>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249"/>
      <c r="W59" s="249"/>
      <c r="X59" s="249"/>
      <c r="Y59" s="249"/>
      <c r="Z59" s="249"/>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249"/>
      <c r="W60" s="249"/>
      <c r="X60" s="249"/>
      <c r="Y60" s="249"/>
      <c r="Z60" s="249"/>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249"/>
      <c r="W61" s="249"/>
      <c r="X61" s="249"/>
      <c r="Y61" s="249"/>
      <c r="Z61" s="249"/>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249"/>
      <c r="W62" s="249"/>
      <c r="X62" s="249"/>
      <c r="Y62" s="249"/>
      <c r="Z62" s="249"/>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249"/>
      <c r="W63" s="249"/>
      <c r="X63" s="249"/>
      <c r="Y63" s="249"/>
      <c r="Z63" s="249"/>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249"/>
      <c r="W64" s="249"/>
      <c r="X64" s="249"/>
      <c r="Y64" s="249"/>
      <c r="Z64" s="249"/>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249"/>
      <c r="W65" s="249"/>
      <c r="X65" s="249"/>
      <c r="Y65" s="249"/>
      <c r="Z65" s="249"/>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249"/>
      <c r="W66" s="249"/>
      <c r="X66" s="249"/>
      <c r="Y66" s="249"/>
      <c r="Z66" s="249"/>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249"/>
      <c r="W67" s="249"/>
      <c r="X67" s="249"/>
      <c r="Y67" s="249"/>
      <c r="Z67" s="249"/>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249"/>
      <c r="W68" s="249"/>
      <c r="X68" s="249"/>
      <c r="Y68" s="249"/>
      <c r="Z68" s="249"/>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249"/>
      <c r="W69" s="249"/>
      <c r="X69" s="249"/>
      <c r="Y69" s="249"/>
      <c r="Z69" s="249"/>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249"/>
      <c r="W70" s="249"/>
      <c r="X70" s="249"/>
      <c r="Y70" s="249"/>
      <c r="Z70" s="249"/>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249"/>
      <c r="W71" s="249"/>
      <c r="X71" s="249"/>
      <c r="Y71" s="249"/>
      <c r="Z71" s="249"/>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249"/>
      <c r="W72" s="249"/>
      <c r="X72" s="249"/>
      <c r="Y72" s="249"/>
      <c r="Z72" s="249"/>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249"/>
      <c r="W73" s="249"/>
      <c r="X73" s="249"/>
      <c r="Y73" s="249"/>
      <c r="Z73" s="249"/>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249"/>
      <c r="W74" s="249"/>
      <c r="X74" s="249"/>
      <c r="Y74" s="249"/>
      <c r="Z74" s="249"/>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249"/>
      <c r="W75" s="249"/>
      <c r="X75" s="249"/>
      <c r="Y75" s="249"/>
      <c r="Z75" s="249"/>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249"/>
      <c r="W76" s="249"/>
      <c r="X76" s="249"/>
      <c r="Y76" s="249"/>
      <c r="Z76" s="249"/>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249"/>
      <c r="W77" s="249"/>
      <c r="X77" s="249"/>
      <c r="Y77" s="249"/>
      <c r="Z77" s="249"/>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249"/>
      <c r="W78" s="249"/>
      <c r="X78" s="249"/>
      <c r="Y78" s="249"/>
      <c r="Z78" s="249"/>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249"/>
      <c r="W79" s="249"/>
      <c r="X79" s="249"/>
      <c r="Y79" s="249"/>
      <c r="Z79" s="249"/>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249"/>
      <c r="W80" s="249"/>
      <c r="X80" s="249"/>
      <c r="Y80" s="249"/>
      <c r="Z80" s="249"/>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249"/>
      <c r="W81" s="249"/>
      <c r="X81" s="249"/>
      <c r="Y81" s="249"/>
      <c r="Z81" s="249"/>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249"/>
      <c r="W82" s="249"/>
      <c r="X82" s="249"/>
      <c r="Y82" s="249"/>
      <c r="Z82" s="249"/>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249"/>
      <c r="W83" s="249"/>
      <c r="X83" s="249"/>
      <c r="Y83" s="249"/>
      <c r="Z83" s="249"/>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249"/>
      <c r="W84" s="249"/>
      <c r="X84" s="249"/>
      <c r="Y84" s="249"/>
      <c r="Z84" s="249"/>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249"/>
      <c r="W85" s="249"/>
      <c r="X85" s="249"/>
      <c r="Y85" s="249"/>
      <c r="Z85" s="249"/>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249"/>
      <c r="W86" s="249"/>
      <c r="X86" s="249"/>
      <c r="Y86" s="249"/>
      <c r="Z86" s="249"/>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249"/>
      <c r="W87" s="249"/>
      <c r="X87" s="249"/>
      <c r="Y87" s="249"/>
      <c r="Z87" s="249"/>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249"/>
      <c r="W88" s="249"/>
      <c r="X88" s="249"/>
      <c r="Y88" s="249"/>
      <c r="Z88" s="249"/>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249"/>
      <c r="W89" s="249"/>
      <c r="X89" s="249"/>
      <c r="Y89" s="249"/>
      <c r="Z89" s="249"/>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249"/>
      <c r="W90" s="249"/>
      <c r="X90" s="249"/>
      <c r="Y90" s="249"/>
      <c r="Z90" s="249"/>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249"/>
      <c r="W91" s="249"/>
      <c r="X91" s="249"/>
      <c r="Y91" s="249"/>
      <c r="Z91" s="249"/>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249"/>
      <c r="W92" s="249"/>
      <c r="X92" s="249"/>
      <c r="Y92" s="249"/>
      <c r="Z92" s="249"/>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249"/>
      <c r="W93" s="249"/>
      <c r="X93" s="249"/>
      <c r="Y93" s="249"/>
      <c r="Z93" s="249"/>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249"/>
      <c r="W94" s="249"/>
      <c r="X94" s="249"/>
      <c r="Y94" s="249"/>
      <c r="Z94" s="249"/>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249"/>
      <c r="W95" s="249"/>
      <c r="X95" s="249"/>
      <c r="Y95" s="249"/>
      <c r="Z95" s="249"/>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249"/>
      <c r="W96" s="249"/>
      <c r="X96" s="249"/>
      <c r="Y96" s="249"/>
      <c r="Z96" s="249"/>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249"/>
      <c r="W97" s="249"/>
      <c r="X97" s="249"/>
      <c r="Y97" s="249"/>
      <c r="Z97" s="249"/>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249"/>
      <c r="W98" s="249"/>
      <c r="X98" s="249"/>
      <c r="Y98" s="249"/>
      <c r="Z98" s="249"/>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249"/>
      <c r="W99" s="249"/>
      <c r="X99" s="249"/>
      <c r="Y99" s="249"/>
      <c r="Z99" s="249"/>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249"/>
      <c r="W100" s="249"/>
      <c r="X100" s="249"/>
      <c r="Y100" s="249"/>
      <c r="Z100" s="249"/>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249"/>
      <c r="W101" s="249"/>
      <c r="X101" s="249"/>
      <c r="Y101" s="249"/>
      <c r="Z101" s="249"/>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249"/>
      <c r="W102" s="249"/>
      <c r="X102" s="249"/>
      <c r="Y102" s="249"/>
      <c r="Z102" s="249"/>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249"/>
      <c r="W103" s="249"/>
      <c r="X103" s="249"/>
      <c r="Y103" s="249"/>
      <c r="Z103" s="249"/>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249"/>
      <c r="W104" s="249"/>
      <c r="X104" s="249"/>
      <c r="Y104" s="249"/>
      <c r="Z104" s="249"/>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249"/>
      <c r="W105" s="249"/>
      <c r="X105" s="249"/>
      <c r="Y105" s="249"/>
      <c r="Z105" s="249"/>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249"/>
      <c r="W106" s="249"/>
      <c r="X106" s="249"/>
      <c r="Y106" s="249"/>
      <c r="Z106" s="249"/>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249"/>
      <c r="W107" s="249"/>
      <c r="X107" s="249"/>
      <c r="Y107" s="249"/>
      <c r="Z107" s="249"/>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249"/>
      <c r="W108" s="249"/>
      <c r="X108" s="249"/>
      <c r="Y108" s="249"/>
      <c r="Z108" s="249"/>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249"/>
      <c r="W109" s="249"/>
      <c r="X109" s="249"/>
      <c r="Y109" s="249"/>
      <c r="Z109" s="249"/>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249"/>
      <c r="W110" s="249"/>
      <c r="X110" s="249"/>
      <c r="Y110" s="249"/>
      <c r="Z110" s="249"/>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249"/>
      <c r="W111" s="249"/>
      <c r="X111" s="249"/>
      <c r="Y111" s="249"/>
      <c r="Z111" s="249"/>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249"/>
      <c r="W112" s="249"/>
      <c r="X112" s="249"/>
      <c r="Y112" s="249"/>
      <c r="Z112" s="249"/>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249"/>
      <c r="W113" s="249"/>
      <c r="X113" s="249"/>
      <c r="Y113" s="249"/>
      <c r="Z113" s="249"/>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249"/>
      <c r="W114" s="249"/>
      <c r="X114" s="249"/>
      <c r="Y114" s="249"/>
      <c r="Z114" s="249"/>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249"/>
      <c r="W115" s="249"/>
      <c r="X115" s="249"/>
      <c r="Y115" s="249"/>
      <c r="Z115" s="249"/>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249"/>
      <c r="W116" s="249"/>
      <c r="X116" s="249"/>
      <c r="Y116" s="249"/>
      <c r="Z116" s="249"/>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249"/>
      <c r="W117" s="249"/>
      <c r="X117" s="249"/>
      <c r="Y117" s="249"/>
      <c r="Z117" s="249"/>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249"/>
      <c r="W118" s="249"/>
      <c r="X118" s="249"/>
      <c r="Y118" s="249"/>
      <c r="Z118" s="249"/>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249"/>
      <c r="W119" s="249"/>
      <c r="X119" s="249"/>
      <c r="Y119" s="249"/>
      <c r="Z119" s="249"/>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249"/>
      <c r="W120" s="249"/>
      <c r="X120" s="249"/>
      <c r="Y120" s="249"/>
      <c r="Z120" s="249"/>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249"/>
      <c r="W121" s="249"/>
      <c r="X121" s="249"/>
      <c r="Y121" s="249"/>
      <c r="Z121" s="249"/>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249"/>
      <c r="W122" s="249"/>
      <c r="X122" s="249"/>
      <c r="Y122" s="249"/>
      <c r="Z122" s="249"/>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249"/>
      <c r="W123" s="249"/>
      <c r="X123" s="249"/>
      <c r="Y123" s="249"/>
      <c r="Z123" s="249"/>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249"/>
      <c r="W124" s="249"/>
      <c r="X124" s="249"/>
      <c r="Y124" s="249"/>
      <c r="Z124" s="249"/>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249"/>
      <c r="W125" s="249"/>
      <c r="X125" s="249"/>
      <c r="Y125" s="249"/>
      <c r="Z125" s="249"/>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249"/>
      <c r="W126" s="249"/>
      <c r="X126" s="249"/>
      <c r="Y126" s="249"/>
      <c r="Z126" s="249"/>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249"/>
      <c r="W127" s="249"/>
      <c r="X127" s="249"/>
      <c r="Y127" s="249"/>
      <c r="Z127" s="249"/>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249"/>
      <c r="W128" s="249"/>
      <c r="X128" s="249"/>
      <c r="Y128" s="249"/>
      <c r="Z128" s="249"/>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249"/>
      <c r="W129" s="249"/>
      <c r="X129" s="249"/>
      <c r="Y129" s="249"/>
      <c r="Z129" s="249"/>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249"/>
      <c r="W130" s="249"/>
      <c r="X130" s="249"/>
      <c r="Y130" s="249"/>
      <c r="Z130" s="249"/>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249"/>
      <c r="W131" s="249"/>
      <c r="X131" s="249"/>
      <c r="Y131" s="249"/>
      <c r="Z131" s="249"/>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249"/>
      <c r="W132" s="249"/>
      <c r="X132" s="249"/>
      <c r="Y132" s="249"/>
      <c r="Z132" s="249"/>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249"/>
      <c r="W133" s="249"/>
      <c r="X133" s="249"/>
      <c r="Y133" s="249"/>
      <c r="Z133" s="249"/>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249"/>
      <c r="W134" s="249"/>
      <c r="X134" s="249"/>
      <c r="Y134" s="249"/>
      <c r="Z134" s="249"/>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249"/>
      <c r="W135" s="249"/>
      <c r="X135" s="249"/>
      <c r="Y135" s="249"/>
      <c r="Z135" s="249"/>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249"/>
      <c r="W136" s="249"/>
      <c r="X136" s="249"/>
      <c r="Y136" s="249"/>
      <c r="Z136" s="249"/>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249"/>
      <c r="W137" s="249"/>
      <c r="X137" s="249"/>
      <c r="Y137" s="249"/>
      <c r="Z137" s="249"/>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249"/>
      <c r="W138" s="249"/>
      <c r="X138" s="249"/>
      <c r="Y138" s="249"/>
      <c r="Z138" s="249"/>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249"/>
      <c r="W139" s="249"/>
      <c r="X139" s="249"/>
      <c r="Y139" s="249"/>
      <c r="Z139" s="249"/>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249"/>
      <c r="W140" s="249"/>
      <c r="X140" s="249"/>
      <c r="Y140" s="249"/>
      <c r="Z140" s="249"/>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249"/>
      <c r="W141" s="249"/>
      <c r="X141" s="249"/>
      <c r="Y141" s="249"/>
      <c r="Z141" s="249"/>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249"/>
      <c r="W142" s="249"/>
      <c r="X142" s="249"/>
      <c r="Y142" s="249"/>
      <c r="Z142" s="249"/>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249"/>
      <c r="W143" s="249"/>
      <c r="X143" s="249"/>
      <c r="Y143" s="249"/>
      <c r="Z143" s="249"/>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249"/>
      <c r="W144" s="249"/>
      <c r="X144" s="249"/>
      <c r="Y144" s="249"/>
      <c r="Z144" s="249"/>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249"/>
      <c r="W145" s="249"/>
      <c r="X145" s="249"/>
      <c r="Y145" s="249"/>
      <c r="Z145" s="249"/>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249"/>
      <c r="W146" s="249"/>
      <c r="X146" s="249"/>
      <c r="Y146" s="249"/>
      <c r="Z146" s="249"/>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249"/>
      <c r="W147" s="249"/>
      <c r="X147" s="249"/>
      <c r="Y147" s="249"/>
      <c r="Z147" s="249"/>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249"/>
      <c r="W148" s="249"/>
      <c r="X148" s="249"/>
      <c r="Y148" s="249"/>
      <c r="Z148" s="249"/>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249"/>
      <c r="W149" s="249"/>
      <c r="X149" s="249"/>
      <c r="Y149" s="249"/>
      <c r="Z149" s="249"/>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249"/>
      <c r="W150" s="249"/>
      <c r="X150" s="249"/>
      <c r="Y150" s="249"/>
      <c r="Z150" s="249"/>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249"/>
      <c r="W151" s="249"/>
      <c r="X151" s="249"/>
      <c r="Y151" s="249"/>
      <c r="Z151" s="249"/>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249"/>
      <c r="W152" s="249"/>
      <c r="X152" s="249"/>
      <c r="Y152" s="249"/>
      <c r="Z152" s="249"/>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249"/>
      <c r="W153" s="249"/>
      <c r="X153" s="249"/>
      <c r="Y153" s="249"/>
      <c r="Z153" s="249"/>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249"/>
      <c r="W154" s="249"/>
      <c r="X154" s="249"/>
      <c r="Y154" s="249"/>
      <c r="Z154" s="249"/>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249"/>
      <c r="W155" s="249"/>
      <c r="X155" s="249"/>
      <c r="Y155" s="249"/>
      <c r="Z155" s="249"/>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249"/>
      <c r="W156" s="249"/>
      <c r="X156" s="249"/>
      <c r="Y156" s="249"/>
      <c r="Z156" s="249"/>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249"/>
      <c r="W157" s="249"/>
      <c r="X157" s="249"/>
      <c r="Y157" s="249"/>
      <c r="Z157" s="249"/>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249"/>
      <c r="W158" s="249"/>
      <c r="X158" s="249"/>
      <c r="Y158" s="249"/>
      <c r="Z158" s="249"/>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249"/>
      <c r="W159" s="249"/>
      <c r="X159" s="249"/>
      <c r="Y159" s="249"/>
      <c r="Z159" s="249"/>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249"/>
      <c r="W160" s="249"/>
      <c r="X160" s="249"/>
      <c r="Y160" s="249"/>
      <c r="Z160" s="249"/>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249"/>
      <c r="W161" s="249"/>
      <c r="X161" s="249"/>
      <c r="Y161" s="249"/>
      <c r="Z161" s="249"/>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249"/>
      <c r="W162" s="249"/>
      <c r="X162" s="249"/>
      <c r="Y162" s="249"/>
      <c r="Z162" s="249"/>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249"/>
      <c r="W163" s="249"/>
      <c r="X163" s="249"/>
      <c r="Y163" s="249"/>
      <c r="Z163" s="249"/>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249"/>
      <c r="W164" s="249"/>
      <c r="X164" s="249"/>
      <c r="Y164" s="249"/>
      <c r="Z164" s="249"/>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249"/>
      <c r="W165" s="249"/>
      <c r="X165" s="249"/>
      <c r="Y165" s="249"/>
      <c r="Z165" s="249"/>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249"/>
      <c r="W166" s="249"/>
      <c r="X166" s="249"/>
      <c r="Y166" s="249"/>
      <c r="Z166" s="249"/>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249"/>
      <c r="W167" s="249"/>
      <c r="X167" s="249"/>
      <c r="Y167" s="249"/>
      <c r="Z167" s="249"/>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249"/>
      <c r="W168" s="249"/>
      <c r="X168" s="249"/>
      <c r="Y168" s="249"/>
      <c r="Z168" s="249"/>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249"/>
      <c r="W169" s="249"/>
      <c r="X169" s="249"/>
      <c r="Y169" s="249"/>
      <c r="Z169" s="249"/>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249"/>
      <c r="W170" s="249"/>
      <c r="X170" s="249"/>
      <c r="Y170" s="249"/>
      <c r="Z170" s="249"/>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249"/>
      <c r="W171" s="249"/>
      <c r="X171" s="249"/>
      <c r="Y171" s="249"/>
      <c r="Z171" s="249"/>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249"/>
      <c r="W172" s="249"/>
      <c r="X172" s="249"/>
      <c r="Y172" s="249"/>
      <c r="Z172" s="249"/>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249"/>
      <c r="W173" s="249"/>
      <c r="X173" s="249"/>
      <c r="Y173" s="249"/>
      <c r="Z173" s="249"/>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249"/>
      <c r="W174" s="249"/>
      <c r="X174" s="249"/>
      <c r="Y174" s="249"/>
      <c r="Z174" s="249"/>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249"/>
      <c r="W175" s="249"/>
      <c r="X175" s="249"/>
      <c r="Y175" s="249"/>
      <c r="Z175" s="249"/>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249"/>
      <c r="W176" s="249"/>
      <c r="X176" s="249"/>
      <c r="Y176" s="249"/>
      <c r="Z176" s="249"/>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249"/>
      <c r="W177" s="249"/>
      <c r="X177" s="249"/>
      <c r="Y177" s="249"/>
      <c r="Z177" s="249"/>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249"/>
      <c r="W178" s="249"/>
      <c r="X178" s="249"/>
      <c r="Y178" s="249"/>
      <c r="Z178" s="249"/>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249"/>
      <c r="W179" s="249"/>
      <c r="X179" s="249"/>
      <c r="Y179" s="249"/>
      <c r="Z179" s="249"/>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249"/>
      <c r="W180" s="249"/>
      <c r="X180" s="249"/>
      <c r="Y180" s="249"/>
      <c r="Z180" s="249"/>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249"/>
      <c r="W181" s="249"/>
      <c r="X181" s="249"/>
      <c r="Y181" s="249"/>
      <c r="Z181" s="249"/>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249"/>
      <c r="W182" s="249"/>
      <c r="X182" s="249"/>
      <c r="Y182" s="249"/>
      <c r="Z182" s="249"/>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249"/>
      <c r="W183" s="249"/>
      <c r="X183" s="249"/>
      <c r="Y183" s="249"/>
      <c r="Z183" s="249"/>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249"/>
      <c r="W184" s="249"/>
      <c r="X184" s="249"/>
      <c r="Y184" s="249"/>
      <c r="Z184" s="249"/>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249"/>
      <c r="W185" s="249"/>
      <c r="X185" s="249"/>
      <c r="Y185" s="249"/>
      <c r="Z185" s="249"/>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249"/>
      <c r="W186" s="249"/>
      <c r="X186" s="249"/>
      <c r="Y186" s="249"/>
      <c r="Z186" s="249"/>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249"/>
      <c r="W187" s="249"/>
      <c r="X187" s="249"/>
      <c r="Y187" s="249"/>
      <c r="Z187" s="249"/>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249"/>
      <c r="W188" s="249"/>
      <c r="X188" s="249"/>
      <c r="Y188" s="249"/>
      <c r="Z188" s="249"/>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249"/>
      <c r="W189" s="249"/>
      <c r="X189" s="249"/>
      <c r="Y189" s="249"/>
      <c r="Z189" s="249"/>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249"/>
      <c r="W190" s="249"/>
      <c r="X190" s="249"/>
      <c r="Y190" s="249"/>
      <c r="Z190" s="249"/>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249"/>
      <c r="W191" s="249"/>
      <c r="X191" s="249"/>
      <c r="Y191" s="249"/>
      <c r="Z191" s="249"/>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249"/>
      <c r="W192" s="249"/>
      <c r="X192" s="249"/>
      <c r="Y192" s="249"/>
      <c r="Z192" s="249"/>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249"/>
      <c r="W193" s="249"/>
      <c r="X193" s="249"/>
      <c r="Y193" s="249"/>
      <c r="Z193" s="249"/>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249"/>
      <c r="W194" s="249"/>
      <c r="X194" s="249"/>
      <c r="Y194" s="249"/>
      <c r="Z194" s="249"/>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249"/>
      <c r="W195" s="249"/>
      <c r="X195" s="249"/>
      <c r="Y195" s="249"/>
      <c r="Z195" s="249"/>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249"/>
      <c r="W196" s="249"/>
      <c r="X196" s="249"/>
      <c r="Y196" s="249"/>
      <c r="Z196" s="249"/>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249"/>
      <c r="W197" s="249"/>
      <c r="X197" s="249"/>
      <c r="Y197" s="249"/>
      <c r="Z197" s="249"/>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249"/>
      <c r="W198" s="249"/>
      <c r="X198" s="249"/>
      <c r="Y198" s="249"/>
      <c r="Z198" s="249"/>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249"/>
      <c r="W199" s="249"/>
      <c r="X199" s="249"/>
      <c r="Y199" s="249"/>
      <c r="Z199" s="249"/>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249"/>
      <c r="W200" s="249"/>
      <c r="X200" s="249"/>
      <c r="Y200" s="249"/>
      <c r="Z200" s="249"/>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249"/>
      <c r="W201" s="249"/>
      <c r="X201" s="249"/>
      <c r="Y201" s="249"/>
      <c r="Z201" s="249"/>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249"/>
      <c r="W202" s="249"/>
      <c r="X202" s="249"/>
      <c r="Y202" s="249"/>
      <c r="Z202" s="249"/>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249"/>
      <c r="W203" s="249"/>
      <c r="X203" s="249"/>
      <c r="Y203" s="249"/>
      <c r="Z203" s="249"/>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249"/>
      <c r="W204" s="249"/>
      <c r="X204" s="249"/>
      <c r="Y204" s="249"/>
      <c r="Z204" s="249"/>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249"/>
      <c r="W205" s="249"/>
      <c r="X205" s="249"/>
      <c r="Y205" s="249"/>
      <c r="Z205" s="249"/>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249"/>
      <c r="W206" s="249"/>
      <c r="X206" s="249"/>
      <c r="Y206" s="249"/>
      <c r="Z206" s="249"/>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249"/>
      <c r="W207" s="249"/>
      <c r="X207" s="249"/>
      <c r="Y207" s="249"/>
      <c r="Z207" s="249"/>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249"/>
      <c r="W208" s="249"/>
      <c r="X208" s="249"/>
      <c r="Y208" s="249"/>
      <c r="Z208" s="249"/>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249"/>
      <c r="W209" s="249"/>
      <c r="X209" s="249"/>
      <c r="Y209" s="249"/>
      <c r="Z209" s="249"/>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249"/>
      <c r="W210" s="249"/>
      <c r="X210" s="249"/>
      <c r="Y210" s="249"/>
      <c r="Z210" s="249"/>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249"/>
      <c r="W211" s="249"/>
      <c r="X211" s="249"/>
      <c r="Y211" s="249"/>
      <c r="Z211" s="249"/>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249"/>
      <c r="W212" s="249"/>
      <c r="X212" s="249"/>
      <c r="Y212" s="249"/>
      <c r="Z212" s="249"/>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249"/>
      <c r="W213" s="249"/>
      <c r="X213" s="249"/>
      <c r="Y213" s="249"/>
      <c r="Z213" s="249"/>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249"/>
      <c r="W214" s="249"/>
      <c r="X214" s="249"/>
      <c r="Y214" s="249"/>
      <c r="Z214" s="249"/>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249"/>
      <c r="W215" s="249"/>
      <c r="X215" s="249"/>
      <c r="Y215" s="249"/>
      <c r="Z215" s="249"/>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249"/>
      <c r="W216" s="249"/>
      <c r="X216" s="249"/>
      <c r="Y216" s="249"/>
      <c r="Z216" s="249"/>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249"/>
      <c r="W217" s="249"/>
      <c r="X217" s="249"/>
      <c r="Y217" s="249"/>
      <c r="Z217" s="249"/>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249"/>
      <c r="W218" s="249"/>
      <c r="X218" s="249"/>
      <c r="Y218" s="249"/>
      <c r="Z218" s="249"/>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249"/>
      <c r="W219" s="249"/>
      <c r="X219" s="249"/>
      <c r="Y219" s="249"/>
      <c r="Z219" s="249"/>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249"/>
      <c r="W220" s="249"/>
      <c r="X220" s="249"/>
      <c r="Y220" s="249"/>
      <c r="Z220" s="249"/>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249"/>
      <c r="W221" s="249"/>
      <c r="X221" s="249"/>
      <c r="Y221" s="249"/>
      <c r="Z221" s="249"/>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249"/>
      <c r="W222" s="249"/>
      <c r="X222" s="249"/>
      <c r="Y222" s="249"/>
      <c r="Z222" s="249"/>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249"/>
      <c r="W223" s="249"/>
      <c r="X223" s="249"/>
      <c r="Y223" s="249"/>
      <c r="Z223" s="249"/>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249"/>
      <c r="W224" s="249"/>
      <c r="X224" s="249"/>
      <c r="Y224" s="249"/>
      <c r="Z224" s="249"/>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249"/>
      <c r="W225" s="249"/>
      <c r="X225" s="249"/>
      <c r="Y225" s="249"/>
      <c r="Z225" s="249"/>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249"/>
      <c r="W226" s="249"/>
      <c r="X226" s="249"/>
      <c r="Y226" s="249"/>
      <c r="Z226" s="249"/>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249"/>
      <c r="W227" s="249"/>
      <c r="X227" s="249"/>
      <c r="Y227" s="249"/>
      <c r="Z227" s="249"/>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249"/>
      <c r="W228" s="249"/>
      <c r="X228" s="249"/>
      <c r="Y228" s="249"/>
      <c r="Z228" s="249"/>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249"/>
      <c r="W229" s="249"/>
      <c r="X229" s="249"/>
      <c r="Y229" s="249"/>
      <c r="Z229" s="249"/>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249"/>
      <c r="W230" s="249"/>
      <c r="X230" s="249"/>
      <c r="Y230" s="249"/>
      <c r="Z230" s="249"/>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249"/>
      <c r="W231" s="249"/>
      <c r="X231" s="249"/>
      <c r="Y231" s="249"/>
      <c r="Z231" s="249"/>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249"/>
      <c r="W232" s="249"/>
      <c r="X232" s="249"/>
      <c r="Y232" s="249"/>
      <c r="Z232" s="249"/>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249"/>
      <c r="W233" s="249"/>
      <c r="X233" s="249"/>
      <c r="Y233" s="249"/>
      <c r="Z233" s="249"/>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249"/>
      <c r="W234" s="249"/>
      <c r="X234" s="249"/>
      <c r="Y234" s="249"/>
      <c r="Z234" s="249"/>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249"/>
      <c r="W235" s="249"/>
      <c r="X235" s="249"/>
      <c r="Y235" s="249"/>
      <c r="Z235" s="249"/>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249"/>
      <c r="W236" s="249"/>
      <c r="X236" s="249"/>
      <c r="Y236" s="249"/>
      <c r="Z236" s="249"/>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249"/>
      <c r="W237" s="249"/>
      <c r="X237" s="249"/>
      <c r="Y237" s="249"/>
      <c r="Z237" s="249"/>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249"/>
      <c r="W238" s="249"/>
      <c r="X238" s="249"/>
      <c r="Y238" s="249"/>
      <c r="Z238" s="249"/>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249"/>
      <c r="W239" s="249"/>
      <c r="X239" s="249"/>
      <c r="Y239" s="249"/>
      <c r="Z239" s="249"/>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249"/>
      <c r="W240" s="249"/>
      <c r="X240" s="249"/>
      <c r="Y240" s="249"/>
      <c r="Z240" s="249"/>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B2"/>
    <mergeCell ref="C2:E2"/>
    <mergeCell ref="F2:K2"/>
    <mergeCell ref="L2:O2"/>
    <mergeCell ref="C3:E3"/>
    <mergeCell ref="F3:K3"/>
    <mergeCell ref="L3:N3"/>
    <mergeCell ref="A3:B3"/>
    <mergeCell ref="A4:B4"/>
    <mergeCell ref="C4:D4"/>
    <mergeCell ref="F4:K4"/>
    <mergeCell ref="L4:O4"/>
    <mergeCell ref="A5:B5"/>
    <mergeCell ref="C5:O5"/>
    <mergeCell ref="D19:E19"/>
    <mergeCell ref="B37:D37"/>
    <mergeCell ref="B38:D38"/>
    <mergeCell ref="B39:D39"/>
    <mergeCell ref="B40:D40"/>
    <mergeCell ref="A6:B6"/>
    <mergeCell ref="C6:E6"/>
    <mergeCell ref="F6:K6"/>
    <mergeCell ref="L6:N6"/>
    <mergeCell ref="A7:B7"/>
    <mergeCell ref="C7:E7"/>
    <mergeCell ref="F7:K7"/>
  </mergeCells>
  <dataValidations>
    <dataValidation type="list" allowBlank="1" showInputMessage="1" showErrorMessage="1" prompt=" - " sqref="F38:O38">
      <formula1>"P,F"</formula1>
    </dataValidation>
    <dataValidation type="list" allowBlank="1" showInputMessage="1" showErrorMessage="1" prompt=" - " sqref="F10:O36">
      <formula1>"O"</formula1>
    </dataValidation>
    <dataValidation type="list" allowBlank="1" showInputMessage="1" showErrorMessage="1" prompt=" - " sqref="F37:O37">
      <formula1>"N,A,B"</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8.13"/>
    <col customWidth="1" min="2" max="2" width="13.38"/>
    <col customWidth="1" min="3" max="3" width="10.88"/>
    <col customWidth="1" min="4" max="4" width="19.5"/>
    <col customWidth="1" hidden="1" min="5" max="5" width="1.88"/>
    <col customWidth="1" min="6" max="6" width="4.0"/>
    <col customWidth="1" min="7" max="8" width="4.13"/>
    <col customWidth="1" min="9" max="9" width="4.25"/>
    <col customWidth="1" min="10" max="10" width="4.5"/>
    <col customWidth="1" min="11" max="11" width="4.0"/>
    <col customWidth="1" min="12" max="12" width="4.63"/>
    <col customWidth="1" min="13" max="13" width="4.13"/>
    <col customWidth="1" min="14" max="14" width="4.25"/>
    <col customWidth="1" min="15" max="17" width="4.5"/>
    <col customWidth="1" min="18" max="18" width="4.63"/>
    <col customWidth="1" min="19" max="19" width="4.38"/>
    <col customWidth="1" min="20" max="20" width="4.75"/>
    <col customWidth="1" min="21" max="21" width="4.5"/>
    <col customWidth="1" min="22" max="22" width="2.88"/>
    <col customWidth="1" min="23" max="24" width="9.0"/>
    <col customWidth="1" min="25" max="27" width="10.0"/>
  </cols>
  <sheetData>
    <row r="1" ht="13.5" customHeight="1">
      <c r="A1" s="110"/>
      <c r="B1" s="143"/>
      <c r="C1" s="110"/>
      <c r="D1" s="111"/>
      <c r="E1" s="110"/>
      <c r="F1" s="110"/>
      <c r="G1" s="110"/>
      <c r="H1" s="110"/>
      <c r="I1" s="110"/>
      <c r="J1" s="110"/>
      <c r="K1" s="110"/>
      <c r="L1" s="110"/>
      <c r="M1" s="110"/>
      <c r="N1" s="110"/>
      <c r="O1" s="110"/>
      <c r="P1" s="110"/>
      <c r="Q1" s="110"/>
      <c r="R1" s="110"/>
      <c r="S1" s="110"/>
      <c r="T1" s="110"/>
      <c r="U1" s="110"/>
      <c r="V1" s="110"/>
      <c r="W1" s="110"/>
      <c r="X1" s="110"/>
      <c r="Y1" s="110"/>
      <c r="Z1" s="110"/>
      <c r="AA1" s="110"/>
    </row>
    <row r="2" ht="13.5" customHeight="1">
      <c r="A2" s="125" t="s">
        <v>337</v>
      </c>
      <c r="B2" s="13"/>
      <c r="C2" s="276" t="str">
        <f>Functions!E25</f>
        <v>F-15</v>
      </c>
      <c r="D2" s="12"/>
      <c r="E2" s="13"/>
      <c r="F2" s="116" t="s">
        <v>71</v>
      </c>
      <c r="G2" s="117"/>
      <c r="H2" s="117"/>
      <c r="I2" s="117"/>
      <c r="J2" s="117"/>
      <c r="K2" s="117"/>
      <c r="L2" s="118" t="str">
        <f>Functions!D25</f>
        <v>Role-scoped recognized revenue and leaderboard</v>
      </c>
      <c r="M2" s="113"/>
      <c r="N2" s="113"/>
      <c r="O2" s="113"/>
      <c r="P2" s="113"/>
      <c r="Q2" s="113"/>
      <c r="R2" s="113"/>
      <c r="S2" s="113"/>
      <c r="T2" s="119"/>
      <c r="U2" s="277"/>
      <c r="V2" s="110"/>
      <c r="W2" s="120"/>
      <c r="X2" s="110"/>
      <c r="Y2" s="110"/>
      <c r="Z2" s="110"/>
      <c r="AA2" s="110"/>
    </row>
    <row r="3" ht="13.5" customHeight="1">
      <c r="A3" s="121" t="s">
        <v>338</v>
      </c>
      <c r="B3" s="13"/>
      <c r="C3" s="278" t="s">
        <v>183</v>
      </c>
      <c r="D3" s="225"/>
      <c r="E3" s="241"/>
      <c r="F3" s="125" t="s">
        <v>339</v>
      </c>
      <c r="G3" s="12"/>
      <c r="H3" s="12"/>
      <c r="I3" s="12"/>
      <c r="J3" s="12"/>
      <c r="K3" s="13"/>
      <c r="L3" s="126"/>
      <c r="M3" s="123"/>
      <c r="N3" s="123"/>
      <c r="O3" s="123"/>
      <c r="P3" s="123"/>
      <c r="Q3" s="123"/>
      <c r="R3" s="123"/>
      <c r="S3" s="123"/>
      <c r="T3" s="279"/>
      <c r="U3" s="280"/>
      <c r="V3" s="110"/>
      <c r="W3" s="110"/>
      <c r="X3" s="110"/>
      <c r="Y3" s="110"/>
      <c r="Z3" s="110"/>
      <c r="AA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281"/>
      <c r="V4" s="110"/>
      <c r="W4" s="120"/>
      <c r="X4" s="110"/>
      <c r="Y4" s="110"/>
      <c r="Z4" s="110"/>
      <c r="AA4" s="110"/>
    </row>
    <row r="5" ht="13.5" customHeight="1">
      <c r="A5" s="121" t="s">
        <v>342</v>
      </c>
      <c r="B5" s="13"/>
      <c r="C5" s="132" t="s">
        <v>188</v>
      </c>
      <c r="D5" s="12"/>
      <c r="E5" s="12"/>
      <c r="F5" s="12"/>
      <c r="G5" s="12"/>
      <c r="H5" s="12"/>
      <c r="I5" s="12"/>
      <c r="J5" s="12"/>
      <c r="K5" s="12"/>
      <c r="L5" s="12"/>
      <c r="M5" s="12"/>
      <c r="N5" s="12"/>
      <c r="O5" s="12"/>
      <c r="P5" s="12"/>
      <c r="Q5" s="12"/>
      <c r="R5" s="12"/>
      <c r="S5" s="12"/>
      <c r="T5" s="131"/>
      <c r="U5" s="282"/>
      <c r="V5" s="110"/>
      <c r="W5" s="110"/>
      <c r="X5" s="110"/>
      <c r="Y5" s="110"/>
      <c r="Z5" s="110"/>
      <c r="AA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283"/>
      <c r="V6" s="110"/>
      <c r="W6" s="120"/>
      <c r="X6" s="110"/>
      <c r="Y6" s="110"/>
      <c r="Z6" s="110"/>
      <c r="AA6" s="110"/>
    </row>
    <row r="7" ht="13.5" customHeight="1">
      <c r="A7" s="137">
        <f>COUNTIF(F47:U47,"P")</f>
        <v>0</v>
      </c>
      <c r="B7" s="138"/>
      <c r="C7" s="139">
        <f>COUNTIF(F47:U47,"F")</f>
        <v>0</v>
      </c>
      <c r="D7" s="140"/>
      <c r="E7" s="138"/>
      <c r="F7" s="139">
        <f>SUM(O7,-A7,-C7)</f>
        <v>4</v>
      </c>
      <c r="G7" s="140"/>
      <c r="H7" s="140"/>
      <c r="I7" s="140"/>
      <c r="J7" s="140"/>
      <c r="K7" s="138"/>
      <c r="L7" s="141">
        <f>COUNTIF(F46:U46,"N")</f>
        <v>2</v>
      </c>
      <c r="M7" s="141">
        <f>COUNTIF(F46:U46,"A")</f>
        <v>2</v>
      </c>
      <c r="N7" s="141">
        <f>COUNTIF(F46:U46,"B")</f>
        <v>0</v>
      </c>
      <c r="O7" s="139">
        <f>COUNTA(F9:U9)</f>
        <v>4</v>
      </c>
      <c r="P7" s="140"/>
      <c r="Q7" s="140"/>
      <c r="R7" s="140"/>
      <c r="S7" s="140"/>
      <c r="T7" s="284"/>
      <c r="U7" s="285"/>
      <c r="V7" s="110"/>
      <c r="W7" s="110"/>
      <c r="X7" s="110"/>
      <c r="Y7" s="110"/>
      <c r="Z7" s="110"/>
      <c r="AA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c r="AA8" s="110"/>
    </row>
    <row r="9" ht="46.5" customHeight="1">
      <c r="A9" s="144"/>
      <c r="B9" s="145"/>
      <c r="C9" s="146"/>
      <c r="D9" s="147"/>
      <c r="E9" s="146"/>
      <c r="F9" s="148" t="s">
        <v>344</v>
      </c>
      <c r="G9" s="148" t="s">
        <v>345</v>
      </c>
      <c r="H9" s="148" t="s">
        <v>346</v>
      </c>
      <c r="I9" s="148" t="s">
        <v>347</v>
      </c>
      <c r="J9" s="148"/>
      <c r="K9" s="148"/>
      <c r="L9" s="148"/>
      <c r="M9" s="148"/>
      <c r="N9" s="148"/>
      <c r="O9" s="148"/>
      <c r="P9" s="148"/>
      <c r="Q9" s="148"/>
      <c r="R9" s="148"/>
      <c r="S9" s="148"/>
      <c r="T9" s="286"/>
      <c r="U9" s="286"/>
      <c r="V9" s="150"/>
      <c r="W9" s="120"/>
      <c r="X9" s="110"/>
      <c r="Y9" s="110"/>
      <c r="Z9" s="110"/>
      <c r="AA9" s="110"/>
    </row>
    <row r="10" ht="13.5" customHeight="1">
      <c r="A10" s="151" t="s">
        <v>350</v>
      </c>
      <c r="B10" s="152" t="s">
        <v>351</v>
      </c>
      <c r="C10" s="153"/>
      <c r="D10" s="287"/>
      <c r="E10" s="155"/>
      <c r="F10" s="156"/>
      <c r="G10" s="156"/>
      <c r="H10" s="156"/>
      <c r="I10" s="156"/>
      <c r="J10" s="156"/>
      <c r="K10" s="156"/>
      <c r="L10" s="156"/>
      <c r="M10" s="156"/>
      <c r="N10" s="156"/>
      <c r="O10" s="156"/>
      <c r="P10" s="156"/>
      <c r="Q10" s="156"/>
      <c r="R10" s="156"/>
      <c r="S10" s="156"/>
      <c r="T10" s="288"/>
      <c r="U10" s="165"/>
      <c r="V10" s="110"/>
      <c r="W10" s="110"/>
      <c r="X10" s="110"/>
      <c r="Y10" s="110"/>
      <c r="Z10" s="110"/>
      <c r="AA10" s="110"/>
    </row>
    <row r="11" ht="13.5" customHeight="1">
      <c r="A11" s="157"/>
      <c r="B11" s="158"/>
      <c r="C11" s="289"/>
      <c r="D11" s="172" t="s">
        <v>502</v>
      </c>
      <c r="E11" s="155"/>
      <c r="F11" s="156" t="s">
        <v>353</v>
      </c>
      <c r="G11" s="156"/>
      <c r="H11" s="156"/>
      <c r="I11" s="156"/>
      <c r="J11" s="156"/>
      <c r="K11" s="156"/>
      <c r="L11" s="156"/>
      <c r="M11" s="156"/>
      <c r="N11" s="156"/>
      <c r="O11" s="156"/>
      <c r="P11" s="156"/>
      <c r="Q11" s="156"/>
      <c r="R11" s="156"/>
      <c r="S11" s="156"/>
      <c r="T11" s="156"/>
      <c r="U11" s="156"/>
      <c r="V11" s="110"/>
      <c r="W11" s="110"/>
      <c r="X11" s="110"/>
      <c r="Y11" s="110"/>
      <c r="Z11" s="110"/>
      <c r="AA11" s="110"/>
    </row>
    <row r="12" ht="13.5" customHeight="1">
      <c r="A12" s="162"/>
      <c r="B12" s="163"/>
      <c r="C12" s="290"/>
      <c r="D12" s="174"/>
      <c r="E12" s="155"/>
      <c r="F12" s="165"/>
      <c r="G12" s="165"/>
      <c r="H12" s="165"/>
      <c r="I12" s="165"/>
      <c r="J12" s="165"/>
      <c r="K12" s="165"/>
      <c r="L12" s="165"/>
      <c r="M12" s="165"/>
      <c r="N12" s="165"/>
      <c r="O12" s="165"/>
      <c r="P12" s="165"/>
      <c r="Q12" s="165"/>
      <c r="R12" s="165"/>
      <c r="S12" s="165"/>
      <c r="T12" s="291"/>
      <c r="U12" s="165"/>
      <c r="V12" s="110"/>
      <c r="W12" s="120"/>
      <c r="X12" s="110"/>
      <c r="Y12" s="110"/>
      <c r="Z12" s="110"/>
      <c r="AA12" s="110"/>
    </row>
    <row r="13" ht="13.5" customHeight="1">
      <c r="A13" s="162"/>
      <c r="B13" s="166"/>
      <c r="C13" s="167"/>
      <c r="D13" s="292" t="s">
        <v>503</v>
      </c>
      <c r="E13" s="155"/>
      <c r="F13" s="165"/>
      <c r="G13" s="165" t="s">
        <v>353</v>
      </c>
      <c r="H13" s="165"/>
      <c r="I13" s="165"/>
      <c r="J13" s="165"/>
      <c r="K13" s="165"/>
      <c r="L13" s="165"/>
      <c r="M13" s="165"/>
      <c r="N13" s="165"/>
      <c r="O13" s="165"/>
      <c r="P13" s="165"/>
      <c r="Q13" s="165"/>
      <c r="R13" s="165"/>
      <c r="S13" s="165"/>
      <c r="T13" s="291"/>
      <c r="U13" s="165"/>
      <c r="V13" s="110"/>
      <c r="W13" s="110"/>
      <c r="X13" s="110"/>
      <c r="Y13" s="110"/>
      <c r="Z13" s="110"/>
      <c r="AA13" s="110"/>
    </row>
    <row r="14" ht="13.5" customHeight="1">
      <c r="A14" s="162"/>
      <c r="B14" s="163"/>
      <c r="C14" s="226"/>
      <c r="D14" s="174" t="s">
        <v>504</v>
      </c>
      <c r="E14" s="170"/>
      <c r="F14" s="165"/>
      <c r="G14" s="165"/>
      <c r="H14" s="165" t="s">
        <v>353</v>
      </c>
      <c r="I14" s="165"/>
      <c r="J14" s="165"/>
      <c r="K14" s="165"/>
      <c r="L14" s="165"/>
      <c r="M14" s="165"/>
      <c r="N14" s="165"/>
      <c r="O14" s="165"/>
      <c r="P14" s="165"/>
      <c r="Q14" s="165"/>
      <c r="R14" s="165"/>
      <c r="S14" s="165"/>
      <c r="T14" s="165"/>
      <c r="U14" s="165"/>
      <c r="V14" s="110"/>
      <c r="W14" s="110"/>
      <c r="X14" s="110"/>
      <c r="Y14" s="110"/>
      <c r="Z14" s="110"/>
      <c r="AA14" s="110"/>
    </row>
    <row r="15" ht="13.5" customHeight="1">
      <c r="A15" s="162"/>
      <c r="B15" s="163"/>
      <c r="C15" s="171"/>
      <c r="D15" s="174"/>
      <c r="E15" s="173"/>
      <c r="F15" s="165"/>
      <c r="G15" s="165"/>
      <c r="H15" s="165"/>
      <c r="I15" s="165"/>
      <c r="J15" s="165"/>
      <c r="K15" s="165"/>
      <c r="L15" s="165"/>
      <c r="M15" s="165"/>
      <c r="N15" s="165"/>
      <c r="O15" s="165"/>
      <c r="P15" s="165"/>
      <c r="Q15" s="165"/>
      <c r="R15" s="165"/>
      <c r="S15" s="165"/>
      <c r="T15" s="291"/>
      <c r="U15" s="165"/>
      <c r="V15" s="110"/>
      <c r="W15" s="110"/>
      <c r="X15" s="110"/>
      <c r="Y15" s="110"/>
      <c r="Z15" s="110"/>
      <c r="AA15" s="110"/>
    </row>
    <row r="16" ht="13.5" customHeight="1">
      <c r="A16" s="162"/>
      <c r="B16" s="163"/>
      <c r="C16" s="171"/>
      <c r="D16" s="174" t="s">
        <v>505</v>
      </c>
      <c r="E16" s="173"/>
      <c r="F16" s="165"/>
      <c r="G16" s="165"/>
      <c r="H16" s="165"/>
      <c r="I16" s="165" t="s">
        <v>353</v>
      </c>
      <c r="J16" s="165"/>
      <c r="K16" s="165"/>
      <c r="L16" s="165"/>
      <c r="M16" s="165"/>
      <c r="N16" s="165"/>
      <c r="O16" s="165"/>
      <c r="P16" s="165"/>
      <c r="Q16" s="165"/>
      <c r="R16" s="165"/>
      <c r="S16" s="165"/>
      <c r="T16" s="291"/>
      <c r="U16" s="165"/>
      <c r="V16" s="110"/>
      <c r="W16" s="110"/>
      <c r="X16" s="110"/>
      <c r="Y16" s="110"/>
      <c r="Z16" s="110"/>
      <c r="AA16" s="110"/>
    </row>
    <row r="17" ht="13.5" customHeight="1">
      <c r="A17" s="162"/>
      <c r="B17" s="163"/>
      <c r="C17" s="171"/>
      <c r="D17" s="174"/>
      <c r="E17" s="173"/>
      <c r="F17" s="165"/>
      <c r="G17" s="165"/>
      <c r="H17" s="165"/>
      <c r="I17" s="165"/>
      <c r="J17" s="165"/>
      <c r="K17" s="165"/>
      <c r="L17" s="165"/>
      <c r="M17" s="165"/>
      <c r="N17" s="165"/>
      <c r="O17" s="165"/>
      <c r="P17" s="165"/>
      <c r="Q17" s="165"/>
      <c r="R17" s="165"/>
      <c r="S17" s="165"/>
      <c r="T17" s="291"/>
      <c r="U17" s="165"/>
      <c r="V17" s="110"/>
      <c r="W17" s="110"/>
      <c r="X17" s="110"/>
      <c r="Y17" s="110"/>
      <c r="Z17" s="110"/>
      <c r="AA17" s="110"/>
    </row>
    <row r="18" ht="13.5" customHeight="1">
      <c r="A18" s="162"/>
      <c r="B18" s="163"/>
      <c r="C18" s="171"/>
      <c r="D18" s="174"/>
      <c r="E18" s="173"/>
      <c r="F18" s="165"/>
      <c r="G18" s="165"/>
      <c r="H18" s="165"/>
      <c r="I18" s="165"/>
      <c r="J18" s="165"/>
      <c r="K18" s="165"/>
      <c r="L18" s="165"/>
      <c r="M18" s="165"/>
      <c r="N18" s="165"/>
      <c r="O18" s="165"/>
      <c r="P18" s="165"/>
      <c r="Q18" s="165"/>
      <c r="R18" s="165"/>
      <c r="S18" s="165"/>
      <c r="T18" s="165"/>
      <c r="U18" s="165"/>
      <c r="V18" s="175"/>
      <c r="W18" s="110"/>
      <c r="X18" s="110"/>
      <c r="Y18" s="110"/>
      <c r="Z18" s="110"/>
      <c r="AA18" s="110"/>
    </row>
    <row r="19" ht="13.5" customHeight="1">
      <c r="A19" s="162"/>
      <c r="B19" s="163"/>
      <c r="C19" s="171"/>
      <c r="D19" s="174"/>
      <c r="E19" s="173"/>
      <c r="F19" s="165"/>
      <c r="G19" s="165"/>
      <c r="H19" s="165"/>
      <c r="I19" s="165"/>
      <c r="J19" s="165"/>
      <c r="K19" s="165"/>
      <c r="L19" s="165"/>
      <c r="M19" s="165"/>
      <c r="N19" s="165"/>
      <c r="O19" s="165"/>
      <c r="P19" s="165"/>
      <c r="Q19" s="165"/>
      <c r="R19" s="165"/>
      <c r="S19" s="165"/>
      <c r="T19" s="291"/>
      <c r="U19" s="165"/>
      <c r="V19" s="175"/>
      <c r="W19" s="110"/>
      <c r="X19" s="110"/>
      <c r="Y19" s="110"/>
      <c r="Z19" s="110"/>
      <c r="AA19" s="110"/>
    </row>
    <row r="20" ht="13.5" customHeight="1">
      <c r="A20" s="162"/>
      <c r="B20" s="163"/>
      <c r="C20" s="171"/>
      <c r="D20" s="111"/>
      <c r="F20" s="165"/>
      <c r="G20" s="165"/>
      <c r="H20" s="165"/>
      <c r="I20" s="165"/>
      <c r="J20" s="165"/>
      <c r="K20" s="165"/>
      <c r="L20" s="165"/>
      <c r="M20" s="165"/>
      <c r="N20" s="165"/>
      <c r="O20" s="165"/>
      <c r="P20" s="165"/>
      <c r="Q20" s="165"/>
      <c r="R20" s="165"/>
      <c r="S20" s="165"/>
      <c r="T20" s="165"/>
      <c r="U20" s="165"/>
      <c r="V20" s="110"/>
      <c r="W20" s="110"/>
      <c r="X20" s="110"/>
      <c r="Y20" s="110"/>
      <c r="Z20" s="110"/>
      <c r="AA20" s="110"/>
    </row>
    <row r="21" ht="13.5" customHeight="1">
      <c r="A21" s="162"/>
      <c r="B21" s="163"/>
      <c r="C21" s="171"/>
      <c r="D21" s="174"/>
      <c r="E21" s="173"/>
      <c r="F21" s="165"/>
      <c r="G21" s="165"/>
      <c r="H21" s="165"/>
      <c r="I21" s="165"/>
      <c r="J21" s="165"/>
      <c r="K21" s="165"/>
      <c r="L21" s="165"/>
      <c r="M21" s="165"/>
      <c r="N21" s="165"/>
      <c r="O21" s="165"/>
      <c r="P21" s="165"/>
      <c r="Q21" s="165"/>
      <c r="R21" s="165"/>
      <c r="S21" s="165"/>
      <c r="T21" s="291"/>
      <c r="U21" s="165"/>
      <c r="V21" s="110"/>
      <c r="W21" s="110"/>
      <c r="X21" s="110"/>
      <c r="Y21" s="110"/>
      <c r="Z21" s="110"/>
      <c r="AA21" s="110"/>
    </row>
    <row r="22" ht="13.5" customHeight="1">
      <c r="A22" s="162"/>
      <c r="B22" s="163"/>
      <c r="C22" s="171"/>
      <c r="D22" s="174"/>
      <c r="E22" s="173"/>
      <c r="F22" s="165"/>
      <c r="G22" s="165"/>
      <c r="H22" s="165"/>
      <c r="I22" s="165"/>
      <c r="J22" s="165"/>
      <c r="K22" s="165"/>
      <c r="L22" s="165"/>
      <c r="M22" s="165"/>
      <c r="N22" s="165"/>
      <c r="O22" s="165"/>
      <c r="P22" s="165"/>
      <c r="Q22" s="165"/>
      <c r="R22" s="165"/>
      <c r="S22" s="165"/>
      <c r="T22" s="291"/>
      <c r="U22" s="165"/>
      <c r="V22" s="110"/>
      <c r="W22" s="110"/>
      <c r="X22" s="110"/>
      <c r="Y22" s="110"/>
      <c r="Z22" s="110"/>
      <c r="AA22" s="110"/>
    </row>
    <row r="23" ht="13.5" customHeight="1">
      <c r="A23" s="162"/>
      <c r="B23" s="163"/>
      <c r="C23" s="171"/>
      <c r="D23" s="174"/>
      <c r="E23" s="173"/>
      <c r="F23" s="165"/>
      <c r="G23" s="165"/>
      <c r="H23" s="165"/>
      <c r="I23" s="165"/>
      <c r="J23" s="165"/>
      <c r="K23" s="165"/>
      <c r="L23" s="165"/>
      <c r="M23" s="165"/>
      <c r="N23" s="165"/>
      <c r="O23" s="165"/>
      <c r="P23" s="165"/>
      <c r="Q23" s="165"/>
      <c r="R23" s="165"/>
      <c r="S23" s="165"/>
      <c r="T23" s="291"/>
      <c r="U23" s="165"/>
      <c r="V23" s="110"/>
      <c r="W23" s="110"/>
      <c r="X23" s="110"/>
      <c r="Y23" s="110"/>
      <c r="Z23" s="110"/>
      <c r="AA23" s="110"/>
    </row>
    <row r="24" ht="13.5" customHeight="1">
      <c r="A24" s="162"/>
      <c r="B24" s="163"/>
      <c r="C24" s="171"/>
      <c r="D24" s="292"/>
      <c r="E24" s="173"/>
      <c r="F24" s="165"/>
      <c r="G24" s="165"/>
      <c r="H24" s="165"/>
      <c r="I24" s="165"/>
      <c r="J24" s="165"/>
      <c r="K24" s="165"/>
      <c r="L24" s="165"/>
      <c r="M24" s="165"/>
      <c r="N24" s="165"/>
      <c r="O24" s="165"/>
      <c r="P24" s="165"/>
      <c r="Q24" s="165"/>
      <c r="R24" s="165"/>
      <c r="S24" s="165"/>
      <c r="T24" s="291"/>
      <c r="U24" s="165"/>
      <c r="V24" s="110"/>
      <c r="W24" s="110"/>
      <c r="X24" s="110"/>
      <c r="Y24" s="110"/>
      <c r="Z24" s="110"/>
      <c r="AA24" s="110"/>
    </row>
    <row r="25" ht="13.5" customHeight="1">
      <c r="A25" s="162"/>
      <c r="B25" s="163"/>
      <c r="C25" s="171"/>
      <c r="D25" s="174"/>
      <c r="E25" s="173"/>
      <c r="F25" s="165"/>
      <c r="G25" s="165"/>
      <c r="H25" s="165"/>
      <c r="I25" s="165"/>
      <c r="J25" s="165"/>
      <c r="K25" s="165"/>
      <c r="L25" s="165"/>
      <c r="M25" s="165"/>
      <c r="N25" s="165"/>
      <c r="O25" s="165"/>
      <c r="P25" s="165"/>
      <c r="Q25" s="165"/>
      <c r="R25" s="165"/>
      <c r="S25" s="165"/>
      <c r="T25" s="291"/>
      <c r="U25" s="165"/>
      <c r="V25" s="110"/>
      <c r="W25" s="110"/>
      <c r="X25" s="110"/>
      <c r="Y25" s="110"/>
      <c r="Z25" s="110"/>
      <c r="AA25" s="110"/>
    </row>
    <row r="26" ht="13.5" customHeight="1">
      <c r="A26" s="162"/>
      <c r="B26" s="163"/>
      <c r="C26" s="171"/>
      <c r="D26" s="174"/>
      <c r="E26" s="173"/>
      <c r="F26" s="165"/>
      <c r="G26" s="165"/>
      <c r="H26" s="165"/>
      <c r="I26" s="165"/>
      <c r="J26" s="165"/>
      <c r="K26" s="165"/>
      <c r="L26" s="165"/>
      <c r="M26" s="165"/>
      <c r="N26" s="165"/>
      <c r="O26" s="165"/>
      <c r="P26" s="165"/>
      <c r="Q26" s="165"/>
      <c r="R26" s="165"/>
      <c r="S26" s="165"/>
      <c r="T26" s="291"/>
      <c r="U26" s="165"/>
      <c r="V26" s="110"/>
      <c r="W26" s="110"/>
      <c r="X26" s="110"/>
      <c r="Y26" s="110"/>
      <c r="Z26" s="110"/>
      <c r="AA26" s="110"/>
    </row>
    <row r="27" ht="13.5" customHeight="1">
      <c r="A27" s="162"/>
      <c r="B27" s="163"/>
      <c r="C27" s="171"/>
      <c r="D27" s="174"/>
      <c r="E27" s="173"/>
      <c r="F27" s="165"/>
      <c r="G27" s="165"/>
      <c r="H27" s="165"/>
      <c r="I27" s="165"/>
      <c r="J27" s="165"/>
      <c r="K27" s="165"/>
      <c r="L27" s="165"/>
      <c r="M27" s="165"/>
      <c r="N27" s="165"/>
      <c r="O27" s="165"/>
      <c r="P27" s="165"/>
      <c r="Q27" s="165"/>
      <c r="R27" s="165"/>
      <c r="S27" s="165"/>
      <c r="T27" s="165"/>
      <c r="U27" s="165"/>
      <c r="V27" s="110"/>
      <c r="W27" s="110"/>
      <c r="X27" s="110"/>
      <c r="Y27" s="110"/>
      <c r="Z27" s="110"/>
      <c r="AA27" s="110"/>
    </row>
    <row r="28" ht="13.5" customHeight="1">
      <c r="A28" s="162"/>
      <c r="B28" s="163"/>
      <c r="C28" s="171"/>
      <c r="D28" s="174"/>
      <c r="E28" s="173"/>
      <c r="F28" s="165"/>
      <c r="G28" s="165"/>
      <c r="H28" s="165"/>
      <c r="I28" s="165"/>
      <c r="J28" s="165"/>
      <c r="K28" s="165"/>
      <c r="L28" s="165"/>
      <c r="M28" s="165"/>
      <c r="N28" s="165"/>
      <c r="O28" s="165"/>
      <c r="P28" s="165"/>
      <c r="Q28" s="165"/>
      <c r="R28" s="165"/>
      <c r="S28" s="165"/>
      <c r="T28" s="291"/>
      <c r="U28" s="165"/>
      <c r="V28" s="110"/>
      <c r="W28" s="110"/>
      <c r="X28" s="110"/>
      <c r="Y28" s="110"/>
      <c r="Z28" s="110"/>
      <c r="AA28" s="110"/>
    </row>
    <row r="29" ht="13.5" customHeight="1">
      <c r="A29" s="162"/>
      <c r="B29" s="163"/>
      <c r="C29" s="171"/>
      <c r="D29" s="174"/>
      <c r="E29" s="173"/>
      <c r="F29" s="165"/>
      <c r="G29" s="165"/>
      <c r="H29" s="165"/>
      <c r="I29" s="165"/>
      <c r="J29" s="165"/>
      <c r="K29" s="165"/>
      <c r="L29" s="165"/>
      <c r="M29" s="165"/>
      <c r="N29" s="165"/>
      <c r="O29" s="165"/>
      <c r="P29" s="165"/>
      <c r="Q29" s="165"/>
      <c r="R29" s="165"/>
      <c r="S29" s="165"/>
      <c r="T29" s="291"/>
      <c r="U29" s="165"/>
      <c r="V29" s="110"/>
      <c r="W29" s="110"/>
      <c r="X29" s="110"/>
      <c r="Y29" s="110"/>
      <c r="Z29" s="110"/>
      <c r="AA29" s="110"/>
    </row>
    <row r="30" ht="13.5" customHeight="1">
      <c r="A30" s="162"/>
      <c r="B30" s="163"/>
      <c r="C30" s="171"/>
      <c r="D30" s="174"/>
      <c r="E30" s="173"/>
      <c r="F30" s="165"/>
      <c r="G30" s="165"/>
      <c r="H30" s="165"/>
      <c r="I30" s="165"/>
      <c r="J30" s="165"/>
      <c r="K30" s="165"/>
      <c r="L30" s="165"/>
      <c r="M30" s="165"/>
      <c r="N30" s="165"/>
      <c r="O30" s="165"/>
      <c r="P30" s="165"/>
      <c r="Q30" s="165"/>
      <c r="R30" s="165"/>
      <c r="S30" s="165"/>
      <c r="T30" s="291"/>
      <c r="U30" s="165"/>
      <c r="V30" s="110"/>
      <c r="W30" s="110"/>
      <c r="X30" s="110"/>
      <c r="Y30" s="110"/>
      <c r="Z30" s="110"/>
      <c r="AA30" s="110"/>
    </row>
    <row r="31" ht="13.5" customHeight="1">
      <c r="A31" s="162"/>
      <c r="B31" s="294"/>
      <c r="C31" s="295"/>
      <c r="D31" s="296"/>
      <c r="E31" s="297"/>
      <c r="F31" s="298"/>
      <c r="G31" s="298"/>
      <c r="H31" s="298"/>
      <c r="I31" s="298"/>
      <c r="J31" s="298"/>
      <c r="K31" s="298"/>
      <c r="L31" s="298"/>
      <c r="M31" s="298"/>
      <c r="N31" s="298"/>
      <c r="O31" s="298"/>
      <c r="P31" s="298"/>
      <c r="Q31" s="298"/>
      <c r="R31" s="298"/>
      <c r="S31" s="298"/>
      <c r="T31" s="299"/>
      <c r="U31" s="299"/>
      <c r="V31" s="110"/>
      <c r="W31" s="110"/>
      <c r="X31" s="110"/>
      <c r="Y31" s="110"/>
      <c r="Z31" s="110"/>
      <c r="AA31" s="110"/>
    </row>
    <row r="32" ht="13.5" customHeight="1">
      <c r="A32" s="176" t="s">
        <v>359</v>
      </c>
      <c r="B32" s="177" t="s">
        <v>360</v>
      </c>
      <c r="C32" s="178"/>
      <c r="D32" s="179"/>
      <c r="E32" s="180"/>
      <c r="F32" s="156"/>
      <c r="G32" s="156"/>
      <c r="H32" s="156"/>
      <c r="I32" s="156"/>
      <c r="J32" s="156"/>
      <c r="K32" s="156"/>
      <c r="L32" s="156"/>
      <c r="M32" s="156"/>
      <c r="N32" s="156"/>
      <c r="O32" s="156"/>
      <c r="P32" s="156"/>
      <c r="Q32" s="156"/>
      <c r="R32" s="156"/>
      <c r="S32" s="156"/>
      <c r="T32" s="288"/>
      <c r="U32" s="165"/>
      <c r="V32" s="110"/>
      <c r="W32" s="110"/>
      <c r="X32" s="110"/>
      <c r="Y32" s="110"/>
      <c r="Z32" s="110"/>
      <c r="AA32" s="110"/>
    </row>
    <row r="33" ht="13.5" customHeight="1">
      <c r="A33" s="181"/>
      <c r="B33" s="182"/>
      <c r="C33" s="183"/>
      <c r="D33" s="184" t="s">
        <v>506</v>
      </c>
      <c r="E33" s="185"/>
      <c r="F33" s="165" t="s">
        <v>353</v>
      </c>
      <c r="G33" s="165"/>
      <c r="H33" s="165"/>
      <c r="I33" s="165"/>
      <c r="J33" s="165"/>
      <c r="K33" s="165"/>
      <c r="L33" s="165"/>
      <c r="M33" s="165"/>
      <c r="N33" s="165"/>
      <c r="O33" s="165"/>
      <c r="P33" s="165"/>
      <c r="Q33" s="165"/>
      <c r="R33" s="165"/>
      <c r="S33" s="165"/>
      <c r="T33" s="291"/>
      <c r="U33" s="165"/>
      <c r="V33" s="110"/>
      <c r="W33" s="110"/>
      <c r="X33" s="110"/>
      <c r="Y33" s="110"/>
      <c r="Z33" s="110"/>
      <c r="AA33" s="110"/>
    </row>
    <row r="34" ht="13.5" customHeight="1">
      <c r="A34" s="181"/>
      <c r="B34" s="182"/>
      <c r="C34" s="186"/>
      <c r="D34" s="187" t="s">
        <v>507</v>
      </c>
      <c r="E34" s="188"/>
      <c r="F34" s="189"/>
      <c r="G34" s="165" t="s">
        <v>353</v>
      </c>
      <c r="H34" s="165"/>
      <c r="I34" s="165"/>
      <c r="J34" s="165"/>
      <c r="K34" s="165"/>
      <c r="L34" s="165"/>
      <c r="M34" s="165"/>
      <c r="N34" s="165"/>
      <c r="O34" s="165"/>
      <c r="P34" s="165"/>
      <c r="Q34" s="165"/>
      <c r="R34" s="165"/>
      <c r="S34" s="165"/>
      <c r="T34" s="291"/>
      <c r="U34" s="165"/>
      <c r="V34" s="110"/>
      <c r="W34" s="110"/>
      <c r="X34" s="110"/>
      <c r="Y34" s="110"/>
      <c r="Z34" s="110"/>
      <c r="AA34" s="110"/>
    </row>
    <row r="35" ht="13.5" customHeight="1">
      <c r="A35" s="181"/>
      <c r="B35" s="182"/>
      <c r="C35" s="183"/>
      <c r="D35" s="190" t="s">
        <v>508</v>
      </c>
      <c r="E35" s="188"/>
      <c r="F35" s="165"/>
      <c r="G35" s="165"/>
      <c r="H35" s="165" t="s">
        <v>353</v>
      </c>
      <c r="I35" s="165"/>
      <c r="J35" s="165"/>
      <c r="K35" s="165"/>
      <c r="L35" s="165"/>
      <c r="M35" s="165"/>
      <c r="N35" s="165"/>
      <c r="O35" s="165"/>
      <c r="P35" s="165"/>
      <c r="Q35" s="165"/>
      <c r="R35" s="165"/>
      <c r="S35" s="165"/>
      <c r="T35" s="291"/>
      <c r="U35" s="165"/>
      <c r="V35" s="110"/>
      <c r="W35" s="110"/>
      <c r="X35" s="110"/>
      <c r="Y35" s="110"/>
      <c r="Z35" s="110"/>
      <c r="AA35" s="110"/>
    </row>
    <row r="36" ht="13.5" customHeight="1">
      <c r="A36" s="181"/>
      <c r="B36" s="182"/>
      <c r="C36" s="183"/>
      <c r="D36" s="191" t="s">
        <v>509</v>
      </c>
      <c r="E36" s="188"/>
      <c r="F36" s="165"/>
      <c r="G36" s="165"/>
      <c r="H36" s="165"/>
      <c r="I36" s="165" t="s">
        <v>353</v>
      </c>
      <c r="J36" s="165"/>
      <c r="K36" s="165"/>
      <c r="L36" s="165"/>
      <c r="M36" s="165"/>
      <c r="N36" s="165"/>
      <c r="O36" s="165"/>
      <c r="P36" s="165"/>
      <c r="Q36" s="165"/>
      <c r="R36" s="165"/>
      <c r="S36" s="165"/>
      <c r="T36" s="291"/>
      <c r="U36" s="165"/>
      <c r="V36" s="110"/>
      <c r="W36" s="110"/>
      <c r="X36" s="110"/>
      <c r="Y36" s="110"/>
      <c r="Z36" s="110"/>
      <c r="AA36" s="110"/>
    </row>
    <row r="37" ht="13.5" customHeight="1">
      <c r="A37" s="181"/>
      <c r="B37" s="182"/>
      <c r="C37" s="183"/>
      <c r="D37" s="184"/>
      <c r="E37" s="188"/>
      <c r="F37" s="165"/>
      <c r="G37" s="165"/>
      <c r="H37" s="165"/>
      <c r="I37" s="165"/>
      <c r="J37" s="165"/>
      <c r="K37" s="165"/>
      <c r="L37" s="165"/>
      <c r="M37" s="165"/>
      <c r="N37" s="165"/>
      <c r="O37" s="165"/>
      <c r="P37" s="165"/>
      <c r="Q37" s="165"/>
      <c r="R37" s="165"/>
      <c r="S37" s="165"/>
      <c r="T37" s="291"/>
      <c r="U37" s="165"/>
      <c r="V37" s="110"/>
      <c r="W37" s="110"/>
      <c r="X37" s="110"/>
      <c r="Y37" s="110"/>
      <c r="Z37" s="110"/>
      <c r="AA37" s="110"/>
    </row>
    <row r="38" ht="13.5" customHeight="1">
      <c r="A38" s="181"/>
      <c r="B38" s="182"/>
      <c r="C38" s="183"/>
      <c r="D38" s="184"/>
      <c r="E38" s="188"/>
      <c r="F38" s="165"/>
      <c r="G38" s="165"/>
      <c r="H38" s="165"/>
      <c r="I38" s="165"/>
      <c r="J38" s="165"/>
      <c r="K38" s="165"/>
      <c r="L38" s="165"/>
      <c r="M38" s="165"/>
      <c r="N38" s="165"/>
      <c r="O38" s="165"/>
      <c r="P38" s="165"/>
      <c r="Q38" s="165"/>
      <c r="R38" s="165"/>
      <c r="S38" s="165"/>
      <c r="T38" s="291"/>
      <c r="U38" s="165"/>
      <c r="V38" s="110"/>
      <c r="W38" s="110"/>
      <c r="X38" s="110"/>
      <c r="Y38" s="110"/>
      <c r="Z38" s="110"/>
      <c r="AA38" s="110"/>
    </row>
    <row r="39" ht="13.5" customHeight="1">
      <c r="A39" s="181"/>
      <c r="B39" s="182"/>
      <c r="C39" s="183"/>
      <c r="D39" s="184"/>
      <c r="E39" s="188"/>
      <c r="F39" s="165"/>
      <c r="G39" s="165"/>
      <c r="H39" s="165"/>
      <c r="I39" s="165"/>
      <c r="J39" s="165"/>
      <c r="K39" s="165"/>
      <c r="L39" s="165"/>
      <c r="M39" s="165"/>
      <c r="N39" s="165"/>
      <c r="O39" s="165"/>
      <c r="P39" s="165"/>
      <c r="Q39" s="165"/>
      <c r="R39" s="165"/>
      <c r="S39" s="165"/>
      <c r="T39" s="165"/>
      <c r="U39" s="165"/>
      <c r="V39" s="110"/>
      <c r="W39" s="110"/>
      <c r="X39" s="110"/>
      <c r="Y39" s="110"/>
      <c r="Z39" s="110"/>
      <c r="AA39" s="110"/>
    </row>
    <row r="40" ht="13.5" customHeight="1">
      <c r="A40" s="181"/>
      <c r="B40" s="182"/>
      <c r="C40" s="183"/>
      <c r="D40" s="184"/>
      <c r="E40" s="188"/>
      <c r="F40" s="165"/>
      <c r="G40" s="165"/>
      <c r="H40" s="165"/>
      <c r="I40" s="165"/>
      <c r="J40" s="165"/>
      <c r="K40" s="165"/>
      <c r="L40" s="165"/>
      <c r="M40" s="165"/>
      <c r="N40" s="165"/>
      <c r="O40" s="165"/>
      <c r="P40" s="165"/>
      <c r="Q40" s="165"/>
      <c r="R40" s="165"/>
      <c r="S40" s="165"/>
      <c r="T40" s="291"/>
      <c r="U40" s="165"/>
      <c r="V40" s="110"/>
      <c r="W40" s="110"/>
      <c r="X40" s="110"/>
      <c r="Y40" s="110"/>
      <c r="Z40" s="110"/>
      <c r="AA40" s="110"/>
    </row>
    <row r="41" ht="13.5" customHeight="1">
      <c r="A41" s="181"/>
      <c r="B41" s="182"/>
      <c r="C41" s="183"/>
      <c r="D41" s="184"/>
      <c r="E41" s="188"/>
      <c r="F41" s="165"/>
      <c r="G41" s="165"/>
      <c r="H41" s="165"/>
      <c r="I41" s="165"/>
      <c r="J41" s="165"/>
      <c r="K41" s="165"/>
      <c r="L41" s="165"/>
      <c r="M41" s="165"/>
      <c r="N41" s="165"/>
      <c r="O41" s="165"/>
      <c r="P41" s="165"/>
      <c r="Q41" s="165"/>
      <c r="R41" s="165"/>
      <c r="S41" s="165"/>
      <c r="T41" s="165"/>
      <c r="U41" s="165"/>
      <c r="V41" s="110"/>
      <c r="W41" s="110"/>
      <c r="X41" s="110"/>
      <c r="Y41" s="110"/>
      <c r="Z41" s="110"/>
      <c r="AA41" s="110"/>
    </row>
    <row r="42" ht="13.5" customHeight="1">
      <c r="A42" s="181"/>
      <c r="B42" s="182"/>
      <c r="C42" s="183"/>
      <c r="D42" s="184"/>
      <c r="E42" s="188"/>
      <c r="F42" s="165"/>
      <c r="G42" s="165"/>
      <c r="H42" s="165"/>
      <c r="I42" s="165"/>
      <c r="J42" s="165"/>
      <c r="K42" s="165"/>
      <c r="L42" s="165"/>
      <c r="M42" s="165"/>
      <c r="N42" s="165"/>
      <c r="O42" s="165"/>
      <c r="P42" s="165"/>
      <c r="Q42" s="165"/>
      <c r="R42" s="165"/>
      <c r="S42" s="165"/>
      <c r="T42" s="291"/>
      <c r="U42" s="165"/>
      <c r="V42" s="110"/>
      <c r="W42" s="110"/>
      <c r="X42" s="110"/>
      <c r="Y42" s="110"/>
      <c r="Z42" s="110"/>
      <c r="AA42" s="110"/>
    </row>
    <row r="43" ht="13.5" customHeight="1">
      <c r="A43" s="181"/>
      <c r="B43" s="192"/>
      <c r="C43" s="193"/>
      <c r="D43" s="194"/>
      <c r="E43" s="195"/>
      <c r="F43" s="196"/>
      <c r="G43" s="196"/>
      <c r="H43" s="196"/>
      <c r="I43" s="196"/>
      <c r="J43" s="196"/>
      <c r="K43" s="196"/>
      <c r="L43" s="196"/>
      <c r="M43" s="196"/>
      <c r="N43" s="196"/>
      <c r="O43" s="196"/>
      <c r="P43" s="196"/>
      <c r="Q43" s="196"/>
      <c r="R43" s="196"/>
      <c r="S43" s="196"/>
      <c r="T43" s="309"/>
      <c r="U43" s="165"/>
      <c r="V43" s="110"/>
      <c r="W43" s="110"/>
      <c r="X43" s="110"/>
      <c r="Y43" s="110"/>
      <c r="Z43" s="110"/>
      <c r="AA43" s="110"/>
    </row>
    <row r="44" ht="13.5" customHeight="1">
      <c r="A44" s="228"/>
      <c r="B44" s="229"/>
      <c r="C44" s="230"/>
      <c r="D44" s="231"/>
      <c r="E44" s="232"/>
      <c r="F44" s="233"/>
      <c r="G44" s="233"/>
      <c r="H44" s="233"/>
      <c r="I44" s="233"/>
      <c r="J44" s="233"/>
      <c r="K44" s="233"/>
      <c r="L44" s="233"/>
      <c r="M44" s="233"/>
      <c r="N44" s="233"/>
      <c r="O44" s="233"/>
      <c r="P44" s="233"/>
      <c r="Q44" s="233"/>
      <c r="R44" s="233"/>
      <c r="S44" s="233"/>
      <c r="T44" s="233"/>
      <c r="U44" s="165"/>
      <c r="V44" s="110"/>
      <c r="W44" s="110"/>
      <c r="X44" s="110"/>
      <c r="Y44" s="110"/>
      <c r="Z44" s="110"/>
      <c r="AA44" s="110"/>
    </row>
    <row r="45" ht="13.5" customHeight="1">
      <c r="A45" s="228"/>
      <c r="B45" s="256"/>
      <c r="C45" s="257"/>
      <c r="D45" s="258"/>
      <c r="E45" s="232"/>
      <c r="F45" s="233"/>
      <c r="G45" s="233"/>
      <c r="H45" s="233"/>
      <c r="I45" s="233"/>
      <c r="J45" s="233"/>
      <c r="K45" s="233"/>
      <c r="L45" s="233"/>
      <c r="M45" s="233"/>
      <c r="N45" s="233"/>
      <c r="O45" s="233"/>
      <c r="P45" s="233"/>
      <c r="Q45" s="233"/>
      <c r="R45" s="233"/>
      <c r="S45" s="233"/>
      <c r="T45" s="233"/>
      <c r="U45" s="165"/>
      <c r="V45" s="110"/>
      <c r="W45" s="110"/>
      <c r="X45" s="110"/>
      <c r="Y45" s="110"/>
      <c r="Z45" s="110"/>
      <c r="AA45" s="110"/>
    </row>
    <row r="46" ht="13.5" customHeight="1">
      <c r="A46" s="176" t="s">
        <v>367</v>
      </c>
      <c r="B46" s="197" t="s">
        <v>368</v>
      </c>
      <c r="C46" s="198"/>
      <c r="D46" s="199"/>
      <c r="E46" s="200"/>
      <c r="F46" s="201" t="s">
        <v>220</v>
      </c>
      <c r="G46" s="201" t="s">
        <v>220</v>
      </c>
      <c r="H46" s="201" t="s">
        <v>38</v>
      </c>
      <c r="I46" s="201" t="s">
        <v>38</v>
      </c>
      <c r="J46" s="201"/>
      <c r="K46" s="201"/>
      <c r="L46" s="201"/>
      <c r="M46" s="201"/>
      <c r="N46" s="201"/>
      <c r="O46" s="201"/>
      <c r="P46" s="201"/>
      <c r="Q46" s="201"/>
      <c r="R46" s="201"/>
      <c r="S46" s="201"/>
      <c r="T46" s="201"/>
      <c r="U46" s="201"/>
      <c r="V46" s="110"/>
      <c r="W46" s="110"/>
      <c r="X46" s="110"/>
      <c r="Y46" s="110"/>
      <c r="Z46" s="110"/>
      <c r="AA46" s="110"/>
    </row>
    <row r="47" ht="13.5" customHeight="1">
      <c r="A47" s="181"/>
      <c r="B47" s="204" t="s">
        <v>369</v>
      </c>
      <c r="C47" s="12"/>
      <c r="D47" s="13"/>
      <c r="E47" s="205"/>
      <c r="F47" s="206"/>
      <c r="G47" s="206"/>
      <c r="H47" s="206"/>
      <c r="I47" s="206"/>
      <c r="J47" s="206"/>
      <c r="K47" s="206"/>
      <c r="L47" s="206"/>
      <c r="M47" s="206"/>
      <c r="N47" s="206"/>
      <c r="O47" s="206"/>
      <c r="P47" s="206"/>
      <c r="Q47" s="206"/>
      <c r="R47" s="206"/>
      <c r="S47" s="206"/>
      <c r="T47" s="206"/>
      <c r="U47" s="206"/>
      <c r="V47" s="110"/>
      <c r="W47" s="110"/>
      <c r="X47" s="110"/>
      <c r="Y47" s="110"/>
      <c r="Z47" s="110"/>
      <c r="AA47" s="110"/>
    </row>
    <row r="48" ht="13.5" customHeight="1">
      <c r="A48" s="181"/>
      <c r="B48" s="208" t="s">
        <v>371</v>
      </c>
      <c r="C48" s="12"/>
      <c r="D48" s="13"/>
      <c r="E48" s="209"/>
      <c r="F48" s="210"/>
      <c r="G48" s="210"/>
      <c r="H48" s="210"/>
      <c r="I48" s="210"/>
      <c r="J48" s="210"/>
      <c r="K48" s="210"/>
      <c r="L48" s="210"/>
      <c r="M48" s="210"/>
      <c r="N48" s="210"/>
      <c r="O48" s="210"/>
      <c r="P48" s="210"/>
      <c r="Q48" s="210"/>
      <c r="R48" s="210"/>
      <c r="S48" s="210"/>
      <c r="T48" s="210"/>
      <c r="U48" s="210"/>
      <c r="V48" s="110"/>
      <c r="W48" s="110"/>
      <c r="X48" s="110"/>
      <c r="Y48" s="110"/>
      <c r="Z48" s="110"/>
      <c r="AA48" s="110"/>
    </row>
    <row r="49" ht="16.5" customHeight="1">
      <c r="A49" s="212"/>
      <c r="B49" s="215" t="s">
        <v>372</v>
      </c>
      <c r="C49" s="216"/>
      <c r="D49" s="217"/>
      <c r="E49" s="218"/>
      <c r="F49" s="219"/>
      <c r="G49" s="219"/>
      <c r="H49" s="219"/>
      <c r="I49" s="219"/>
      <c r="J49" s="219"/>
      <c r="K49" s="219"/>
      <c r="L49" s="219"/>
      <c r="M49" s="219"/>
      <c r="N49" s="219"/>
      <c r="O49" s="219"/>
      <c r="P49" s="219"/>
      <c r="Q49" s="219"/>
      <c r="R49" s="219"/>
      <c r="S49" s="219"/>
      <c r="T49" s="310"/>
      <c r="U49" s="219"/>
      <c r="V49" s="110"/>
      <c r="W49" s="110"/>
      <c r="X49" s="110"/>
      <c r="Y49" s="110"/>
      <c r="Z49" s="110"/>
      <c r="AA49" s="110"/>
    </row>
    <row r="50" ht="12.0" customHeight="1">
      <c r="A50" s="221"/>
      <c r="B50" s="143"/>
      <c r="C50" s="110"/>
      <c r="D50" s="111"/>
      <c r="E50" s="110"/>
      <c r="F50" s="110"/>
      <c r="G50" s="110"/>
      <c r="H50" s="110"/>
      <c r="I50" s="110"/>
      <c r="J50" s="110"/>
      <c r="K50" s="110"/>
      <c r="L50" s="110"/>
      <c r="M50" s="110"/>
      <c r="N50" s="110"/>
      <c r="O50" s="110"/>
      <c r="P50" s="110"/>
      <c r="Q50" s="110"/>
      <c r="R50" s="110"/>
      <c r="S50" s="110"/>
      <c r="T50" s="110"/>
      <c r="U50" s="110"/>
      <c r="V50" s="110"/>
      <c r="W50" s="110"/>
      <c r="X50" s="110"/>
      <c r="Y50" s="110"/>
      <c r="Z50" s="110"/>
      <c r="AA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c r="Z51" s="110"/>
      <c r="AA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c r="AA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c r="AA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c r="AA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c r="AA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c r="AA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c r="AA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c r="AA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c r="AA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c r="AA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c r="AA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c r="AA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c r="AA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c r="AA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c r="AA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c r="AA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c r="AA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c r="AA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c r="AA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c r="AA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c r="AA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c r="AA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c r="AA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c r="AA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c r="AA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c r="AA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c r="AA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c r="AA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c r="AA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c r="AA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c r="AA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c r="AA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c r="AA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c r="AA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c r="AA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c r="AA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c r="AA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c r="AA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c r="AA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c r="AA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c r="AA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c r="AA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c r="AA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c r="AA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c r="AA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c r="AA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c r="AA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c r="AA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c r="AA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2:B2"/>
    <mergeCell ref="C2:E2"/>
    <mergeCell ref="F2:K2"/>
    <mergeCell ref="L2:T2"/>
    <mergeCell ref="C3:E3"/>
    <mergeCell ref="F3:K3"/>
    <mergeCell ref="L3:T3"/>
    <mergeCell ref="A3:B3"/>
    <mergeCell ref="A4:B4"/>
    <mergeCell ref="C4:D4"/>
    <mergeCell ref="F4:K4"/>
    <mergeCell ref="L4:T4"/>
    <mergeCell ref="A5:B5"/>
    <mergeCell ref="C5:T5"/>
    <mergeCell ref="O6:T6"/>
    <mergeCell ref="O7:T7"/>
    <mergeCell ref="D20:E20"/>
    <mergeCell ref="B46:D46"/>
    <mergeCell ref="B47:D47"/>
    <mergeCell ref="B48:D48"/>
    <mergeCell ref="B49:D49"/>
    <mergeCell ref="A6:B6"/>
    <mergeCell ref="C6:E6"/>
    <mergeCell ref="F6:K6"/>
    <mergeCell ref="L6:N6"/>
    <mergeCell ref="A7:B7"/>
    <mergeCell ref="C7:E7"/>
    <mergeCell ref="F7:K7"/>
  </mergeCells>
  <dataValidations>
    <dataValidation type="list" allowBlank="1" showInputMessage="1" showErrorMessage="1" prompt=" - " sqref="F47:U47">
      <formula1>"P,F"</formula1>
    </dataValidation>
    <dataValidation type="list" allowBlank="1" showInputMessage="1" showErrorMessage="1" prompt=" - " sqref="F10:U33 G34:U34 F35:U45">
      <formula1>"O"</formula1>
    </dataValidation>
    <dataValidation type="list" allowBlank="1" showInputMessage="1" showErrorMessage="1" prompt=" - " sqref="F46:U46">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0" width="5.38"/>
    <col customWidth="1" min="11" max="11" width="5.25"/>
    <col customWidth="1" min="12" max="12" width="5.0"/>
    <col customWidth="1" min="13" max="13" width="4.75"/>
    <col customWidth="1" min="14" max="14" width="4.63"/>
    <col customWidth="1" min="15" max="15" width="4.75"/>
    <col customWidth="1" min="16" max="16" width="4.88"/>
    <col customWidth="1" min="17"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250" t="str">
        <f>Functions!E26</f>
        <v>F-16</v>
      </c>
      <c r="D2" s="251"/>
      <c r="E2" s="252"/>
      <c r="F2" s="116" t="s">
        <v>71</v>
      </c>
      <c r="G2" s="117"/>
      <c r="H2" s="117"/>
      <c r="I2" s="117"/>
      <c r="J2" s="117"/>
      <c r="K2" s="117"/>
      <c r="L2" s="118" t="str">
        <f>Functions!D26</f>
        <v>Retailer prospect assessment, activation and uniqueness</v>
      </c>
      <c r="M2" s="113"/>
      <c r="N2" s="113"/>
      <c r="O2" s="113"/>
      <c r="P2" s="113"/>
      <c r="Q2" s="113"/>
      <c r="R2" s="113"/>
      <c r="S2" s="113"/>
      <c r="T2" s="119"/>
      <c r="U2" s="110"/>
      <c r="V2" s="120"/>
      <c r="W2" s="110"/>
      <c r="X2" s="110"/>
      <c r="Y2" s="110"/>
      <c r="Z2" s="110"/>
    </row>
    <row r="3" ht="13.5" customHeight="1">
      <c r="A3" s="121" t="s">
        <v>338</v>
      </c>
      <c r="B3" s="13"/>
      <c r="C3" s="253" t="s">
        <v>183</v>
      </c>
      <c r="D3" s="123"/>
      <c r="E3" s="124"/>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121" t="s">
        <v>342</v>
      </c>
      <c r="B5" s="13"/>
      <c r="C5" s="132" t="s">
        <v>194</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COUNTIF(F50:P50,"P")</f>
        <v>0</v>
      </c>
      <c r="B7" s="138"/>
      <c r="C7" s="139">
        <f>COUNTIF(F50:P50,"F")</f>
        <v>0</v>
      </c>
      <c r="D7" s="140"/>
      <c r="E7" s="138"/>
      <c r="F7" s="139">
        <f>SUM(O7,-A7,-C7)</f>
        <v>5</v>
      </c>
      <c r="G7" s="140"/>
      <c r="H7" s="140"/>
      <c r="I7" s="140"/>
      <c r="J7" s="140"/>
      <c r="K7" s="138"/>
      <c r="L7" s="141">
        <f>COUNTIF(F49:P49,"N")</f>
        <v>3</v>
      </c>
      <c r="M7" s="141">
        <f>COUNTIF(F49:P49,"A")</f>
        <v>2</v>
      </c>
      <c r="N7" s="141">
        <f>COUNTIF(F49:P49,"B")</f>
        <v>0</v>
      </c>
      <c r="O7" s="139">
        <f>COUNTA(F9:P9)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300" t="s">
        <v>344</v>
      </c>
      <c r="G9" s="300" t="s">
        <v>345</v>
      </c>
      <c r="H9" s="300" t="s">
        <v>346</v>
      </c>
      <c r="I9" s="300" t="s">
        <v>347</v>
      </c>
      <c r="J9" s="300" t="s">
        <v>348</v>
      </c>
      <c r="K9" s="301"/>
      <c r="L9" s="301"/>
      <c r="M9" s="301"/>
      <c r="N9" s="301"/>
      <c r="O9" s="301"/>
      <c r="P9" s="301"/>
      <c r="Q9" s="247"/>
      <c r="R9" s="247"/>
      <c r="S9" s="247"/>
      <c r="T9" s="302"/>
      <c r="U9" s="150"/>
      <c r="V9" s="120"/>
      <c r="W9" s="110"/>
      <c r="X9" s="110"/>
      <c r="Y9" s="110"/>
      <c r="Z9" s="110"/>
    </row>
    <row r="10" ht="13.5" customHeight="1">
      <c r="A10" s="151" t="s">
        <v>350</v>
      </c>
      <c r="B10" s="163" t="s">
        <v>351</v>
      </c>
      <c r="C10" s="171"/>
      <c r="D10" s="174"/>
      <c r="E10" s="303"/>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57"/>
      <c r="B11" s="163"/>
      <c r="C11" s="171"/>
      <c r="D11" s="174" t="s">
        <v>510</v>
      </c>
      <c r="E11" s="305"/>
      <c r="F11" s="165" t="s">
        <v>353</v>
      </c>
      <c r="G11" s="165"/>
      <c r="H11" s="165"/>
      <c r="I11" s="165"/>
      <c r="J11" s="165"/>
      <c r="K11" s="165"/>
      <c r="L11" s="165"/>
      <c r="M11" s="165"/>
      <c r="N11" s="165"/>
      <c r="O11" s="165"/>
      <c r="P11" s="165"/>
      <c r="Q11" s="165"/>
      <c r="R11" s="165"/>
      <c r="S11" s="165"/>
      <c r="T11" s="304"/>
      <c r="U11" s="110"/>
      <c r="V11" s="110"/>
      <c r="W11" s="110"/>
      <c r="X11" s="110"/>
      <c r="Y11" s="110"/>
      <c r="Z11" s="110"/>
    </row>
    <row r="12" ht="13.5" customHeight="1">
      <c r="A12" s="162"/>
      <c r="B12" s="163"/>
      <c r="C12" s="171"/>
      <c r="D12" s="174"/>
      <c r="E12" s="306"/>
      <c r="F12" s="165"/>
      <c r="G12" s="165"/>
      <c r="H12" s="165"/>
      <c r="I12" s="165"/>
      <c r="J12" s="165"/>
      <c r="K12" s="165"/>
      <c r="L12" s="165"/>
      <c r="M12" s="165"/>
      <c r="N12" s="165"/>
      <c r="O12" s="165"/>
      <c r="P12" s="165"/>
      <c r="Q12" s="165"/>
      <c r="R12" s="165"/>
      <c r="S12" s="165"/>
      <c r="T12" s="304"/>
      <c r="U12" s="110"/>
      <c r="V12" s="120"/>
      <c r="W12" s="110"/>
      <c r="X12" s="110"/>
      <c r="Y12" s="110"/>
      <c r="Z12" s="110"/>
    </row>
    <row r="13" ht="13.5" customHeight="1">
      <c r="A13" s="162"/>
      <c r="B13" s="163"/>
      <c r="C13" s="171"/>
      <c r="D13" s="174" t="s">
        <v>511</v>
      </c>
      <c r="E13" s="306"/>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512</v>
      </c>
      <c r="E14" s="170"/>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307"/>
      <c r="C15" s="171"/>
      <c r="D15" s="174"/>
      <c r="E15" s="308"/>
      <c r="F15" s="165"/>
      <c r="G15" s="165"/>
      <c r="H15" s="165"/>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513</v>
      </c>
      <c r="E16" s="308"/>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t="s">
        <v>514</v>
      </c>
      <c r="E17" s="308"/>
      <c r="F17" s="165"/>
      <c r="G17" s="165"/>
      <c r="H17" s="165"/>
      <c r="I17" s="165"/>
      <c r="J17" s="165" t="s">
        <v>353</v>
      </c>
      <c r="K17" s="165"/>
      <c r="L17" s="165"/>
      <c r="M17" s="165"/>
      <c r="N17" s="165"/>
      <c r="O17" s="165"/>
      <c r="P17" s="165"/>
      <c r="Q17" s="165"/>
      <c r="R17" s="165"/>
      <c r="S17" s="165"/>
      <c r="T17" s="304"/>
      <c r="U17" s="110"/>
      <c r="V17" s="110"/>
      <c r="W17" s="110"/>
      <c r="X17" s="110"/>
      <c r="Y17" s="110"/>
      <c r="Z17" s="110"/>
    </row>
    <row r="18" ht="13.5" customHeight="1">
      <c r="A18" s="162"/>
      <c r="B18" s="163"/>
      <c r="C18" s="171"/>
      <c r="D18" s="174"/>
      <c r="E18" s="308"/>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308"/>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74"/>
      <c r="E20" s="308"/>
      <c r="F20" s="165"/>
      <c r="G20" s="165"/>
      <c r="H20" s="165"/>
      <c r="I20" s="165"/>
      <c r="J20" s="165"/>
      <c r="K20" s="165"/>
      <c r="L20" s="165"/>
      <c r="M20" s="165"/>
      <c r="N20" s="165"/>
      <c r="O20" s="165"/>
      <c r="P20" s="165"/>
      <c r="Q20" s="165"/>
      <c r="R20" s="165"/>
      <c r="S20" s="165"/>
      <c r="T20" s="304"/>
      <c r="U20" s="175"/>
      <c r="V20" s="110"/>
      <c r="W20" s="110"/>
      <c r="X20" s="110"/>
      <c r="Y20" s="110"/>
      <c r="Z20" s="110"/>
    </row>
    <row r="21" ht="13.5" customHeight="1">
      <c r="A21" s="162"/>
      <c r="B21" s="163"/>
      <c r="C21" s="171"/>
      <c r="D21" s="111"/>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308"/>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308"/>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308"/>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308"/>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308"/>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308"/>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308"/>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308"/>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308"/>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308"/>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163"/>
      <c r="C32" s="171"/>
      <c r="D32" s="174"/>
      <c r="E32" s="308"/>
      <c r="F32" s="165"/>
      <c r="G32" s="165"/>
      <c r="H32" s="165"/>
      <c r="I32" s="165"/>
      <c r="J32" s="165"/>
      <c r="K32" s="165"/>
      <c r="L32" s="165"/>
      <c r="M32" s="165"/>
      <c r="N32" s="165"/>
      <c r="O32" s="165"/>
      <c r="P32" s="165"/>
      <c r="Q32" s="165"/>
      <c r="R32" s="165"/>
      <c r="S32" s="165"/>
      <c r="T32" s="304"/>
      <c r="U32" s="110"/>
      <c r="V32" s="110"/>
      <c r="W32" s="110"/>
      <c r="X32" s="110"/>
      <c r="Y32" s="110"/>
      <c r="Z32" s="110"/>
    </row>
    <row r="33" ht="13.5" customHeight="1">
      <c r="A33" s="162"/>
      <c r="B33" s="294"/>
      <c r="C33" s="295"/>
      <c r="D33" s="296"/>
      <c r="E33" s="311"/>
      <c r="F33" s="298"/>
      <c r="G33" s="298"/>
      <c r="H33" s="298"/>
      <c r="I33" s="298"/>
      <c r="J33" s="298"/>
      <c r="K33" s="298"/>
      <c r="L33" s="298"/>
      <c r="M33" s="298"/>
      <c r="N33" s="298"/>
      <c r="O33" s="298"/>
      <c r="P33" s="298"/>
      <c r="Q33" s="298"/>
      <c r="R33" s="298"/>
      <c r="S33" s="298"/>
      <c r="T33" s="312"/>
      <c r="U33" s="110"/>
      <c r="V33" s="110"/>
      <c r="W33" s="110"/>
      <c r="X33" s="110"/>
      <c r="Y33" s="110"/>
      <c r="Z33" s="110"/>
    </row>
    <row r="34" ht="13.5" customHeight="1">
      <c r="A34" s="176" t="s">
        <v>359</v>
      </c>
      <c r="B34" s="177" t="s">
        <v>360</v>
      </c>
      <c r="C34" s="178"/>
      <c r="D34" s="179"/>
      <c r="E34" s="180"/>
      <c r="F34" s="165"/>
      <c r="G34" s="165"/>
      <c r="H34" s="165"/>
      <c r="I34" s="165"/>
      <c r="J34" s="165"/>
      <c r="K34" s="165"/>
      <c r="L34" s="165"/>
      <c r="M34" s="165"/>
      <c r="N34" s="165"/>
      <c r="O34" s="165"/>
      <c r="P34" s="165"/>
      <c r="Q34" s="156"/>
      <c r="R34" s="156"/>
      <c r="S34" s="156"/>
      <c r="T34" s="313"/>
      <c r="U34" s="110"/>
      <c r="V34" s="110"/>
      <c r="W34" s="110"/>
      <c r="X34" s="110"/>
      <c r="Y34" s="110"/>
      <c r="Z34" s="110"/>
    </row>
    <row r="35" ht="13.5" customHeight="1">
      <c r="A35" s="181"/>
      <c r="B35" s="254"/>
      <c r="C35" s="183"/>
      <c r="D35" s="184" t="s">
        <v>515</v>
      </c>
      <c r="E35" s="185"/>
      <c r="F35" s="165" t="s">
        <v>353</v>
      </c>
      <c r="G35" s="165"/>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4"/>
      <c r="C36" s="183"/>
      <c r="D36" s="184" t="s">
        <v>516</v>
      </c>
      <c r="E36" s="185"/>
      <c r="F36" s="165"/>
      <c r="G36" s="165" t="s">
        <v>353</v>
      </c>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4"/>
      <c r="C37" s="183"/>
      <c r="D37" s="184"/>
      <c r="E37" s="185"/>
      <c r="F37" s="165"/>
      <c r="G37" s="165"/>
      <c r="H37" s="165"/>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c r="E38" s="185"/>
      <c r="F38" s="165"/>
      <c r="G38" s="165"/>
      <c r="H38" s="165"/>
      <c r="I38" s="165"/>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t="s">
        <v>517</v>
      </c>
      <c r="E39" s="185"/>
      <c r="F39" s="165"/>
      <c r="G39" s="165"/>
      <c r="H39" s="165" t="s">
        <v>353</v>
      </c>
      <c r="I39" s="165"/>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t="s">
        <v>518</v>
      </c>
      <c r="E40" s="188"/>
      <c r="F40" s="165"/>
      <c r="G40" s="165"/>
      <c r="H40" s="165"/>
      <c r="I40" s="165" t="s">
        <v>353</v>
      </c>
      <c r="J40" s="165"/>
      <c r="K40" s="165"/>
      <c r="L40" s="165"/>
      <c r="M40" s="165"/>
      <c r="N40" s="165"/>
      <c r="O40" s="165"/>
      <c r="P40" s="165"/>
      <c r="Q40" s="165"/>
      <c r="R40" s="165"/>
      <c r="S40" s="165"/>
      <c r="T40" s="304"/>
      <c r="U40" s="110"/>
      <c r="V40" s="110"/>
      <c r="W40" s="110"/>
      <c r="X40" s="110"/>
      <c r="Y40" s="110"/>
      <c r="Z40" s="110"/>
    </row>
    <row r="41" ht="13.5" customHeight="1">
      <c r="A41" s="181"/>
      <c r="B41" s="255"/>
      <c r="C41" s="183"/>
      <c r="D41" s="184"/>
      <c r="E41" s="188"/>
      <c r="F41" s="165"/>
      <c r="G41" s="165"/>
      <c r="H41" s="165"/>
      <c r="I41" s="165"/>
      <c r="J41" s="165"/>
      <c r="K41" s="165"/>
      <c r="L41" s="165"/>
      <c r="M41" s="165"/>
      <c r="N41" s="165"/>
      <c r="O41" s="165"/>
      <c r="P41" s="165"/>
      <c r="Q41" s="165"/>
      <c r="R41" s="165"/>
      <c r="S41" s="165"/>
      <c r="T41" s="304"/>
      <c r="U41" s="110"/>
      <c r="V41" s="110"/>
      <c r="W41" s="110"/>
      <c r="X41" s="110"/>
      <c r="Y41" s="110"/>
      <c r="Z41" s="110"/>
    </row>
    <row r="42" ht="13.5" customHeight="1">
      <c r="A42" s="181"/>
      <c r="B42" s="255"/>
      <c r="C42" s="183"/>
      <c r="D42" s="184" t="s">
        <v>519</v>
      </c>
      <c r="E42" s="188"/>
      <c r="F42" s="165"/>
      <c r="G42" s="165"/>
      <c r="H42" s="165"/>
      <c r="I42" s="165"/>
      <c r="J42" s="165" t="s">
        <v>353</v>
      </c>
      <c r="K42" s="165"/>
      <c r="L42" s="165"/>
      <c r="M42" s="165"/>
      <c r="N42" s="165"/>
      <c r="O42" s="165"/>
      <c r="P42" s="165"/>
      <c r="Q42" s="165"/>
      <c r="R42" s="165"/>
      <c r="S42" s="165"/>
      <c r="T42" s="304"/>
      <c r="U42" s="110"/>
      <c r="V42" s="110"/>
      <c r="W42" s="110"/>
      <c r="X42" s="110"/>
      <c r="Y42" s="110"/>
      <c r="Z42" s="110"/>
    </row>
    <row r="43" ht="13.5" customHeight="1">
      <c r="A43" s="181"/>
      <c r="B43" s="314"/>
      <c r="C43" s="193"/>
      <c r="D43" s="19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315"/>
      <c r="B44" s="316"/>
      <c r="C44" s="230"/>
      <c r="D44" s="231"/>
      <c r="E44" s="317"/>
      <c r="F44" s="165"/>
      <c r="G44" s="165"/>
      <c r="H44" s="165"/>
      <c r="I44" s="165"/>
      <c r="J44" s="165"/>
      <c r="K44" s="165"/>
      <c r="L44" s="165"/>
      <c r="M44" s="165"/>
      <c r="N44" s="165"/>
      <c r="O44" s="165"/>
      <c r="P44" s="165"/>
      <c r="Q44" s="165"/>
      <c r="R44" s="165"/>
      <c r="S44" s="165"/>
      <c r="T44" s="304"/>
      <c r="U44" s="110"/>
      <c r="V44" s="110"/>
      <c r="W44" s="110"/>
      <c r="X44" s="110"/>
      <c r="Y44" s="110"/>
      <c r="Z44" s="110"/>
    </row>
    <row r="45" ht="13.5" customHeight="1">
      <c r="A45" s="315"/>
      <c r="B45" s="256"/>
      <c r="C45" s="257"/>
      <c r="D45" s="258"/>
      <c r="E45" s="318"/>
      <c r="F45" s="165"/>
      <c r="G45" s="165"/>
      <c r="H45" s="165"/>
      <c r="I45" s="165"/>
      <c r="J45" s="165"/>
      <c r="K45" s="165"/>
      <c r="L45" s="165"/>
      <c r="M45" s="165"/>
      <c r="N45" s="165"/>
      <c r="O45" s="165"/>
      <c r="P45" s="165"/>
      <c r="Q45" s="196"/>
      <c r="R45" s="196"/>
      <c r="S45" s="196"/>
      <c r="T45" s="319"/>
      <c r="U45" s="110"/>
      <c r="V45" s="110"/>
      <c r="W45" s="110"/>
      <c r="X45" s="110"/>
      <c r="Y45" s="110"/>
      <c r="Z45" s="110"/>
    </row>
    <row r="46" ht="13.5" customHeight="1">
      <c r="A46" s="320"/>
      <c r="B46" s="229"/>
      <c r="C46" s="230"/>
      <c r="D46" s="231"/>
      <c r="E46" s="318"/>
      <c r="F46" s="165"/>
      <c r="G46" s="165"/>
      <c r="H46" s="165"/>
      <c r="I46" s="165"/>
      <c r="J46" s="165"/>
      <c r="K46" s="165"/>
      <c r="L46" s="165"/>
      <c r="M46" s="165"/>
      <c r="N46" s="165"/>
      <c r="O46" s="165"/>
      <c r="P46" s="165"/>
      <c r="Q46" s="233"/>
      <c r="R46" s="233"/>
      <c r="S46" s="233"/>
      <c r="T46" s="322"/>
      <c r="U46" s="110"/>
      <c r="V46" s="110"/>
      <c r="W46" s="110"/>
      <c r="X46" s="110"/>
      <c r="Y46" s="110"/>
      <c r="Z46" s="110"/>
    </row>
    <row r="47" ht="13.5" customHeight="1">
      <c r="A47" s="320"/>
      <c r="B47" s="323"/>
      <c r="C47" s="257"/>
      <c r="D47" s="190"/>
      <c r="E47" s="185"/>
      <c r="F47" s="165"/>
      <c r="G47" s="165"/>
      <c r="H47" s="165"/>
      <c r="I47" s="165"/>
      <c r="J47" s="165"/>
      <c r="K47" s="165"/>
      <c r="L47" s="165"/>
      <c r="M47" s="165"/>
      <c r="N47" s="165"/>
      <c r="O47" s="165"/>
      <c r="P47" s="165"/>
      <c r="Q47" s="233"/>
      <c r="R47" s="233"/>
      <c r="S47" s="233"/>
      <c r="T47" s="322"/>
      <c r="U47" s="110"/>
      <c r="V47" s="110"/>
      <c r="W47" s="110"/>
      <c r="X47" s="110"/>
      <c r="Y47" s="110"/>
      <c r="Z47" s="110"/>
    </row>
    <row r="48" ht="13.5" customHeight="1">
      <c r="A48" s="320"/>
      <c r="B48" s="229"/>
      <c r="C48" s="230"/>
      <c r="D48" s="231"/>
      <c r="E48" s="318"/>
      <c r="F48" s="298"/>
      <c r="G48" s="298"/>
      <c r="H48" s="298"/>
      <c r="I48" s="298"/>
      <c r="J48" s="298"/>
      <c r="K48" s="298"/>
      <c r="L48" s="298"/>
      <c r="M48" s="298"/>
      <c r="N48" s="298"/>
      <c r="O48" s="298"/>
      <c r="P48" s="298"/>
      <c r="Q48" s="233"/>
      <c r="R48" s="233"/>
      <c r="S48" s="233"/>
      <c r="T48" s="322"/>
      <c r="U48" s="110"/>
      <c r="V48" s="110"/>
      <c r="W48" s="110"/>
      <c r="X48" s="110"/>
      <c r="Y48" s="110"/>
      <c r="Z48" s="110"/>
    </row>
    <row r="49" ht="18.0" customHeight="1">
      <c r="A49" s="176" t="s">
        <v>367</v>
      </c>
      <c r="B49" s="240" t="s">
        <v>368</v>
      </c>
      <c r="C49" s="225"/>
      <c r="D49" s="241"/>
      <c r="E49" s="324"/>
      <c r="F49" s="325" t="s">
        <v>220</v>
      </c>
      <c r="G49" s="325" t="s">
        <v>220</v>
      </c>
      <c r="H49" s="325" t="s">
        <v>38</v>
      </c>
      <c r="I49" s="325" t="s">
        <v>220</v>
      </c>
      <c r="J49" s="325" t="s">
        <v>38</v>
      </c>
      <c r="K49" s="325"/>
      <c r="L49" s="325"/>
      <c r="M49" s="325"/>
      <c r="N49" s="325"/>
      <c r="O49" s="325"/>
      <c r="P49" s="325"/>
      <c r="Q49" s="201"/>
      <c r="R49" s="201"/>
      <c r="S49" s="201"/>
      <c r="T49" s="326"/>
      <c r="U49" s="110"/>
      <c r="V49" s="110"/>
      <c r="W49" s="110"/>
      <c r="X49" s="110"/>
      <c r="Y49" s="110"/>
      <c r="Z49" s="110"/>
    </row>
    <row r="50" ht="17.25" customHeight="1">
      <c r="A50" s="260"/>
      <c r="B50" s="204" t="s">
        <v>369</v>
      </c>
      <c r="C50" s="12"/>
      <c r="D50" s="13"/>
      <c r="E50" s="205"/>
      <c r="F50" s="206"/>
      <c r="G50" s="206"/>
      <c r="H50" s="206"/>
      <c r="I50" s="206"/>
      <c r="J50" s="206"/>
      <c r="K50" s="206"/>
      <c r="L50" s="206"/>
      <c r="M50" s="206"/>
      <c r="N50" s="206"/>
      <c r="O50" s="206"/>
      <c r="P50" s="206"/>
      <c r="Q50" s="206"/>
      <c r="R50" s="206"/>
      <c r="S50" s="206"/>
      <c r="T50" s="327"/>
      <c r="U50" s="110"/>
      <c r="V50" s="110"/>
      <c r="W50" s="110"/>
      <c r="X50" s="110"/>
      <c r="Y50" s="110"/>
      <c r="Z50" s="110"/>
    </row>
    <row r="51" ht="19.5" customHeight="1">
      <c r="A51" s="260"/>
      <c r="B51" s="208" t="s">
        <v>371</v>
      </c>
      <c r="C51" s="12"/>
      <c r="D51" s="13"/>
      <c r="E51" s="209"/>
      <c r="F51" s="210"/>
      <c r="G51" s="210"/>
      <c r="H51" s="210"/>
      <c r="I51" s="210"/>
      <c r="J51" s="210"/>
      <c r="K51" s="210"/>
      <c r="L51" s="210"/>
      <c r="M51" s="210"/>
      <c r="N51" s="210"/>
      <c r="O51" s="210"/>
      <c r="P51" s="210"/>
      <c r="Q51" s="210"/>
      <c r="R51" s="210"/>
      <c r="S51" s="210"/>
      <c r="T51" s="328"/>
      <c r="U51" s="110"/>
      <c r="V51" s="110"/>
      <c r="W51" s="110"/>
      <c r="X51" s="110"/>
      <c r="Y51" s="110"/>
      <c r="Z51" s="110"/>
    </row>
    <row r="52" ht="18.0" customHeight="1">
      <c r="A52" s="261"/>
      <c r="B52" s="215" t="s">
        <v>372</v>
      </c>
      <c r="C52" s="216"/>
      <c r="D52" s="217"/>
      <c r="E52" s="218"/>
      <c r="F52" s="219"/>
      <c r="G52" s="219"/>
      <c r="H52" s="219"/>
      <c r="I52" s="219"/>
      <c r="J52" s="219"/>
      <c r="K52" s="219"/>
      <c r="L52" s="219"/>
      <c r="M52" s="219"/>
      <c r="N52" s="219"/>
      <c r="O52" s="219"/>
      <c r="P52" s="219"/>
      <c r="Q52" s="219"/>
      <c r="R52" s="219"/>
      <c r="S52" s="219"/>
      <c r="T52" s="329"/>
      <c r="U52" s="110"/>
      <c r="V52" s="110"/>
      <c r="W52" s="110"/>
      <c r="X52" s="110"/>
      <c r="Y52" s="110"/>
      <c r="Z52" s="110"/>
    </row>
    <row r="53" ht="12.0" customHeight="1">
      <c r="A53" s="143"/>
      <c r="B53" s="110"/>
      <c r="C53" s="111"/>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ht="13.5" customHeight="1">
      <c r="A251" s="110"/>
      <c r="B251" s="143"/>
      <c r="C251" s="110"/>
      <c r="D251" s="111"/>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ht="13.5" customHeight="1">
      <c r="A252" s="110"/>
      <c r="B252" s="143"/>
      <c r="C252" s="110"/>
      <c r="D252" s="111"/>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D21:E21"/>
    <mergeCell ref="B49:D49"/>
    <mergeCell ref="B50:D50"/>
    <mergeCell ref="B51:D51"/>
    <mergeCell ref="B52:D52"/>
    <mergeCell ref="A6:B6"/>
    <mergeCell ref="C6:E6"/>
    <mergeCell ref="F6:K6"/>
    <mergeCell ref="L6:N6"/>
    <mergeCell ref="A7:B7"/>
    <mergeCell ref="C7:E7"/>
    <mergeCell ref="F7:K7"/>
  </mergeCells>
  <dataValidations>
    <dataValidation type="list" allowBlank="1" showInputMessage="1" showErrorMessage="1" prompt=" - " sqref="F50:T50">
      <formula1>"P,F"</formula1>
    </dataValidation>
    <dataValidation type="list" allowBlank="1" showInputMessage="1" showErrorMessage="1" prompt=" - " sqref="F10:T48">
      <formula1>"O"</formula1>
    </dataValidation>
    <dataValidation type="list" allowBlank="1" showInputMessage="1" showErrorMessage="1" prompt=" - " sqref="F49:T49">
      <formula1>"N,A,B"</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3" width="5.38"/>
    <col customWidth="1" min="14" max="14" width="4.63"/>
    <col customWidth="1" min="15" max="21" width="2.88"/>
    <col customWidth="1" min="22" max="23" width="9.0"/>
    <col customWidth="1" min="24" max="26" width="10.0"/>
  </cols>
  <sheetData>
    <row r="1" ht="13.5" customHeight="1">
      <c r="A1" s="110"/>
      <c r="B1" s="143"/>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25" t="s">
        <v>337</v>
      </c>
      <c r="B2" s="13"/>
      <c r="C2" s="276" t="str">
        <f>Functions!E27</f>
        <v>F-17</v>
      </c>
      <c r="D2" s="12"/>
      <c r="E2" s="13"/>
      <c r="F2" s="116" t="s">
        <v>71</v>
      </c>
      <c r="G2" s="117"/>
      <c r="H2" s="117"/>
      <c r="I2" s="117"/>
      <c r="J2" s="117"/>
      <c r="K2" s="117"/>
      <c r="L2" s="118" t="str">
        <f>Functions!D27</f>
        <v>Loyalty programs and reward eligibility</v>
      </c>
      <c r="M2" s="113"/>
      <c r="N2" s="113"/>
      <c r="O2" s="113"/>
      <c r="P2" s="113"/>
      <c r="Q2" s="113"/>
      <c r="R2" s="113"/>
      <c r="S2" s="113"/>
      <c r="T2" s="119"/>
      <c r="U2" s="110"/>
      <c r="V2" s="120"/>
      <c r="W2" s="110"/>
      <c r="X2" s="110"/>
      <c r="Y2" s="110"/>
      <c r="Z2" s="110"/>
    </row>
    <row r="3" ht="13.5" customHeight="1">
      <c r="A3" s="125"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121" t="s">
        <v>342</v>
      </c>
      <c r="B5" s="13"/>
      <c r="C5" s="132" t="s">
        <v>520</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COUNTIF(F47:N47,"P")</f>
        <v>0</v>
      </c>
      <c r="B7" s="138"/>
      <c r="C7" s="139">
        <f>COUNTIF(F47:N47,"F")</f>
        <v>0</v>
      </c>
      <c r="D7" s="140"/>
      <c r="E7" s="138"/>
      <c r="F7" s="139">
        <f>SUM(O7,-A7,-C7)</f>
        <v>5</v>
      </c>
      <c r="G7" s="140"/>
      <c r="H7" s="140"/>
      <c r="I7" s="140"/>
      <c r="J7" s="140"/>
      <c r="K7" s="138"/>
      <c r="L7" s="141">
        <f>COUNTIF(F46:N46,"N")</f>
        <v>2</v>
      </c>
      <c r="M7" s="141">
        <f>COUNTIF(F46:N46,"A")</f>
        <v>2</v>
      </c>
      <c r="N7" s="141">
        <f>COUNTIF(F46:N46,"B")</f>
        <v>1</v>
      </c>
      <c r="O7" s="139">
        <f>COUNTA(F9:N9)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247" t="s">
        <v>344</v>
      </c>
      <c r="G9" s="247" t="s">
        <v>345</v>
      </c>
      <c r="H9" s="247" t="s">
        <v>346</v>
      </c>
      <c r="I9" s="247" t="s">
        <v>347</v>
      </c>
      <c r="J9" s="247" t="s">
        <v>348</v>
      </c>
      <c r="K9" s="247"/>
      <c r="L9" s="247"/>
      <c r="M9" s="247"/>
      <c r="N9" s="247"/>
      <c r="O9" s="247"/>
      <c r="P9" s="247"/>
      <c r="Q9" s="247"/>
      <c r="R9" s="247"/>
      <c r="S9" s="247"/>
      <c r="T9" s="302"/>
      <c r="U9" s="150"/>
      <c r="V9" s="120"/>
      <c r="W9" s="110"/>
      <c r="X9" s="110"/>
      <c r="Y9" s="110"/>
      <c r="Z9" s="110"/>
    </row>
    <row r="10" ht="13.5" customHeight="1">
      <c r="A10" s="151" t="s">
        <v>350</v>
      </c>
      <c r="B10" s="163" t="s">
        <v>351</v>
      </c>
      <c r="C10" s="171"/>
      <c r="D10" s="174"/>
      <c r="E10" s="248"/>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62"/>
      <c r="B11" s="163"/>
      <c r="C11" s="171"/>
      <c r="D11" s="174" t="s">
        <v>521</v>
      </c>
      <c r="E11" s="155"/>
      <c r="F11" s="165" t="s">
        <v>353</v>
      </c>
      <c r="G11" s="165"/>
      <c r="H11" s="165"/>
      <c r="I11" s="165"/>
      <c r="J11" s="165"/>
      <c r="K11" s="165"/>
      <c r="L11" s="165"/>
      <c r="M11" s="165"/>
      <c r="N11" s="165"/>
      <c r="O11" s="165"/>
      <c r="P11" s="165"/>
      <c r="Q11" s="165"/>
      <c r="R11" s="165"/>
      <c r="S11" s="165"/>
      <c r="T11" s="304"/>
      <c r="U11" s="110"/>
      <c r="V11" s="120"/>
      <c r="W11" s="110"/>
      <c r="X11" s="110"/>
      <c r="Y11" s="110"/>
      <c r="Z11" s="110"/>
    </row>
    <row r="12" ht="13.5" customHeight="1">
      <c r="A12" s="162"/>
      <c r="B12" s="163"/>
      <c r="C12" s="171"/>
      <c r="D12" s="174"/>
      <c r="E12" s="155"/>
      <c r="F12" s="165"/>
      <c r="G12" s="165"/>
      <c r="H12" s="165"/>
      <c r="I12" s="165"/>
      <c r="J12" s="165"/>
      <c r="K12" s="165"/>
      <c r="L12" s="165"/>
      <c r="M12" s="165"/>
      <c r="N12" s="165"/>
      <c r="O12" s="165"/>
      <c r="P12" s="165"/>
      <c r="Q12" s="165"/>
      <c r="R12" s="165"/>
      <c r="S12" s="165"/>
      <c r="T12" s="304"/>
      <c r="U12" s="110"/>
      <c r="V12" s="110"/>
      <c r="W12" s="110"/>
      <c r="X12" s="110"/>
      <c r="Y12" s="110"/>
      <c r="Z12" s="110"/>
    </row>
    <row r="13" ht="13.5" customHeight="1">
      <c r="A13" s="162"/>
      <c r="B13" s="163"/>
      <c r="C13" s="171"/>
      <c r="D13" s="174" t="s">
        <v>522</v>
      </c>
      <c r="E13" s="170"/>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523</v>
      </c>
      <c r="E14" s="173"/>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163"/>
      <c r="C15" s="171"/>
      <c r="D15" s="174"/>
      <c r="E15" s="173"/>
      <c r="F15" s="165"/>
      <c r="G15" s="165"/>
      <c r="H15" s="165"/>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524</v>
      </c>
      <c r="E16" s="173"/>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t="s">
        <v>525</v>
      </c>
      <c r="E17" s="173"/>
      <c r="F17" s="165"/>
      <c r="G17" s="165"/>
      <c r="H17" s="165"/>
      <c r="I17" s="165"/>
      <c r="J17" s="165" t="s">
        <v>353</v>
      </c>
      <c r="K17" s="165"/>
      <c r="L17" s="165"/>
      <c r="M17" s="165"/>
      <c r="N17" s="165"/>
      <c r="O17" s="165"/>
      <c r="P17" s="165"/>
      <c r="Q17" s="165"/>
      <c r="R17" s="165"/>
      <c r="S17" s="165"/>
      <c r="T17" s="304"/>
      <c r="U17" s="175"/>
      <c r="V17" s="110"/>
      <c r="W17" s="110"/>
      <c r="X17" s="110"/>
      <c r="Y17" s="110"/>
      <c r="Z17" s="110"/>
    </row>
    <row r="18" ht="13.5" customHeight="1">
      <c r="A18" s="162"/>
      <c r="B18" s="163"/>
      <c r="C18" s="171"/>
      <c r="D18" s="174"/>
      <c r="E18" s="173"/>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173"/>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74"/>
      <c r="E20" s="111"/>
      <c r="F20" s="165"/>
      <c r="G20" s="165"/>
      <c r="H20" s="165"/>
      <c r="I20" s="165"/>
      <c r="J20" s="165"/>
      <c r="K20" s="165"/>
      <c r="L20" s="165"/>
      <c r="M20" s="165"/>
      <c r="N20" s="165"/>
      <c r="O20" s="165"/>
      <c r="P20" s="165"/>
      <c r="Q20" s="165"/>
      <c r="R20" s="165"/>
      <c r="S20" s="165"/>
      <c r="T20" s="304"/>
      <c r="U20" s="110"/>
      <c r="V20" s="110"/>
      <c r="W20" s="110"/>
      <c r="X20" s="110"/>
      <c r="Y20" s="110"/>
      <c r="Z20" s="110"/>
    </row>
    <row r="21" ht="13.5" customHeight="1">
      <c r="A21" s="162"/>
      <c r="B21" s="163"/>
      <c r="C21" s="171"/>
      <c r="D21" s="174"/>
      <c r="E21" s="173"/>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173"/>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111"/>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173"/>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173"/>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173"/>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173"/>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173"/>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173"/>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173"/>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173"/>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294"/>
      <c r="C32" s="295"/>
      <c r="D32" s="296"/>
      <c r="E32" s="297"/>
      <c r="F32" s="298"/>
      <c r="G32" s="298"/>
      <c r="H32" s="298"/>
      <c r="I32" s="298"/>
      <c r="J32" s="298"/>
      <c r="K32" s="298"/>
      <c r="L32" s="298"/>
      <c r="M32" s="298"/>
      <c r="N32" s="298"/>
      <c r="O32" s="298"/>
      <c r="P32" s="298"/>
      <c r="Q32" s="298"/>
      <c r="R32" s="298"/>
      <c r="S32" s="298"/>
      <c r="T32" s="312"/>
      <c r="U32" s="110"/>
      <c r="V32" s="110"/>
      <c r="W32" s="110"/>
      <c r="X32" s="110"/>
      <c r="Y32" s="110"/>
      <c r="Z32" s="110"/>
    </row>
    <row r="33" ht="13.5" customHeight="1">
      <c r="A33" s="176" t="s">
        <v>359</v>
      </c>
      <c r="B33" s="177" t="s">
        <v>360</v>
      </c>
      <c r="C33" s="178"/>
      <c r="D33" s="179"/>
      <c r="E33" s="180"/>
      <c r="F33" s="156"/>
      <c r="G33" s="156"/>
      <c r="H33" s="156"/>
      <c r="I33" s="156"/>
      <c r="J33" s="156"/>
      <c r="K33" s="156"/>
      <c r="L33" s="156"/>
      <c r="M33" s="156"/>
      <c r="N33" s="156"/>
      <c r="O33" s="156"/>
      <c r="P33" s="156"/>
      <c r="Q33" s="156"/>
      <c r="R33" s="156"/>
      <c r="S33" s="156"/>
      <c r="T33" s="313"/>
      <c r="U33" s="110"/>
      <c r="V33" s="110"/>
      <c r="W33" s="110"/>
      <c r="X33" s="110"/>
      <c r="Y33" s="110"/>
      <c r="Z33" s="110"/>
    </row>
    <row r="34" ht="13.5" customHeight="1">
      <c r="A34" s="181"/>
      <c r="B34" s="255"/>
      <c r="C34" s="183"/>
      <c r="D34" s="184" t="s">
        <v>526</v>
      </c>
      <c r="E34" s="185"/>
      <c r="F34" s="165" t="s">
        <v>353</v>
      </c>
      <c r="G34" s="165"/>
      <c r="H34" s="165"/>
      <c r="I34" s="165"/>
      <c r="J34" s="165"/>
      <c r="K34" s="165"/>
      <c r="L34" s="165"/>
      <c r="M34" s="165"/>
      <c r="N34" s="165"/>
      <c r="O34" s="165"/>
      <c r="P34" s="165"/>
      <c r="Q34" s="165"/>
      <c r="R34" s="165"/>
      <c r="S34" s="165"/>
      <c r="T34" s="304"/>
      <c r="U34" s="110"/>
      <c r="V34" s="110"/>
      <c r="W34" s="110"/>
      <c r="X34" s="110"/>
      <c r="Y34" s="110"/>
      <c r="Z34" s="110"/>
    </row>
    <row r="35" ht="13.5" customHeight="1">
      <c r="A35" s="181"/>
      <c r="B35" s="255"/>
      <c r="C35" s="183"/>
      <c r="D35" s="184" t="s">
        <v>527</v>
      </c>
      <c r="E35" s="185"/>
      <c r="F35" s="165"/>
      <c r="G35" s="165" t="s">
        <v>353</v>
      </c>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5"/>
      <c r="C36" s="183"/>
      <c r="D36" s="184"/>
      <c r="E36" s="185"/>
      <c r="F36" s="165"/>
      <c r="G36" s="165"/>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5"/>
      <c r="C37" s="183"/>
      <c r="D37" s="184" t="s">
        <v>528</v>
      </c>
      <c r="E37" s="185"/>
      <c r="F37" s="165"/>
      <c r="G37" s="165"/>
      <c r="H37" s="165" t="s">
        <v>353</v>
      </c>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t="s">
        <v>529</v>
      </c>
      <c r="E38" s="185"/>
      <c r="F38" s="165"/>
      <c r="G38" s="165"/>
      <c r="H38" s="165"/>
      <c r="I38" s="165" t="s">
        <v>353</v>
      </c>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c r="E39" s="188"/>
      <c r="F39" s="165"/>
      <c r="G39" s="165"/>
      <c r="H39" s="165"/>
      <c r="I39" s="165"/>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t="s">
        <v>530</v>
      </c>
      <c r="E40" s="188"/>
      <c r="F40" s="165"/>
      <c r="G40" s="165"/>
      <c r="H40" s="165"/>
      <c r="I40" s="165"/>
      <c r="J40" s="165" t="s">
        <v>353</v>
      </c>
      <c r="K40" s="165"/>
      <c r="L40" s="165"/>
      <c r="M40" s="165"/>
      <c r="N40" s="165"/>
      <c r="O40" s="165"/>
      <c r="P40" s="165"/>
      <c r="Q40" s="165"/>
      <c r="R40" s="165"/>
      <c r="S40" s="165"/>
      <c r="T40" s="304"/>
      <c r="U40" s="110"/>
      <c r="V40" s="110"/>
      <c r="W40" s="110"/>
      <c r="X40" s="110"/>
      <c r="Y40" s="110"/>
      <c r="Z40" s="110"/>
    </row>
    <row r="41" ht="13.5" customHeight="1">
      <c r="A41" s="181"/>
      <c r="B41" s="182"/>
      <c r="C41" s="183"/>
      <c r="D41" s="184"/>
      <c r="E41" s="188"/>
      <c r="F41" s="165"/>
      <c r="G41" s="165"/>
      <c r="H41" s="165"/>
      <c r="I41" s="165"/>
      <c r="J41" s="165"/>
      <c r="K41" s="165"/>
      <c r="L41" s="165"/>
      <c r="M41" s="165"/>
      <c r="N41" s="165"/>
      <c r="O41" s="165"/>
      <c r="P41" s="165"/>
      <c r="Q41" s="165"/>
      <c r="R41" s="165"/>
      <c r="S41" s="165"/>
      <c r="T41" s="304"/>
      <c r="U41" s="110"/>
      <c r="V41" s="110"/>
      <c r="W41" s="110"/>
      <c r="X41" s="110"/>
      <c r="Y41" s="110"/>
      <c r="Z41" s="110"/>
    </row>
    <row r="42" ht="13.5" customHeight="1">
      <c r="A42" s="181"/>
      <c r="B42" s="182"/>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182"/>
      <c r="C43" s="183"/>
      <c r="D43" s="18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181"/>
      <c r="B44" s="332"/>
      <c r="C44" s="333"/>
      <c r="D44" s="334"/>
      <c r="E44" s="195"/>
      <c r="F44" s="196"/>
      <c r="G44" s="196"/>
      <c r="H44" s="196"/>
      <c r="I44" s="196"/>
      <c r="J44" s="196"/>
      <c r="K44" s="196"/>
      <c r="L44" s="196"/>
      <c r="M44" s="196"/>
      <c r="N44" s="196"/>
      <c r="O44" s="196"/>
      <c r="P44" s="196"/>
      <c r="Q44" s="196"/>
      <c r="R44" s="196"/>
      <c r="S44" s="196"/>
      <c r="T44" s="319"/>
      <c r="U44" s="110"/>
      <c r="V44" s="110"/>
      <c r="W44" s="110"/>
      <c r="X44" s="110"/>
      <c r="Y44" s="110"/>
      <c r="Z44" s="110"/>
    </row>
    <row r="45" ht="13.5" customHeight="1">
      <c r="A45" s="228"/>
      <c r="B45" s="256"/>
      <c r="C45" s="257"/>
      <c r="D45" s="258"/>
      <c r="E45" s="232"/>
      <c r="F45" s="233"/>
      <c r="G45" s="233"/>
      <c r="H45" s="233"/>
      <c r="I45" s="233"/>
      <c r="J45" s="233"/>
      <c r="K45" s="233"/>
      <c r="L45" s="233"/>
      <c r="M45" s="233"/>
      <c r="N45" s="233"/>
      <c r="O45" s="233"/>
      <c r="P45" s="233"/>
      <c r="Q45" s="233"/>
      <c r="R45" s="233"/>
      <c r="S45" s="233"/>
      <c r="T45" s="322"/>
      <c r="U45" s="110"/>
      <c r="V45" s="110"/>
      <c r="W45" s="110"/>
      <c r="X45" s="110"/>
      <c r="Y45" s="110"/>
      <c r="Z45" s="110"/>
    </row>
    <row r="46" ht="18.0" customHeight="1">
      <c r="A46" s="176" t="s">
        <v>367</v>
      </c>
      <c r="B46" s="197" t="s">
        <v>368</v>
      </c>
      <c r="C46" s="198"/>
      <c r="D46" s="199"/>
      <c r="E46" s="200"/>
      <c r="F46" s="201" t="s">
        <v>220</v>
      </c>
      <c r="G46" s="201" t="s">
        <v>38</v>
      </c>
      <c r="H46" s="201" t="s">
        <v>221</v>
      </c>
      <c r="I46" s="201" t="s">
        <v>220</v>
      </c>
      <c r="J46" s="201" t="s">
        <v>38</v>
      </c>
      <c r="K46" s="201"/>
      <c r="L46" s="201"/>
      <c r="M46" s="201"/>
      <c r="N46" s="201"/>
      <c r="O46" s="201"/>
      <c r="P46" s="201"/>
      <c r="Q46" s="201"/>
      <c r="R46" s="201"/>
      <c r="S46" s="201"/>
      <c r="T46" s="326"/>
      <c r="U46" s="110"/>
      <c r="V46" s="110"/>
      <c r="W46" s="110"/>
      <c r="X46" s="110"/>
      <c r="Y46" s="110"/>
      <c r="Z46" s="110"/>
    </row>
    <row r="47" ht="17.25" customHeight="1">
      <c r="A47" s="260"/>
      <c r="B47" s="204" t="s">
        <v>369</v>
      </c>
      <c r="C47" s="12"/>
      <c r="D47" s="13"/>
      <c r="E47" s="205"/>
      <c r="F47" s="206"/>
      <c r="G47" s="206"/>
      <c r="H47" s="206"/>
      <c r="I47" s="206"/>
      <c r="J47" s="206"/>
      <c r="K47" s="206"/>
      <c r="L47" s="206"/>
      <c r="M47" s="206"/>
      <c r="N47" s="206"/>
      <c r="O47" s="206"/>
      <c r="P47" s="206"/>
      <c r="Q47" s="206"/>
      <c r="R47" s="206"/>
      <c r="S47" s="206"/>
      <c r="T47" s="327"/>
      <c r="U47" s="110"/>
      <c r="V47" s="110"/>
      <c r="W47" s="110"/>
      <c r="X47" s="110"/>
      <c r="Y47" s="110"/>
      <c r="Z47" s="110"/>
    </row>
    <row r="48" ht="19.5" customHeight="1">
      <c r="A48" s="260"/>
      <c r="B48" s="208" t="s">
        <v>371</v>
      </c>
      <c r="C48" s="12"/>
      <c r="D48" s="13"/>
      <c r="E48" s="209"/>
      <c r="F48" s="210"/>
      <c r="G48" s="210"/>
      <c r="H48" s="210"/>
      <c r="I48" s="210"/>
      <c r="J48" s="210"/>
      <c r="K48" s="210"/>
      <c r="L48" s="210"/>
      <c r="M48" s="210"/>
      <c r="N48" s="210"/>
      <c r="O48" s="210"/>
      <c r="P48" s="210"/>
      <c r="Q48" s="210"/>
      <c r="R48" s="210"/>
      <c r="S48" s="210"/>
      <c r="T48" s="328"/>
      <c r="U48" s="110"/>
      <c r="V48" s="110"/>
      <c r="W48" s="110"/>
      <c r="X48" s="110"/>
      <c r="Y48" s="110"/>
      <c r="Z48" s="110"/>
    </row>
    <row r="49" ht="18.0" customHeight="1">
      <c r="A49" s="261"/>
      <c r="B49" s="215" t="s">
        <v>372</v>
      </c>
      <c r="C49" s="216"/>
      <c r="D49" s="217"/>
      <c r="E49" s="218"/>
      <c r="F49" s="219"/>
      <c r="G49" s="219"/>
      <c r="H49" s="219"/>
      <c r="I49" s="219"/>
      <c r="J49" s="219"/>
      <c r="K49" s="219"/>
      <c r="L49" s="219"/>
      <c r="M49" s="219"/>
      <c r="N49" s="219"/>
      <c r="O49" s="219"/>
      <c r="P49" s="219"/>
      <c r="Q49" s="219"/>
      <c r="R49" s="219"/>
      <c r="S49" s="219"/>
      <c r="T49" s="329"/>
      <c r="U49" s="110"/>
      <c r="V49" s="110"/>
      <c r="W49" s="110"/>
      <c r="X49" s="110"/>
      <c r="Y49" s="110"/>
      <c r="Z49" s="110"/>
    </row>
    <row r="50" ht="12.0" customHeight="1">
      <c r="A50" s="143"/>
      <c r="B50" s="110"/>
      <c r="C50" s="111"/>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B46:D46"/>
    <mergeCell ref="B47:D47"/>
    <mergeCell ref="B48:D48"/>
    <mergeCell ref="B49:D49"/>
    <mergeCell ref="A6:B6"/>
    <mergeCell ref="C6:E6"/>
    <mergeCell ref="F6:K6"/>
    <mergeCell ref="L6:N6"/>
    <mergeCell ref="A7:B7"/>
    <mergeCell ref="C7:E7"/>
    <mergeCell ref="F7:K7"/>
  </mergeCells>
  <dataValidations>
    <dataValidation type="list" allowBlank="1" showInputMessage="1" showErrorMessage="1" prompt=" - " sqref="F47:T47">
      <formula1>"P,F"</formula1>
    </dataValidation>
    <dataValidation type="list" allowBlank="1" showInputMessage="1" showErrorMessage="1" prompt=" - " sqref="F10:T45">
      <formula1>"O"</formula1>
    </dataValidation>
    <dataValidation type="list" allowBlank="1" showInputMessage="1" showErrorMessage="1" prompt=" - " sqref="F46:T46">
      <formula1>"N,A,B"</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3" width="5.38"/>
    <col customWidth="1" min="14" max="21" width="2.88"/>
    <col customWidth="1" min="22" max="23" width="9.0"/>
    <col customWidth="1" min="24" max="26" width="10.0"/>
  </cols>
  <sheetData>
    <row r="1" ht="13.5" customHeight="1">
      <c r="A1" s="110"/>
      <c r="B1" s="143"/>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25" t="s">
        <v>337</v>
      </c>
      <c r="B2" s="13"/>
      <c r="C2" s="276" t="str">
        <f>Functions!E28</f>
        <v>F-18</v>
      </c>
      <c r="D2" s="12"/>
      <c r="E2" s="13"/>
      <c r="F2" s="116" t="s">
        <v>71</v>
      </c>
      <c r="G2" s="117"/>
      <c r="H2" s="117"/>
      <c r="I2" s="117"/>
      <c r="J2" s="117"/>
      <c r="K2" s="117"/>
      <c r="L2" s="118" t="str">
        <f>Functions!D28</f>
        <v>Receipt ETA and map distance validation</v>
      </c>
      <c r="M2" s="113"/>
      <c r="N2" s="113"/>
      <c r="O2" s="113"/>
      <c r="P2" s="113"/>
      <c r="Q2" s="113"/>
      <c r="R2" s="113"/>
      <c r="S2" s="113"/>
      <c r="T2" s="119"/>
      <c r="U2" s="110"/>
      <c r="V2" s="120"/>
      <c r="W2" s="110"/>
      <c r="X2" s="110"/>
      <c r="Y2" s="110"/>
      <c r="Z2" s="110"/>
    </row>
    <row r="3" ht="13.5" customHeight="1">
      <c r="A3" s="125"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330" t="s">
        <v>342</v>
      </c>
      <c r="B5" s="13"/>
      <c r="C5" s="331" t="s">
        <v>210</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COUNTIF(F46:M46,"P")</f>
        <v>0</v>
      </c>
      <c r="B7" s="138"/>
      <c r="C7" s="139">
        <f>COUNTIF(F46:M46,"F")</f>
        <v>0</v>
      </c>
      <c r="D7" s="140"/>
      <c r="E7" s="138"/>
      <c r="F7" s="139">
        <f>SUM(O7,-A7,-C7)</f>
        <v>5</v>
      </c>
      <c r="G7" s="140"/>
      <c r="H7" s="140"/>
      <c r="I7" s="140"/>
      <c r="J7" s="140"/>
      <c r="K7" s="138"/>
      <c r="L7" s="141">
        <f>COUNTIF(F45:M45,"N")</f>
        <v>2</v>
      </c>
      <c r="M7" s="141">
        <f>COUNTIF(F45:M45,"A")</f>
        <v>1</v>
      </c>
      <c r="N7" s="141">
        <f>COUNTIF(F45:M45,"B")</f>
        <v>2</v>
      </c>
      <c r="O7" s="139">
        <f>COUNTA(F9:M9)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247" t="s">
        <v>344</v>
      </c>
      <c r="G9" s="247" t="s">
        <v>345</v>
      </c>
      <c r="H9" s="247" t="s">
        <v>346</v>
      </c>
      <c r="I9" s="247" t="s">
        <v>347</v>
      </c>
      <c r="J9" s="247" t="s">
        <v>348</v>
      </c>
      <c r="K9" s="247"/>
      <c r="L9" s="247"/>
      <c r="M9" s="247"/>
      <c r="N9" s="247"/>
      <c r="O9" s="247"/>
      <c r="P9" s="247"/>
      <c r="Q9" s="247"/>
      <c r="R9" s="247"/>
      <c r="S9" s="247"/>
      <c r="T9" s="302"/>
      <c r="U9" s="150"/>
      <c r="V9" s="120"/>
      <c r="W9" s="110"/>
      <c r="X9" s="110"/>
      <c r="Y9" s="110"/>
      <c r="Z9" s="110"/>
    </row>
    <row r="10" ht="13.5" customHeight="1">
      <c r="A10" s="151" t="s">
        <v>350</v>
      </c>
      <c r="B10" s="163" t="s">
        <v>351</v>
      </c>
      <c r="C10" s="171"/>
      <c r="D10" s="174"/>
      <c r="E10" s="248"/>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62"/>
      <c r="B11" s="163"/>
      <c r="C11" s="171"/>
      <c r="D11" s="174" t="s">
        <v>531</v>
      </c>
      <c r="E11" s="155"/>
      <c r="F11" s="165" t="s">
        <v>353</v>
      </c>
      <c r="G11" s="165"/>
      <c r="H11" s="165"/>
      <c r="I11" s="165"/>
      <c r="J11" s="165"/>
      <c r="K11" s="165"/>
      <c r="L11" s="165"/>
      <c r="M11" s="165"/>
      <c r="N11" s="165"/>
      <c r="O11" s="165"/>
      <c r="P11" s="165"/>
      <c r="Q11" s="165"/>
      <c r="R11" s="165"/>
      <c r="S11" s="165"/>
      <c r="T11" s="304"/>
      <c r="U11" s="110"/>
      <c r="V11" s="120"/>
      <c r="W11" s="110"/>
      <c r="X11" s="110"/>
      <c r="Y11" s="110"/>
      <c r="Z11" s="110"/>
    </row>
    <row r="12" ht="13.5" customHeight="1">
      <c r="A12" s="162"/>
      <c r="B12" s="163"/>
      <c r="C12" s="171"/>
      <c r="D12" s="174"/>
      <c r="E12" s="155"/>
      <c r="F12" s="165"/>
      <c r="G12" s="165"/>
      <c r="H12" s="165"/>
      <c r="I12" s="165"/>
      <c r="J12" s="165"/>
      <c r="K12" s="165"/>
      <c r="L12" s="165"/>
      <c r="M12" s="165"/>
      <c r="N12" s="165"/>
      <c r="O12" s="165"/>
      <c r="P12" s="165"/>
      <c r="Q12" s="165"/>
      <c r="R12" s="165"/>
      <c r="S12" s="165"/>
      <c r="T12" s="304"/>
      <c r="U12" s="110"/>
      <c r="V12" s="110"/>
      <c r="W12" s="110"/>
      <c r="X12" s="110"/>
      <c r="Y12" s="110"/>
      <c r="Z12" s="110"/>
    </row>
    <row r="13" ht="13.5" customHeight="1">
      <c r="A13" s="162"/>
      <c r="B13" s="163"/>
      <c r="C13" s="171"/>
      <c r="D13" s="174" t="s">
        <v>532</v>
      </c>
      <c r="E13" s="170"/>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533</v>
      </c>
      <c r="E14" s="173"/>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163"/>
      <c r="C15" s="171"/>
      <c r="D15" s="174"/>
      <c r="E15" s="173"/>
      <c r="F15" s="165"/>
      <c r="G15" s="165"/>
      <c r="H15" s="165"/>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534</v>
      </c>
      <c r="E16" s="173"/>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t="s">
        <v>535</v>
      </c>
      <c r="E17" s="173"/>
      <c r="F17" s="165"/>
      <c r="G17" s="165"/>
      <c r="H17" s="165"/>
      <c r="I17" s="165"/>
      <c r="J17" s="165" t="s">
        <v>353</v>
      </c>
      <c r="K17" s="165"/>
      <c r="L17" s="165"/>
      <c r="M17" s="165"/>
      <c r="N17" s="165"/>
      <c r="O17" s="165"/>
      <c r="P17" s="165"/>
      <c r="Q17" s="165"/>
      <c r="R17" s="165"/>
      <c r="S17" s="165"/>
      <c r="T17" s="304"/>
      <c r="U17" s="175"/>
      <c r="V17" s="110"/>
      <c r="W17" s="110"/>
      <c r="X17" s="110"/>
      <c r="Y17" s="110"/>
      <c r="Z17" s="110"/>
    </row>
    <row r="18" ht="13.5" customHeight="1">
      <c r="A18" s="162"/>
      <c r="B18" s="163"/>
      <c r="C18" s="171"/>
      <c r="D18" s="174"/>
      <c r="E18" s="173"/>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173"/>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11"/>
      <c r="E20" s="111"/>
      <c r="F20" s="165"/>
      <c r="G20" s="165"/>
      <c r="H20" s="165"/>
      <c r="I20" s="165"/>
      <c r="J20" s="165"/>
      <c r="K20" s="165"/>
      <c r="L20" s="165"/>
      <c r="M20" s="165"/>
      <c r="N20" s="165"/>
      <c r="O20" s="165"/>
      <c r="P20" s="165"/>
      <c r="Q20" s="165"/>
      <c r="R20" s="165"/>
      <c r="S20" s="165"/>
      <c r="T20" s="304"/>
      <c r="U20" s="110"/>
      <c r="V20" s="110"/>
      <c r="W20" s="110"/>
      <c r="X20" s="110"/>
      <c r="Y20" s="110"/>
      <c r="Z20" s="110"/>
    </row>
    <row r="21" ht="13.5" customHeight="1">
      <c r="A21" s="162"/>
      <c r="B21" s="163"/>
      <c r="C21" s="171"/>
      <c r="D21" s="174"/>
      <c r="E21" s="173"/>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173"/>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173"/>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173"/>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173"/>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173"/>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173"/>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173"/>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173"/>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173"/>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173"/>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294"/>
      <c r="C32" s="295"/>
      <c r="D32" s="296"/>
      <c r="E32" s="297"/>
      <c r="F32" s="298"/>
      <c r="G32" s="298"/>
      <c r="H32" s="298"/>
      <c r="I32" s="298"/>
      <c r="J32" s="298"/>
      <c r="K32" s="298"/>
      <c r="L32" s="298"/>
      <c r="M32" s="298"/>
      <c r="N32" s="298"/>
      <c r="O32" s="298"/>
      <c r="P32" s="298"/>
      <c r="Q32" s="298"/>
      <c r="R32" s="298"/>
      <c r="S32" s="298"/>
      <c r="T32" s="312"/>
      <c r="U32" s="110"/>
      <c r="V32" s="110"/>
      <c r="W32" s="110"/>
      <c r="X32" s="110"/>
      <c r="Y32" s="110"/>
      <c r="Z32" s="110"/>
    </row>
    <row r="33" ht="13.5" customHeight="1">
      <c r="A33" s="176" t="s">
        <v>359</v>
      </c>
      <c r="B33" s="177" t="s">
        <v>360</v>
      </c>
      <c r="C33" s="178"/>
      <c r="D33" s="179"/>
      <c r="E33" s="180"/>
      <c r="F33" s="156"/>
      <c r="G33" s="156"/>
      <c r="H33" s="156"/>
      <c r="I33" s="156"/>
      <c r="J33" s="156"/>
      <c r="K33" s="156"/>
      <c r="L33" s="156"/>
      <c r="M33" s="156"/>
      <c r="N33" s="156"/>
      <c r="O33" s="156"/>
      <c r="P33" s="156"/>
      <c r="Q33" s="156"/>
      <c r="R33" s="156"/>
      <c r="S33" s="156"/>
      <c r="T33" s="313"/>
      <c r="U33" s="110"/>
      <c r="V33" s="110"/>
      <c r="W33" s="110"/>
      <c r="X33" s="110"/>
      <c r="Y33" s="110"/>
      <c r="Z33" s="110"/>
    </row>
    <row r="34" ht="13.5" customHeight="1">
      <c r="A34" s="181"/>
      <c r="B34" s="255"/>
      <c r="C34" s="183"/>
      <c r="D34" s="184" t="s">
        <v>536</v>
      </c>
      <c r="E34" s="185"/>
      <c r="F34" s="165" t="s">
        <v>353</v>
      </c>
      <c r="G34" s="165"/>
      <c r="H34" s="165"/>
      <c r="I34" s="165"/>
      <c r="J34" s="165"/>
      <c r="K34" s="165"/>
      <c r="L34" s="165"/>
      <c r="M34" s="165"/>
      <c r="N34" s="165"/>
      <c r="O34" s="165"/>
      <c r="P34" s="165"/>
      <c r="Q34" s="165"/>
      <c r="R34" s="165"/>
      <c r="S34" s="165"/>
      <c r="T34" s="304"/>
      <c r="U34" s="110"/>
      <c r="V34" s="110"/>
      <c r="W34" s="110"/>
      <c r="X34" s="110"/>
      <c r="Y34" s="110"/>
      <c r="Z34" s="110"/>
    </row>
    <row r="35" ht="13.5" customHeight="1">
      <c r="A35" s="181"/>
      <c r="B35" s="255"/>
      <c r="C35" s="183"/>
      <c r="D35" s="184" t="s">
        <v>537</v>
      </c>
      <c r="E35" s="185"/>
      <c r="F35" s="165"/>
      <c r="G35" s="165" t="s">
        <v>353</v>
      </c>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5"/>
      <c r="C36" s="183"/>
      <c r="D36" s="184"/>
      <c r="E36" s="185"/>
      <c r="F36" s="165"/>
      <c r="G36" s="165"/>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5"/>
      <c r="C37" s="183"/>
      <c r="D37" s="184" t="s">
        <v>538</v>
      </c>
      <c r="E37" s="185"/>
      <c r="F37" s="165"/>
      <c r="G37" s="165"/>
      <c r="H37" s="165" t="s">
        <v>353</v>
      </c>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t="s">
        <v>539</v>
      </c>
      <c r="E38" s="185"/>
      <c r="F38" s="165"/>
      <c r="G38" s="165"/>
      <c r="H38" s="165"/>
      <c r="I38" s="165" t="s">
        <v>353</v>
      </c>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t="s">
        <v>540</v>
      </c>
      <c r="E39" s="188"/>
      <c r="F39" s="165"/>
      <c r="G39" s="165"/>
      <c r="H39" s="165"/>
      <c r="I39" s="165"/>
      <c r="J39" s="165" t="s">
        <v>353</v>
      </c>
      <c r="K39" s="165"/>
      <c r="L39" s="165"/>
      <c r="M39" s="165"/>
      <c r="N39" s="165"/>
      <c r="O39" s="165"/>
      <c r="P39" s="165"/>
      <c r="Q39" s="165"/>
      <c r="R39" s="165"/>
      <c r="S39" s="165"/>
      <c r="T39" s="304"/>
      <c r="U39" s="110"/>
      <c r="V39" s="110"/>
      <c r="W39" s="110"/>
      <c r="X39" s="110"/>
      <c r="Y39" s="110"/>
      <c r="Z39" s="110"/>
    </row>
    <row r="40" ht="13.5" customHeight="1">
      <c r="A40" s="181"/>
      <c r="B40" s="255"/>
      <c r="C40" s="183"/>
      <c r="D40" s="184"/>
      <c r="E40" s="188"/>
      <c r="F40" s="165"/>
      <c r="G40" s="165"/>
      <c r="H40" s="165"/>
      <c r="I40" s="165"/>
      <c r="J40" s="165"/>
      <c r="K40" s="165"/>
      <c r="L40" s="165"/>
      <c r="M40" s="165"/>
      <c r="N40" s="165"/>
      <c r="O40" s="165"/>
      <c r="P40" s="165"/>
      <c r="Q40" s="165"/>
      <c r="R40" s="165"/>
      <c r="S40" s="165"/>
      <c r="T40" s="304"/>
      <c r="U40" s="110"/>
      <c r="V40" s="110"/>
      <c r="W40" s="110"/>
      <c r="X40" s="110"/>
      <c r="Y40" s="110"/>
      <c r="Z40" s="110"/>
    </row>
    <row r="41" ht="13.5" customHeight="1">
      <c r="A41" s="181"/>
      <c r="B41" s="182"/>
      <c r="C41" s="183"/>
      <c r="D41" s="184"/>
      <c r="E41" s="188"/>
      <c r="F41" s="165"/>
      <c r="G41" s="165"/>
      <c r="H41" s="165"/>
      <c r="I41" s="165"/>
      <c r="J41" s="165"/>
      <c r="K41" s="165"/>
      <c r="L41" s="165"/>
      <c r="M41" s="165"/>
      <c r="N41" s="165"/>
      <c r="O41" s="165"/>
      <c r="P41" s="165"/>
      <c r="Q41" s="165"/>
      <c r="R41" s="165"/>
      <c r="S41" s="165"/>
      <c r="T41" s="304"/>
      <c r="U41" s="110"/>
      <c r="V41" s="110"/>
      <c r="W41" s="110"/>
      <c r="X41" s="110"/>
      <c r="Y41" s="110"/>
      <c r="Z41" s="110"/>
    </row>
    <row r="42" ht="13.5" customHeight="1">
      <c r="A42" s="181"/>
      <c r="B42" s="182"/>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182"/>
      <c r="C43" s="183"/>
      <c r="D43" s="18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181"/>
      <c r="B44" s="332"/>
      <c r="C44" s="333"/>
      <c r="D44" s="334"/>
      <c r="E44" s="195"/>
      <c r="F44" s="196"/>
      <c r="G44" s="196"/>
      <c r="H44" s="196"/>
      <c r="I44" s="196"/>
      <c r="J44" s="196"/>
      <c r="K44" s="196"/>
      <c r="L44" s="196"/>
      <c r="M44" s="196"/>
      <c r="N44" s="196"/>
      <c r="O44" s="196"/>
      <c r="P44" s="196"/>
      <c r="Q44" s="196"/>
      <c r="R44" s="196"/>
      <c r="S44" s="196"/>
      <c r="T44" s="319"/>
      <c r="U44" s="110"/>
      <c r="V44" s="110"/>
      <c r="W44" s="110"/>
      <c r="X44" s="110"/>
      <c r="Y44" s="110"/>
      <c r="Z44" s="110"/>
    </row>
    <row r="45" ht="18.0" customHeight="1">
      <c r="A45" s="176" t="s">
        <v>367</v>
      </c>
      <c r="B45" s="197" t="s">
        <v>368</v>
      </c>
      <c r="C45" s="198"/>
      <c r="D45" s="199"/>
      <c r="E45" s="200"/>
      <c r="F45" s="201" t="s">
        <v>220</v>
      </c>
      <c r="G45" s="201" t="s">
        <v>221</v>
      </c>
      <c r="H45" s="201" t="s">
        <v>221</v>
      </c>
      <c r="I45" s="201" t="s">
        <v>220</v>
      </c>
      <c r="J45" s="201" t="s">
        <v>38</v>
      </c>
      <c r="K45" s="201"/>
      <c r="L45" s="201"/>
      <c r="M45" s="201"/>
      <c r="N45" s="201"/>
      <c r="O45" s="201"/>
      <c r="P45" s="201"/>
      <c r="Q45" s="201"/>
      <c r="R45" s="201"/>
      <c r="S45" s="201"/>
      <c r="T45" s="326"/>
      <c r="U45" s="110"/>
      <c r="V45" s="110"/>
      <c r="W45" s="110"/>
      <c r="X45" s="110"/>
      <c r="Y45" s="110"/>
      <c r="Z45" s="110"/>
    </row>
    <row r="46" ht="17.25" customHeight="1">
      <c r="A46" s="260"/>
      <c r="B46" s="204" t="s">
        <v>369</v>
      </c>
      <c r="C46" s="12"/>
      <c r="D46" s="13"/>
      <c r="E46" s="205"/>
      <c r="F46" s="206"/>
      <c r="G46" s="206"/>
      <c r="H46" s="206"/>
      <c r="I46" s="206"/>
      <c r="J46" s="206"/>
      <c r="K46" s="206"/>
      <c r="L46" s="206"/>
      <c r="M46" s="206"/>
      <c r="N46" s="206"/>
      <c r="O46" s="206"/>
      <c r="P46" s="206"/>
      <c r="Q46" s="206"/>
      <c r="R46" s="206"/>
      <c r="S46" s="206"/>
      <c r="T46" s="327"/>
      <c r="U46" s="110"/>
      <c r="V46" s="110"/>
      <c r="W46" s="110"/>
      <c r="X46" s="110"/>
      <c r="Y46" s="110"/>
      <c r="Z46" s="110"/>
    </row>
    <row r="47" ht="19.5" customHeight="1">
      <c r="A47" s="260"/>
      <c r="B47" s="208" t="s">
        <v>371</v>
      </c>
      <c r="C47" s="12"/>
      <c r="D47" s="13"/>
      <c r="E47" s="209"/>
      <c r="F47" s="210"/>
      <c r="G47" s="210"/>
      <c r="H47" s="210"/>
      <c r="I47" s="210"/>
      <c r="J47" s="210"/>
      <c r="K47" s="210"/>
      <c r="L47" s="210"/>
      <c r="M47" s="210"/>
      <c r="N47" s="210"/>
      <c r="O47" s="210"/>
      <c r="P47" s="210"/>
      <c r="Q47" s="210"/>
      <c r="R47" s="210"/>
      <c r="S47" s="210"/>
      <c r="T47" s="328"/>
      <c r="U47" s="110"/>
      <c r="V47" s="110"/>
      <c r="W47" s="110"/>
      <c r="X47" s="110"/>
      <c r="Y47" s="110"/>
      <c r="Z47" s="110"/>
    </row>
    <row r="48" ht="18.0" customHeight="1">
      <c r="A48" s="261"/>
      <c r="B48" s="215" t="s">
        <v>372</v>
      </c>
      <c r="C48" s="216"/>
      <c r="D48" s="217"/>
      <c r="E48" s="218"/>
      <c r="F48" s="219"/>
      <c r="G48" s="219"/>
      <c r="H48" s="219"/>
      <c r="I48" s="219"/>
      <c r="J48" s="219"/>
      <c r="K48" s="219"/>
      <c r="L48" s="219"/>
      <c r="M48" s="219"/>
      <c r="N48" s="219"/>
      <c r="O48" s="219"/>
      <c r="P48" s="219"/>
      <c r="Q48" s="219"/>
      <c r="R48" s="219"/>
      <c r="S48" s="219"/>
      <c r="T48" s="329"/>
      <c r="U48" s="110"/>
      <c r="V48" s="110"/>
      <c r="W48" s="110"/>
      <c r="X48" s="110"/>
      <c r="Y48" s="110"/>
      <c r="Z48" s="110"/>
    </row>
    <row r="49" ht="12.0" customHeight="1">
      <c r="A49" s="143"/>
      <c r="B49" s="110"/>
      <c r="C49" s="111"/>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B45:D45"/>
    <mergeCell ref="B46:D46"/>
    <mergeCell ref="B47:D47"/>
    <mergeCell ref="B48:D48"/>
    <mergeCell ref="A6:B6"/>
    <mergeCell ref="C6:E6"/>
    <mergeCell ref="F6:K6"/>
    <mergeCell ref="L6:N6"/>
    <mergeCell ref="A7:B7"/>
    <mergeCell ref="C7:E7"/>
    <mergeCell ref="F7:K7"/>
  </mergeCells>
  <dataValidations>
    <dataValidation type="list" allowBlank="1" showInputMessage="1" showErrorMessage="1" prompt=" - " sqref="F46:T46">
      <formula1>"P,F"</formula1>
    </dataValidation>
    <dataValidation type="list" allowBlank="1" showInputMessage="1" showErrorMessage="1" prompt=" - " sqref="F10:T44">
      <formula1>"O"</formula1>
    </dataValidation>
    <dataValidation type="list" allowBlank="1" showInputMessage="1" showErrorMessage="1" prompt=" - " sqref="F45:T45">
      <formula1>"N,A,B"</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3" width="5.38"/>
    <col customWidth="1" min="14"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Functions!E29</f>
        <v>F-19</v>
      </c>
      <c r="D2" s="113"/>
      <c r="E2" s="115"/>
      <c r="F2" s="116" t="s">
        <v>71</v>
      </c>
      <c r="G2" s="117"/>
      <c r="H2" s="117"/>
      <c r="I2" s="117"/>
      <c r="J2" s="117"/>
      <c r="K2" s="117"/>
      <c r="L2" s="118" t="str">
        <f>Functions!D29</f>
        <v>Dispatch and QR receipt rules across warehouses</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121" t="s">
        <v>342</v>
      </c>
      <c r="B5" s="13"/>
      <c r="C5" s="132" t="s">
        <v>223</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COUNTIF(F46:M46,"P")</f>
        <v>0</v>
      </c>
      <c r="B7" s="138"/>
      <c r="C7" s="139">
        <f>COUNTIF(F46:M46,"F")</f>
        <v>0</v>
      </c>
      <c r="D7" s="140"/>
      <c r="E7" s="138"/>
      <c r="F7" s="139">
        <f>SUM(O7,-A7,-C7)</f>
        <v>5</v>
      </c>
      <c r="G7" s="140"/>
      <c r="H7" s="140"/>
      <c r="I7" s="140"/>
      <c r="J7" s="140"/>
      <c r="K7" s="138"/>
      <c r="L7" s="141">
        <f>COUNTIF(F45:M45,"N")</f>
        <v>0</v>
      </c>
      <c r="M7" s="141">
        <f>COUNTIF(F45:M45,"A")</f>
        <v>3</v>
      </c>
      <c r="N7" s="141">
        <f>COUNTIF(F45:M45,"B")</f>
        <v>2</v>
      </c>
      <c r="O7" s="139">
        <f>COUNTA(F9:M9)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247" t="s">
        <v>344</v>
      </c>
      <c r="G9" s="247" t="s">
        <v>345</v>
      </c>
      <c r="H9" s="247" t="s">
        <v>346</v>
      </c>
      <c r="I9" s="247" t="s">
        <v>347</v>
      </c>
      <c r="J9" s="247" t="s">
        <v>348</v>
      </c>
      <c r="K9" s="247"/>
      <c r="L9" s="247"/>
      <c r="M9" s="247"/>
      <c r="N9" s="247"/>
      <c r="O9" s="247"/>
      <c r="P9" s="247"/>
      <c r="Q9" s="247"/>
      <c r="R9" s="247"/>
      <c r="S9" s="247"/>
      <c r="T9" s="302"/>
      <c r="U9" s="150"/>
      <c r="V9" s="120"/>
      <c r="W9" s="110"/>
      <c r="X9" s="110"/>
      <c r="Y9" s="110"/>
      <c r="Z9" s="110"/>
    </row>
    <row r="10" ht="13.5" customHeight="1">
      <c r="A10" s="151" t="s">
        <v>350</v>
      </c>
      <c r="B10" s="163" t="s">
        <v>351</v>
      </c>
      <c r="C10" s="171"/>
      <c r="D10" s="174"/>
      <c r="E10" s="248"/>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62"/>
      <c r="B11" s="163"/>
      <c r="C11" s="171"/>
      <c r="D11" s="174" t="s">
        <v>541</v>
      </c>
      <c r="E11" s="155"/>
      <c r="F11" s="165" t="s">
        <v>353</v>
      </c>
      <c r="G11" s="165"/>
      <c r="H11" s="165"/>
      <c r="I11" s="165"/>
      <c r="J11" s="165"/>
      <c r="K11" s="165"/>
      <c r="L11" s="165"/>
      <c r="M11" s="165"/>
      <c r="N11" s="165"/>
      <c r="O11" s="165"/>
      <c r="P11" s="165"/>
      <c r="Q11" s="165"/>
      <c r="R11" s="165"/>
      <c r="S11" s="165"/>
      <c r="T11" s="304"/>
      <c r="U11" s="110"/>
      <c r="V11" s="120"/>
      <c r="W11" s="110"/>
      <c r="X11" s="110"/>
      <c r="Y11" s="110"/>
      <c r="Z11" s="110"/>
    </row>
    <row r="12" ht="13.5" customHeight="1">
      <c r="A12" s="162"/>
      <c r="B12" s="163"/>
      <c r="C12" s="171"/>
      <c r="D12" s="174"/>
      <c r="E12" s="155"/>
      <c r="F12" s="165"/>
      <c r="G12" s="165"/>
      <c r="H12" s="165"/>
      <c r="I12" s="165"/>
      <c r="J12" s="165"/>
      <c r="K12" s="165"/>
      <c r="L12" s="165"/>
      <c r="M12" s="165"/>
      <c r="N12" s="165"/>
      <c r="O12" s="165"/>
      <c r="P12" s="165"/>
      <c r="Q12" s="165"/>
      <c r="R12" s="165"/>
      <c r="S12" s="165"/>
      <c r="T12" s="304"/>
      <c r="U12" s="110"/>
      <c r="V12" s="110"/>
      <c r="W12" s="110"/>
      <c r="X12" s="110"/>
      <c r="Y12" s="110"/>
      <c r="Z12" s="110"/>
    </row>
    <row r="13" ht="13.5" customHeight="1">
      <c r="A13" s="162"/>
      <c r="B13" s="163"/>
      <c r="C13" s="171"/>
      <c r="D13" s="174" t="s">
        <v>542</v>
      </c>
      <c r="E13" s="170"/>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c r="E14" s="173"/>
      <c r="F14" s="165"/>
      <c r="G14" s="165"/>
      <c r="H14" s="165"/>
      <c r="I14" s="165"/>
      <c r="J14" s="165"/>
      <c r="K14" s="165"/>
      <c r="L14" s="165"/>
      <c r="M14" s="165"/>
      <c r="N14" s="165"/>
      <c r="O14" s="165"/>
      <c r="P14" s="165"/>
      <c r="Q14" s="165"/>
      <c r="R14" s="165"/>
      <c r="S14" s="165"/>
      <c r="T14" s="304"/>
      <c r="U14" s="110"/>
      <c r="V14" s="110"/>
      <c r="W14" s="110"/>
      <c r="X14" s="110"/>
      <c r="Y14" s="110"/>
      <c r="Z14" s="110"/>
    </row>
    <row r="15" ht="13.5" customHeight="1">
      <c r="A15" s="162"/>
      <c r="B15" s="163"/>
      <c r="C15" s="171"/>
      <c r="D15" s="174" t="s">
        <v>543</v>
      </c>
      <c r="E15" s="173"/>
      <c r="F15" s="165"/>
      <c r="G15" s="165"/>
      <c r="H15" s="165" t="s">
        <v>353</v>
      </c>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544</v>
      </c>
      <c r="E16" s="173"/>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c r="E17" s="173"/>
      <c r="F17" s="165"/>
      <c r="G17" s="165"/>
      <c r="H17" s="165"/>
      <c r="I17" s="165"/>
      <c r="J17" s="165"/>
      <c r="K17" s="165"/>
      <c r="L17" s="165"/>
      <c r="M17" s="165"/>
      <c r="N17" s="165"/>
      <c r="O17" s="165"/>
      <c r="P17" s="165"/>
      <c r="Q17" s="165"/>
      <c r="R17" s="165"/>
      <c r="S17" s="165"/>
      <c r="T17" s="304"/>
      <c r="U17" s="175"/>
      <c r="V17" s="110"/>
      <c r="W17" s="110"/>
      <c r="X17" s="110"/>
      <c r="Y17" s="110"/>
      <c r="Z17" s="110"/>
    </row>
    <row r="18" ht="13.5" customHeight="1">
      <c r="A18" s="162"/>
      <c r="B18" s="163"/>
      <c r="C18" s="171"/>
      <c r="D18" s="174" t="s">
        <v>545</v>
      </c>
      <c r="E18" s="173"/>
      <c r="F18" s="165"/>
      <c r="G18" s="165"/>
      <c r="H18" s="165"/>
      <c r="I18" s="165"/>
      <c r="J18" s="165" t="s">
        <v>353</v>
      </c>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173"/>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11"/>
      <c r="F20" s="165"/>
      <c r="G20" s="165"/>
      <c r="H20" s="165"/>
      <c r="I20" s="165"/>
      <c r="J20" s="165"/>
      <c r="K20" s="165"/>
      <c r="L20" s="165"/>
      <c r="M20" s="165"/>
      <c r="N20" s="165"/>
      <c r="O20" s="165"/>
      <c r="P20" s="165"/>
      <c r="Q20" s="165"/>
      <c r="R20" s="165"/>
      <c r="S20" s="165"/>
      <c r="T20" s="304"/>
      <c r="U20" s="110"/>
      <c r="V20" s="110"/>
      <c r="W20" s="110"/>
      <c r="X20" s="110"/>
      <c r="Y20" s="110"/>
      <c r="Z20" s="110"/>
    </row>
    <row r="21" ht="13.5" customHeight="1">
      <c r="A21" s="162"/>
      <c r="B21" s="163"/>
      <c r="C21" s="171"/>
      <c r="D21" s="174"/>
      <c r="E21" s="173"/>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173"/>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173"/>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173"/>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173"/>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173"/>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173"/>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173"/>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173"/>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173"/>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173"/>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294"/>
      <c r="C32" s="295"/>
      <c r="D32" s="296"/>
      <c r="E32" s="297"/>
      <c r="F32" s="298"/>
      <c r="G32" s="298"/>
      <c r="H32" s="298"/>
      <c r="I32" s="298"/>
      <c r="J32" s="298"/>
      <c r="K32" s="298"/>
      <c r="L32" s="298"/>
      <c r="M32" s="298"/>
      <c r="N32" s="298"/>
      <c r="O32" s="298"/>
      <c r="P32" s="298"/>
      <c r="Q32" s="298"/>
      <c r="R32" s="298"/>
      <c r="S32" s="298"/>
      <c r="T32" s="312"/>
      <c r="U32" s="110"/>
      <c r="V32" s="110"/>
      <c r="W32" s="110"/>
      <c r="X32" s="110"/>
      <c r="Y32" s="110"/>
      <c r="Z32" s="110"/>
    </row>
    <row r="33" ht="13.5" customHeight="1">
      <c r="A33" s="176" t="s">
        <v>359</v>
      </c>
      <c r="B33" s="177" t="s">
        <v>360</v>
      </c>
      <c r="C33" s="178"/>
      <c r="D33" s="179"/>
      <c r="E33" s="180"/>
      <c r="F33" s="156"/>
      <c r="G33" s="156"/>
      <c r="H33" s="156"/>
      <c r="I33" s="156"/>
      <c r="J33" s="156"/>
      <c r="K33" s="156"/>
      <c r="L33" s="156"/>
      <c r="M33" s="156"/>
      <c r="N33" s="156"/>
      <c r="O33" s="156"/>
      <c r="P33" s="156"/>
      <c r="Q33" s="156"/>
      <c r="R33" s="156"/>
      <c r="S33" s="156"/>
      <c r="T33" s="313"/>
      <c r="U33" s="110"/>
      <c r="V33" s="110"/>
      <c r="W33" s="110"/>
      <c r="X33" s="110"/>
      <c r="Y33" s="110"/>
      <c r="Z33" s="110"/>
    </row>
    <row r="34" ht="13.5" customHeight="1">
      <c r="A34" s="181"/>
      <c r="B34" s="255"/>
      <c r="C34" s="183"/>
      <c r="D34" s="184" t="s">
        <v>550</v>
      </c>
      <c r="E34" s="185"/>
      <c r="F34" s="165" t="s">
        <v>353</v>
      </c>
      <c r="G34" s="165"/>
      <c r="H34" s="165"/>
      <c r="I34" s="165"/>
      <c r="J34" s="165"/>
      <c r="K34" s="165"/>
      <c r="L34" s="165"/>
      <c r="M34" s="165"/>
      <c r="N34" s="165"/>
      <c r="O34" s="165"/>
      <c r="P34" s="165"/>
      <c r="Q34" s="165"/>
      <c r="R34" s="165"/>
      <c r="S34" s="165"/>
      <c r="T34" s="304"/>
      <c r="U34" s="110"/>
      <c r="V34" s="110"/>
      <c r="W34" s="110"/>
      <c r="X34" s="110"/>
      <c r="Y34" s="110"/>
      <c r="Z34" s="110"/>
    </row>
    <row r="35" ht="13.5" customHeight="1">
      <c r="A35" s="181"/>
      <c r="B35" s="255"/>
      <c r="C35" s="183"/>
      <c r="D35" s="184"/>
      <c r="E35" s="185"/>
      <c r="F35" s="165"/>
      <c r="G35" s="165"/>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5"/>
      <c r="C36" s="183"/>
      <c r="D36" s="184" t="s">
        <v>552</v>
      </c>
      <c r="E36" s="185"/>
      <c r="F36" s="165"/>
      <c r="G36" s="165" t="s">
        <v>353</v>
      </c>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5"/>
      <c r="C37" s="183"/>
      <c r="D37" s="184" t="s">
        <v>553</v>
      </c>
      <c r="E37" s="185"/>
      <c r="F37" s="165"/>
      <c r="G37" s="165"/>
      <c r="H37" s="165" t="s">
        <v>353</v>
      </c>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c r="E38" s="185"/>
      <c r="F38" s="165"/>
      <c r="G38" s="165"/>
      <c r="H38" s="165"/>
      <c r="I38" s="165"/>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t="s">
        <v>556</v>
      </c>
      <c r="E39" s="188"/>
      <c r="F39" s="165"/>
      <c r="G39" s="165"/>
      <c r="H39" s="165"/>
      <c r="I39" s="165" t="s">
        <v>353</v>
      </c>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t="s">
        <v>558</v>
      </c>
      <c r="E40" s="188"/>
      <c r="F40" s="165"/>
      <c r="G40" s="165"/>
      <c r="H40" s="165"/>
      <c r="I40" s="165"/>
      <c r="J40" s="165" t="s">
        <v>353</v>
      </c>
      <c r="K40" s="165"/>
      <c r="L40" s="165"/>
      <c r="M40" s="165"/>
      <c r="N40" s="165"/>
      <c r="O40" s="165"/>
      <c r="P40" s="165"/>
      <c r="Q40" s="165"/>
      <c r="R40" s="165"/>
      <c r="S40" s="165"/>
      <c r="T40" s="304"/>
      <c r="U40" s="110"/>
      <c r="V40" s="110"/>
      <c r="W40" s="110"/>
      <c r="X40" s="110"/>
      <c r="Y40" s="110"/>
      <c r="Z40" s="110"/>
    </row>
    <row r="41" ht="13.5" customHeight="1">
      <c r="A41" s="181"/>
      <c r="B41" s="182"/>
      <c r="C41" s="183"/>
      <c r="D41" s="184"/>
      <c r="E41" s="188"/>
      <c r="F41" s="165"/>
      <c r="G41" s="165"/>
      <c r="H41" s="165"/>
      <c r="I41" s="165"/>
      <c r="J41" s="165"/>
      <c r="K41" s="165"/>
      <c r="L41" s="165"/>
      <c r="M41" s="165"/>
      <c r="N41" s="165"/>
      <c r="O41" s="165"/>
      <c r="P41" s="165"/>
      <c r="Q41" s="165"/>
      <c r="R41" s="165"/>
      <c r="S41" s="165"/>
      <c r="T41" s="304"/>
      <c r="U41" s="110"/>
      <c r="V41" s="110"/>
      <c r="W41" s="110"/>
      <c r="X41" s="110"/>
      <c r="Y41" s="110"/>
      <c r="Z41" s="110"/>
    </row>
    <row r="42" ht="13.5" customHeight="1">
      <c r="A42" s="181"/>
      <c r="B42" s="182"/>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182"/>
      <c r="C43" s="183"/>
      <c r="D43" s="18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181"/>
      <c r="B44" s="332"/>
      <c r="C44" s="333"/>
      <c r="D44" s="334"/>
      <c r="E44" s="195"/>
      <c r="F44" s="196"/>
      <c r="G44" s="196"/>
      <c r="H44" s="196"/>
      <c r="I44" s="196"/>
      <c r="J44" s="196"/>
      <c r="K44" s="196"/>
      <c r="L44" s="196"/>
      <c r="M44" s="196"/>
      <c r="N44" s="196"/>
      <c r="O44" s="196"/>
      <c r="P44" s="196"/>
      <c r="Q44" s="196"/>
      <c r="R44" s="196"/>
      <c r="S44" s="196"/>
      <c r="T44" s="319"/>
      <c r="U44" s="110"/>
      <c r="V44" s="110"/>
      <c r="W44" s="110"/>
      <c r="X44" s="110"/>
      <c r="Y44" s="110"/>
      <c r="Z44" s="110"/>
    </row>
    <row r="45" ht="18.0" customHeight="1">
      <c r="A45" s="176" t="s">
        <v>367</v>
      </c>
      <c r="B45" s="197" t="s">
        <v>368</v>
      </c>
      <c r="C45" s="198"/>
      <c r="D45" s="199"/>
      <c r="E45" s="200"/>
      <c r="F45" s="201" t="s">
        <v>38</v>
      </c>
      <c r="G45" s="201" t="s">
        <v>38</v>
      </c>
      <c r="H45" s="201" t="s">
        <v>221</v>
      </c>
      <c r="I45" s="201" t="s">
        <v>221</v>
      </c>
      <c r="J45" s="201" t="s">
        <v>38</v>
      </c>
      <c r="K45" s="201"/>
      <c r="L45" s="201"/>
      <c r="M45" s="201"/>
      <c r="N45" s="201"/>
      <c r="O45" s="201"/>
      <c r="P45" s="201"/>
      <c r="Q45" s="201"/>
      <c r="R45" s="201"/>
      <c r="S45" s="201"/>
      <c r="T45" s="326"/>
      <c r="U45" s="110"/>
      <c r="V45" s="110"/>
      <c r="W45" s="110"/>
      <c r="X45" s="110"/>
      <c r="Y45" s="110"/>
      <c r="Z45" s="110"/>
    </row>
    <row r="46" ht="17.25" customHeight="1">
      <c r="A46" s="260"/>
      <c r="B46" s="204" t="s">
        <v>369</v>
      </c>
      <c r="C46" s="12"/>
      <c r="D46" s="13"/>
      <c r="E46" s="205"/>
      <c r="F46" s="206"/>
      <c r="G46" s="206"/>
      <c r="H46" s="206"/>
      <c r="I46" s="206"/>
      <c r="J46" s="206"/>
      <c r="K46" s="206"/>
      <c r="L46" s="206"/>
      <c r="M46" s="206"/>
      <c r="N46" s="206"/>
      <c r="O46" s="206"/>
      <c r="P46" s="206"/>
      <c r="Q46" s="206"/>
      <c r="R46" s="206"/>
      <c r="S46" s="206"/>
      <c r="T46" s="327"/>
      <c r="U46" s="110"/>
      <c r="V46" s="110"/>
      <c r="W46" s="110"/>
      <c r="X46" s="110"/>
      <c r="Y46" s="110"/>
      <c r="Z46" s="110"/>
    </row>
    <row r="47" ht="19.5" customHeight="1">
      <c r="A47" s="260"/>
      <c r="B47" s="208" t="s">
        <v>371</v>
      </c>
      <c r="C47" s="12"/>
      <c r="D47" s="13"/>
      <c r="E47" s="209"/>
      <c r="F47" s="210"/>
      <c r="G47" s="210"/>
      <c r="H47" s="210"/>
      <c r="I47" s="210"/>
      <c r="J47" s="210"/>
      <c r="K47" s="210"/>
      <c r="L47" s="210"/>
      <c r="M47" s="210"/>
      <c r="N47" s="210"/>
      <c r="O47" s="210"/>
      <c r="P47" s="210"/>
      <c r="Q47" s="210"/>
      <c r="R47" s="210"/>
      <c r="S47" s="210"/>
      <c r="T47" s="328"/>
      <c r="U47" s="110"/>
      <c r="V47" s="110"/>
      <c r="W47" s="110"/>
      <c r="X47" s="110"/>
      <c r="Y47" s="110"/>
      <c r="Z47" s="110"/>
    </row>
    <row r="48" ht="18.0" customHeight="1">
      <c r="A48" s="261"/>
      <c r="B48" s="215" t="s">
        <v>372</v>
      </c>
      <c r="C48" s="216"/>
      <c r="D48" s="217"/>
      <c r="E48" s="218"/>
      <c r="F48" s="219"/>
      <c r="G48" s="219"/>
      <c r="H48" s="219"/>
      <c r="I48" s="219"/>
      <c r="J48" s="219"/>
      <c r="K48" s="219"/>
      <c r="L48" s="219"/>
      <c r="M48" s="219"/>
      <c r="N48" s="219"/>
      <c r="O48" s="219"/>
      <c r="P48" s="219"/>
      <c r="Q48" s="219"/>
      <c r="R48" s="219"/>
      <c r="S48" s="219"/>
      <c r="T48" s="329"/>
      <c r="U48" s="110"/>
      <c r="V48" s="110"/>
      <c r="W48" s="110"/>
      <c r="X48" s="110"/>
      <c r="Y48" s="110"/>
      <c r="Z48" s="110"/>
    </row>
    <row r="49" ht="12.0" customHeight="1">
      <c r="A49" s="143"/>
      <c r="B49" s="110"/>
      <c r="C49" s="111"/>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D20:E20"/>
    <mergeCell ref="B45:D45"/>
    <mergeCell ref="B46:D46"/>
    <mergeCell ref="B47:D47"/>
    <mergeCell ref="B48:D48"/>
    <mergeCell ref="A6:B6"/>
    <mergeCell ref="C6:E6"/>
    <mergeCell ref="F6:K6"/>
    <mergeCell ref="L6:N6"/>
    <mergeCell ref="A7:B7"/>
    <mergeCell ref="C7:E7"/>
    <mergeCell ref="F7:K7"/>
  </mergeCells>
  <dataValidations>
    <dataValidation type="list" allowBlank="1" showInputMessage="1" showErrorMessage="1" prompt=" - " sqref="F46:T46">
      <formula1>"P,F"</formula1>
    </dataValidation>
    <dataValidation type="list" allowBlank="1" showInputMessage="1" showErrorMessage="1" prompt=" - " sqref="F10:T44">
      <formula1>"O"</formula1>
    </dataValidation>
    <dataValidation type="list" allowBlank="1" showInputMessage="1" showErrorMessage="1" prompt=" - " sqref="F45:T45">
      <formula1>"N,A,B"</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0" width="5.38"/>
    <col customWidth="1" min="11" max="12" width="3.0"/>
    <col customWidth="1" min="13" max="13" width="2.75"/>
    <col customWidth="1" min="14"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Functions!E30</f>
        <v>F-20</v>
      </c>
      <c r="D2" s="113"/>
      <c r="E2" s="115"/>
      <c r="F2" s="116" t="s">
        <v>71</v>
      </c>
      <c r="G2" s="117"/>
      <c r="H2" s="117"/>
      <c r="I2" s="117"/>
      <c r="J2" s="117"/>
      <c r="K2" s="117"/>
      <c r="L2" s="118" t="str">
        <f>Functions!D30</f>
        <v>Batch-specific shelf-life discounts and price snapshots</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330" t="s">
        <v>342</v>
      </c>
      <c r="B5" s="13"/>
      <c r="C5" s="331" t="s">
        <v>229</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COUNTIF(F47:J47,"P")</f>
        <v>0</v>
      </c>
      <c r="B7" s="138"/>
      <c r="C7" s="139">
        <f>COUNTIF(F47:J47,"F")</f>
        <v>0</v>
      </c>
      <c r="D7" s="140"/>
      <c r="E7" s="138"/>
      <c r="F7" s="139">
        <f>SUM(O7,-A7,-C7)</f>
        <v>5</v>
      </c>
      <c r="G7" s="140"/>
      <c r="H7" s="140"/>
      <c r="I7" s="140"/>
      <c r="J7" s="140"/>
      <c r="K7" s="138"/>
      <c r="L7" s="141">
        <f>COUNTIF(F46:J46,"N")</f>
        <v>3</v>
      </c>
      <c r="M7" s="141">
        <f>COUNTIF(F46:J46,"A")</f>
        <v>1</v>
      </c>
      <c r="N7" s="141">
        <f>COUNTIF(F46:J46,"B")</f>
        <v>1</v>
      </c>
      <c r="O7" s="139">
        <f>COUNTA(F9:J9)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247" t="s">
        <v>344</v>
      </c>
      <c r="G9" s="247" t="s">
        <v>345</v>
      </c>
      <c r="H9" s="247" t="s">
        <v>346</v>
      </c>
      <c r="I9" s="247" t="s">
        <v>347</v>
      </c>
      <c r="J9" s="247" t="s">
        <v>348</v>
      </c>
      <c r="K9" s="247"/>
      <c r="L9" s="247"/>
      <c r="M9" s="247"/>
      <c r="N9" s="247"/>
      <c r="O9" s="247"/>
      <c r="P9" s="247"/>
      <c r="Q9" s="247"/>
      <c r="R9" s="247"/>
      <c r="S9" s="247"/>
      <c r="T9" s="302"/>
      <c r="U9" s="150"/>
      <c r="V9" s="120"/>
      <c r="W9" s="110"/>
      <c r="X9" s="110"/>
      <c r="Y9" s="110"/>
      <c r="Z9" s="110"/>
    </row>
    <row r="10" ht="13.5" customHeight="1">
      <c r="A10" s="151" t="s">
        <v>350</v>
      </c>
      <c r="B10" s="163" t="s">
        <v>351</v>
      </c>
      <c r="C10" s="171"/>
      <c r="D10" s="174"/>
      <c r="E10" s="248"/>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57"/>
      <c r="B11" s="163"/>
      <c r="C11" s="171"/>
      <c r="D11" s="174" t="s">
        <v>546</v>
      </c>
      <c r="E11" s="335"/>
      <c r="F11" s="165" t="s">
        <v>353</v>
      </c>
      <c r="G11" s="165"/>
      <c r="H11" s="165"/>
      <c r="I11" s="165"/>
      <c r="J11" s="165"/>
      <c r="K11" s="165"/>
      <c r="L11" s="165"/>
      <c r="M11" s="165"/>
      <c r="N11" s="165"/>
      <c r="O11" s="165"/>
      <c r="P11" s="165"/>
      <c r="Q11" s="165"/>
      <c r="R11" s="165"/>
      <c r="S11" s="165"/>
      <c r="T11" s="304"/>
      <c r="U11" s="110"/>
      <c r="V11" s="110"/>
      <c r="W11" s="110"/>
      <c r="X11" s="110"/>
      <c r="Y11" s="110"/>
      <c r="Z11" s="110"/>
    </row>
    <row r="12" ht="13.5" customHeight="1">
      <c r="A12" s="162"/>
      <c r="B12" s="163"/>
      <c r="C12" s="171"/>
      <c r="D12" s="174"/>
      <c r="E12" s="155"/>
      <c r="F12" s="165"/>
      <c r="G12" s="165"/>
      <c r="H12" s="165"/>
      <c r="I12" s="165"/>
      <c r="J12" s="165"/>
      <c r="K12" s="165"/>
      <c r="L12" s="165"/>
      <c r="M12" s="165"/>
      <c r="N12" s="165"/>
      <c r="O12" s="165"/>
      <c r="P12" s="165"/>
      <c r="Q12" s="165"/>
      <c r="R12" s="165"/>
      <c r="S12" s="165"/>
      <c r="T12" s="304"/>
      <c r="U12" s="110"/>
      <c r="V12" s="120"/>
      <c r="W12" s="110"/>
      <c r="X12" s="110"/>
      <c r="Y12" s="110"/>
      <c r="Z12" s="110"/>
    </row>
    <row r="13" ht="13.5" customHeight="1">
      <c r="A13" s="162"/>
      <c r="B13" s="163"/>
      <c r="C13" s="171"/>
      <c r="D13" s="174" t="s">
        <v>547</v>
      </c>
      <c r="E13" s="155"/>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465</v>
      </c>
      <c r="E14" s="170"/>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163"/>
      <c r="C15" s="171"/>
      <c r="D15" s="174"/>
      <c r="E15" s="173"/>
      <c r="F15" s="165"/>
      <c r="G15" s="165"/>
      <c r="H15" s="165"/>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548</v>
      </c>
      <c r="E16" s="173"/>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t="s">
        <v>549</v>
      </c>
      <c r="E17" s="173"/>
      <c r="F17" s="165"/>
      <c r="G17" s="165"/>
      <c r="H17" s="165"/>
      <c r="I17" s="165"/>
      <c r="J17" s="165" t="s">
        <v>353</v>
      </c>
      <c r="K17" s="165"/>
      <c r="L17" s="165"/>
      <c r="M17" s="165"/>
      <c r="N17" s="165"/>
      <c r="O17" s="165"/>
      <c r="P17" s="165"/>
      <c r="Q17" s="165"/>
      <c r="R17" s="165"/>
      <c r="S17" s="165"/>
      <c r="T17" s="304"/>
      <c r="U17" s="110"/>
      <c r="V17" s="110"/>
      <c r="W17" s="110"/>
      <c r="X17" s="110"/>
      <c r="Y17" s="110"/>
      <c r="Z17" s="110"/>
    </row>
    <row r="18" ht="13.5" customHeight="1">
      <c r="A18" s="162"/>
      <c r="B18" s="163"/>
      <c r="C18" s="171"/>
      <c r="D18" s="174"/>
      <c r="E18" s="173"/>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173"/>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74"/>
      <c r="E20" s="173"/>
      <c r="F20" s="165"/>
      <c r="G20" s="165"/>
      <c r="H20" s="165"/>
      <c r="I20" s="165"/>
      <c r="J20" s="165"/>
      <c r="K20" s="165"/>
      <c r="L20" s="165"/>
      <c r="M20" s="165"/>
      <c r="N20" s="165"/>
      <c r="O20" s="165"/>
      <c r="P20" s="165"/>
      <c r="Q20" s="165"/>
      <c r="R20" s="165"/>
      <c r="S20" s="165"/>
      <c r="T20" s="304"/>
      <c r="U20" s="175"/>
      <c r="V20" s="110"/>
      <c r="W20" s="110"/>
      <c r="X20" s="110"/>
      <c r="Y20" s="110"/>
      <c r="Z20" s="110"/>
    </row>
    <row r="21" ht="13.5" customHeight="1">
      <c r="A21" s="162"/>
      <c r="B21" s="163"/>
      <c r="C21" s="171"/>
      <c r="D21" s="111"/>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173"/>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173"/>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173"/>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173"/>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173"/>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173"/>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173"/>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173"/>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173"/>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173"/>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163"/>
      <c r="C32" s="171"/>
      <c r="D32" s="174"/>
      <c r="E32" s="173"/>
      <c r="F32" s="165"/>
      <c r="G32" s="165"/>
      <c r="H32" s="165"/>
      <c r="I32" s="165"/>
      <c r="J32" s="165"/>
      <c r="K32" s="165"/>
      <c r="L32" s="165"/>
      <c r="M32" s="165"/>
      <c r="N32" s="165"/>
      <c r="O32" s="165"/>
      <c r="P32" s="165"/>
      <c r="Q32" s="165"/>
      <c r="R32" s="165"/>
      <c r="S32" s="165"/>
      <c r="T32" s="304"/>
      <c r="U32" s="110"/>
      <c r="V32" s="110"/>
      <c r="W32" s="110"/>
      <c r="X32" s="110"/>
      <c r="Y32" s="110"/>
      <c r="Z32" s="110"/>
    </row>
    <row r="33" ht="13.5" customHeight="1">
      <c r="A33" s="162"/>
      <c r="B33" s="294"/>
      <c r="C33" s="295"/>
      <c r="D33" s="296"/>
      <c r="E33" s="297"/>
      <c r="F33" s="298"/>
      <c r="G33" s="298"/>
      <c r="H33" s="298"/>
      <c r="I33" s="298"/>
      <c r="J33" s="298"/>
      <c r="K33" s="298"/>
      <c r="L33" s="298"/>
      <c r="M33" s="298"/>
      <c r="N33" s="298"/>
      <c r="O33" s="298"/>
      <c r="P33" s="298"/>
      <c r="Q33" s="298"/>
      <c r="R33" s="298"/>
      <c r="S33" s="298"/>
      <c r="T33" s="312"/>
      <c r="U33" s="110"/>
      <c r="V33" s="110"/>
      <c r="W33" s="110"/>
      <c r="X33" s="110"/>
      <c r="Y33" s="110"/>
      <c r="Z33" s="110"/>
    </row>
    <row r="34" ht="13.5" customHeight="1">
      <c r="A34" s="176" t="s">
        <v>359</v>
      </c>
      <c r="B34" s="177" t="s">
        <v>360</v>
      </c>
      <c r="C34" s="178"/>
      <c r="D34" s="179"/>
      <c r="E34" s="180"/>
      <c r="F34" s="156"/>
      <c r="G34" s="156"/>
      <c r="H34" s="156"/>
      <c r="I34" s="156"/>
      <c r="J34" s="156"/>
      <c r="K34" s="165"/>
      <c r="L34" s="165"/>
      <c r="M34" s="165"/>
      <c r="N34" s="156"/>
      <c r="O34" s="156"/>
      <c r="P34" s="156"/>
      <c r="Q34" s="156"/>
      <c r="R34" s="156"/>
      <c r="S34" s="156"/>
      <c r="T34" s="313"/>
      <c r="U34" s="110"/>
      <c r="V34" s="110"/>
      <c r="W34" s="110"/>
      <c r="X34" s="110"/>
      <c r="Y34" s="110"/>
      <c r="Z34" s="110"/>
    </row>
    <row r="35" ht="13.5" customHeight="1">
      <c r="A35" s="181"/>
      <c r="B35" s="254"/>
      <c r="C35" s="183"/>
      <c r="D35" s="184" t="s">
        <v>551</v>
      </c>
      <c r="E35" s="185"/>
      <c r="F35" s="165" t="s">
        <v>353</v>
      </c>
      <c r="G35" s="165"/>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4"/>
      <c r="C36" s="183"/>
      <c r="D36" s="184" t="s">
        <v>554</v>
      </c>
      <c r="E36" s="185"/>
      <c r="F36" s="165"/>
      <c r="G36" s="165" t="s">
        <v>353</v>
      </c>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4"/>
      <c r="C37" s="183"/>
      <c r="D37" s="184" t="s">
        <v>555</v>
      </c>
      <c r="E37" s="185"/>
      <c r="F37" s="165"/>
      <c r="G37" s="165"/>
      <c r="H37" s="165" t="s">
        <v>353</v>
      </c>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t="s">
        <v>557</v>
      </c>
      <c r="E38" s="185"/>
      <c r="F38" s="165"/>
      <c r="G38" s="165"/>
      <c r="H38" s="165"/>
      <c r="I38" s="165" t="s">
        <v>353</v>
      </c>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c r="E39" s="185"/>
      <c r="F39" s="165"/>
      <c r="G39" s="165"/>
      <c r="H39" s="165"/>
      <c r="I39" s="165"/>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t="s">
        <v>559</v>
      </c>
      <c r="E40" s="188"/>
      <c r="F40" s="165"/>
      <c r="G40" s="165"/>
      <c r="H40" s="165"/>
      <c r="I40" s="165"/>
      <c r="J40" s="165" t="s">
        <v>353</v>
      </c>
      <c r="K40" s="165"/>
      <c r="L40" s="165"/>
      <c r="M40" s="165"/>
      <c r="N40" s="165"/>
      <c r="O40" s="165"/>
      <c r="P40" s="165"/>
      <c r="Q40" s="165"/>
      <c r="R40" s="165"/>
      <c r="S40" s="165"/>
      <c r="T40" s="304"/>
      <c r="U40" s="110"/>
      <c r="V40" s="110"/>
      <c r="W40" s="110"/>
      <c r="X40" s="110"/>
      <c r="Y40" s="110"/>
      <c r="Z40" s="110"/>
    </row>
    <row r="41" ht="13.5" customHeight="1">
      <c r="A41" s="181"/>
      <c r="B41" s="255"/>
      <c r="C41" s="183"/>
      <c r="D41" s="184"/>
      <c r="E41" s="188"/>
      <c r="F41" s="165"/>
      <c r="G41" s="165"/>
      <c r="H41" s="165"/>
      <c r="I41" s="165"/>
      <c r="J41" s="165"/>
      <c r="K41" s="165"/>
      <c r="L41" s="165"/>
      <c r="M41" s="165"/>
      <c r="N41" s="165"/>
      <c r="O41" s="165"/>
      <c r="P41" s="165"/>
      <c r="Q41" s="165"/>
      <c r="R41" s="165"/>
      <c r="S41" s="165"/>
      <c r="T41" s="304"/>
      <c r="U41" s="110"/>
      <c r="V41" s="110"/>
      <c r="W41" s="110"/>
      <c r="X41" s="110"/>
      <c r="Y41" s="110"/>
      <c r="Z41" s="110"/>
    </row>
    <row r="42" ht="13.5" customHeight="1">
      <c r="A42" s="181"/>
      <c r="B42" s="255"/>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255"/>
      <c r="C43" s="183"/>
      <c r="D43" s="18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181"/>
      <c r="B44" s="255"/>
      <c r="C44" s="183"/>
      <c r="D44" s="184"/>
      <c r="E44" s="188"/>
      <c r="F44" s="165"/>
      <c r="G44" s="165"/>
      <c r="H44" s="165"/>
      <c r="I44" s="165"/>
      <c r="J44" s="165"/>
      <c r="K44" s="165"/>
      <c r="L44" s="165"/>
      <c r="M44" s="165"/>
      <c r="N44" s="165"/>
      <c r="O44" s="165"/>
      <c r="P44" s="165"/>
      <c r="Q44" s="165"/>
      <c r="R44" s="165"/>
      <c r="S44" s="165"/>
      <c r="T44" s="304"/>
      <c r="U44" s="110"/>
      <c r="V44" s="110"/>
      <c r="W44" s="110"/>
      <c r="X44" s="110"/>
      <c r="Y44" s="110"/>
      <c r="Z44" s="110"/>
    </row>
    <row r="45" ht="13.5" customHeight="1">
      <c r="A45" s="181"/>
      <c r="B45" s="332"/>
      <c r="C45" s="333"/>
      <c r="D45" s="334"/>
      <c r="E45" s="195"/>
      <c r="F45" s="196"/>
      <c r="G45" s="196"/>
      <c r="H45" s="196"/>
      <c r="I45" s="196"/>
      <c r="J45" s="196"/>
      <c r="K45" s="196"/>
      <c r="L45" s="196"/>
      <c r="M45" s="196"/>
      <c r="N45" s="196"/>
      <c r="O45" s="196"/>
      <c r="P45" s="196"/>
      <c r="Q45" s="196"/>
      <c r="R45" s="196"/>
      <c r="S45" s="196"/>
      <c r="T45" s="319"/>
      <c r="U45" s="110"/>
      <c r="V45" s="110"/>
      <c r="W45" s="110"/>
      <c r="X45" s="110"/>
      <c r="Y45" s="110"/>
      <c r="Z45" s="110"/>
    </row>
    <row r="46" ht="18.0" customHeight="1">
      <c r="A46" s="176" t="s">
        <v>367</v>
      </c>
      <c r="B46" s="197" t="s">
        <v>368</v>
      </c>
      <c r="C46" s="198"/>
      <c r="D46" s="199"/>
      <c r="E46" s="200"/>
      <c r="F46" s="201" t="s">
        <v>220</v>
      </c>
      <c r="G46" s="201" t="s">
        <v>220</v>
      </c>
      <c r="H46" s="201" t="s">
        <v>221</v>
      </c>
      <c r="I46" s="201" t="s">
        <v>220</v>
      </c>
      <c r="J46" s="201" t="s">
        <v>38</v>
      </c>
      <c r="K46" s="165"/>
      <c r="L46" s="165"/>
      <c r="M46" s="165"/>
      <c r="N46" s="201"/>
      <c r="O46" s="201"/>
      <c r="P46" s="201"/>
      <c r="Q46" s="201"/>
      <c r="R46" s="201"/>
      <c r="S46" s="201"/>
      <c r="T46" s="326"/>
      <c r="U46" s="110"/>
      <c r="V46" s="110"/>
      <c r="W46" s="110"/>
      <c r="X46" s="110"/>
      <c r="Y46" s="110"/>
      <c r="Z46" s="110"/>
    </row>
    <row r="47" ht="17.25" customHeight="1">
      <c r="A47" s="260"/>
      <c r="B47" s="204" t="s">
        <v>369</v>
      </c>
      <c r="C47" s="12"/>
      <c r="D47" s="13"/>
      <c r="E47" s="205"/>
      <c r="F47" s="206"/>
      <c r="G47" s="206"/>
      <c r="H47" s="206"/>
      <c r="I47" s="206"/>
      <c r="J47" s="206"/>
      <c r="K47" s="165"/>
      <c r="L47" s="165"/>
      <c r="M47" s="165"/>
      <c r="N47" s="206"/>
      <c r="O47" s="206"/>
      <c r="P47" s="206"/>
      <c r="Q47" s="206"/>
      <c r="R47" s="206"/>
      <c r="S47" s="206"/>
      <c r="T47" s="327"/>
      <c r="U47" s="110"/>
      <c r="V47" s="110"/>
      <c r="W47" s="110"/>
      <c r="X47" s="110"/>
      <c r="Y47" s="110"/>
      <c r="Z47" s="110"/>
    </row>
    <row r="48" ht="19.5" customHeight="1">
      <c r="A48" s="260"/>
      <c r="B48" s="208" t="s">
        <v>371</v>
      </c>
      <c r="C48" s="12"/>
      <c r="D48" s="13"/>
      <c r="E48" s="209"/>
      <c r="F48" s="210"/>
      <c r="G48" s="210"/>
      <c r="H48" s="210"/>
      <c r="I48" s="210"/>
      <c r="J48" s="210"/>
      <c r="K48" s="165"/>
      <c r="L48" s="165"/>
      <c r="M48" s="165"/>
      <c r="N48" s="210"/>
      <c r="O48" s="210"/>
      <c r="P48" s="210"/>
      <c r="Q48" s="210"/>
      <c r="R48" s="210"/>
      <c r="S48" s="210"/>
      <c r="T48" s="328"/>
      <c r="U48" s="110"/>
      <c r="V48" s="110"/>
      <c r="W48" s="110"/>
      <c r="X48" s="110"/>
      <c r="Y48" s="110"/>
      <c r="Z48" s="110"/>
    </row>
    <row r="49" ht="18.0" customHeight="1">
      <c r="A49" s="261"/>
      <c r="B49" s="215" t="s">
        <v>372</v>
      </c>
      <c r="C49" s="216"/>
      <c r="D49" s="217"/>
      <c r="E49" s="218"/>
      <c r="F49" s="219"/>
      <c r="G49" s="219"/>
      <c r="H49" s="219"/>
      <c r="I49" s="219"/>
      <c r="J49" s="219"/>
      <c r="K49" s="219"/>
      <c r="L49" s="219"/>
      <c r="M49" s="219"/>
      <c r="N49" s="219"/>
      <c r="O49" s="219"/>
      <c r="P49" s="219"/>
      <c r="Q49" s="219"/>
      <c r="R49" s="219"/>
      <c r="S49" s="219"/>
      <c r="T49" s="329"/>
      <c r="U49" s="110"/>
      <c r="V49" s="110"/>
      <c r="W49" s="110"/>
      <c r="X49" s="110"/>
      <c r="Y49" s="110"/>
      <c r="Z49" s="110"/>
    </row>
    <row r="50" ht="12.0" customHeight="1">
      <c r="A50" s="143"/>
      <c r="B50" s="110"/>
      <c r="C50" s="111"/>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D21:E21"/>
    <mergeCell ref="B46:D46"/>
    <mergeCell ref="B47:D47"/>
    <mergeCell ref="B48:D48"/>
    <mergeCell ref="B49:D49"/>
    <mergeCell ref="A6:B6"/>
    <mergeCell ref="C6:E6"/>
    <mergeCell ref="F6:K6"/>
    <mergeCell ref="L6:N6"/>
    <mergeCell ref="A7:B7"/>
    <mergeCell ref="C7:E7"/>
    <mergeCell ref="F7:K7"/>
  </mergeCells>
  <dataValidations>
    <dataValidation type="list" allowBlank="1" showInputMessage="1" showErrorMessage="1" prompt=" - " sqref="F47:T47">
      <formula1>"P,F"</formula1>
    </dataValidation>
    <dataValidation type="list" allowBlank="1" showInputMessage="1" showErrorMessage="1" prompt=" - " sqref="F10:T45">
      <formula1>"O"</formula1>
    </dataValidation>
    <dataValidation type="list" allowBlank="1" showInputMessage="1" showErrorMessage="1" prompt=" - " sqref="F46:T46">
      <formula1>"N,A,B"</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0" width="5.38"/>
    <col customWidth="1" min="11" max="11" width="5.25"/>
    <col customWidth="1" min="12" max="12" width="5.0"/>
    <col customWidth="1" min="13" max="13" width="4.75"/>
    <col customWidth="1" min="14" max="14" width="4.63"/>
    <col customWidth="1" min="15" max="15" width="4.75"/>
    <col customWidth="1" min="16"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Functions!E31</f>
        <v>F-21</v>
      </c>
      <c r="D2" s="113"/>
      <c r="E2" s="115"/>
      <c r="F2" s="116" t="s">
        <v>71</v>
      </c>
      <c r="G2" s="117"/>
      <c r="H2" s="117"/>
      <c r="I2" s="117"/>
      <c r="J2" s="117"/>
      <c r="K2" s="117"/>
      <c r="L2" s="118" t="str">
        <f>Functions!D31</f>
        <v>QR-based batch picking and readiness</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330" t="s">
        <v>342</v>
      </c>
      <c r="B5" s="13"/>
      <c r="C5" s="331" t="s">
        <v>235</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COUNTIF(F50:O50,"P")</f>
        <v>0</v>
      </c>
      <c r="B7" s="138"/>
      <c r="C7" s="139">
        <f>COUNTIF(F50:O50,"F")</f>
        <v>0</v>
      </c>
      <c r="D7" s="140"/>
      <c r="E7" s="138"/>
      <c r="F7" s="139">
        <f>SUM(O7,-A7,-C7)</f>
        <v>5</v>
      </c>
      <c r="G7" s="140"/>
      <c r="H7" s="140"/>
      <c r="I7" s="140"/>
      <c r="J7" s="140"/>
      <c r="K7" s="138"/>
      <c r="L7" s="141">
        <f>COUNTIF(F49:O49,"N")</f>
        <v>2</v>
      </c>
      <c r="M7" s="141">
        <f>COUNTIF(F49:O49,"A")</f>
        <v>3</v>
      </c>
      <c r="N7" s="141">
        <f>COUNTIF(F49:O49,"B")</f>
        <v>0</v>
      </c>
      <c r="O7" s="139">
        <f>COUNTA(F9:O9)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247" t="s">
        <v>344</v>
      </c>
      <c r="G9" s="247" t="s">
        <v>345</v>
      </c>
      <c r="H9" s="247" t="s">
        <v>346</v>
      </c>
      <c r="I9" s="247" t="s">
        <v>347</v>
      </c>
      <c r="J9" s="247" t="s">
        <v>348</v>
      </c>
      <c r="K9" s="336"/>
      <c r="L9" s="336"/>
      <c r="M9" s="336"/>
      <c r="N9" s="336"/>
      <c r="O9" s="336"/>
      <c r="P9" s="247"/>
      <c r="Q9" s="247"/>
      <c r="R9" s="247"/>
      <c r="S9" s="247"/>
      <c r="T9" s="302"/>
      <c r="U9" s="150"/>
      <c r="V9" s="120"/>
      <c r="W9" s="110"/>
      <c r="X9" s="110"/>
      <c r="Y9" s="110"/>
      <c r="Z9" s="110"/>
    </row>
    <row r="10" ht="13.5" customHeight="1">
      <c r="A10" s="151" t="s">
        <v>350</v>
      </c>
      <c r="B10" s="163" t="s">
        <v>351</v>
      </c>
      <c r="C10" s="171"/>
      <c r="D10" s="174"/>
      <c r="E10" s="248"/>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57"/>
      <c r="B11" s="163"/>
      <c r="C11" s="171"/>
      <c r="D11" s="174" t="s">
        <v>560</v>
      </c>
      <c r="E11" s="335"/>
      <c r="F11" s="165" t="s">
        <v>353</v>
      </c>
      <c r="G11" s="165"/>
      <c r="H11" s="165"/>
      <c r="I11" s="165"/>
      <c r="J11" s="165"/>
      <c r="K11" s="165"/>
      <c r="L11" s="165"/>
      <c r="M11" s="165"/>
      <c r="N11" s="165"/>
      <c r="O11" s="165"/>
      <c r="P11" s="165"/>
      <c r="Q11" s="165"/>
      <c r="R11" s="165"/>
      <c r="S11" s="165"/>
      <c r="T11" s="304"/>
      <c r="U11" s="110"/>
      <c r="V11" s="110"/>
      <c r="W11" s="110"/>
      <c r="X11" s="110"/>
      <c r="Y11" s="110"/>
      <c r="Z11" s="110"/>
    </row>
    <row r="12" ht="13.5" customHeight="1">
      <c r="A12" s="162"/>
      <c r="B12" s="163"/>
      <c r="C12" s="171"/>
      <c r="D12" s="174"/>
      <c r="E12" s="155"/>
      <c r="F12" s="165"/>
      <c r="G12" s="165"/>
      <c r="H12" s="165"/>
      <c r="I12" s="165"/>
      <c r="J12" s="165"/>
      <c r="K12" s="165"/>
      <c r="L12" s="165"/>
      <c r="M12" s="165"/>
      <c r="N12" s="165"/>
      <c r="O12" s="165"/>
      <c r="P12" s="165"/>
      <c r="Q12" s="165"/>
      <c r="R12" s="165"/>
      <c r="S12" s="165"/>
      <c r="T12" s="304"/>
      <c r="U12" s="110"/>
      <c r="V12" s="120"/>
      <c r="W12" s="110"/>
      <c r="X12" s="110"/>
      <c r="Y12" s="110"/>
      <c r="Z12" s="110"/>
    </row>
    <row r="13" ht="13.5" customHeight="1">
      <c r="A13" s="162"/>
      <c r="B13" s="163"/>
      <c r="C13" s="171"/>
      <c r="D13" s="174" t="s">
        <v>561</v>
      </c>
      <c r="E13" s="155"/>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562</v>
      </c>
      <c r="E14" s="170"/>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307"/>
      <c r="C15" s="171"/>
      <c r="D15" s="174"/>
      <c r="E15" s="173"/>
      <c r="F15" s="165"/>
      <c r="G15" s="165"/>
      <c r="H15" s="165"/>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563</v>
      </c>
      <c r="E16" s="173"/>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t="s">
        <v>564</v>
      </c>
      <c r="E17" s="173"/>
      <c r="F17" s="165"/>
      <c r="G17" s="165"/>
      <c r="H17" s="165"/>
      <c r="I17" s="165"/>
      <c r="J17" s="165" t="s">
        <v>353</v>
      </c>
      <c r="K17" s="165"/>
      <c r="L17" s="165"/>
      <c r="M17" s="165"/>
      <c r="N17" s="165"/>
      <c r="O17" s="165"/>
      <c r="P17" s="165"/>
      <c r="Q17" s="165"/>
      <c r="R17" s="165"/>
      <c r="S17" s="165"/>
      <c r="T17" s="304"/>
      <c r="U17" s="110"/>
      <c r="V17" s="110"/>
      <c r="W17" s="110"/>
      <c r="X17" s="110"/>
      <c r="Y17" s="110"/>
      <c r="Z17" s="110"/>
    </row>
    <row r="18" ht="13.5" customHeight="1">
      <c r="A18" s="162"/>
      <c r="B18" s="163"/>
      <c r="C18" s="171"/>
      <c r="D18" s="174"/>
      <c r="E18" s="173"/>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173"/>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74"/>
      <c r="E20" s="173"/>
      <c r="F20" s="165"/>
      <c r="G20" s="165"/>
      <c r="H20" s="165"/>
      <c r="I20" s="165"/>
      <c r="J20" s="165"/>
      <c r="K20" s="165"/>
      <c r="L20" s="165"/>
      <c r="M20" s="165"/>
      <c r="N20" s="165"/>
      <c r="O20" s="165"/>
      <c r="P20" s="165"/>
      <c r="Q20" s="165"/>
      <c r="R20" s="165"/>
      <c r="S20" s="165"/>
      <c r="T20" s="304"/>
      <c r="U20" s="175"/>
      <c r="V20" s="110"/>
      <c r="W20" s="110"/>
      <c r="X20" s="110"/>
      <c r="Y20" s="110"/>
      <c r="Z20" s="110"/>
    </row>
    <row r="21" ht="13.5" customHeight="1">
      <c r="A21" s="162"/>
      <c r="B21" s="163"/>
      <c r="C21" s="171"/>
      <c r="D21" s="111"/>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173"/>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173"/>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173"/>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173"/>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173"/>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173"/>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173"/>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173"/>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173"/>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173"/>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163"/>
      <c r="C32" s="171"/>
      <c r="D32" s="174"/>
      <c r="E32" s="173"/>
      <c r="F32" s="165"/>
      <c r="G32" s="165"/>
      <c r="H32" s="165"/>
      <c r="I32" s="165"/>
      <c r="J32" s="165"/>
      <c r="K32" s="165"/>
      <c r="L32" s="165"/>
      <c r="M32" s="165"/>
      <c r="N32" s="165"/>
      <c r="O32" s="165"/>
      <c r="P32" s="165"/>
      <c r="Q32" s="165"/>
      <c r="R32" s="165"/>
      <c r="S32" s="165"/>
      <c r="T32" s="304"/>
      <c r="U32" s="110"/>
      <c r="V32" s="110"/>
      <c r="W32" s="110"/>
      <c r="X32" s="110"/>
      <c r="Y32" s="110"/>
      <c r="Z32" s="110"/>
    </row>
    <row r="33" ht="13.5" customHeight="1">
      <c r="A33" s="162"/>
      <c r="B33" s="294"/>
      <c r="C33" s="295"/>
      <c r="D33" s="296"/>
      <c r="E33" s="297"/>
      <c r="F33" s="298"/>
      <c r="G33" s="298"/>
      <c r="H33" s="298"/>
      <c r="I33" s="298"/>
      <c r="J33" s="298"/>
      <c r="K33" s="298"/>
      <c r="L33" s="298"/>
      <c r="M33" s="298"/>
      <c r="N33" s="298"/>
      <c r="O33" s="298"/>
      <c r="P33" s="298"/>
      <c r="Q33" s="298"/>
      <c r="R33" s="298"/>
      <c r="S33" s="298"/>
      <c r="T33" s="312"/>
      <c r="U33" s="110"/>
      <c r="V33" s="110"/>
      <c r="W33" s="110"/>
      <c r="X33" s="110"/>
      <c r="Y33" s="110"/>
      <c r="Z33" s="110"/>
    </row>
    <row r="34" ht="13.5" customHeight="1">
      <c r="A34" s="176" t="s">
        <v>359</v>
      </c>
      <c r="B34" s="177" t="s">
        <v>360</v>
      </c>
      <c r="C34" s="178"/>
      <c r="D34" s="179"/>
      <c r="E34" s="180"/>
      <c r="F34" s="156"/>
      <c r="G34" s="156"/>
      <c r="H34" s="156"/>
      <c r="I34" s="156"/>
      <c r="J34" s="156"/>
      <c r="K34" s="165"/>
      <c r="L34" s="165"/>
      <c r="M34" s="165"/>
      <c r="N34" s="156"/>
      <c r="O34" s="156"/>
      <c r="P34" s="156"/>
      <c r="Q34" s="156"/>
      <c r="R34" s="156"/>
      <c r="S34" s="156"/>
      <c r="T34" s="313"/>
      <c r="U34" s="110"/>
      <c r="V34" s="110"/>
      <c r="W34" s="110"/>
      <c r="X34" s="110"/>
      <c r="Y34" s="110"/>
      <c r="Z34" s="110"/>
    </row>
    <row r="35" ht="13.5" customHeight="1">
      <c r="A35" s="181"/>
      <c r="B35" s="254"/>
      <c r="C35" s="183"/>
      <c r="D35" s="184" t="s">
        <v>565</v>
      </c>
      <c r="E35" s="185"/>
      <c r="F35" s="165" t="s">
        <v>353</v>
      </c>
      <c r="G35" s="165"/>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4"/>
      <c r="C36" s="183"/>
      <c r="D36" s="184" t="s">
        <v>567</v>
      </c>
      <c r="E36" s="185"/>
      <c r="F36" s="165"/>
      <c r="G36" s="165" t="s">
        <v>353</v>
      </c>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4"/>
      <c r="C37" s="183"/>
      <c r="D37" s="184"/>
      <c r="E37" s="185"/>
      <c r="F37" s="165"/>
      <c r="G37" s="165"/>
      <c r="H37" s="165"/>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t="s">
        <v>568</v>
      </c>
      <c r="E38" s="185"/>
      <c r="F38" s="165"/>
      <c r="G38" s="165"/>
      <c r="H38" s="165" t="s">
        <v>353</v>
      </c>
      <c r="I38" s="165"/>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t="s">
        <v>571</v>
      </c>
      <c r="E39" s="185"/>
      <c r="F39" s="165"/>
      <c r="G39" s="165"/>
      <c r="H39" s="165"/>
      <c r="I39" s="165" t="s">
        <v>353</v>
      </c>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c r="E40" s="188"/>
      <c r="F40" s="165"/>
      <c r="G40" s="165"/>
      <c r="H40" s="165"/>
      <c r="I40" s="165"/>
      <c r="J40" s="165"/>
      <c r="K40" s="165"/>
      <c r="L40" s="165"/>
      <c r="M40" s="165"/>
      <c r="N40" s="165"/>
      <c r="O40" s="165"/>
      <c r="P40" s="165"/>
      <c r="Q40" s="165"/>
      <c r="R40" s="165"/>
      <c r="S40" s="165"/>
      <c r="T40" s="304"/>
      <c r="U40" s="110"/>
      <c r="V40" s="110"/>
      <c r="W40" s="110"/>
      <c r="X40" s="110"/>
      <c r="Y40" s="110"/>
      <c r="Z40" s="110"/>
    </row>
    <row r="41" ht="13.5" customHeight="1">
      <c r="A41" s="181"/>
      <c r="B41" s="255"/>
      <c r="C41" s="183"/>
      <c r="D41" s="184" t="s">
        <v>574</v>
      </c>
      <c r="E41" s="188"/>
      <c r="F41" s="165"/>
      <c r="G41" s="165"/>
      <c r="H41" s="165"/>
      <c r="I41" s="165"/>
      <c r="J41" s="165" t="s">
        <v>353</v>
      </c>
      <c r="K41" s="165"/>
      <c r="L41" s="165"/>
      <c r="M41" s="165"/>
      <c r="N41" s="165"/>
      <c r="O41" s="165"/>
      <c r="P41" s="165"/>
      <c r="Q41" s="165"/>
      <c r="R41" s="165"/>
      <c r="S41" s="165"/>
      <c r="T41" s="304"/>
      <c r="U41" s="110"/>
      <c r="V41" s="110"/>
      <c r="W41" s="110"/>
      <c r="X41" s="110"/>
      <c r="Y41" s="110"/>
      <c r="Z41" s="110"/>
    </row>
    <row r="42" ht="13.5" customHeight="1">
      <c r="A42" s="181"/>
      <c r="B42" s="255"/>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314"/>
      <c r="C43" s="193"/>
      <c r="D43" s="19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315"/>
      <c r="B44" s="316"/>
      <c r="C44" s="230"/>
      <c r="D44" s="231"/>
      <c r="E44" s="317"/>
      <c r="F44" s="165"/>
      <c r="G44" s="165"/>
      <c r="H44" s="165"/>
      <c r="I44" s="165"/>
      <c r="J44" s="165"/>
      <c r="K44" s="165"/>
      <c r="L44" s="165"/>
      <c r="M44" s="165"/>
      <c r="N44" s="165"/>
      <c r="O44" s="165"/>
      <c r="P44" s="165"/>
      <c r="Q44" s="165"/>
      <c r="R44" s="165"/>
      <c r="S44" s="165"/>
      <c r="T44" s="304"/>
      <c r="U44" s="110"/>
      <c r="V44" s="110"/>
      <c r="W44" s="110"/>
      <c r="X44" s="110"/>
      <c r="Y44" s="110"/>
      <c r="Z44" s="110"/>
    </row>
    <row r="45" ht="13.5" customHeight="1">
      <c r="A45" s="315"/>
      <c r="B45" s="256"/>
      <c r="C45" s="257"/>
      <c r="D45" s="258"/>
      <c r="E45" s="318"/>
      <c r="F45" s="165"/>
      <c r="G45" s="165"/>
      <c r="H45" s="165"/>
      <c r="I45" s="165"/>
      <c r="J45" s="165"/>
      <c r="K45" s="165"/>
      <c r="L45" s="165"/>
      <c r="M45" s="165"/>
      <c r="N45" s="165"/>
      <c r="O45" s="165"/>
      <c r="P45" s="196"/>
      <c r="Q45" s="196"/>
      <c r="R45" s="196"/>
      <c r="S45" s="196"/>
      <c r="T45" s="319"/>
      <c r="U45" s="110"/>
      <c r="V45" s="110"/>
      <c r="W45" s="110"/>
      <c r="X45" s="110"/>
      <c r="Y45" s="110"/>
      <c r="Z45" s="110"/>
    </row>
    <row r="46" ht="13.5" customHeight="1">
      <c r="A46" s="320"/>
      <c r="B46" s="229"/>
      <c r="C46" s="230"/>
      <c r="D46" s="231"/>
      <c r="E46" s="318"/>
      <c r="F46" s="165"/>
      <c r="G46" s="165"/>
      <c r="H46" s="165"/>
      <c r="I46" s="165"/>
      <c r="J46" s="165"/>
      <c r="K46" s="165"/>
      <c r="L46" s="165"/>
      <c r="M46" s="165"/>
      <c r="N46" s="165"/>
      <c r="O46" s="165"/>
      <c r="P46" s="233"/>
      <c r="Q46" s="233"/>
      <c r="R46" s="233"/>
      <c r="S46" s="233"/>
      <c r="T46" s="322"/>
      <c r="U46" s="110"/>
      <c r="V46" s="110"/>
      <c r="W46" s="110"/>
      <c r="X46" s="110"/>
      <c r="Y46" s="110"/>
      <c r="Z46" s="110"/>
    </row>
    <row r="47" ht="13.5" customHeight="1">
      <c r="A47" s="320"/>
      <c r="B47" s="323"/>
      <c r="C47" s="257"/>
      <c r="D47" s="190"/>
      <c r="E47" s="185"/>
      <c r="F47" s="165"/>
      <c r="G47" s="165"/>
      <c r="H47" s="165"/>
      <c r="I47" s="165"/>
      <c r="J47" s="165"/>
      <c r="K47" s="165"/>
      <c r="L47" s="165"/>
      <c r="M47" s="165"/>
      <c r="N47" s="165"/>
      <c r="O47" s="165"/>
      <c r="P47" s="233"/>
      <c r="Q47" s="233"/>
      <c r="R47" s="233"/>
      <c r="S47" s="233"/>
      <c r="T47" s="322"/>
      <c r="U47" s="110"/>
      <c r="V47" s="110"/>
      <c r="W47" s="110"/>
      <c r="X47" s="110"/>
      <c r="Y47" s="110"/>
      <c r="Z47" s="110"/>
    </row>
    <row r="48" ht="13.5" customHeight="1">
      <c r="A48" s="320"/>
      <c r="B48" s="229"/>
      <c r="C48" s="230"/>
      <c r="D48" s="231"/>
      <c r="E48" s="318"/>
      <c r="F48" s="298"/>
      <c r="G48" s="298"/>
      <c r="H48" s="298"/>
      <c r="I48" s="298"/>
      <c r="J48" s="298"/>
      <c r="K48" s="298"/>
      <c r="L48" s="298"/>
      <c r="M48" s="298"/>
      <c r="N48" s="298"/>
      <c r="O48" s="298"/>
      <c r="P48" s="233"/>
      <c r="Q48" s="233"/>
      <c r="R48" s="233"/>
      <c r="S48" s="233"/>
      <c r="T48" s="322"/>
      <c r="U48" s="110"/>
      <c r="V48" s="110"/>
      <c r="W48" s="110"/>
      <c r="X48" s="110"/>
      <c r="Y48" s="110"/>
      <c r="Z48" s="110"/>
    </row>
    <row r="49" ht="18.0" customHeight="1">
      <c r="A49" s="176" t="s">
        <v>367</v>
      </c>
      <c r="B49" s="240" t="s">
        <v>368</v>
      </c>
      <c r="C49" s="225"/>
      <c r="D49" s="241"/>
      <c r="E49" s="324"/>
      <c r="F49" s="325" t="s">
        <v>220</v>
      </c>
      <c r="G49" s="325" t="s">
        <v>38</v>
      </c>
      <c r="H49" s="325" t="s">
        <v>38</v>
      </c>
      <c r="I49" s="325" t="s">
        <v>220</v>
      </c>
      <c r="J49" s="325" t="s">
        <v>38</v>
      </c>
      <c r="K49" s="325"/>
      <c r="L49" s="325"/>
      <c r="M49" s="325"/>
      <c r="N49" s="325"/>
      <c r="O49" s="325"/>
      <c r="P49" s="201"/>
      <c r="Q49" s="201"/>
      <c r="R49" s="201"/>
      <c r="S49" s="201"/>
      <c r="T49" s="326"/>
      <c r="U49" s="110"/>
      <c r="V49" s="110"/>
      <c r="W49" s="110"/>
      <c r="X49" s="110"/>
      <c r="Y49" s="110"/>
      <c r="Z49" s="110"/>
    </row>
    <row r="50" ht="17.25" customHeight="1">
      <c r="A50" s="260"/>
      <c r="B50" s="204" t="s">
        <v>369</v>
      </c>
      <c r="C50" s="12"/>
      <c r="D50" s="13"/>
      <c r="E50" s="205"/>
      <c r="F50" s="206"/>
      <c r="G50" s="206"/>
      <c r="H50" s="206"/>
      <c r="I50" s="206"/>
      <c r="J50" s="206"/>
      <c r="K50" s="206"/>
      <c r="L50" s="206"/>
      <c r="M50" s="206"/>
      <c r="N50" s="206"/>
      <c r="O50" s="206"/>
      <c r="P50" s="206"/>
      <c r="Q50" s="206"/>
      <c r="R50" s="206"/>
      <c r="S50" s="206"/>
      <c r="T50" s="327"/>
      <c r="U50" s="110"/>
      <c r="V50" s="110"/>
      <c r="W50" s="110"/>
      <c r="X50" s="110"/>
      <c r="Y50" s="110"/>
      <c r="Z50" s="110"/>
    </row>
    <row r="51" ht="19.5" customHeight="1">
      <c r="A51" s="260"/>
      <c r="B51" s="208" t="s">
        <v>371</v>
      </c>
      <c r="C51" s="12"/>
      <c r="D51" s="13"/>
      <c r="E51" s="209"/>
      <c r="F51" s="210"/>
      <c r="G51" s="210"/>
      <c r="H51" s="210"/>
      <c r="I51" s="210"/>
      <c r="J51" s="210"/>
      <c r="K51" s="210"/>
      <c r="L51" s="210"/>
      <c r="M51" s="210"/>
      <c r="N51" s="210"/>
      <c r="O51" s="210"/>
      <c r="P51" s="210"/>
      <c r="Q51" s="210"/>
      <c r="R51" s="210"/>
      <c r="S51" s="210"/>
      <c r="T51" s="328"/>
      <c r="U51" s="110"/>
      <c r="V51" s="110"/>
      <c r="W51" s="110"/>
      <c r="X51" s="110"/>
      <c r="Y51" s="110"/>
      <c r="Z51" s="110"/>
    </row>
    <row r="52" ht="18.0" customHeight="1">
      <c r="A52" s="261"/>
      <c r="B52" s="215" t="s">
        <v>372</v>
      </c>
      <c r="C52" s="216"/>
      <c r="D52" s="217"/>
      <c r="E52" s="218"/>
      <c r="F52" s="219"/>
      <c r="G52" s="219"/>
      <c r="H52" s="219"/>
      <c r="I52" s="219"/>
      <c r="J52" s="219"/>
      <c r="K52" s="219"/>
      <c r="L52" s="219"/>
      <c r="M52" s="219"/>
      <c r="N52" s="219"/>
      <c r="O52" s="219"/>
      <c r="P52" s="219"/>
      <c r="Q52" s="219"/>
      <c r="R52" s="219"/>
      <c r="S52" s="219"/>
      <c r="T52" s="329"/>
      <c r="U52" s="110"/>
      <c r="V52" s="110"/>
      <c r="W52" s="110"/>
      <c r="X52" s="110"/>
      <c r="Y52" s="110"/>
      <c r="Z52" s="110"/>
    </row>
    <row r="53" ht="12.0" customHeight="1">
      <c r="A53" s="143"/>
      <c r="B53" s="110"/>
      <c r="C53" s="111"/>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ht="13.5" customHeight="1">
      <c r="A251" s="110"/>
      <c r="B251" s="143"/>
      <c r="C251" s="110"/>
      <c r="D251" s="111"/>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ht="13.5" customHeight="1">
      <c r="A252" s="110"/>
      <c r="B252" s="143"/>
      <c r="C252" s="110"/>
      <c r="D252" s="111"/>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D21:E21"/>
    <mergeCell ref="B49:D49"/>
    <mergeCell ref="B50:D50"/>
    <mergeCell ref="B51:D51"/>
    <mergeCell ref="B52:D52"/>
    <mergeCell ref="A6:B6"/>
    <mergeCell ref="C6:E6"/>
    <mergeCell ref="F6:K6"/>
    <mergeCell ref="L6:N6"/>
    <mergeCell ref="A7:B7"/>
    <mergeCell ref="C7:E7"/>
    <mergeCell ref="F7:K7"/>
  </mergeCells>
  <dataValidations>
    <dataValidation type="list" allowBlank="1" showInputMessage="1" showErrorMessage="1" prompt=" - " sqref="F50:T50">
      <formula1>"P,F"</formula1>
    </dataValidation>
    <dataValidation type="list" allowBlank="1" showInputMessage="1" showErrorMessage="1" prompt=" - " sqref="F10:T48">
      <formula1>"O"</formula1>
    </dataValidation>
    <dataValidation type="list" allowBlank="1" showInputMessage="1" showErrorMessage="1" prompt=" - " sqref="F49:T49">
      <formula1>"N,A,B"</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0" width="5.38"/>
    <col customWidth="1" min="11" max="11" width="5.25"/>
    <col customWidth="1" min="12" max="12" width="5.0"/>
    <col customWidth="1" min="13" max="13" width="4.75"/>
    <col customWidth="1" min="14" max="14" width="4.63"/>
    <col customWidth="1" min="15" max="15" width="4.75"/>
    <col customWidth="1" min="16" max="16" width="4.88"/>
    <col customWidth="1" min="17"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Functions!E32</f>
        <v>F-22</v>
      </c>
      <c r="D2" s="113"/>
      <c r="E2" s="115"/>
      <c r="F2" s="116" t="s">
        <v>71</v>
      </c>
      <c r="G2" s="117"/>
      <c r="H2" s="117"/>
      <c r="I2" s="117"/>
      <c r="J2" s="117"/>
      <c r="K2" s="117"/>
      <c r="L2" s="118" t="str">
        <f>Functions!D32</f>
        <v>Shipment progression, reconciliation and exceptions</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121" t="s">
        <v>342</v>
      </c>
      <c r="B5" s="13"/>
      <c r="C5" s="132" t="s">
        <v>241</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COUNTIF(F50:P50,"P")</f>
        <v>0</v>
      </c>
      <c r="B7" s="138"/>
      <c r="C7" s="139">
        <f>COUNTIF(F50:P50,"F")</f>
        <v>0</v>
      </c>
      <c r="D7" s="140"/>
      <c r="E7" s="138"/>
      <c r="F7" s="139">
        <f>SUM(O7,-A7,-C7)</f>
        <v>5</v>
      </c>
      <c r="G7" s="140"/>
      <c r="H7" s="140"/>
      <c r="I7" s="140"/>
      <c r="J7" s="140"/>
      <c r="K7" s="138"/>
      <c r="L7" s="141">
        <f>COUNTIF(F49:P49,"N")</f>
        <v>2</v>
      </c>
      <c r="M7" s="141">
        <f>COUNTIF(F49:P49,"A")</f>
        <v>3</v>
      </c>
      <c r="N7" s="141">
        <f>COUNTIF(F49:P49,"B")</f>
        <v>0</v>
      </c>
      <c r="O7" s="139">
        <f>COUNTA(F9:P9)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300" t="s">
        <v>344</v>
      </c>
      <c r="G9" s="300" t="s">
        <v>345</v>
      </c>
      <c r="H9" s="300" t="s">
        <v>346</v>
      </c>
      <c r="I9" s="300" t="s">
        <v>347</v>
      </c>
      <c r="J9" s="300" t="s">
        <v>348</v>
      </c>
      <c r="K9" s="301"/>
      <c r="L9" s="301"/>
      <c r="M9" s="301"/>
      <c r="N9" s="301"/>
      <c r="O9" s="301"/>
      <c r="P9" s="301"/>
      <c r="Q9" s="247"/>
      <c r="R9" s="247"/>
      <c r="S9" s="247"/>
      <c r="T9" s="302"/>
      <c r="U9" s="150"/>
      <c r="V9" s="120"/>
      <c r="W9" s="110"/>
      <c r="X9" s="110"/>
      <c r="Y9" s="110"/>
      <c r="Z9" s="110"/>
    </row>
    <row r="10" ht="13.5" customHeight="1">
      <c r="A10" s="151" t="s">
        <v>350</v>
      </c>
      <c r="B10" s="163" t="s">
        <v>351</v>
      </c>
      <c r="C10" s="171"/>
      <c r="D10" s="174"/>
      <c r="E10" s="303"/>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57"/>
      <c r="B11" s="163"/>
      <c r="C11" s="171"/>
      <c r="D11" s="174" t="s">
        <v>566</v>
      </c>
      <c r="E11" s="305"/>
      <c r="F11" s="165" t="s">
        <v>353</v>
      </c>
      <c r="G11" s="165"/>
      <c r="H11" s="165"/>
      <c r="I11" s="165"/>
      <c r="J11" s="165"/>
      <c r="K11" s="165"/>
      <c r="L11" s="165"/>
      <c r="M11" s="165"/>
      <c r="N11" s="165"/>
      <c r="O11" s="165"/>
      <c r="P11" s="165"/>
      <c r="Q11" s="165"/>
      <c r="R11" s="165"/>
      <c r="S11" s="165"/>
      <c r="T11" s="304"/>
      <c r="U11" s="110"/>
      <c r="V11" s="110"/>
      <c r="W11" s="110"/>
      <c r="X11" s="110"/>
      <c r="Y11" s="110"/>
      <c r="Z11" s="110"/>
    </row>
    <row r="12" ht="13.5" customHeight="1">
      <c r="A12" s="162"/>
      <c r="B12" s="163"/>
      <c r="C12" s="171"/>
      <c r="D12" s="174"/>
      <c r="E12" s="306"/>
      <c r="F12" s="165"/>
      <c r="G12" s="165"/>
      <c r="H12" s="165"/>
      <c r="I12" s="165"/>
      <c r="J12" s="165"/>
      <c r="K12" s="165"/>
      <c r="L12" s="165"/>
      <c r="M12" s="165"/>
      <c r="N12" s="165"/>
      <c r="O12" s="165"/>
      <c r="P12" s="165"/>
      <c r="Q12" s="165"/>
      <c r="R12" s="165"/>
      <c r="S12" s="165"/>
      <c r="T12" s="304"/>
      <c r="U12" s="110"/>
      <c r="V12" s="120"/>
      <c r="W12" s="110"/>
      <c r="X12" s="110"/>
      <c r="Y12" s="110"/>
      <c r="Z12" s="110"/>
    </row>
    <row r="13" ht="13.5" customHeight="1">
      <c r="A13" s="162"/>
      <c r="B13" s="163"/>
      <c r="C13" s="171"/>
      <c r="D13" s="174" t="s">
        <v>569</v>
      </c>
      <c r="E13" s="306"/>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570</v>
      </c>
      <c r="E14" s="170"/>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307"/>
      <c r="C15" s="171"/>
      <c r="D15" s="174"/>
      <c r="E15" s="308"/>
      <c r="F15" s="165"/>
      <c r="G15" s="165"/>
      <c r="H15" s="165"/>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572</v>
      </c>
      <c r="E16" s="308"/>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t="s">
        <v>573</v>
      </c>
      <c r="E17" s="308"/>
      <c r="F17" s="165"/>
      <c r="G17" s="165"/>
      <c r="H17" s="165"/>
      <c r="I17" s="165"/>
      <c r="J17" s="165" t="s">
        <v>353</v>
      </c>
      <c r="K17" s="165"/>
      <c r="L17" s="165"/>
      <c r="M17" s="165"/>
      <c r="N17" s="165"/>
      <c r="O17" s="165"/>
      <c r="P17" s="165"/>
      <c r="Q17" s="165"/>
      <c r="R17" s="165"/>
      <c r="S17" s="165"/>
      <c r="T17" s="304"/>
      <c r="U17" s="110"/>
      <c r="V17" s="110"/>
      <c r="W17" s="110"/>
      <c r="X17" s="110"/>
      <c r="Y17" s="110"/>
      <c r="Z17" s="110"/>
    </row>
    <row r="18" ht="13.5" customHeight="1">
      <c r="A18" s="162"/>
      <c r="B18" s="163"/>
      <c r="C18" s="171"/>
      <c r="D18" s="174"/>
      <c r="E18" s="308"/>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308"/>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74"/>
      <c r="E20" s="308"/>
      <c r="F20" s="165"/>
      <c r="G20" s="165"/>
      <c r="H20" s="165"/>
      <c r="I20" s="165"/>
      <c r="J20" s="165"/>
      <c r="K20" s="165"/>
      <c r="L20" s="165"/>
      <c r="M20" s="165"/>
      <c r="N20" s="165"/>
      <c r="O20" s="165"/>
      <c r="P20" s="165"/>
      <c r="Q20" s="165"/>
      <c r="R20" s="165"/>
      <c r="S20" s="165"/>
      <c r="T20" s="304"/>
      <c r="U20" s="175"/>
      <c r="V20" s="110"/>
      <c r="W20" s="110"/>
      <c r="X20" s="110"/>
      <c r="Y20" s="110"/>
      <c r="Z20" s="110"/>
    </row>
    <row r="21" ht="13.5" customHeight="1">
      <c r="A21" s="162"/>
      <c r="B21" s="163"/>
      <c r="C21" s="171"/>
      <c r="D21" s="111"/>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308"/>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308"/>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308"/>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308"/>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308"/>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308"/>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308"/>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308"/>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308"/>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308"/>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163"/>
      <c r="C32" s="171"/>
      <c r="D32" s="174"/>
      <c r="E32" s="308"/>
      <c r="F32" s="165"/>
      <c r="G32" s="165"/>
      <c r="H32" s="165"/>
      <c r="I32" s="165"/>
      <c r="J32" s="165"/>
      <c r="K32" s="165"/>
      <c r="L32" s="165"/>
      <c r="M32" s="165"/>
      <c r="N32" s="165"/>
      <c r="O32" s="165"/>
      <c r="P32" s="165"/>
      <c r="Q32" s="165"/>
      <c r="R32" s="165"/>
      <c r="S32" s="165"/>
      <c r="T32" s="304"/>
      <c r="U32" s="110"/>
      <c r="V32" s="110"/>
      <c r="W32" s="110"/>
      <c r="X32" s="110"/>
      <c r="Y32" s="110"/>
      <c r="Z32" s="110"/>
    </row>
    <row r="33" ht="13.5" customHeight="1">
      <c r="A33" s="162"/>
      <c r="B33" s="294"/>
      <c r="C33" s="295"/>
      <c r="D33" s="296"/>
      <c r="E33" s="311"/>
      <c r="F33" s="298"/>
      <c r="G33" s="298"/>
      <c r="H33" s="298"/>
      <c r="I33" s="298"/>
      <c r="J33" s="298"/>
      <c r="K33" s="298"/>
      <c r="L33" s="298"/>
      <c r="M33" s="298"/>
      <c r="N33" s="298"/>
      <c r="O33" s="298"/>
      <c r="P33" s="298"/>
      <c r="Q33" s="298"/>
      <c r="R33" s="298"/>
      <c r="S33" s="298"/>
      <c r="T33" s="312"/>
      <c r="U33" s="110"/>
      <c r="V33" s="110"/>
      <c r="W33" s="110"/>
      <c r="X33" s="110"/>
      <c r="Y33" s="110"/>
      <c r="Z33" s="110"/>
    </row>
    <row r="34" ht="13.5" customHeight="1">
      <c r="A34" s="176" t="s">
        <v>359</v>
      </c>
      <c r="B34" s="177" t="s">
        <v>360</v>
      </c>
      <c r="C34" s="178"/>
      <c r="D34" s="179"/>
      <c r="E34" s="180"/>
      <c r="F34" s="165"/>
      <c r="G34" s="165"/>
      <c r="H34" s="165"/>
      <c r="I34" s="165"/>
      <c r="J34" s="165"/>
      <c r="K34" s="165"/>
      <c r="L34" s="165"/>
      <c r="M34" s="165"/>
      <c r="N34" s="165"/>
      <c r="O34" s="165"/>
      <c r="P34" s="165"/>
      <c r="Q34" s="156"/>
      <c r="R34" s="156"/>
      <c r="S34" s="156"/>
      <c r="T34" s="313"/>
      <c r="U34" s="110"/>
      <c r="V34" s="110"/>
      <c r="W34" s="110"/>
      <c r="X34" s="110"/>
      <c r="Y34" s="110"/>
      <c r="Z34" s="110"/>
    </row>
    <row r="35" ht="13.5" customHeight="1">
      <c r="A35" s="181"/>
      <c r="B35" s="254"/>
      <c r="C35" s="183"/>
      <c r="D35" s="184" t="s">
        <v>575</v>
      </c>
      <c r="E35" s="185"/>
      <c r="F35" s="165" t="s">
        <v>353</v>
      </c>
      <c r="G35" s="165"/>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4"/>
      <c r="C36" s="183"/>
      <c r="D36" s="184" t="s">
        <v>576</v>
      </c>
      <c r="E36" s="185"/>
      <c r="F36" s="165"/>
      <c r="G36" s="165" t="s">
        <v>353</v>
      </c>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4"/>
      <c r="C37" s="183"/>
      <c r="D37" s="184" t="s">
        <v>577</v>
      </c>
      <c r="E37" s="185"/>
      <c r="F37" s="165"/>
      <c r="G37" s="165"/>
      <c r="H37" s="165" t="s">
        <v>353</v>
      </c>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c r="E38" s="185"/>
      <c r="F38" s="165"/>
      <c r="G38" s="165"/>
      <c r="H38" s="165"/>
      <c r="I38" s="165"/>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t="s">
        <v>578</v>
      </c>
      <c r="E39" s="185"/>
      <c r="F39" s="165"/>
      <c r="G39" s="165"/>
      <c r="H39" s="165"/>
      <c r="I39" s="165" t="s">
        <v>353</v>
      </c>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c r="E40" s="188"/>
      <c r="F40" s="165"/>
      <c r="G40" s="165"/>
      <c r="H40" s="165"/>
      <c r="I40" s="165"/>
      <c r="J40" s="165"/>
      <c r="K40" s="165"/>
      <c r="L40" s="165"/>
      <c r="M40" s="165"/>
      <c r="N40" s="165"/>
      <c r="O40" s="165"/>
      <c r="P40" s="165"/>
      <c r="Q40" s="165"/>
      <c r="R40" s="165"/>
      <c r="S40" s="165"/>
      <c r="T40" s="304"/>
      <c r="U40" s="110"/>
      <c r="V40" s="110"/>
      <c r="W40" s="110"/>
      <c r="X40" s="110"/>
      <c r="Y40" s="110"/>
      <c r="Z40" s="110"/>
    </row>
    <row r="41" ht="13.5" customHeight="1">
      <c r="A41" s="181"/>
      <c r="B41" s="255"/>
      <c r="C41" s="183"/>
      <c r="D41" s="184" t="s">
        <v>579</v>
      </c>
      <c r="E41" s="188"/>
      <c r="F41" s="165"/>
      <c r="G41" s="165"/>
      <c r="H41" s="165"/>
      <c r="I41" s="165"/>
      <c r="J41" s="165" t="s">
        <v>353</v>
      </c>
      <c r="K41" s="165"/>
      <c r="L41" s="165"/>
      <c r="M41" s="165"/>
      <c r="N41" s="165"/>
      <c r="O41" s="165"/>
      <c r="P41" s="165"/>
      <c r="Q41" s="165"/>
      <c r="R41" s="165"/>
      <c r="S41" s="165"/>
      <c r="T41" s="304"/>
      <c r="U41" s="110"/>
      <c r="V41" s="110"/>
      <c r="W41" s="110"/>
      <c r="X41" s="110"/>
      <c r="Y41" s="110"/>
      <c r="Z41" s="110"/>
    </row>
    <row r="42" ht="13.5" customHeight="1">
      <c r="A42" s="181"/>
      <c r="B42" s="255"/>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314"/>
      <c r="C43" s="193"/>
      <c r="D43" s="19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315"/>
      <c r="B44" s="316"/>
      <c r="C44" s="230"/>
      <c r="D44" s="231"/>
      <c r="E44" s="317"/>
      <c r="F44" s="165"/>
      <c r="G44" s="165"/>
      <c r="H44" s="165"/>
      <c r="I44" s="165"/>
      <c r="J44" s="165"/>
      <c r="K44" s="165"/>
      <c r="L44" s="165"/>
      <c r="M44" s="165"/>
      <c r="N44" s="165"/>
      <c r="O44" s="165"/>
      <c r="P44" s="165"/>
      <c r="Q44" s="165"/>
      <c r="R44" s="165"/>
      <c r="S44" s="165"/>
      <c r="T44" s="304"/>
      <c r="U44" s="110"/>
      <c r="V44" s="110"/>
      <c r="W44" s="110"/>
      <c r="X44" s="110"/>
      <c r="Y44" s="110"/>
      <c r="Z44" s="110"/>
    </row>
    <row r="45" ht="13.5" customHeight="1">
      <c r="A45" s="315"/>
      <c r="B45" s="256"/>
      <c r="C45" s="257"/>
      <c r="D45" s="258"/>
      <c r="E45" s="318"/>
      <c r="F45" s="165"/>
      <c r="G45" s="165"/>
      <c r="H45" s="165"/>
      <c r="I45" s="165"/>
      <c r="J45" s="165"/>
      <c r="K45" s="165"/>
      <c r="L45" s="165"/>
      <c r="M45" s="165"/>
      <c r="N45" s="165"/>
      <c r="O45" s="165"/>
      <c r="P45" s="165"/>
      <c r="Q45" s="196"/>
      <c r="R45" s="196"/>
      <c r="S45" s="196"/>
      <c r="T45" s="319"/>
      <c r="U45" s="110"/>
      <c r="V45" s="110"/>
      <c r="W45" s="110"/>
      <c r="X45" s="110"/>
      <c r="Y45" s="110"/>
      <c r="Z45" s="110"/>
    </row>
    <row r="46" ht="13.5" customHeight="1">
      <c r="A46" s="320"/>
      <c r="B46" s="229"/>
      <c r="C46" s="230"/>
      <c r="D46" s="231"/>
      <c r="E46" s="318"/>
      <c r="F46" s="165"/>
      <c r="G46" s="165"/>
      <c r="H46" s="165"/>
      <c r="I46" s="165"/>
      <c r="J46" s="165"/>
      <c r="K46" s="165"/>
      <c r="L46" s="165"/>
      <c r="M46" s="165"/>
      <c r="N46" s="165"/>
      <c r="O46" s="165"/>
      <c r="P46" s="165"/>
      <c r="Q46" s="233"/>
      <c r="R46" s="233"/>
      <c r="S46" s="233"/>
      <c r="T46" s="322"/>
      <c r="U46" s="110"/>
      <c r="V46" s="110"/>
      <c r="W46" s="110"/>
      <c r="X46" s="110"/>
      <c r="Y46" s="110"/>
      <c r="Z46" s="110"/>
    </row>
    <row r="47" ht="13.5" customHeight="1">
      <c r="A47" s="320"/>
      <c r="B47" s="323"/>
      <c r="C47" s="257"/>
      <c r="D47" s="190"/>
      <c r="E47" s="185"/>
      <c r="F47" s="165"/>
      <c r="G47" s="165"/>
      <c r="H47" s="165"/>
      <c r="I47" s="165"/>
      <c r="J47" s="165"/>
      <c r="K47" s="165"/>
      <c r="L47" s="165"/>
      <c r="M47" s="165"/>
      <c r="N47" s="165"/>
      <c r="O47" s="165"/>
      <c r="P47" s="165"/>
      <c r="Q47" s="233"/>
      <c r="R47" s="233"/>
      <c r="S47" s="233"/>
      <c r="T47" s="322"/>
      <c r="U47" s="110"/>
      <c r="V47" s="110"/>
      <c r="W47" s="110"/>
      <c r="X47" s="110"/>
      <c r="Y47" s="110"/>
      <c r="Z47" s="110"/>
    </row>
    <row r="48" ht="13.5" customHeight="1">
      <c r="A48" s="320"/>
      <c r="B48" s="229"/>
      <c r="C48" s="230"/>
      <c r="D48" s="231"/>
      <c r="E48" s="318"/>
      <c r="F48" s="298"/>
      <c r="G48" s="298"/>
      <c r="H48" s="298"/>
      <c r="I48" s="298"/>
      <c r="J48" s="298"/>
      <c r="K48" s="298"/>
      <c r="L48" s="298"/>
      <c r="M48" s="298"/>
      <c r="N48" s="298"/>
      <c r="O48" s="298"/>
      <c r="P48" s="298"/>
      <c r="Q48" s="233"/>
      <c r="R48" s="233"/>
      <c r="S48" s="233"/>
      <c r="T48" s="322"/>
      <c r="U48" s="110"/>
      <c r="V48" s="110"/>
      <c r="W48" s="110"/>
      <c r="X48" s="110"/>
      <c r="Y48" s="110"/>
      <c r="Z48" s="110"/>
    </row>
    <row r="49" ht="18.0" customHeight="1">
      <c r="A49" s="176" t="s">
        <v>367</v>
      </c>
      <c r="B49" s="240" t="s">
        <v>368</v>
      </c>
      <c r="C49" s="225"/>
      <c r="D49" s="241"/>
      <c r="E49" s="324"/>
      <c r="F49" s="325" t="s">
        <v>220</v>
      </c>
      <c r="G49" s="325" t="s">
        <v>220</v>
      </c>
      <c r="H49" s="325" t="s">
        <v>38</v>
      </c>
      <c r="I49" s="325" t="s">
        <v>38</v>
      </c>
      <c r="J49" s="325" t="s">
        <v>38</v>
      </c>
      <c r="K49" s="325"/>
      <c r="L49" s="325"/>
      <c r="M49" s="325"/>
      <c r="N49" s="325"/>
      <c r="O49" s="325"/>
      <c r="P49" s="325"/>
      <c r="Q49" s="201"/>
      <c r="R49" s="201"/>
      <c r="S49" s="201"/>
      <c r="T49" s="326"/>
      <c r="U49" s="110"/>
      <c r="V49" s="110"/>
      <c r="W49" s="110"/>
      <c r="X49" s="110"/>
      <c r="Y49" s="110"/>
      <c r="Z49" s="110"/>
    </row>
    <row r="50" ht="17.25" customHeight="1">
      <c r="A50" s="260"/>
      <c r="B50" s="204" t="s">
        <v>369</v>
      </c>
      <c r="C50" s="12"/>
      <c r="D50" s="13"/>
      <c r="E50" s="205"/>
      <c r="F50" s="206"/>
      <c r="G50" s="206"/>
      <c r="H50" s="206"/>
      <c r="I50" s="206"/>
      <c r="J50" s="206"/>
      <c r="K50" s="206"/>
      <c r="L50" s="206"/>
      <c r="M50" s="206"/>
      <c r="N50" s="206"/>
      <c r="O50" s="206"/>
      <c r="P50" s="206"/>
      <c r="Q50" s="206"/>
      <c r="R50" s="206"/>
      <c r="S50" s="206"/>
      <c r="T50" s="327"/>
      <c r="U50" s="110"/>
      <c r="V50" s="110"/>
      <c r="W50" s="110"/>
      <c r="X50" s="110"/>
      <c r="Y50" s="110"/>
      <c r="Z50" s="110"/>
    </row>
    <row r="51" ht="19.5" customHeight="1">
      <c r="A51" s="260"/>
      <c r="B51" s="208" t="s">
        <v>371</v>
      </c>
      <c r="C51" s="12"/>
      <c r="D51" s="13"/>
      <c r="E51" s="209"/>
      <c r="F51" s="210"/>
      <c r="G51" s="210"/>
      <c r="H51" s="210"/>
      <c r="I51" s="210"/>
      <c r="J51" s="210"/>
      <c r="K51" s="210"/>
      <c r="L51" s="210"/>
      <c r="M51" s="210"/>
      <c r="N51" s="210"/>
      <c r="O51" s="210"/>
      <c r="P51" s="210"/>
      <c r="Q51" s="210"/>
      <c r="R51" s="210"/>
      <c r="S51" s="210"/>
      <c r="T51" s="328"/>
      <c r="U51" s="110"/>
      <c r="V51" s="110"/>
      <c r="W51" s="110"/>
      <c r="X51" s="110"/>
      <c r="Y51" s="110"/>
      <c r="Z51" s="110"/>
    </row>
    <row r="52" ht="18.0" customHeight="1">
      <c r="A52" s="261"/>
      <c r="B52" s="215" t="s">
        <v>372</v>
      </c>
      <c r="C52" s="216"/>
      <c r="D52" s="217"/>
      <c r="E52" s="218"/>
      <c r="F52" s="219"/>
      <c r="G52" s="219"/>
      <c r="H52" s="219"/>
      <c r="I52" s="219"/>
      <c r="J52" s="219"/>
      <c r="K52" s="219"/>
      <c r="L52" s="219"/>
      <c r="M52" s="219"/>
      <c r="N52" s="219"/>
      <c r="O52" s="219"/>
      <c r="P52" s="219"/>
      <c r="Q52" s="219"/>
      <c r="R52" s="219"/>
      <c r="S52" s="219"/>
      <c r="T52" s="329"/>
      <c r="U52" s="110"/>
      <c r="V52" s="110"/>
      <c r="W52" s="110"/>
      <c r="X52" s="110"/>
      <c r="Y52" s="110"/>
      <c r="Z52" s="110"/>
    </row>
    <row r="53" ht="12.0" customHeight="1">
      <c r="A53" s="143"/>
      <c r="B53" s="110"/>
      <c r="C53" s="111"/>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ht="13.5" customHeight="1">
      <c r="A251" s="110"/>
      <c r="B251" s="143"/>
      <c r="C251" s="110"/>
      <c r="D251" s="111"/>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ht="13.5" customHeight="1">
      <c r="A252" s="110"/>
      <c r="B252" s="143"/>
      <c r="C252" s="110"/>
      <c r="D252" s="111"/>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D21:E21"/>
    <mergeCell ref="B49:D49"/>
    <mergeCell ref="B50:D50"/>
    <mergeCell ref="B51:D51"/>
    <mergeCell ref="B52:D52"/>
    <mergeCell ref="A6:B6"/>
    <mergeCell ref="C6:E6"/>
    <mergeCell ref="F6:K6"/>
    <mergeCell ref="L6:N6"/>
    <mergeCell ref="A7:B7"/>
    <mergeCell ref="C7:E7"/>
    <mergeCell ref="F7:K7"/>
  </mergeCells>
  <dataValidations>
    <dataValidation type="list" allowBlank="1" showInputMessage="1" showErrorMessage="1" prompt=" - " sqref="F50:T50">
      <formula1>"P,F"</formula1>
    </dataValidation>
    <dataValidation type="list" allowBlank="1" showInputMessage="1" showErrorMessage="1" prompt=" - " sqref="F10:T48">
      <formula1>"O"</formula1>
    </dataValidation>
    <dataValidation type="list" allowBlank="1" showInputMessage="1" showErrorMessage="1" prompt=" - " sqref="F49:T49">
      <formula1>"N,A,B"</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0" width="5.38"/>
    <col customWidth="1" min="11" max="11" width="4.75"/>
    <col customWidth="1" min="12" max="12" width="3.0"/>
    <col customWidth="1" min="13" max="13" width="2.75"/>
    <col customWidth="1" min="14"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Functions!E33</f>
        <v>F-23</v>
      </c>
      <c r="D2" s="113"/>
      <c r="E2" s="115"/>
      <c r="F2" s="116" t="s">
        <v>71</v>
      </c>
      <c r="G2" s="117"/>
      <c r="H2" s="117"/>
      <c r="I2" s="117"/>
      <c r="J2" s="117"/>
      <c r="K2" s="117"/>
      <c r="L2" s="118" t="str">
        <f>Functions!D33</f>
        <v>Post-approval reservation and concurrency consistency</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330" t="s">
        <v>342</v>
      </c>
      <c r="B5" s="13"/>
      <c r="C5" s="331" t="s">
        <v>247</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COUNTIF(F47:K47,"P")</f>
        <v>0</v>
      </c>
      <c r="B7" s="138"/>
      <c r="C7" s="139">
        <f>COUNTIF(F47:K47,"F")</f>
        <v>0</v>
      </c>
      <c r="D7" s="140"/>
      <c r="E7" s="138"/>
      <c r="F7" s="139">
        <f>SUM(O7,-A7,-C7)</f>
        <v>5</v>
      </c>
      <c r="G7" s="140"/>
      <c r="H7" s="140"/>
      <c r="I7" s="140"/>
      <c r="J7" s="140"/>
      <c r="K7" s="138"/>
      <c r="L7" s="141">
        <f>COUNTIF(F46:K46,"N")</f>
        <v>3</v>
      </c>
      <c r="M7" s="141">
        <f>COUNTIF(F46:K46,"A")</f>
        <v>2</v>
      </c>
      <c r="N7" s="141">
        <f>COUNTIF(F46:K46,"B")</f>
        <v>0</v>
      </c>
      <c r="O7" s="139">
        <f>COUNTA(F9:K9)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247" t="s">
        <v>344</v>
      </c>
      <c r="G9" s="247" t="s">
        <v>345</v>
      </c>
      <c r="H9" s="247" t="s">
        <v>346</v>
      </c>
      <c r="I9" s="247" t="s">
        <v>347</v>
      </c>
      <c r="J9" s="247" t="s">
        <v>348</v>
      </c>
      <c r="K9" s="247"/>
      <c r="L9" s="247"/>
      <c r="M9" s="247"/>
      <c r="N9" s="247"/>
      <c r="O9" s="247"/>
      <c r="P9" s="247"/>
      <c r="Q9" s="247"/>
      <c r="R9" s="247"/>
      <c r="S9" s="247"/>
      <c r="T9" s="302"/>
      <c r="U9" s="150"/>
      <c r="V9" s="120"/>
      <c r="W9" s="110"/>
      <c r="X9" s="110"/>
      <c r="Y9" s="110"/>
      <c r="Z9" s="110"/>
    </row>
    <row r="10" ht="13.5" customHeight="1">
      <c r="A10" s="151" t="s">
        <v>350</v>
      </c>
      <c r="B10" s="163" t="s">
        <v>351</v>
      </c>
      <c r="C10" s="171"/>
      <c r="D10" s="174"/>
      <c r="E10" s="248"/>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57"/>
      <c r="B11" s="163"/>
      <c r="C11" s="171"/>
      <c r="D11" s="174" t="s">
        <v>580</v>
      </c>
      <c r="E11" s="335"/>
      <c r="F11" s="165" t="s">
        <v>353</v>
      </c>
      <c r="G11" s="165"/>
      <c r="H11" s="165"/>
      <c r="I11" s="165"/>
      <c r="J11" s="165"/>
      <c r="K11" s="165"/>
      <c r="L11" s="165"/>
      <c r="M11" s="165"/>
      <c r="N11" s="165"/>
      <c r="O11" s="165"/>
      <c r="P11" s="165"/>
      <c r="Q11" s="165"/>
      <c r="R11" s="165"/>
      <c r="S11" s="165"/>
      <c r="T11" s="304"/>
      <c r="U11" s="110"/>
      <c r="V11" s="110"/>
      <c r="W11" s="110"/>
      <c r="X11" s="110"/>
      <c r="Y11" s="110"/>
      <c r="Z11" s="110"/>
    </row>
    <row r="12" ht="13.5" customHeight="1">
      <c r="A12" s="162"/>
      <c r="B12" s="163"/>
      <c r="C12" s="171"/>
      <c r="D12" s="174"/>
      <c r="E12" s="155"/>
      <c r="F12" s="165"/>
      <c r="G12" s="165"/>
      <c r="H12" s="165"/>
      <c r="I12" s="165"/>
      <c r="J12" s="165"/>
      <c r="K12" s="165"/>
      <c r="L12" s="165"/>
      <c r="M12" s="165"/>
      <c r="N12" s="165"/>
      <c r="O12" s="165"/>
      <c r="P12" s="165"/>
      <c r="Q12" s="165"/>
      <c r="R12" s="165"/>
      <c r="S12" s="165"/>
      <c r="T12" s="304"/>
      <c r="U12" s="110"/>
      <c r="V12" s="120"/>
      <c r="W12" s="110"/>
      <c r="X12" s="110"/>
      <c r="Y12" s="110"/>
      <c r="Z12" s="110"/>
    </row>
    <row r="13" ht="13.5" customHeight="1">
      <c r="A13" s="162"/>
      <c r="B13" s="163"/>
      <c r="C13" s="171"/>
      <c r="D13" s="174" t="s">
        <v>581</v>
      </c>
      <c r="E13" s="155"/>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582</v>
      </c>
      <c r="E14" s="170"/>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163"/>
      <c r="C15" s="171"/>
      <c r="D15" s="174"/>
      <c r="E15" s="173"/>
      <c r="F15" s="165"/>
      <c r="G15" s="165"/>
      <c r="H15" s="165"/>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583</v>
      </c>
      <c r="E16" s="173"/>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t="s">
        <v>584</v>
      </c>
      <c r="E17" s="173"/>
      <c r="F17" s="165"/>
      <c r="G17" s="165"/>
      <c r="H17" s="165"/>
      <c r="I17" s="165"/>
      <c r="J17" s="165" t="s">
        <v>353</v>
      </c>
      <c r="K17" s="165"/>
      <c r="L17" s="165"/>
      <c r="M17" s="165"/>
      <c r="N17" s="165"/>
      <c r="O17" s="165"/>
      <c r="P17" s="165"/>
      <c r="Q17" s="165"/>
      <c r="R17" s="165"/>
      <c r="S17" s="165"/>
      <c r="T17" s="304"/>
      <c r="U17" s="110"/>
      <c r="V17" s="110"/>
      <c r="W17" s="110"/>
      <c r="X17" s="110"/>
      <c r="Y17" s="110"/>
      <c r="Z17" s="110"/>
    </row>
    <row r="18" ht="13.5" customHeight="1">
      <c r="A18" s="162"/>
      <c r="B18" s="163"/>
      <c r="C18" s="171"/>
      <c r="D18" s="174"/>
      <c r="E18" s="173"/>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173"/>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74"/>
      <c r="E20" s="173"/>
      <c r="F20" s="165"/>
      <c r="G20" s="165"/>
      <c r="H20" s="165"/>
      <c r="I20" s="165"/>
      <c r="J20" s="165"/>
      <c r="K20" s="165"/>
      <c r="L20" s="165"/>
      <c r="M20" s="165"/>
      <c r="N20" s="165"/>
      <c r="O20" s="165"/>
      <c r="P20" s="165"/>
      <c r="Q20" s="165"/>
      <c r="R20" s="165"/>
      <c r="S20" s="165"/>
      <c r="T20" s="304"/>
      <c r="U20" s="175"/>
      <c r="V20" s="110"/>
      <c r="W20" s="110"/>
      <c r="X20" s="110"/>
      <c r="Y20" s="110"/>
      <c r="Z20" s="110"/>
    </row>
    <row r="21" ht="13.5" customHeight="1">
      <c r="A21" s="162"/>
      <c r="B21" s="163"/>
      <c r="C21" s="171"/>
      <c r="D21" s="111"/>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173"/>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173"/>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173"/>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173"/>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173"/>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173"/>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173"/>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173"/>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173"/>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173"/>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163"/>
      <c r="C32" s="171"/>
      <c r="D32" s="174"/>
      <c r="E32" s="173"/>
      <c r="F32" s="165"/>
      <c r="G32" s="165"/>
      <c r="H32" s="165"/>
      <c r="I32" s="165"/>
      <c r="J32" s="165"/>
      <c r="K32" s="165"/>
      <c r="L32" s="165"/>
      <c r="M32" s="165"/>
      <c r="N32" s="165"/>
      <c r="O32" s="165"/>
      <c r="P32" s="165"/>
      <c r="Q32" s="165"/>
      <c r="R32" s="165"/>
      <c r="S32" s="165"/>
      <c r="T32" s="304"/>
      <c r="U32" s="110"/>
      <c r="V32" s="110"/>
      <c r="W32" s="110"/>
      <c r="X32" s="110"/>
      <c r="Y32" s="110"/>
      <c r="Z32" s="110"/>
    </row>
    <row r="33" ht="13.5" customHeight="1">
      <c r="A33" s="162"/>
      <c r="B33" s="294"/>
      <c r="C33" s="295"/>
      <c r="D33" s="296"/>
      <c r="E33" s="297"/>
      <c r="F33" s="298"/>
      <c r="G33" s="298"/>
      <c r="H33" s="298"/>
      <c r="I33" s="298"/>
      <c r="J33" s="298"/>
      <c r="K33" s="298"/>
      <c r="L33" s="298"/>
      <c r="M33" s="298"/>
      <c r="N33" s="298"/>
      <c r="O33" s="298"/>
      <c r="P33" s="298"/>
      <c r="Q33" s="298"/>
      <c r="R33" s="298"/>
      <c r="S33" s="298"/>
      <c r="T33" s="312"/>
      <c r="U33" s="110"/>
      <c r="V33" s="110"/>
      <c r="W33" s="110"/>
      <c r="X33" s="110"/>
      <c r="Y33" s="110"/>
      <c r="Z33" s="110"/>
    </row>
    <row r="34" ht="13.5" customHeight="1">
      <c r="A34" s="176" t="s">
        <v>359</v>
      </c>
      <c r="B34" s="177" t="s">
        <v>360</v>
      </c>
      <c r="C34" s="178"/>
      <c r="D34" s="179"/>
      <c r="E34" s="180"/>
      <c r="F34" s="156"/>
      <c r="G34" s="156"/>
      <c r="H34" s="156"/>
      <c r="I34" s="156"/>
      <c r="J34" s="156"/>
      <c r="K34" s="165"/>
      <c r="L34" s="165"/>
      <c r="M34" s="165"/>
      <c r="N34" s="156"/>
      <c r="O34" s="156"/>
      <c r="P34" s="156"/>
      <c r="Q34" s="156"/>
      <c r="R34" s="156"/>
      <c r="S34" s="156"/>
      <c r="T34" s="313"/>
      <c r="U34" s="110"/>
      <c r="V34" s="110"/>
      <c r="W34" s="110"/>
      <c r="X34" s="110"/>
      <c r="Y34" s="110"/>
      <c r="Z34" s="110"/>
    </row>
    <row r="35" ht="13.5" customHeight="1">
      <c r="A35" s="181"/>
      <c r="B35" s="254"/>
      <c r="C35" s="183"/>
      <c r="D35" s="184" t="s">
        <v>601</v>
      </c>
      <c r="E35" s="185"/>
      <c r="F35" s="165" t="s">
        <v>353</v>
      </c>
      <c r="G35" s="165"/>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4"/>
      <c r="C36" s="183"/>
      <c r="D36" s="184" t="s">
        <v>602</v>
      </c>
      <c r="E36" s="185"/>
      <c r="F36" s="165"/>
      <c r="G36" s="165" t="s">
        <v>353</v>
      </c>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5"/>
      <c r="C37" s="183"/>
      <c r="D37" s="184"/>
      <c r="E37" s="185"/>
      <c r="F37" s="165"/>
      <c r="G37" s="165"/>
      <c r="H37" s="165"/>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t="s">
        <v>603</v>
      </c>
      <c r="E38" s="185"/>
      <c r="F38" s="165"/>
      <c r="G38" s="165"/>
      <c r="H38" s="165" t="s">
        <v>353</v>
      </c>
      <c r="I38" s="165"/>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t="s">
        <v>605</v>
      </c>
      <c r="E39" s="185"/>
      <c r="F39" s="165"/>
      <c r="G39" s="165"/>
      <c r="H39" s="165"/>
      <c r="I39" s="165" t="s">
        <v>353</v>
      </c>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c r="E40" s="188"/>
      <c r="F40" s="165"/>
      <c r="G40" s="165"/>
      <c r="H40" s="165"/>
      <c r="I40" s="165"/>
      <c r="J40" s="165"/>
      <c r="K40" s="165"/>
      <c r="L40" s="165"/>
      <c r="M40" s="165"/>
      <c r="N40" s="165"/>
      <c r="O40" s="165"/>
      <c r="P40" s="165"/>
      <c r="Q40" s="165"/>
      <c r="R40" s="165"/>
      <c r="S40" s="165"/>
      <c r="T40" s="304"/>
      <c r="U40" s="110"/>
      <c r="V40" s="110"/>
      <c r="W40" s="110"/>
      <c r="X40" s="110"/>
      <c r="Y40" s="110"/>
      <c r="Z40" s="110"/>
    </row>
    <row r="41" ht="13.5" customHeight="1">
      <c r="A41" s="181"/>
      <c r="B41" s="255"/>
      <c r="C41" s="183"/>
      <c r="D41" s="184" t="s">
        <v>608</v>
      </c>
      <c r="E41" s="188"/>
      <c r="F41" s="165"/>
      <c r="G41" s="165"/>
      <c r="H41" s="165"/>
      <c r="I41" s="165"/>
      <c r="J41" s="165" t="s">
        <v>353</v>
      </c>
      <c r="K41" s="165"/>
      <c r="L41" s="165"/>
      <c r="M41" s="165"/>
      <c r="N41" s="165"/>
      <c r="O41" s="165"/>
      <c r="P41" s="165"/>
      <c r="Q41" s="165"/>
      <c r="R41" s="165"/>
      <c r="S41" s="165"/>
      <c r="T41" s="304"/>
      <c r="U41" s="110"/>
      <c r="V41" s="110"/>
      <c r="W41" s="110"/>
      <c r="X41" s="110"/>
      <c r="Y41" s="110"/>
      <c r="Z41" s="110"/>
    </row>
    <row r="42" ht="13.5" customHeight="1">
      <c r="A42" s="181"/>
      <c r="B42" s="255"/>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255"/>
      <c r="C43" s="183"/>
      <c r="D43" s="18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181"/>
      <c r="B44" s="255"/>
      <c r="C44" s="183"/>
      <c r="D44" s="184"/>
      <c r="E44" s="188"/>
      <c r="F44" s="165"/>
      <c r="G44" s="165"/>
      <c r="H44" s="165"/>
      <c r="I44" s="165"/>
      <c r="J44" s="165"/>
      <c r="K44" s="165"/>
      <c r="L44" s="165"/>
      <c r="M44" s="165"/>
      <c r="N44" s="165"/>
      <c r="O44" s="165"/>
      <c r="P44" s="165"/>
      <c r="Q44" s="165"/>
      <c r="R44" s="165"/>
      <c r="S44" s="165"/>
      <c r="T44" s="304"/>
      <c r="U44" s="110"/>
      <c r="V44" s="110"/>
      <c r="W44" s="110"/>
      <c r="X44" s="110"/>
      <c r="Y44" s="110"/>
      <c r="Z44" s="110"/>
    </row>
    <row r="45" ht="13.5" customHeight="1">
      <c r="A45" s="181"/>
      <c r="B45" s="332"/>
      <c r="C45" s="333"/>
      <c r="D45" s="334"/>
      <c r="E45" s="195"/>
      <c r="F45" s="196"/>
      <c r="G45" s="196"/>
      <c r="H45" s="196"/>
      <c r="I45" s="196"/>
      <c r="J45" s="298"/>
      <c r="K45" s="298"/>
      <c r="L45" s="298"/>
      <c r="M45" s="298"/>
      <c r="N45" s="298"/>
      <c r="O45" s="196"/>
      <c r="P45" s="196"/>
      <c r="Q45" s="196"/>
      <c r="R45" s="196"/>
      <c r="S45" s="196"/>
      <c r="T45" s="319"/>
      <c r="U45" s="110"/>
      <c r="V45" s="110"/>
      <c r="W45" s="110"/>
      <c r="X45" s="110"/>
      <c r="Y45" s="110"/>
      <c r="Z45" s="110"/>
    </row>
    <row r="46" ht="18.0" customHeight="1">
      <c r="A46" s="176" t="s">
        <v>367</v>
      </c>
      <c r="B46" s="197" t="s">
        <v>368</v>
      </c>
      <c r="C46" s="198"/>
      <c r="D46" s="199"/>
      <c r="E46" s="200"/>
      <c r="F46" s="201" t="s">
        <v>220</v>
      </c>
      <c r="G46" s="201" t="s">
        <v>220</v>
      </c>
      <c r="H46" s="201" t="s">
        <v>220</v>
      </c>
      <c r="I46" s="201" t="s">
        <v>38</v>
      </c>
      <c r="J46" s="201" t="s">
        <v>38</v>
      </c>
      <c r="K46" s="206"/>
      <c r="L46" s="165"/>
      <c r="M46" s="165"/>
      <c r="N46" s="201"/>
      <c r="O46" s="201"/>
      <c r="P46" s="201"/>
      <c r="Q46" s="201"/>
      <c r="R46" s="201"/>
      <c r="S46" s="201"/>
      <c r="T46" s="326"/>
      <c r="U46" s="110"/>
      <c r="V46" s="110"/>
      <c r="W46" s="110"/>
      <c r="X46" s="110"/>
      <c r="Y46" s="110"/>
      <c r="Z46" s="110"/>
    </row>
    <row r="47" ht="17.25" customHeight="1">
      <c r="A47" s="260"/>
      <c r="B47" s="204" t="s">
        <v>369</v>
      </c>
      <c r="C47" s="12"/>
      <c r="D47" s="13"/>
      <c r="E47" s="205"/>
      <c r="F47" s="206"/>
      <c r="G47" s="206"/>
      <c r="H47" s="206"/>
      <c r="I47" s="206"/>
      <c r="J47" s="206"/>
      <c r="K47" s="206"/>
      <c r="L47" s="165"/>
      <c r="M47" s="165"/>
      <c r="N47" s="206"/>
      <c r="O47" s="206"/>
      <c r="P47" s="206"/>
      <c r="Q47" s="206"/>
      <c r="R47" s="206"/>
      <c r="S47" s="206"/>
      <c r="T47" s="327"/>
      <c r="U47" s="110"/>
      <c r="V47" s="110"/>
      <c r="W47" s="110"/>
      <c r="X47" s="110"/>
      <c r="Y47" s="110"/>
      <c r="Z47" s="110"/>
    </row>
    <row r="48" ht="19.5" customHeight="1">
      <c r="A48" s="260"/>
      <c r="B48" s="208" t="s">
        <v>371</v>
      </c>
      <c r="C48" s="12"/>
      <c r="D48" s="13"/>
      <c r="E48" s="209"/>
      <c r="F48" s="210"/>
      <c r="G48" s="210"/>
      <c r="H48" s="210"/>
      <c r="I48" s="210"/>
      <c r="J48" s="210"/>
      <c r="K48" s="210"/>
      <c r="L48" s="165"/>
      <c r="M48" s="165"/>
      <c r="N48" s="210"/>
      <c r="O48" s="210"/>
      <c r="P48" s="210"/>
      <c r="Q48" s="210"/>
      <c r="R48" s="210"/>
      <c r="S48" s="210"/>
      <c r="T48" s="328"/>
      <c r="U48" s="110"/>
      <c r="V48" s="110"/>
      <c r="W48" s="110"/>
      <c r="X48" s="110"/>
      <c r="Y48" s="110"/>
      <c r="Z48" s="110"/>
    </row>
    <row r="49" ht="18.0" customHeight="1">
      <c r="A49" s="261"/>
      <c r="B49" s="215" t="s">
        <v>372</v>
      </c>
      <c r="C49" s="216"/>
      <c r="D49" s="217"/>
      <c r="E49" s="218"/>
      <c r="F49" s="219"/>
      <c r="G49" s="219"/>
      <c r="H49" s="219"/>
      <c r="I49" s="219"/>
      <c r="J49" s="219"/>
      <c r="K49" s="219"/>
      <c r="L49" s="219"/>
      <c r="M49" s="219"/>
      <c r="N49" s="219"/>
      <c r="O49" s="219"/>
      <c r="P49" s="219"/>
      <c r="Q49" s="219"/>
      <c r="R49" s="219"/>
      <c r="S49" s="219"/>
      <c r="T49" s="329"/>
      <c r="U49" s="110"/>
      <c r="V49" s="110"/>
      <c r="W49" s="110"/>
      <c r="X49" s="110"/>
      <c r="Y49" s="110"/>
      <c r="Z49" s="110"/>
    </row>
    <row r="50" ht="12.0" customHeight="1">
      <c r="A50" s="143"/>
      <c r="B50" s="110"/>
      <c r="C50" s="111"/>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D21:E21"/>
    <mergeCell ref="B46:D46"/>
    <mergeCell ref="B47:D47"/>
    <mergeCell ref="B48:D48"/>
    <mergeCell ref="B49:D49"/>
    <mergeCell ref="A6:B6"/>
    <mergeCell ref="C6:E6"/>
    <mergeCell ref="F6:K6"/>
    <mergeCell ref="L6:N6"/>
    <mergeCell ref="A7:B7"/>
    <mergeCell ref="C7:E7"/>
    <mergeCell ref="F7:K7"/>
  </mergeCells>
  <dataValidations>
    <dataValidation type="list" allowBlank="1" showInputMessage="1" showErrorMessage="1" prompt=" - " sqref="F47:T47">
      <formula1>"P,F"</formula1>
    </dataValidation>
    <dataValidation type="list" allowBlank="1" showInputMessage="1" showErrorMessage="1" prompt=" - " sqref="F10:T45">
      <formula1>"O"</formula1>
    </dataValidation>
    <dataValidation type="list" allowBlank="1" showInputMessage="1" showErrorMessage="1" prompt=" - " sqref="F46:T46">
      <formula1>"N,A,B"</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0" width="5.38"/>
    <col customWidth="1" min="11" max="11" width="4.75"/>
    <col customWidth="1" min="12" max="12" width="3.0"/>
    <col customWidth="1" min="13" max="13" width="2.75"/>
    <col customWidth="1" min="14"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Functions!E34</f>
        <v>F-24</v>
      </c>
      <c r="D2" s="113"/>
      <c r="E2" s="115"/>
      <c r="F2" s="116" t="s">
        <v>71</v>
      </c>
      <c r="G2" s="117"/>
      <c r="H2" s="117"/>
      <c r="I2" s="117"/>
      <c r="J2" s="117"/>
      <c r="K2" s="117"/>
      <c r="L2" s="118" t="str">
        <f>Functions!D34</f>
        <v>Cutoff, daily run uniqueness and immutable snapshots</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330" t="s">
        <v>342</v>
      </c>
      <c r="B5" s="13"/>
      <c r="C5" s="331" t="s">
        <v>253</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COUNTIF(F48:K48,"P")</f>
        <v>0</v>
      </c>
      <c r="B7" s="138"/>
      <c r="C7" s="139">
        <f>COUNTIF(F48:K48,"F")</f>
        <v>0</v>
      </c>
      <c r="D7" s="140"/>
      <c r="E7" s="138"/>
      <c r="F7" s="139">
        <f>SUM(O7,-A7,-C7)</f>
        <v>5</v>
      </c>
      <c r="G7" s="140"/>
      <c r="H7" s="140"/>
      <c r="I7" s="140"/>
      <c r="J7" s="140"/>
      <c r="K7" s="138"/>
      <c r="L7" s="141">
        <f>COUNTIF(F47:K47,"N")</f>
        <v>0</v>
      </c>
      <c r="M7" s="141">
        <f>COUNTIF(F47:K47,"A")</f>
        <v>2</v>
      </c>
      <c r="N7" s="141">
        <f>COUNTIF(F47:K47,"B")</f>
        <v>3</v>
      </c>
      <c r="O7" s="139">
        <f>COUNTA(F9:K9)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247" t="s">
        <v>344</v>
      </c>
      <c r="G9" s="247" t="s">
        <v>345</v>
      </c>
      <c r="H9" s="247" t="s">
        <v>346</v>
      </c>
      <c r="I9" s="247" t="s">
        <v>347</v>
      </c>
      <c r="J9" s="247" t="s">
        <v>348</v>
      </c>
      <c r="K9" s="247"/>
      <c r="L9" s="247"/>
      <c r="M9" s="247"/>
      <c r="N9" s="247"/>
      <c r="O9" s="247"/>
      <c r="P9" s="247"/>
      <c r="Q9" s="247"/>
      <c r="R9" s="247"/>
      <c r="S9" s="247"/>
      <c r="T9" s="302"/>
      <c r="U9" s="150"/>
      <c r="V9" s="120"/>
      <c r="W9" s="110"/>
      <c r="X9" s="110"/>
      <c r="Y9" s="110"/>
      <c r="Z9" s="110"/>
    </row>
    <row r="10" ht="13.5" customHeight="1">
      <c r="A10" s="151" t="s">
        <v>350</v>
      </c>
      <c r="B10" s="163" t="s">
        <v>351</v>
      </c>
      <c r="C10" s="171"/>
      <c r="D10" s="174"/>
      <c r="E10" s="248"/>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57"/>
      <c r="B11" s="163"/>
      <c r="C11" s="171"/>
      <c r="D11" s="174" t="s">
        <v>590</v>
      </c>
      <c r="E11" s="335"/>
      <c r="F11" s="165" t="s">
        <v>353</v>
      </c>
      <c r="G11" s="165"/>
      <c r="H11" s="165"/>
      <c r="I11" s="165"/>
      <c r="J11" s="165"/>
      <c r="K11" s="165"/>
      <c r="L11" s="165"/>
      <c r="M11" s="165"/>
      <c r="N11" s="165"/>
      <c r="O11" s="165"/>
      <c r="P11" s="165"/>
      <c r="Q11" s="165"/>
      <c r="R11" s="165"/>
      <c r="S11" s="165"/>
      <c r="T11" s="304"/>
      <c r="U11" s="110"/>
      <c r="V11" s="110"/>
      <c r="W11" s="110"/>
      <c r="X11" s="110"/>
      <c r="Y11" s="110"/>
      <c r="Z11" s="110"/>
    </row>
    <row r="12" ht="13.5" customHeight="1">
      <c r="A12" s="162"/>
      <c r="B12" s="163"/>
      <c r="C12" s="171"/>
      <c r="D12" s="174"/>
      <c r="E12" s="155"/>
      <c r="F12" s="165"/>
      <c r="G12" s="165"/>
      <c r="H12" s="165"/>
      <c r="I12" s="165"/>
      <c r="J12" s="165"/>
      <c r="K12" s="165"/>
      <c r="L12" s="165"/>
      <c r="M12" s="165"/>
      <c r="N12" s="165"/>
      <c r="O12" s="165"/>
      <c r="P12" s="165"/>
      <c r="Q12" s="165"/>
      <c r="R12" s="165"/>
      <c r="S12" s="165"/>
      <c r="T12" s="304"/>
      <c r="U12" s="110"/>
      <c r="V12" s="120"/>
      <c r="W12" s="110"/>
      <c r="X12" s="110"/>
      <c r="Y12" s="110"/>
      <c r="Z12" s="110"/>
    </row>
    <row r="13" ht="13.5" customHeight="1">
      <c r="A13" s="162"/>
      <c r="B13" s="163"/>
      <c r="C13" s="171"/>
      <c r="D13" s="174" t="s">
        <v>595</v>
      </c>
      <c r="E13" s="155"/>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597</v>
      </c>
      <c r="E14" s="170"/>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163"/>
      <c r="C15" s="171"/>
      <c r="D15" s="174"/>
      <c r="E15" s="173"/>
      <c r="F15" s="165"/>
      <c r="G15" s="165"/>
      <c r="H15" s="165"/>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599</v>
      </c>
      <c r="E16" s="173"/>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t="s">
        <v>600</v>
      </c>
      <c r="E17" s="173"/>
      <c r="F17" s="165"/>
      <c r="G17" s="165"/>
      <c r="H17" s="165"/>
      <c r="I17" s="165"/>
      <c r="J17" s="165" t="s">
        <v>353</v>
      </c>
      <c r="K17" s="165"/>
      <c r="L17" s="165"/>
      <c r="M17" s="165"/>
      <c r="N17" s="165"/>
      <c r="O17" s="165"/>
      <c r="P17" s="165"/>
      <c r="Q17" s="165"/>
      <c r="R17" s="165"/>
      <c r="S17" s="165"/>
      <c r="T17" s="304"/>
      <c r="U17" s="110"/>
      <c r="V17" s="110"/>
      <c r="W17" s="110"/>
      <c r="X17" s="110"/>
      <c r="Y17" s="110"/>
      <c r="Z17" s="110"/>
    </row>
    <row r="18" ht="13.5" customHeight="1">
      <c r="A18" s="162"/>
      <c r="B18" s="163"/>
      <c r="C18" s="171"/>
      <c r="D18" s="174"/>
      <c r="E18" s="173"/>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173"/>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74"/>
      <c r="E20" s="173"/>
      <c r="F20" s="165"/>
      <c r="G20" s="165"/>
      <c r="H20" s="165"/>
      <c r="I20" s="165"/>
      <c r="J20" s="165"/>
      <c r="K20" s="165"/>
      <c r="L20" s="165"/>
      <c r="M20" s="165"/>
      <c r="N20" s="165"/>
      <c r="O20" s="165"/>
      <c r="P20" s="165"/>
      <c r="Q20" s="165"/>
      <c r="R20" s="165"/>
      <c r="S20" s="165"/>
      <c r="T20" s="304"/>
      <c r="U20" s="175"/>
      <c r="V20" s="110"/>
      <c r="W20" s="110"/>
      <c r="X20" s="110"/>
      <c r="Y20" s="110"/>
      <c r="Z20" s="110"/>
    </row>
    <row r="21" ht="13.5" customHeight="1">
      <c r="A21" s="162"/>
      <c r="B21" s="163"/>
      <c r="C21" s="171"/>
      <c r="D21" s="174"/>
      <c r="E21" s="111"/>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173"/>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173"/>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173"/>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173"/>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173"/>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173"/>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173"/>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173"/>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173"/>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173"/>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163"/>
      <c r="C32" s="171"/>
      <c r="D32" s="174"/>
      <c r="E32" s="173"/>
      <c r="F32" s="165"/>
      <c r="G32" s="165"/>
      <c r="H32" s="165"/>
      <c r="I32" s="165"/>
      <c r="J32" s="165"/>
      <c r="K32" s="165"/>
      <c r="L32" s="165"/>
      <c r="M32" s="165"/>
      <c r="N32" s="165"/>
      <c r="O32" s="165"/>
      <c r="P32" s="165"/>
      <c r="Q32" s="165"/>
      <c r="R32" s="165"/>
      <c r="S32" s="165"/>
      <c r="T32" s="304"/>
      <c r="U32" s="110"/>
      <c r="V32" s="110"/>
      <c r="W32" s="110"/>
      <c r="X32" s="110"/>
      <c r="Y32" s="110"/>
      <c r="Z32" s="110"/>
    </row>
    <row r="33" ht="13.5" customHeight="1">
      <c r="A33" s="162"/>
      <c r="B33" s="294"/>
      <c r="C33" s="295"/>
      <c r="D33" s="296"/>
      <c r="E33" s="297"/>
      <c r="F33" s="298"/>
      <c r="G33" s="298"/>
      <c r="H33" s="298"/>
      <c r="I33" s="298"/>
      <c r="J33" s="298"/>
      <c r="K33" s="298"/>
      <c r="L33" s="298"/>
      <c r="M33" s="298"/>
      <c r="N33" s="298"/>
      <c r="O33" s="298"/>
      <c r="P33" s="298"/>
      <c r="Q33" s="298"/>
      <c r="R33" s="298"/>
      <c r="S33" s="298"/>
      <c r="T33" s="312"/>
      <c r="U33" s="110"/>
      <c r="V33" s="110"/>
      <c r="W33" s="110"/>
      <c r="X33" s="110"/>
      <c r="Y33" s="110"/>
      <c r="Z33" s="110"/>
    </row>
    <row r="34" ht="13.5" customHeight="1">
      <c r="A34" s="176" t="s">
        <v>359</v>
      </c>
      <c r="B34" s="177" t="s">
        <v>360</v>
      </c>
      <c r="C34" s="178"/>
      <c r="D34" s="179"/>
      <c r="E34" s="180"/>
      <c r="F34" s="156"/>
      <c r="G34" s="156"/>
      <c r="H34" s="156"/>
      <c r="I34" s="156"/>
      <c r="J34" s="156"/>
      <c r="K34" s="165"/>
      <c r="L34" s="165"/>
      <c r="M34" s="165"/>
      <c r="N34" s="156"/>
      <c r="O34" s="156"/>
      <c r="P34" s="156"/>
      <c r="Q34" s="156"/>
      <c r="R34" s="156"/>
      <c r="S34" s="156"/>
      <c r="T34" s="313"/>
      <c r="U34" s="110"/>
      <c r="V34" s="110"/>
      <c r="W34" s="110"/>
      <c r="X34" s="110"/>
      <c r="Y34" s="110"/>
      <c r="Z34" s="110"/>
    </row>
    <row r="35" ht="13.5" customHeight="1">
      <c r="A35" s="181"/>
      <c r="B35" s="254"/>
      <c r="C35" s="183"/>
      <c r="D35" s="184" t="s">
        <v>617</v>
      </c>
      <c r="E35" s="185"/>
      <c r="F35" s="165" t="s">
        <v>353</v>
      </c>
      <c r="G35" s="165"/>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4"/>
      <c r="C36" s="183"/>
      <c r="D36" s="184" t="s">
        <v>618</v>
      </c>
      <c r="E36" s="185"/>
      <c r="F36" s="165"/>
      <c r="G36" s="165" t="s">
        <v>353</v>
      </c>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5"/>
      <c r="C37" s="183"/>
      <c r="D37" s="184"/>
      <c r="E37" s="185"/>
      <c r="F37" s="165"/>
      <c r="G37" s="165"/>
      <c r="H37" s="165"/>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t="s">
        <v>619</v>
      </c>
      <c r="E38" s="185"/>
      <c r="F38" s="165"/>
      <c r="G38" s="165"/>
      <c r="H38" s="165" t="s">
        <v>353</v>
      </c>
      <c r="I38" s="165"/>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t="s">
        <v>620</v>
      </c>
      <c r="E39" s="185"/>
      <c r="F39" s="165"/>
      <c r="G39" s="165"/>
      <c r="H39" s="165"/>
      <c r="I39" s="165" t="s">
        <v>353</v>
      </c>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t="s">
        <v>621</v>
      </c>
      <c r="E40" s="188"/>
      <c r="F40" s="165"/>
      <c r="G40" s="165"/>
      <c r="H40" s="165"/>
      <c r="I40" s="165"/>
      <c r="J40" s="165" t="s">
        <v>353</v>
      </c>
      <c r="K40" s="165"/>
      <c r="L40" s="165"/>
      <c r="M40" s="165"/>
      <c r="N40" s="165"/>
      <c r="O40" s="165"/>
      <c r="P40" s="165"/>
      <c r="Q40" s="165"/>
      <c r="R40" s="165"/>
      <c r="S40" s="165"/>
      <c r="T40" s="304"/>
      <c r="U40" s="110"/>
      <c r="V40" s="110"/>
      <c r="W40" s="110"/>
      <c r="X40" s="110"/>
      <c r="Y40" s="110"/>
      <c r="Z40" s="110"/>
    </row>
    <row r="41" ht="13.5" customHeight="1">
      <c r="A41" s="181"/>
      <c r="B41" s="255"/>
      <c r="C41" s="183"/>
      <c r="D41" s="184"/>
      <c r="E41" s="188"/>
      <c r="F41" s="165"/>
      <c r="G41" s="165"/>
      <c r="H41" s="165"/>
      <c r="I41" s="165"/>
      <c r="J41" s="165"/>
      <c r="K41" s="165"/>
      <c r="L41" s="165"/>
      <c r="M41" s="165"/>
      <c r="N41" s="165"/>
      <c r="O41" s="165"/>
      <c r="P41" s="165"/>
      <c r="Q41" s="165"/>
      <c r="R41" s="165"/>
      <c r="S41" s="165"/>
      <c r="T41" s="304"/>
      <c r="U41" s="110"/>
      <c r="V41" s="110"/>
      <c r="W41" s="110"/>
      <c r="X41" s="110"/>
      <c r="Y41" s="110"/>
      <c r="Z41" s="110"/>
    </row>
    <row r="42" ht="13.5" customHeight="1">
      <c r="A42" s="181"/>
      <c r="B42" s="255"/>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255"/>
      <c r="C43" s="183"/>
      <c r="D43" s="18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181"/>
      <c r="B44" s="255"/>
      <c r="C44" s="183"/>
      <c r="D44" s="184"/>
      <c r="E44" s="188"/>
      <c r="F44" s="165"/>
      <c r="G44" s="165"/>
      <c r="H44" s="165"/>
      <c r="I44" s="165"/>
      <c r="J44" s="165"/>
      <c r="K44" s="165"/>
      <c r="L44" s="165"/>
      <c r="M44" s="165"/>
      <c r="N44" s="165"/>
      <c r="O44" s="165"/>
      <c r="P44" s="165"/>
      <c r="Q44" s="165"/>
      <c r="R44" s="165"/>
      <c r="S44" s="165"/>
      <c r="T44" s="304"/>
      <c r="U44" s="110"/>
      <c r="V44" s="110"/>
      <c r="W44" s="110"/>
      <c r="X44" s="110"/>
      <c r="Y44" s="110"/>
      <c r="Z44" s="110"/>
    </row>
    <row r="45" ht="13.5" customHeight="1">
      <c r="A45" s="181"/>
      <c r="B45" s="182"/>
      <c r="C45" s="183"/>
      <c r="D45" s="184"/>
      <c r="E45" s="195"/>
      <c r="F45" s="196"/>
      <c r="G45" s="196"/>
      <c r="H45" s="196"/>
      <c r="I45" s="196"/>
      <c r="J45" s="196"/>
      <c r="K45" s="165"/>
      <c r="L45" s="165"/>
      <c r="M45" s="165"/>
      <c r="N45" s="196"/>
      <c r="O45" s="196"/>
      <c r="P45" s="196"/>
      <c r="Q45" s="196"/>
      <c r="R45" s="196"/>
      <c r="S45" s="196"/>
      <c r="T45" s="319"/>
      <c r="U45" s="110"/>
      <c r="V45" s="110"/>
      <c r="W45" s="110"/>
      <c r="X45" s="110"/>
      <c r="Y45" s="110"/>
      <c r="Z45" s="110"/>
    </row>
    <row r="46" ht="13.5" customHeight="1">
      <c r="A46" s="228"/>
      <c r="B46" s="256"/>
      <c r="C46" s="257"/>
      <c r="D46" s="258"/>
      <c r="E46" s="232"/>
      <c r="F46" s="298"/>
      <c r="G46" s="298"/>
      <c r="H46" s="298"/>
      <c r="I46" s="298"/>
      <c r="J46" s="298"/>
      <c r="K46" s="298"/>
      <c r="L46" s="298"/>
      <c r="M46" s="298"/>
      <c r="N46" s="298"/>
      <c r="O46" s="298"/>
      <c r="P46" s="298"/>
      <c r="Q46" s="298"/>
      <c r="R46" s="298"/>
      <c r="S46" s="298"/>
      <c r="T46" s="322"/>
      <c r="U46" s="110"/>
      <c r="V46" s="110"/>
      <c r="W46" s="110"/>
      <c r="X46" s="110"/>
      <c r="Y46" s="110"/>
      <c r="Z46" s="110"/>
    </row>
    <row r="47" ht="18.0" customHeight="1">
      <c r="A47" s="176" t="s">
        <v>367</v>
      </c>
      <c r="B47" s="197" t="s">
        <v>368</v>
      </c>
      <c r="C47" s="198"/>
      <c r="D47" s="199"/>
      <c r="E47" s="200"/>
      <c r="F47" s="201" t="s">
        <v>221</v>
      </c>
      <c r="G47" s="201" t="s">
        <v>221</v>
      </c>
      <c r="H47" s="201" t="s">
        <v>38</v>
      </c>
      <c r="I47" s="201" t="s">
        <v>221</v>
      </c>
      <c r="J47" s="201" t="s">
        <v>38</v>
      </c>
      <c r="K47" s="206"/>
      <c r="L47" s="165"/>
      <c r="M47" s="165"/>
      <c r="N47" s="201"/>
      <c r="O47" s="201"/>
      <c r="P47" s="201"/>
      <c r="Q47" s="201"/>
      <c r="R47" s="201"/>
      <c r="S47" s="201"/>
      <c r="T47" s="326"/>
      <c r="U47" s="110"/>
      <c r="V47" s="110"/>
      <c r="W47" s="110"/>
      <c r="X47" s="110"/>
      <c r="Y47" s="110"/>
      <c r="Z47" s="110"/>
    </row>
    <row r="48" ht="17.25" customHeight="1">
      <c r="A48" s="260"/>
      <c r="B48" s="204" t="s">
        <v>369</v>
      </c>
      <c r="C48" s="12"/>
      <c r="D48" s="13"/>
      <c r="E48" s="205"/>
      <c r="F48" s="206"/>
      <c r="G48" s="206"/>
      <c r="H48" s="206"/>
      <c r="I48" s="206"/>
      <c r="J48" s="206"/>
      <c r="K48" s="206"/>
      <c r="L48" s="165"/>
      <c r="M48" s="165"/>
      <c r="N48" s="206"/>
      <c r="O48" s="206"/>
      <c r="P48" s="206"/>
      <c r="Q48" s="206"/>
      <c r="R48" s="206"/>
      <c r="S48" s="206"/>
      <c r="T48" s="327"/>
      <c r="U48" s="110"/>
      <c r="V48" s="110"/>
      <c r="W48" s="110"/>
      <c r="X48" s="110"/>
      <c r="Y48" s="110"/>
      <c r="Z48" s="110"/>
    </row>
    <row r="49" ht="19.5" customHeight="1">
      <c r="A49" s="260"/>
      <c r="B49" s="208" t="s">
        <v>371</v>
      </c>
      <c r="C49" s="12"/>
      <c r="D49" s="13"/>
      <c r="E49" s="209"/>
      <c r="F49" s="210"/>
      <c r="G49" s="210"/>
      <c r="H49" s="210"/>
      <c r="I49" s="210"/>
      <c r="J49" s="210"/>
      <c r="K49" s="210"/>
      <c r="L49" s="165"/>
      <c r="M49" s="165"/>
      <c r="N49" s="210"/>
      <c r="O49" s="210"/>
      <c r="P49" s="210"/>
      <c r="Q49" s="210"/>
      <c r="R49" s="210"/>
      <c r="S49" s="210"/>
      <c r="T49" s="328"/>
      <c r="U49" s="110"/>
      <c r="V49" s="110"/>
      <c r="W49" s="110"/>
      <c r="X49" s="110"/>
      <c r="Y49" s="110"/>
      <c r="Z49" s="110"/>
    </row>
    <row r="50" ht="18.0" customHeight="1">
      <c r="A50" s="261"/>
      <c r="B50" s="215" t="s">
        <v>372</v>
      </c>
      <c r="C50" s="216"/>
      <c r="D50" s="217"/>
      <c r="E50" s="218"/>
      <c r="F50" s="219"/>
      <c r="G50" s="219"/>
      <c r="H50" s="219"/>
      <c r="I50" s="219"/>
      <c r="J50" s="219"/>
      <c r="K50" s="219"/>
      <c r="L50" s="219"/>
      <c r="M50" s="219"/>
      <c r="N50" s="219"/>
      <c r="O50" s="219"/>
      <c r="P50" s="219"/>
      <c r="Q50" s="219"/>
      <c r="R50" s="219"/>
      <c r="S50" s="219"/>
      <c r="T50" s="329"/>
      <c r="U50" s="110"/>
      <c r="V50" s="110"/>
      <c r="W50" s="110"/>
      <c r="X50" s="110"/>
      <c r="Y50" s="110"/>
      <c r="Z50" s="110"/>
    </row>
    <row r="51" ht="12.0" customHeight="1">
      <c r="A51" s="143"/>
      <c r="B51" s="110"/>
      <c r="C51" s="111"/>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B47:D47"/>
    <mergeCell ref="B48:D48"/>
    <mergeCell ref="B49:D49"/>
    <mergeCell ref="B50:D50"/>
    <mergeCell ref="A6:B6"/>
    <mergeCell ref="C6:E6"/>
    <mergeCell ref="F6:K6"/>
    <mergeCell ref="L6:N6"/>
    <mergeCell ref="A7:B7"/>
    <mergeCell ref="C7:E7"/>
    <mergeCell ref="F7:K7"/>
  </mergeCells>
  <dataValidations>
    <dataValidation type="list" allowBlank="1" showInputMessage="1" showErrorMessage="1" prompt=" - " sqref="F48:T48">
      <formula1>"P,F"</formula1>
    </dataValidation>
    <dataValidation type="list" allowBlank="1" showInputMessage="1" showErrorMessage="1" prompt=" - " sqref="F10:T46">
      <formula1>"O"</formula1>
    </dataValidation>
    <dataValidation type="list" allowBlank="1" showInputMessage="1" showErrorMessage="1" prompt=" - " sqref="F47:T47">
      <formula1>"N,A,B"</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3" width="5.38"/>
    <col customWidth="1" min="14"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Functions!E35</f>
        <v>F-25</v>
      </c>
      <c r="D2" s="113"/>
      <c r="E2" s="115"/>
      <c r="F2" s="116" t="s">
        <v>71</v>
      </c>
      <c r="G2" s="117"/>
      <c r="H2" s="117"/>
      <c r="I2" s="117"/>
      <c r="J2" s="117"/>
      <c r="K2" s="117"/>
      <c r="L2" s="118" t="str">
        <f>Functions!D35</f>
        <v>Expiry sweep and notification outbox</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121" t="s">
        <v>342</v>
      </c>
      <c r="B5" s="13"/>
      <c r="C5" s="132" t="s">
        <v>259</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COUNTIF(F46:M46,"P")</f>
        <v>0</v>
      </c>
      <c r="B7" s="138"/>
      <c r="C7" s="139">
        <f>COUNTIF(F46:M46,"F")</f>
        <v>0</v>
      </c>
      <c r="D7" s="140"/>
      <c r="E7" s="138"/>
      <c r="F7" s="139">
        <f>SUM(O7,-A7,-C7)</f>
        <v>7</v>
      </c>
      <c r="G7" s="140"/>
      <c r="H7" s="140"/>
      <c r="I7" s="140"/>
      <c r="J7" s="140"/>
      <c r="K7" s="138"/>
      <c r="L7" s="141">
        <f>COUNTIF(F45:M45,"N")</f>
        <v>3</v>
      </c>
      <c r="M7" s="141">
        <f>COUNTIF(F45:M45,"A")</f>
        <v>3</v>
      </c>
      <c r="N7" s="141">
        <f>COUNTIF(F45:M45,"B")</f>
        <v>1</v>
      </c>
      <c r="O7" s="139">
        <f>COUNTA(F9:M9)</f>
        <v>7</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247" t="s">
        <v>344</v>
      </c>
      <c r="G9" s="247" t="s">
        <v>345</v>
      </c>
      <c r="H9" s="247" t="s">
        <v>346</v>
      </c>
      <c r="I9" s="247" t="s">
        <v>347</v>
      </c>
      <c r="J9" s="247" t="s">
        <v>348</v>
      </c>
      <c r="K9" s="247" t="s">
        <v>349</v>
      </c>
      <c r="L9" s="247" t="s">
        <v>458</v>
      </c>
      <c r="M9" s="247"/>
      <c r="N9" s="247"/>
      <c r="O9" s="247"/>
      <c r="P9" s="247"/>
      <c r="Q9" s="247"/>
      <c r="R9" s="247"/>
      <c r="S9" s="247"/>
      <c r="T9" s="302"/>
      <c r="U9" s="150"/>
      <c r="V9" s="120"/>
      <c r="W9" s="110"/>
      <c r="X9" s="110"/>
      <c r="Y9" s="110"/>
      <c r="Z9" s="110"/>
    </row>
    <row r="10" ht="13.5" customHeight="1">
      <c r="A10" s="151" t="s">
        <v>350</v>
      </c>
      <c r="B10" s="163" t="s">
        <v>351</v>
      </c>
      <c r="C10" s="171"/>
      <c r="D10" s="174"/>
      <c r="E10" s="248"/>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62"/>
      <c r="B11" s="163"/>
      <c r="C11" s="171"/>
      <c r="D11" s="174" t="s">
        <v>586</v>
      </c>
      <c r="E11" s="155"/>
      <c r="F11" s="165" t="s">
        <v>353</v>
      </c>
      <c r="G11" s="165"/>
      <c r="H11" s="165"/>
      <c r="I11" s="165"/>
      <c r="J11" s="165"/>
      <c r="K11" s="165"/>
      <c r="L11" s="165"/>
      <c r="M11" s="165"/>
      <c r="N11" s="165"/>
      <c r="O11" s="165"/>
      <c r="P11" s="165"/>
      <c r="Q11" s="165"/>
      <c r="R11" s="165"/>
      <c r="S11" s="165"/>
      <c r="T11" s="304"/>
      <c r="U11" s="110"/>
      <c r="V11" s="120"/>
      <c r="W11" s="110"/>
      <c r="X11" s="110"/>
      <c r="Y11" s="110"/>
      <c r="Z11" s="110"/>
    </row>
    <row r="12" ht="13.5" customHeight="1">
      <c r="A12" s="162"/>
      <c r="B12" s="163"/>
      <c r="C12" s="171"/>
      <c r="D12" s="174"/>
      <c r="E12" s="155"/>
      <c r="F12" s="165"/>
      <c r="G12" s="165"/>
      <c r="H12" s="165"/>
      <c r="I12" s="165"/>
      <c r="J12" s="165"/>
      <c r="K12" s="165"/>
      <c r="L12" s="165"/>
      <c r="M12" s="165"/>
      <c r="N12" s="165"/>
      <c r="O12" s="165"/>
      <c r="P12" s="165"/>
      <c r="Q12" s="165"/>
      <c r="R12" s="165"/>
      <c r="S12" s="165"/>
      <c r="T12" s="304"/>
      <c r="U12" s="110"/>
      <c r="V12" s="110"/>
      <c r="W12" s="110"/>
      <c r="X12" s="110"/>
      <c r="Y12" s="110"/>
      <c r="Z12" s="110"/>
    </row>
    <row r="13" ht="13.5" customHeight="1">
      <c r="A13" s="162"/>
      <c r="B13" s="163"/>
      <c r="C13" s="171"/>
      <c r="D13" s="174" t="s">
        <v>588</v>
      </c>
      <c r="E13" s="170"/>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591</v>
      </c>
      <c r="E14" s="173"/>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163"/>
      <c r="C15" s="171"/>
      <c r="D15" s="174"/>
      <c r="E15" s="173"/>
      <c r="F15" s="165"/>
      <c r="G15" s="165"/>
      <c r="H15" s="165"/>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593</v>
      </c>
      <c r="E16" s="173"/>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t="s">
        <v>594</v>
      </c>
      <c r="E17" s="173"/>
      <c r="F17" s="165"/>
      <c r="G17" s="165"/>
      <c r="H17" s="165"/>
      <c r="I17" s="165"/>
      <c r="J17" s="165" t="s">
        <v>353</v>
      </c>
      <c r="K17" s="165"/>
      <c r="L17" s="165"/>
      <c r="M17" s="165"/>
      <c r="N17" s="165"/>
      <c r="O17" s="165"/>
      <c r="P17" s="165"/>
      <c r="Q17" s="165"/>
      <c r="R17" s="165"/>
      <c r="S17" s="165"/>
      <c r="T17" s="304"/>
      <c r="U17" s="175"/>
      <c r="V17" s="110"/>
      <c r="W17" s="110"/>
      <c r="X17" s="110"/>
      <c r="Y17" s="110"/>
      <c r="Z17" s="110"/>
    </row>
    <row r="18" ht="13.5" customHeight="1">
      <c r="A18" s="162"/>
      <c r="B18" s="163"/>
      <c r="C18" s="171"/>
      <c r="D18" s="174"/>
      <c r="E18" s="173"/>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t="s">
        <v>596</v>
      </c>
      <c r="E19" s="173"/>
      <c r="F19" s="165"/>
      <c r="G19" s="165"/>
      <c r="H19" s="165"/>
      <c r="I19" s="165"/>
      <c r="J19" s="165"/>
      <c r="K19" s="165" t="s">
        <v>353</v>
      </c>
      <c r="L19" s="165"/>
      <c r="M19" s="165"/>
      <c r="N19" s="165"/>
      <c r="O19" s="165"/>
      <c r="P19" s="165"/>
      <c r="Q19" s="165"/>
      <c r="R19" s="165"/>
      <c r="S19" s="165"/>
      <c r="T19" s="304"/>
      <c r="U19" s="175"/>
      <c r="V19" s="110"/>
      <c r="W19" s="110"/>
      <c r="X19" s="110"/>
      <c r="Y19" s="110"/>
      <c r="Z19" s="110"/>
    </row>
    <row r="20" ht="13.5" customHeight="1">
      <c r="A20" s="162"/>
      <c r="B20" s="163"/>
      <c r="C20" s="171"/>
      <c r="D20" s="111" t="s">
        <v>598</v>
      </c>
      <c r="E20" s="111"/>
      <c r="F20" s="165"/>
      <c r="G20" s="165"/>
      <c r="H20" s="165"/>
      <c r="I20" s="165"/>
      <c r="J20" s="165"/>
      <c r="K20" s="165"/>
      <c r="L20" s="165" t="s">
        <v>353</v>
      </c>
      <c r="M20" s="165"/>
      <c r="N20" s="165"/>
      <c r="O20" s="165"/>
      <c r="P20" s="165"/>
      <c r="Q20" s="165"/>
      <c r="R20" s="165"/>
      <c r="S20" s="165"/>
      <c r="T20" s="304"/>
      <c r="U20" s="110"/>
      <c r="V20" s="110"/>
      <c r="W20" s="110"/>
      <c r="X20" s="110"/>
      <c r="Y20" s="110"/>
      <c r="Z20" s="110"/>
    </row>
    <row r="21" ht="13.5" customHeight="1">
      <c r="A21" s="162"/>
      <c r="B21" s="163"/>
      <c r="C21" s="171"/>
      <c r="D21" s="174"/>
      <c r="E21" s="173"/>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173"/>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173"/>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173"/>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173"/>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173"/>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173"/>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173"/>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173"/>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173"/>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173"/>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294"/>
      <c r="C32" s="295"/>
      <c r="D32" s="296"/>
      <c r="E32" s="297"/>
      <c r="F32" s="298"/>
      <c r="G32" s="298"/>
      <c r="H32" s="298"/>
      <c r="I32" s="298"/>
      <c r="J32" s="298"/>
      <c r="K32" s="298"/>
      <c r="L32" s="298"/>
      <c r="M32" s="298"/>
      <c r="N32" s="298"/>
      <c r="O32" s="298"/>
      <c r="P32" s="298"/>
      <c r="Q32" s="298"/>
      <c r="R32" s="298"/>
      <c r="S32" s="298"/>
      <c r="T32" s="312"/>
      <c r="U32" s="110"/>
      <c r="V32" s="110"/>
      <c r="W32" s="110"/>
      <c r="X32" s="110"/>
      <c r="Y32" s="110"/>
      <c r="Z32" s="110"/>
    </row>
    <row r="33" ht="13.5" customHeight="1">
      <c r="A33" s="176" t="s">
        <v>359</v>
      </c>
      <c r="B33" s="177" t="s">
        <v>360</v>
      </c>
      <c r="C33" s="178"/>
      <c r="D33" s="179"/>
      <c r="E33" s="180"/>
      <c r="F33" s="156"/>
      <c r="G33" s="156"/>
      <c r="H33" s="156"/>
      <c r="I33" s="156"/>
      <c r="J33" s="156"/>
      <c r="K33" s="156"/>
      <c r="L33" s="156"/>
      <c r="M33" s="156"/>
      <c r="N33" s="156"/>
      <c r="O33" s="156"/>
      <c r="P33" s="156"/>
      <c r="Q33" s="156"/>
      <c r="R33" s="156"/>
      <c r="S33" s="156"/>
      <c r="T33" s="313"/>
      <c r="U33" s="110"/>
      <c r="V33" s="110"/>
      <c r="W33" s="110"/>
      <c r="X33" s="110"/>
      <c r="Y33" s="110"/>
      <c r="Z33" s="110"/>
    </row>
    <row r="34" ht="13.5" customHeight="1">
      <c r="A34" s="181"/>
      <c r="B34" s="255"/>
      <c r="C34" s="183"/>
      <c r="D34" s="184" t="s">
        <v>604</v>
      </c>
      <c r="E34" s="185"/>
      <c r="F34" s="165" t="s">
        <v>353</v>
      </c>
      <c r="G34" s="165"/>
      <c r="H34" s="165"/>
      <c r="I34" s="165"/>
      <c r="J34" s="165"/>
      <c r="K34" s="165"/>
      <c r="L34" s="165"/>
      <c r="M34" s="165"/>
      <c r="N34" s="165"/>
      <c r="O34" s="165"/>
      <c r="P34" s="165"/>
      <c r="Q34" s="165"/>
      <c r="R34" s="165"/>
      <c r="S34" s="165"/>
      <c r="T34" s="304"/>
      <c r="U34" s="110"/>
      <c r="V34" s="110"/>
      <c r="W34" s="110"/>
      <c r="X34" s="110"/>
      <c r="Y34" s="110"/>
      <c r="Z34" s="110"/>
    </row>
    <row r="35" ht="13.5" customHeight="1">
      <c r="A35" s="181"/>
      <c r="B35" s="255"/>
      <c r="C35" s="183"/>
      <c r="D35" s="184" t="s">
        <v>606</v>
      </c>
      <c r="E35" s="185"/>
      <c r="F35" s="165"/>
      <c r="G35" s="165" t="s">
        <v>353</v>
      </c>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5"/>
      <c r="C36" s="183"/>
      <c r="D36" s="184"/>
      <c r="E36" s="185"/>
      <c r="F36" s="165"/>
      <c r="G36" s="165"/>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5"/>
      <c r="C37" s="183"/>
      <c r="D37" s="184" t="s">
        <v>609</v>
      </c>
      <c r="E37" s="185"/>
      <c r="F37" s="165"/>
      <c r="G37" s="165"/>
      <c r="H37" s="165" t="s">
        <v>353</v>
      </c>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c r="E38" s="185"/>
      <c r="F38" s="165"/>
      <c r="G38" s="165"/>
      <c r="H38" s="165"/>
      <c r="I38" s="165"/>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t="s">
        <v>612</v>
      </c>
      <c r="E39" s="188"/>
      <c r="F39" s="165"/>
      <c r="G39" s="165"/>
      <c r="H39" s="165"/>
      <c r="I39" s="165" t="s">
        <v>353</v>
      </c>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t="s">
        <v>614</v>
      </c>
      <c r="E40" s="188"/>
      <c r="F40" s="165"/>
      <c r="G40" s="165"/>
      <c r="H40" s="165"/>
      <c r="I40" s="165"/>
      <c r="J40" s="165" t="s">
        <v>353</v>
      </c>
      <c r="K40" s="165"/>
      <c r="L40" s="165"/>
      <c r="M40" s="165"/>
      <c r="N40" s="165"/>
      <c r="O40" s="165"/>
      <c r="P40" s="165"/>
      <c r="Q40" s="165"/>
      <c r="R40" s="165"/>
      <c r="S40" s="165"/>
      <c r="T40" s="304"/>
      <c r="U40" s="110"/>
      <c r="V40" s="110"/>
      <c r="W40" s="110"/>
      <c r="X40" s="110"/>
      <c r="Y40" s="110"/>
      <c r="Z40" s="110"/>
    </row>
    <row r="41" ht="13.5" customHeight="1">
      <c r="A41" s="181"/>
      <c r="B41" s="182"/>
      <c r="C41" s="183"/>
      <c r="D41" s="184" t="s">
        <v>615</v>
      </c>
      <c r="E41" s="188"/>
      <c r="F41" s="165"/>
      <c r="G41" s="165"/>
      <c r="H41" s="165"/>
      <c r="I41" s="165"/>
      <c r="J41" s="165"/>
      <c r="K41" s="165" t="s">
        <v>353</v>
      </c>
      <c r="L41" s="165"/>
      <c r="M41" s="165"/>
      <c r="N41" s="165"/>
      <c r="O41" s="165"/>
      <c r="P41" s="165"/>
      <c r="Q41" s="165"/>
      <c r="R41" s="165"/>
      <c r="S41" s="165"/>
      <c r="T41" s="304"/>
      <c r="U41" s="110"/>
      <c r="V41" s="110"/>
      <c r="W41" s="110"/>
      <c r="X41" s="110"/>
      <c r="Y41" s="110"/>
      <c r="Z41" s="110"/>
    </row>
    <row r="42" ht="13.5" customHeight="1">
      <c r="A42" s="181"/>
      <c r="B42" s="182"/>
      <c r="C42" s="183"/>
      <c r="D42" s="184" t="s">
        <v>616</v>
      </c>
      <c r="E42" s="188"/>
      <c r="F42" s="165"/>
      <c r="G42" s="165"/>
      <c r="H42" s="165"/>
      <c r="I42" s="165"/>
      <c r="J42" s="165"/>
      <c r="K42" s="165"/>
      <c r="L42" s="165" t="s">
        <v>353</v>
      </c>
      <c r="M42" s="165"/>
      <c r="N42" s="165"/>
      <c r="O42" s="165"/>
      <c r="P42" s="165"/>
      <c r="Q42" s="165"/>
      <c r="R42" s="165"/>
      <c r="S42" s="165"/>
      <c r="T42" s="304"/>
      <c r="U42" s="110"/>
      <c r="V42" s="110"/>
      <c r="W42" s="110"/>
      <c r="X42" s="110"/>
      <c r="Y42" s="110"/>
      <c r="Z42" s="110"/>
    </row>
    <row r="43" ht="13.5" customHeight="1">
      <c r="A43" s="181"/>
      <c r="B43" s="182"/>
      <c r="C43" s="183"/>
      <c r="D43" s="18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181"/>
      <c r="B44" s="332"/>
      <c r="C44" s="333"/>
      <c r="D44" s="334"/>
      <c r="E44" s="195"/>
      <c r="F44" s="196"/>
      <c r="G44" s="196"/>
      <c r="H44" s="196"/>
      <c r="I44" s="196"/>
      <c r="J44" s="196"/>
      <c r="K44" s="196"/>
      <c r="L44" s="196"/>
      <c r="M44" s="196"/>
      <c r="N44" s="196"/>
      <c r="O44" s="196"/>
      <c r="P44" s="196"/>
      <c r="Q44" s="196"/>
      <c r="R44" s="196"/>
      <c r="S44" s="196"/>
      <c r="T44" s="319"/>
      <c r="U44" s="110"/>
      <c r="V44" s="110"/>
      <c r="W44" s="110"/>
      <c r="X44" s="110"/>
      <c r="Y44" s="110"/>
      <c r="Z44" s="110"/>
    </row>
    <row r="45" ht="18.0" customHeight="1">
      <c r="A45" s="176" t="s">
        <v>367</v>
      </c>
      <c r="B45" s="197" t="s">
        <v>368</v>
      </c>
      <c r="C45" s="198"/>
      <c r="D45" s="199"/>
      <c r="E45" s="200"/>
      <c r="F45" s="201" t="s">
        <v>220</v>
      </c>
      <c r="G45" s="201" t="s">
        <v>220</v>
      </c>
      <c r="H45" s="201" t="s">
        <v>38</v>
      </c>
      <c r="I45" s="201" t="s">
        <v>221</v>
      </c>
      <c r="J45" s="201" t="s">
        <v>220</v>
      </c>
      <c r="K45" s="201" t="s">
        <v>38</v>
      </c>
      <c r="L45" s="201" t="s">
        <v>38</v>
      </c>
      <c r="M45" s="201"/>
      <c r="N45" s="201"/>
      <c r="O45" s="201"/>
      <c r="P45" s="201"/>
      <c r="Q45" s="201"/>
      <c r="R45" s="201"/>
      <c r="S45" s="201"/>
      <c r="T45" s="326"/>
      <c r="U45" s="110"/>
      <c r="V45" s="110"/>
      <c r="W45" s="110"/>
      <c r="X45" s="110"/>
      <c r="Y45" s="110"/>
      <c r="Z45" s="110"/>
    </row>
    <row r="46" ht="17.25" customHeight="1">
      <c r="A46" s="260"/>
      <c r="B46" s="204" t="s">
        <v>369</v>
      </c>
      <c r="C46" s="12"/>
      <c r="D46" s="13"/>
      <c r="E46" s="205"/>
      <c r="F46" s="206"/>
      <c r="G46" s="206"/>
      <c r="H46" s="206"/>
      <c r="I46" s="206"/>
      <c r="J46" s="206"/>
      <c r="K46" s="206"/>
      <c r="L46" s="206"/>
      <c r="M46" s="206"/>
      <c r="N46" s="206"/>
      <c r="O46" s="206"/>
      <c r="P46" s="206"/>
      <c r="Q46" s="206"/>
      <c r="R46" s="206"/>
      <c r="S46" s="206"/>
      <c r="T46" s="327"/>
      <c r="U46" s="110"/>
      <c r="V46" s="110"/>
      <c r="W46" s="110"/>
      <c r="X46" s="110"/>
      <c r="Y46" s="110"/>
      <c r="Z46" s="110"/>
    </row>
    <row r="47" ht="19.5" customHeight="1">
      <c r="A47" s="260"/>
      <c r="B47" s="208" t="s">
        <v>371</v>
      </c>
      <c r="C47" s="12"/>
      <c r="D47" s="13"/>
      <c r="E47" s="209"/>
      <c r="F47" s="210"/>
      <c r="G47" s="210"/>
      <c r="H47" s="210"/>
      <c r="I47" s="210"/>
      <c r="J47" s="210"/>
      <c r="K47" s="210"/>
      <c r="L47" s="210"/>
      <c r="M47" s="210"/>
      <c r="N47" s="210"/>
      <c r="O47" s="210"/>
      <c r="P47" s="210"/>
      <c r="Q47" s="210"/>
      <c r="R47" s="210"/>
      <c r="S47" s="210"/>
      <c r="T47" s="328"/>
      <c r="U47" s="110"/>
      <c r="V47" s="110"/>
      <c r="W47" s="110"/>
      <c r="X47" s="110"/>
      <c r="Y47" s="110"/>
      <c r="Z47" s="110"/>
    </row>
    <row r="48" ht="18.0" customHeight="1">
      <c r="A48" s="261"/>
      <c r="B48" s="215" t="s">
        <v>372</v>
      </c>
      <c r="C48" s="216"/>
      <c r="D48" s="217"/>
      <c r="E48" s="218"/>
      <c r="F48" s="219"/>
      <c r="G48" s="219"/>
      <c r="H48" s="219"/>
      <c r="I48" s="219"/>
      <c r="J48" s="219"/>
      <c r="K48" s="219"/>
      <c r="L48" s="219"/>
      <c r="M48" s="219"/>
      <c r="N48" s="219"/>
      <c r="O48" s="219"/>
      <c r="P48" s="219"/>
      <c r="Q48" s="219"/>
      <c r="R48" s="219"/>
      <c r="S48" s="219"/>
      <c r="T48" s="329"/>
      <c r="U48" s="110"/>
      <c r="V48" s="110"/>
      <c r="W48" s="110"/>
      <c r="X48" s="110"/>
      <c r="Y48" s="110"/>
      <c r="Z48" s="110"/>
    </row>
    <row r="49" ht="12.0" customHeight="1">
      <c r="A49" s="143"/>
      <c r="B49" s="110"/>
      <c r="C49" s="111"/>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337">
        <v>46103.0</v>
      </c>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ht="13.5" customHeight="1">
      <c r="A251" s="110"/>
      <c r="B251" s="143"/>
      <c r="C251" s="110"/>
      <c r="D251" s="111"/>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ht="13.5" customHeight="1">
      <c r="A252" s="110"/>
      <c r="B252" s="143"/>
      <c r="C252" s="110"/>
      <c r="D252" s="111"/>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ht="13.5" customHeight="1">
      <c r="A253" s="110"/>
      <c r="B253" s="143"/>
      <c r="C253" s="110"/>
      <c r="D253" s="111"/>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B45:D45"/>
    <mergeCell ref="B46:D46"/>
    <mergeCell ref="B47:D47"/>
    <mergeCell ref="B48:D48"/>
    <mergeCell ref="A6:B6"/>
    <mergeCell ref="C6:E6"/>
    <mergeCell ref="F6:K6"/>
    <mergeCell ref="L6:N6"/>
    <mergeCell ref="A7:B7"/>
    <mergeCell ref="C7:E7"/>
    <mergeCell ref="F7:K7"/>
  </mergeCells>
  <dataValidations>
    <dataValidation type="list" allowBlank="1" showInputMessage="1" showErrorMessage="1" prompt=" - " sqref="F46:T46">
      <formula1>"P,F"</formula1>
    </dataValidation>
    <dataValidation type="list" allowBlank="1" showInputMessage="1" showErrorMessage="1" prompt=" - " sqref="F10:T44">
      <formula1>"O"</formula1>
    </dataValidation>
    <dataValidation type="list" allowBlank="1" showInputMessage="1" showErrorMessage="1" prompt=" - " sqref="F45:T45">
      <formula1>"N,A,B"</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9" width="5.38"/>
    <col customWidth="1" min="10" max="10" width="3.38"/>
    <col customWidth="1" min="11" max="11" width="3.13"/>
    <col customWidth="1" min="12" max="12" width="3.0"/>
    <col customWidth="1" min="13" max="13" width="2.75"/>
    <col customWidth="1" min="14"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Functions!E36</f>
        <v>F-26</v>
      </c>
      <c r="D2" s="113"/>
      <c r="E2" s="115"/>
      <c r="F2" s="116" t="s">
        <v>71</v>
      </c>
      <c r="G2" s="117"/>
      <c r="H2" s="117"/>
      <c r="I2" s="117"/>
      <c r="J2" s="117"/>
      <c r="K2" s="117"/>
      <c r="L2" s="118" t="str">
        <f>Functions!D36</f>
        <v>Read model for approved allocated line prices</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330" t="s">
        <v>342</v>
      </c>
      <c r="B5" s="13"/>
      <c r="C5" s="331" t="s">
        <v>265</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COUNTIF(F47:I47,"P")</f>
        <v>0</v>
      </c>
      <c r="B7" s="138"/>
      <c r="C7" s="139">
        <f>COUNTIF(F47:I47,"F")</f>
        <v>0</v>
      </c>
      <c r="D7" s="140"/>
      <c r="E7" s="138"/>
      <c r="F7" s="139">
        <f>SUM(O7,-A7,-C7)</f>
        <v>4</v>
      </c>
      <c r="G7" s="140"/>
      <c r="H7" s="140"/>
      <c r="I7" s="140"/>
      <c r="J7" s="140"/>
      <c r="K7" s="138"/>
      <c r="L7" s="141">
        <f>COUNTIF(F46:I46,"N")</f>
        <v>2</v>
      </c>
      <c r="M7" s="141">
        <f>COUNTIF(F46:I46,"A")</f>
        <v>1</v>
      </c>
      <c r="N7" s="141">
        <f>COUNTIF(F46:I46,"B")</f>
        <v>1</v>
      </c>
      <c r="O7" s="139">
        <f>COUNTA(F9:I9)</f>
        <v>4</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247" t="s">
        <v>344</v>
      </c>
      <c r="G9" s="247" t="s">
        <v>345</v>
      </c>
      <c r="H9" s="247" t="s">
        <v>346</v>
      </c>
      <c r="I9" s="247" t="s">
        <v>347</v>
      </c>
      <c r="J9" s="247"/>
      <c r="K9" s="247"/>
      <c r="L9" s="247"/>
      <c r="M9" s="247"/>
      <c r="N9" s="247"/>
      <c r="O9" s="247"/>
      <c r="P9" s="247"/>
      <c r="Q9" s="247"/>
      <c r="R9" s="247"/>
      <c r="S9" s="247"/>
      <c r="T9" s="302"/>
      <c r="U9" s="150"/>
      <c r="V9" s="120"/>
      <c r="W9" s="110"/>
      <c r="X9" s="110"/>
      <c r="Y9" s="110"/>
      <c r="Z9" s="110"/>
    </row>
    <row r="10" ht="13.5" customHeight="1">
      <c r="A10" s="151" t="s">
        <v>350</v>
      </c>
      <c r="B10" s="163" t="s">
        <v>351</v>
      </c>
      <c r="C10" s="171"/>
      <c r="D10" s="174"/>
      <c r="E10" s="248"/>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57"/>
      <c r="B11" s="163"/>
      <c r="C11" s="171"/>
      <c r="D11" s="174" t="s">
        <v>585</v>
      </c>
      <c r="E11" s="335"/>
      <c r="F11" s="165" t="s">
        <v>353</v>
      </c>
      <c r="G11" s="165"/>
      <c r="H11" s="165"/>
      <c r="I11" s="165"/>
      <c r="J11" s="165"/>
      <c r="K11" s="165"/>
      <c r="L11" s="165"/>
      <c r="M11" s="165"/>
      <c r="N11" s="165"/>
      <c r="O11" s="165"/>
      <c r="P11" s="165"/>
      <c r="Q11" s="165"/>
      <c r="R11" s="165"/>
      <c r="S11" s="165"/>
      <c r="T11" s="304"/>
      <c r="U11" s="110"/>
      <c r="V11" s="110"/>
      <c r="W11" s="110"/>
      <c r="X11" s="110"/>
      <c r="Y11" s="110"/>
      <c r="Z11" s="110"/>
    </row>
    <row r="12" ht="13.5" customHeight="1">
      <c r="A12" s="162"/>
      <c r="B12" s="163"/>
      <c r="C12" s="171"/>
      <c r="D12" s="174"/>
      <c r="E12" s="155"/>
      <c r="F12" s="165"/>
      <c r="G12" s="165"/>
      <c r="H12" s="165"/>
      <c r="I12" s="165"/>
      <c r="J12" s="165"/>
      <c r="K12" s="165"/>
      <c r="L12" s="165"/>
      <c r="M12" s="165"/>
      <c r="N12" s="165"/>
      <c r="O12" s="165"/>
      <c r="P12" s="165"/>
      <c r="Q12" s="165"/>
      <c r="R12" s="165"/>
      <c r="S12" s="165"/>
      <c r="T12" s="304"/>
      <c r="U12" s="110"/>
      <c r="V12" s="120"/>
      <c r="W12" s="110"/>
      <c r="X12" s="110"/>
      <c r="Y12" s="110"/>
      <c r="Z12" s="110"/>
    </row>
    <row r="13" ht="13.5" customHeight="1">
      <c r="A13" s="162"/>
      <c r="B13" s="163"/>
      <c r="C13" s="171"/>
      <c r="D13" s="174" t="s">
        <v>587</v>
      </c>
      <c r="E13" s="155"/>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589</v>
      </c>
      <c r="E14" s="170"/>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163"/>
      <c r="C15" s="171"/>
      <c r="D15" s="174" t="s">
        <v>592</v>
      </c>
      <c r="E15" s="173"/>
      <c r="F15" s="165"/>
      <c r="G15" s="165"/>
      <c r="H15" s="165"/>
      <c r="I15" s="165" t="s">
        <v>353</v>
      </c>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c r="E16" s="173"/>
      <c r="F16" s="165"/>
      <c r="G16" s="165"/>
      <c r="H16" s="165"/>
      <c r="I16" s="165"/>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c r="E17" s="173"/>
      <c r="F17" s="165"/>
      <c r="G17" s="165"/>
      <c r="H17" s="165"/>
      <c r="I17" s="165"/>
      <c r="J17" s="165"/>
      <c r="K17" s="165"/>
      <c r="L17" s="165"/>
      <c r="M17" s="165"/>
      <c r="N17" s="165"/>
      <c r="O17" s="165"/>
      <c r="P17" s="165"/>
      <c r="Q17" s="165"/>
      <c r="R17" s="165"/>
      <c r="S17" s="165"/>
      <c r="T17" s="304"/>
      <c r="U17" s="110"/>
      <c r="V17" s="110"/>
      <c r="W17" s="110"/>
      <c r="X17" s="110"/>
      <c r="Y17" s="110"/>
      <c r="Z17" s="110"/>
    </row>
    <row r="18" ht="13.5" customHeight="1">
      <c r="A18" s="162"/>
      <c r="B18" s="163"/>
      <c r="C18" s="171"/>
      <c r="D18" s="174"/>
      <c r="E18" s="173"/>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173"/>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74"/>
      <c r="E20" s="173"/>
      <c r="F20" s="165"/>
      <c r="G20" s="165"/>
      <c r="H20" s="165"/>
      <c r="I20" s="165"/>
      <c r="J20" s="165"/>
      <c r="K20" s="165"/>
      <c r="L20" s="165"/>
      <c r="M20" s="165"/>
      <c r="N20" s="165"/>
      <c r="O20" s="165"/>
      <c r="P20" s="165"/>
      <c r="Q20" s="165"/>
      <c r="R20" s="165"/>
      <c r="S20" s="165"/>
      <c r="T20" s="304"/>
      <c r="U20" s="175"/>
      <c r="V20" s="110"/>
      <c r="W20" s="110"/>
      <c r="X20" s="110"/>
      <c r="Y20" s="110"/>
      <c r="Z20" s="110"/>
    </row>
    <row r="21" ht="13.5" customHeight="1">
      <c r="A21" s="162"/>
      <c r="B21" s="163"/>
      <c r="C21" s="171"/>
      <c r="D21" s="111"/>
      <c r="E21" s="111"/>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173"/>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173"/>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173"/>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173"/>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173"/>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173"/>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173"/>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173"/>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173"/>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173"/>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163"/>
      <c r="C32" s="171"/>
      <c r="D32" s="174"/>
      <c r="E32" s="173"/>
      <c r="F32" s="165"/>
      <c r="G32" s="165"/>
      <c r="H32" s="165"/>
      <c r="I32" s="165"/>
      <c r="J32" s="165"/>
      <c r="K32" s="165"/>
      <c r="L32" s="165"/>
      <c r="M32" s="165"/>
      <c r="N32" s="165"/>
      <c r="O32" s="165"/>
      <c r="P32" s="165"/>
      <c r="Q32" s="165"/>
      <c r="R32" s="165"/>
      <c r="S32" s="165"/>
      <c r="T32" s="304"/>
      <c r="U32" s="110"/>
      <c r="V32" s="110"/>
      <c r="W32" s="110"/>
      <c r="X32" s="110"/>
      <c r="Y32" s="110"/>
      <c r="Z32" s="110"/>
    </row>
    <row r="33" ht="13.5" customHeight="1">
      <c r="A33" s="162"/>
      <c r="B33" s="294"/>
      <c r="C33" s="295"/>
      <c r="D33" s="296"/>
      <c r="E33" s="297"/>
      <c r="F33" s="298"/>
      <c r="G33" s="298"/>
      <c r="H33" s="298"/>
      <c r="I33" s="298"/>
      <c r="J33" s="298"/>
      <c r="K33" s="298"/>
      <c r="L33" s="298"/>
      <c r="M33" s="298"/>
      <c r="N33" s="298"/>
      <c r="O33" s="298"/>
      <c r="P33" s="298"/>
      <c r="Q33" s="298"/>
      <c r="R33" s="298"/>
      <c r="S33" s="298"/>
      <c r="T33" s="312"/>
      <c r="U33" s="110"/>
      <c r="V33" s="110"/>
      <c r="W33" s="110"/>
      <c r="X33" s="110"/>
      <c r="Y33" s="110"/>
      <c r="Z33" s="110"/>
    </row>
    <row r="34" ht="13.5" customHeight="1">
      <c r="A34" s="176" t="s">
        <v>359</v>
      </c>
      <c r="B34" s="177" t="s">
        <v>360</v>
      </c>
      <c r="C34" s="178"/>
      <c r="D34" s="179"/>
      <c r="E34" s="180"/>
      <c r="F34" s="156"/>
      <c r="G34" s="156"/>
      <c r="H34" s="156"/>
      <c r="I34" s="156"/>
      <c r="J34" s="156"/>
      <c r="K34" s="165"/>
      <c r="L34" s="165"/>
      <c r="M34" s="165"/>
      <c r="N34" s="156"/>
      <c r="O34" s="156"/>
      <c r="P34" s="156"/>
      <c r="Q34" s="156"/>
      <c r="R34" s="156"/>
      <c r="S34" s="156"/>
      <c r="T34" s="313"/>
      <c r="U34" s="110"/>
      <c r="V34" s="110"/>
      <c r="W34" s="110"/>
      <c r="X34" s="110"/>
      <c r="Y34" s="110"/>
      <c r="Z34" s="110"/>
    </row>
    <row r="35" ht="13.5" customHeight="1">
      <c r="A35" s="181"/>
      <c r="B35" s="254"/>
      <c r="C35" s="183"/>
      <c r="D35" s="184" t="s">
        <v>607</v>
      </c>
      <c r="E35" s="185"/>
      <c r="F35" s="165" t="s">
        <v>353</v>
      </c>
      <c r="G35" s="165"/>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5"/>
      <c r="C36" s="183"/>
      <c r="D36" s="184"/>
      <c r="E36" s="185"/>
      <c r="F36" s="165"/>
      <c r="G36" s="165"/>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5"/>
      <c r="C37" s="183"/>
      <c r="D37" s="184" t="s">
        <v>610</v>
      </c>
      <c r="E37" s="185"/>
      <c r="F37" s="165"/>
      <c r="G37" s="165" t="s">
        <v>353</v>
      </c>
      <c r="H37" s="165"/>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t="s">
        <v>611</v>
      </c>
      <c r="E38" s="185"/>
      <c r="F38" s="165"/>
      <c r="G38" s="165"/>
      <c r="H38" s="165" t="s">
        <v>353</v>
      </c>
      <c r="I38" s="165"/>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t="s">
        <v>613</v>
      </c>
      <c r="E39" s="185"/>
      <c r="F39" s="165"/>
      <c r="G39" s="165"/>
      <c r="H39" s="165"/>
      <c r="I39" s="165" t="s">
        <v>353</v>
      </c>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c r="E40" s="188"/>
      <c r="F40" s="165"/>
      <c r="G40" s="165"/>
      <c r="H40" s="165"/>
      <c r="I40" s="165"/>
      <c r="J40" s="165"/>
      <c r="K40" s="165"/>
      <c r="L40" s="165"/>
      <c r="M40" s="165"/>
      <c r="N40" s="165"/>
      <c r="O40" s="165"/>
      <c r="P40" s="165"/>
      <c r="Q40" s="165"/>
      <c r="R40" s="165"/>
      <c r="S40" s="165"/>
      <c r="T40" s="304"/>
      <c r="U40" s="110"/>
      <c r="V40" s="110"/>
      <c r="W40" s="110"/>
      <c r="X40" s="110"/>
      <c r="Y40" s="110"/>
      <c r="Z40" s="110"/>
    </row>
    <row r="41" ht="13.5" customHeight="1">
      <c r="A41" s="181"/>
      <c r="B41" s="255"/>
      <c r="C41" s="183"/>
      <c r="D41" s="184"/>
      <c r="E41" s="188"/>
      <c r="F41" s="165"/>
      <c r="G41" s="165"/>
      <c r="H41" s="165"/>
      <c r="I41" s="165"/>
      <c r="J41" s="165"/>
      <c r="K41" s="165"/>
      <c r="L41" s="165"/>
      <c r="M41" s="165"/>
      <c r="N41" s="165"/>
      <c r="O41" s="165"/>
      <c r="P41" s="165"/>
      <c r="Q41" s="165"/>
      <c r="R41" s="165"/>
      <c r="S41" s="165"/>
      <c r="T41" s="304"/>
      <c r="U41" s="110"/>
      <c r="V41" s="110"/>
      <c r="W41" s="110"/>
      <c r="X41" s="110"/>
      <c r="Y41" s="110"/>
      <c r="Z41" s="110"/>
    </row>
    <row r="42" ht="13.5" customHeight="1">
      <c r="A42" s="181"/>
      <c r="B42" s="255"/>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255"/>
      <c r="C43" s="183"/>
      <c r="D43" s="18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181"/>
      <c r="B44" s="255"/>
      <c r="C44" s="183"/>
      <c r="D44" s="184"/>
      <c r="E44" s="188"/>
      <c r="F44" s="165"/>
      <c r="G44" s="165"/>
      <c r="H44" s="165"/>
      <c r="I44" s="165"/>
      <c r="J44" s="165"/>
      <c r="K44" s="165"/>
      <c r="L44" s="165"/>
      <c r="M44" s="165"/>
      <c r="N44" s="165"/>
      <c r="O44" s="165"/>
      <c r="P44" s="165"/>
      <c r="Q44" s="165"/>
      <c r="R44" s="165"/>
      <c r="S44" s="165"/>
      <c r="T44" s="304"/>
      <c r="U44" s="110"/>
      <c r="V44" s="110"/>
      <c r="W44" s="110"/>
      <c r="X44" s="110"/>
      <c r="Y44" s="110"/>
      <c r="Z44" s="110"/>
    </row>
    <row r="45" ht="13.5" customHeight="1">
      <c r="A45" s="181"/>
      <c r="B45" s="332"/>
      <c r="C45" s="333"/>
      <c r="D45" s="334"/>
      <c r="E45" s="195"/>
      <c r="F45" s="196"/>
      <c r="G45" s="196"/>
      <c r="H45" s="196"/>
      <c r="I45" s="196"/>
      <c r="J45" s="196"/>
      <c r="K45" s="298"/>
      <c r="L45" s="298"/>
      <c r="M45" s="298"/>
      <c r="N45" s="298"/>
      <c r="O45" s="196"/>
      <c r="P45" s="196"/>
      <c r="Q45" s="196"/>
      <c r="R45" s="196"/>
      <c r="S45" s="196"/>
      <c r="T45" s="319"/>
      <c r="U45" s="110"/>
      <c r="V45" s="110"/>
      <c r="W45" s="110"/>
      <c r="X45" s="110"/>
      <c r="Y45" s="110"/>
      <c r="Z45" s="110"/>
    </row>
    <row r="46" ht="18.0" customHeight="1">
      <c r="A46" s="176" t="s">
        <v>367</v>
      </c>
      <c r="B46" s="197" t="s">
        <v>368</v>
      </c>
      <c r="C46" s="198"/>
      <c r="D46" s="199"/>
      <c r="E46" s="200"/>
      <c r="F46" s="201" t="s">
        <v>220</v>
      </c>
      <c r="G46" s="201" t="s">
        <v>220</v>
      </c>
      <c r="H46" s="201" t="s">
        <v>221</v>
      </c>
      <c r="I46" s="201" t="s">
        <v>38</v>
      </c>
      <c r="J46" s="201"/>
      <c r="K46" s="206"/>
      <c r="L46" s="165"/>
      <c r="M46" s="165"/>
      <c r="N46" s="201"/>
      <c r="O46" s="201"/>
      <c r="P46" s="201"/>
      <c r="Q46" s="201"/>
      <c r="R46" s="201"/>
      <c r="S46" s="201"/>
      <c r="T46" s="326"/>
      <c r="U46" s="110"/>
      <c r="V46" s="110"/>
      <c r="W46" s="110"/>
      <c r="X46" s="110"/>
      <c r="Y46" s="110"/>
      <c r="Z46" s="110"/>
    </row>
    <row r="47" ht="17.25" customHeight="1">
      <c r="A47" s="260"/>
      <c r="B47" s="204" t="s">
        <v>369</v>
      </c>
      <c r="C47" s="12"/>
      <c r="D47" s="13"/>
      <c r="E47" s="205"/>
      <c r="F47" s="206"/>
      <c r="G47" s="206"/>
      <c r="H47" s="206"/>
      <c r="I47" s="206"/>
      <c r="J47" s="206"/>
      <c r="K47" s="206"/>
      <c r="L47" s="165"/>
      <c r="M47" s="165"/>
      <c r="N47" s="206"/>
      <c r="O47" s="206"/>
      <c r="P47" s="206"/>
      <c r="Q47" s="206"/>
      <c r="R47" s="206"/>
      <c r="S47" s="206"/>
      <c r="T47" s="327"/>
      <c r="U47" s="110"/>
      <c r="V47" s="110"/>
      <c r="W47" s="110"/>
      <c r="X47" s="110"/>
      <c r="Y47" s="110"/>
      <c r="Z47" s="110"/>
    </row>
    <row r="48" ht="19.5" customHeight="1">
      <c r="A48" s="260"/>
      <c r="B48" s="208" t="s">
        <v>371</v>
      </c>
      <c r="C48" s="12"/>
      <c r="D48" s="13"/>
      <c r="E48" s="209"/>
      <c r="F48" s="210"/>
      <c r="G48" s="210"/>
      <c r="H48" s="210"/>
      <c r="I48" s="210"/>
      <c r="J48" s="210"/>
      <c r="K48" s="210"/>
      <c r="L48" s="165"/>
      <c r="M48" s="165"/>
      <c r="N48" s="210"/>
      <c r="O48" s="210"/>
      <c r="P48" s="210"/>
      <c r="Q48" s="210"/>
      <c r="R48" s="210"/>
      <c r="S48" s="210"/>
      <c r="T48" s="328"/>
      <c r="U48" s="110"/>
      <c r="V48" s="110"/>
      <c r="W48" s="110"/>
      <c r="X48" s="110"/>
      <c r="Y48" s="110"/>
      <c r="Z48" s="110"/>
    </row>
    <row r="49" ht="18.0" customHeight="1">
      <c r="A49" s="261"/>
      <c r="B49" s="215" t="s">
        <v>372</v>
      </c>
      <c r="C49" s="216"/>
      <c r="D49" s="217"/>
      <c r="E49" s="218"/>
      <c r="F49" s="219"/>
      <c r="G49" s="219"/>
      <c r="H49" s="219"/>
      <c r="I49" s="219"/>
      <c r="J49" s="219"/>
      <c r="K49" s="219"/>
      <c r="L49" s="219"/>
      <c r="M49" s="219"/>
      <c r="N49" s="219"/>
      <c r="O49" s="219"/>
      <c r="P49" s="219"/>
      <c r="Q49" s="219"/>
      <c r="R49" s="219"/>
      <c r="S49" s="219"/>
      <c r="T49" s="329"/>
      <c r="U49" s="110"/>
      <c r="V49" s="110"/>
      <c r="W49" s="110"/>
      <c r="X49" s="110"/>
      <c r="Y49" s="110"/>
      <c r="Z49" s="110"/>
    </row>
    <row r="50" ht="12.0" customHeight="1">
      <c r="A50" s="143"/>
      <c r="B50" s="110"/>
      <c r="C50" s="111"/>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B46:D46"/>
    <mergeCell ref="B47:D47"/>
    <mergeCell ref="B48:D48"/>
    <mergeCell ref="B49:D49"/>
    <mergeCell ref="A6:B6"/>
    <mergeCell ref="C6:E6"/>
    <mergeCell ref="F6:K6"/>
    <mergeCell ref="L6:N6"/>
    <mergeCell ref="A7:B7"/>
    <mergeCell ref="C7:E7"/>
    <mergeCell ref="F7:K7"/>
  </mergeCells>
  <dataValidations>
    <dataValidation type="list" allowBlank="1" showInputMessage="1" showErrorMessage="1" prompt=" - " sqref="F47:T47">
      <formula1>"P,F"</formula1>
    </dataValidation>
    <dataValidation type="list" allowBlank="1" showInputMessage="1" showErrorMessage="1" prompt=" - " sqref="F10:T45">
      <formula1>"O"</formula1>
    </dataValidation>
    <dataValidation type="list" allowBlank="1" showInputMessage="1" showErrorMessage="1" prompt=" - " sqref="F46:T46">
      <formula1>"N,A,B"</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10" width="5.38"/>
    <col customWidth="1" min="11" max="11" width="4.75"/>
    <col customWidth="1" min="12" max="12" width="4.63"/>
    <col customWidth="1" min="13" max="13" width="2.75"/>
    <col customWidth="1" min="14"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Functions!E37</f>
        <v>F-27</v>
      </c>
      <c r="D2" s="113"/>
      <c r="E2" s="115"/>
      <c r="F2" s="116" t="s">
        <v>71</v>
      </c>
      <c r="G2" s="117"/>
      <c r="H2" s="117"/>
      <c r="I2" s="117"/>
      <c r="J2" s="117"/>
      <c r="K2" s="117"/>
      <c r="L2" s="118" t="str">
        <f>Functions!D37</f>
        <v>Flutter VND formatting and quantity step/buffer</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293"/>
      <c r="P3" s="293"/>
      <c r="Q3" s="293"/>
      <c r="R3" s="293"/>
      <c r="S3" s="293"/>
      <c r="T3" s="127"/>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22.5" customHeight="1">
      <c r="A5" s="330" t="s">
        <v>342</v>
      </c>
      <c r="B5" s="13"/>
      <c r="C5" s="331" t="s">
        <v>271</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COUNTIF(F49:L49,"P")</f>
        <v>0</v>
      </c>
      <c r="B7" s="138"/>
      <c r="C7" s="139">
        <f>COUNTIF(F49:L49,"F")</f>
        <v>0</v>
      </c>
      <c r="D7" s="140"/>
      <c r="E7" s="138"/>
      <c r="F7" s="139">
        <f>SUM(O7,-A7,-C7)</f>
        <v>7</v>
      </c>
      <c r="G7" s="140"/>
      <c r="H7" s="140"/>
      <c r="I7" s="140"/>
      <c r="J7" s="140"/>
      <c r="K7" s="138"/>
      <c r="L7" s="141">
        <f>COUNTIF(F48:L48,"N")</f>
        <v>4</v>
      </c>
      <c r="M7" s="141">
        <f>COUNTIF(F48:L48,"A")</f>
        <v>1</v>
      </c>
      <c r="N7" s="141">
        <f>COUNTIF(F48:L48,"B")</f>
        <v>2</v>
      </c>
      <c r="O7" s="139">
        <f>COUNTA(F9:L9)</f>
        <v>7</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247" t="s">
        <v>344</v>
      </c>
      <c r="G9" s="247" t="s">
        <v>345</v>
      </c>
      <c r="H9" s="247" t="s">
        <v>346</v>
      </c>
      <c r="I9" s="247" t="s">
        <v>347</v>
      </c>
      <c r="J9" s="247" t="s">
        <v>348</v>
      </c>
      <c r="K9" s="247" t="s">
        <v>349</v>
      </c>
      <c r="L9" s="247" t="s">
        <v>458</v>
      </c>
      <c r="M9" s="247"/>
      <c r="N9" s="247"/>
      <c r="O9" s="247"/>
      <c r="P9" s="247"/>
      <c r="Q9" s="247"/>
      <c r="R9" s="247"/>
      <c r="S9" s="247"/>
      <c r="T9" s="302"/>
      <c r="U9" s="150"/>
      <c r="V9" s="120"/>
      <c r="W9" s="110"/>
      <c r="X9" s="110"/>
      <c r="Y9" s="110"/>
      <c r="Z9" s="110"/>
    </row>
    <row r="10" ht="13.5" customHeight="1">
      <c r="A10" s="151" t="s">
        <v>350</v>
      </c>
      <c r="B10" s="163" t="s">
        <v>351</v>
      </c>
      <c r="C10" s="171"/>
      <c r="D10" s="174"/>
      <c r="E10" s="248"/>
      <c r="F10" s="165"/>
      <c r="G10" s="165"/>
      <c r="H10" s="165"/>
      <c r="I10" s="165"/>
      <c r="J10" s="165"/>
      <c r="K10" s="165"/>
      <c r="L10" s="165"/>
      <c r="M10" s="165"/>
      <c r="N10" s="165"/>
      <c r="O10" s="165"/>
      <c r="P10" s="165"/>
      <c r="Q10" s="165"/>
      <c r="R10" s="165"/>
      <c r="S10" s="165"/>
      <c r="T10" s="304"/>
      <c r="U10" s="110"/>
      <c r="V10" s="110"/>
      <c r="W10" s="110"/>
      <c r="X10" s="110"/>
      <c r="Y10" s="110"/>
      <c r="Z10" s="110"/>
    </row>
    <row r="11" ht="13.5" customHeight="1">
      <c r="A11" s="157"/>
      <c r="B11" s="163"/>
      <c r="C11" s="171"/>
      <c r="D11" s="174" t="s">
        <v>622</v>
      </c>
      <c r="E11" s="335"/>
      <c r="F11" s="165" t="s">
        <v>353</v>
      </c>
      <c r="G11" s="165"/>
      <c r="H11" s="165"/>
      <c r="I11" s="165"/>
      <c r="J11" s="165"/>
      <c r="K11" s="165"/>
      <c r="L11" s="165"/>
      <c r="M11" s="165"/>
      <c r="N11" s="165"/>
      <c r="O11" s="165"/>
      <c r="P11" s="165"/>
      <c r="Q11" s="165"/>
      <c r="R11" s="165"/>
      <c r="S11" s="165"/>
      <c r="T11" s="304"/>
      <c r="U11" s="110"/>
      <c r="V11" s="110"/>
      <c r="W11" s="110"/>
      <c r="X11" s="110"/>
      <c r="Y11" s="110"/>
      <c r="Z11" s="110"/>
    </row>
    <row r="12" ht="13.5" customHeight="1">
      <c r="A12" s="162"/>
      <c r="B12" s="163"/>
      <c r="C12" s="171"/>
      <c r="D12" s="174"/>
      <c r="E12" s="155"/>
      <c r="F12" s="165"/>
      <c r="G12" s="165"/>
      <c r="H12" s="165"/>
      <c r="I12" s="165"/>
      <c r="J12" s="165"/>
      <c r="K12" s="165"/>
      <c r="L12" s="165"/>
      <c r="M12" s="165"/>
      <c r="N12" s="165"/>
      <c r="O12" s="165"/>
      <c r="P12" s="165"/>
      <c r="Q12" s="165"/>
      <c r="R12" s="165"/>
      <c r="S12" s="165"/>
      <c r="T12" s="304"/>
      <c r="U12" s="110"/>
      <c r="V12" s="120"/>
      <c r="W12" s="110"/>
      <c r="X12" s="110"/>
      <c r="Y12" s="110"/>
      <c r="Z12" s="110"/>
    </row>
    <row r="13" ht="13.5" customHeight="1">
      <c r="A13" s="162"/>
      <c r="B13" s="163"/>
      <c r="C13" s="171"/>
      <c r="D13" s="174" t="s">
        <v>623</v>
      </c>
      <c r="E13" s="155"/>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624</v>
      </c>
      <c r="E14" s="170"/>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163"/>
      <c r="C15" s="171"/>
      <c r="D15" s="174"/>
      <c r="E15" s="173"/>
      <c r="F15" s="165"/>
      <c r="G15" s="165"/>
      <c r="H15" s="165"/>
      <c r="I15" s="165"/>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625</v>
      </c>
      <c r="E16" s="173"/>
      <c r="F16" s="165"/>
      <c r="G16" s="165"/>
      <c r="H16" s="165"/>
      <c r="I16" s="165" t="s">
        <v>353</v>
      </c>
      <c r="J16" s="165"/>
      <c r="K16" s="165"/>
      <c r="L16" s="165"/>
      <c r="M16" s="165"/>
      <c r="N16" s="165"/>
      <c r="O16" s="165"/>
      <c r="P16" s="165"/>
      <c r="Q16" s="165"/>
      <c r="R16" s="165"/>
      <c r="S16" s="165"/>
      <c r="T16" s="304"/>
      <c r="U16" s="110"/>
      <c r="V16" s="110"/>
      <c r="W16" s="110"/>
      <c r="X16" s="110"/>
      <c r="Y16" s="110"/>
      <c r="Z16" s="110"/>
    </row>
    <row r="17" ht="13.5" customHeight="1">
      <c r="A17" s="162"/>
      <c r="B17" s="163"/>
      <c r="C17" s="171"/>
      <c r="D17" s="174" t="s">
        <v>626</v>
      </c>
      <c r="E17" s="173"/>
      <c r="F17" s="165"/>
      <c r="G17" s="165"/>
      <c r="H17" s="165"/>
      <c r="I17" s="165"/>
      <c r="J17" s="165" t="s">
        <v>353</v>
      </c>
      <c r="K17" s="165"/>
      <c r="L17" s="165"/>
      <c r="M17" s="165"/>
      <c r="N17" s="165"/>
      <c r="O17" s="165"/>
      <c r="P17" s="165"/>
      <c r="Q17" s="165"/>
      <c r="R17" s="165"/>
      <c r="S17" s="165"/>
      <c r="T17" s="304"/>
      <c r="U17" s="110"/>
      <c r="V17" s="110"/>
      <c r="W17" s="110"/>
      <c r="X17" s="110"/>
      <c r="Y17" s="110"/>
      <c r="Z17" s="110"/>
    </row>
    <row r="18" ht="13.5" customHeight="1">
      <c r="A18" s="162"/>
      <c r="B18" s="163"/>
      <c r="C18" s="171"/>
      <c r="D18" s="174" t="s">
        <v>627</v>
      </c>
      <c r="E18" s="173"/>
      <c r="F18" s="165"/>
      <c r="G18" s="165"/>
      <c r="H18" s="165"/>
      <c r="I18" s="165"/>
      <c r="J18" s="165"/>
      <c r="K18" s="165" t="s">
        <v>353</v>
      </c>
      <c r="L18" s="165"/>
      <c r="M18" s="165"/>
      <c r="N18" s="165"/>
      <c r="O18" s="165"/>
      <c r="P18" s="165"/>
      <c r="Q18" s="165"/>
      <c r="R18" s="165"/>
      <c r="S18" s="165"/>
      <c r="T18" s="304"/>
      <c r="U18" s="175"/>
      <c r="V18" s="110"/>
      <c r="W18" s="110"/>
      <c r="X18" s="110"/>
      <c r="Y18" s="110"/>
      <c r="Z18" s="110"/>
    </row>
    <row r="19" ht="13.5" customHeight="1">
      <c r="A19" s="162"/>
      <c r="B19" s="163"/>
      <c r="C19" s="171"/>
      <c r="D19" s="174"/>
      <c r="E19" s="173"/>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74" t="s">
        <v>628</v>
      </c>
      <c r="E20" s="173"/>
      <c r="F20" s="165"/>
      <c r="G20" s="165"/>
      <c r="H20" s="165"/>
      <c r="I20" s="165"/>
      <c r="J20" s="165"/>
      <c r="K20" s="165"/>
      <c r="L20" s="165" t="s">
        <v>353</v>
      </c>
      <c r="M20" s="165"/>
      <c r="N20" s="165"/>
      <c r="O20" s="165"/>
      <c r="P20" s="165"/>
      <c r="Q20" s="165"/>
      <c r="R20" s="165"/>
      <c r="S20" s="165"/>
      <c r="T20" s="304"/>
      <c r="U20" s="175"/>
      <c r="V20" s="110"/>
      <c r="W20" s="110"/>
      <c r="X20" s="110"/>
      <c r="Y20" s="110"/>
      <c r="Z20" s="110"/>
    </row>
    <row r="21" ht="13.5" customHeight="1">
      <c r="A21" s="162"/>
      <c r="B21" s="163"/>
      <c r="C21" s="171"/>
      <c r="D21" s="111"/>
      <c r="E21" s="111"/>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163"/>
      <c r="C22" s="171"/>
      <c r="D22" s="174"/>
      <c r="E22" s="173"/>
      <c r="F22" s="165"/>
      <c r="G22" s="165"/>
      <c r="H22" s="165"/>
      <c r="I22" s="165"/>
      <c r="J22" s="165"/>
      <c r="K22" s="165"/>
      <c r="L22" s="165"/>
      <c r="M22" s="165"/>
      <c r="N22" s="165"/>
      <c r="O22" s="165"/>
      <c r="P22" s="165"/>
      <c r="Q22" s="165"/>
      <c r="R22" s="165"/>
      <c r="S22" s="165"/>
      <c r="T22" s="304"/>
      <c r="U22" s="110"/>
      <c r="V22" s="110"/>
      <c r="W22" s="110"/>
      <c r="X22" s="110"/>
      <c r="Y22" s="110"/>
      <c r="Z22" s="110"/>
    </row>
    <row r="23" ht="13.5" customHeight="1">
      <c r="A23" s="162"/>
      <c r="B23" s="163"/>
      <c r="C23" s="171"/>
      <c r="D23" s="174"/>
      <c r="E23" s="173"/>
      <c r="F23" s="165"/>
      <c r="G23" s="165"/>
      <c r="H23" s="165"/>
      <c r="I23" s="165"/>
      <c r="J23" s="165"/>
      <c r="K23" s="165"/>
      <c r="L23" s="165"/>
      <c r="M23" s="165"/>
      <c r="N23" s="165"/>
      <c r="O23" s="165"/>
      <c r="P23" s="165"/>
      <c r="Q23" s="165"/>
      <c r="R23" s="165"/>
      <c r="S23" s="165"/>
      <c r="T23" s="304"/>
      <c r="U23" s="110"/>
      <c r="V23" s="110"/>
      <c r="W23" s="110"/>
      <c r="X23" s="110"/>
      <c r="Y23" s="110"/>
      <c r="Z23" s="110"/>
    </row>
    <row r="24" ht="13.5" customHeight="1">
      <c r="A24" s="162"/>
      <c r="B24" s="163"/>
      <c r="C24" s="171"/>
      <c r="D24" s="174"/>
      <c r="E24" s="173"/>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163"/>
      <c r="C25" s="171"/>
      <c r="D25" s="174"/>
      <c r="E25" s="173"/>
      <c r="F25" s="165"/>
      <c r="G25" s="165"/>
      <c r="H25" s="165"/>
      <c r="I25" s="165"/>
      <c r="J25" s="165"/>
      <c r="K25" s="165"/>
      <c r="L25" s="165"/>
      <c r="M25" s="165"/>
      <c r="N25" s="165"/>
      <c r="O25" s="165"/>
      <c r="P25" s="165"/>
      <c r="Q25" s="165"/>
      <c r="R25" s="165"/>
      <c r="S25" s="165"/>
      <c r="T25" s="304"/>
      <c r="U25" s="110"/>
      <c r="V25" s="110"/>
      <c r="W25" s="110"/>
      <c r="X25" s="110"/>
      <c r="Y25" s="110"/>
      <c r="Z25" s="110"/>
    </row>
    <row r="26" ht="13.5" customHeight="1">
      <c r="A26" s="162"/>
      <c r="B26" s="163"/>
      <c r="C26" s="171"/>
      <c r="D26" s="174"/>
      <c r="E26" s="173"/>
      <c r="F26" s="165"/>
      <c r="G26" s="165"/>
      <c r="H26" s="165"/>
      <c r="I26" s="165"/>
      <c r="J26" s="165"/>
      <c r="K26" s="165"/>
      <c r="L26" s="165"/>
      <c r="M26" s="165"/>
      <c r="N26" s="165"/>
      <c r="O26" s="165"/>
      <c r="P26" s="165"/>
      <c r="Q26" s="165"/>
      <c r="R26" s="165"/>
      <c r="S26" s="165"/>
      <c r="T26" s="304"/>
      <c r="U26" s="110"/>
      <c r="V26" s="110"/>
      <c r="W26" s="110"/>
      <c r="X26" s="110"/>
      <c r="Y26" s="110"/>
      <c r="Z26" s="110"/>
    </row>
    <row r="27" ht="13.5" customHeight="1">
      <c r="A27" s="162"/>
      <c r="B27" s="163"/>
      <c r="C27" s="171"/>
      <c r="D27" s="174"/>
      <c r="E27" s="173"/>
      <c r="F27" s="165"/>
      <c r="G27" s="165"/>
      <c r="H27" s="165"/>
      <c r="I27" s="165"/>
      <c r="J27" s="165"/>
      <c r="K27" s="165"/>
      <c r="L27" s="165"/>
      <c r="M27" s="165"/>
      <c r="N27" s="165"/>
      <c r="O27" s="165"/>
      <c r="P27" s="165"/>
      <c r="Q27" s="165"/>
      <c r="R27" s="165"/>
      <c r="S27" s="165"/>
      <c r="T27" s="304"/>
      <c r="U27" s="110"/>
      <c r="V27" s="110"/>
      <c r="W27" s="110"/>
      <c r="X27" s="110"/>
      <c r="Y27" s="110"/>
      <c r="Z27" s="110"/>
    </row>
    <row r="28" ht="13.5" customHeight="1">
      <c r="A28" s="162"/>
      <c r="B28" s="163"/>
      <c r="C28" s="171"/>
      <c r="D28" s="174"/>
      <c r="E28" s="173"/>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163"/>
      <c r="C29" s="171"/>
      <c r="D29" s="174"/>
      <c r="E29" s="173"/>
      <c r="F29" s="165"/>
      <c r="G29" s="165"/>
      <c r="H29" s="165"/>
      <c r="I29" s="165"/>
      <c r="J29" s="165"/>
      <c r="K29" s="165"/>
      <c r="L29" s="165"/>
      <c r="M29" s="165"/>
      <c r="N29" s="165"/>
      <c r="O29" s="165"/>
      <c r="P29" s="165"/>
      <c r="Q29" s="165"/>
      <c r="R29" s="165"/>
      <c r="S29" s="165"/>
      <c r="T29" s="304"/>
      <c r="U29" s="110"/>
      <c r="V29" s="110"/>
      <c r="W29" s="110"/>
      <c r="X29" s="110"/>
      <c r="Y29" s="110"/>
      <c r="Z29" s="110"/>
    </row>
    <row r="30" ht="13.5" customHeight="1">
      <c r="A30" s="162"/>
      <c r="B30" s="163"/>
      <c r="C30" s="171"/>
      <c r="D30" s="174"/>
      <c r="E30" s="173"/>
      <c r="F30" s="165"/>
      <c r="G30" s="165"/>
      <c r="H30" s="165"/>
      <c r="I30" s="165"/>
      <c r="J30" s="165"/>
      <c r="K30" s="165"/>
      <c r="L30" s="165"/>
      <c r="M30" s="165"/>
      <c r="N30" s="165"/>
      <c r="O30" s="165"/>
      <c r="P30" s="165"/>
      <c r="Q30" s="165"/>
      <c r="R30" s="165"/>
      <c r="S30" s="165"/>
      <c r="T30" s="304"/>
      <c r="U30" s="110"/>
      <c r="V30" s="110"/>
      <c r="W30" s="110"/>
      <c r="X30" s="110"/>
      <c r="Y30" s="110"/>
      <c r="Z30" s="110"/>
    </row>
    <row r="31" ht="13.5" customHeight="1">
      <c r="A31" s="162"/>
      <c r="B31" s="163"/>
      <c r="C31" s="171"/>
      <c r="D31" s="174"/>
      <c r="E31" s="173"/>
      <c r="F31" s="165"/>
      <c r="G31" s="165"/>
      <c r="H31" s="165"/>
      <c r="I31" s="165"/>
      <c r="J31" s="165"/>
      <c r="K31" s="165"/>
      <c r="L31" s="165"/>
      <c r="M31" s="165"/>
      <c r="N31" s="165"/>
      <c r="O31" s="165"/>
      <c r="P31" s="165"/>
      <c r="Q31" s="165"/>
      <c r="R31" s="165"/>
      <c r="S31" s="165"/>
      <c r="T31" s="304"/>
      <c r="U31" s="110"/>
      <c r="V31" s="110"/>
      <c r="W31" s="110"/>
      <c r="X31" s="110"/>
      <c r="Y31" s="110"/>
      <c r="Z31" s="110"/>
    </row>
    <row r="32" ht="13.5" customHeight="1">
      <c r="A32" s="162"/>
      <c r="B32" s="163"/>
      <c r="C32" s="171"/>
      <c r="D32" s="174"/>
      <c r="E32" s="173"/>
      <c r="F32" s="165"/>
      <c r="G32" s="165"/>
      <c r="H32" s="165"/>
      <c r="I32" s="165"/>
      <c r="J32" s="165"/>
      <c r="K32" s="165"/>
      <c r="L32" s="165"/>
      <c r="M32" s="165"/>
      <c r="N32" s="165"/>
      <c r="O32" s="165"/>
      <c r="P32" s="165"/>
      <c r="Q32" s="165"/>
      <c r="R32" s="165"/>
      <c r="S32" s="165"/>
      <c r="T32" s="304"/>
      <c r="U32" s="110"/>
      <c r="V32" s="110"/>
      <c r="W32" s="110"/>
      <c r="X32" s="110"/>
      <c r="Y32" s="110"/>
      <c r="Z32" s="110"/>
    </row>
    <row r="33" ht="13.5" customHeight="1">
      <c r="A33" s="162"/>
      <c r="B33" s="294"/>
      <c r="C33" s="295"/>
      <c r="D33" s="296"/>
      <c r="E33" s="297"/>
      <c r="F33" s="298"/>
      <c r="G33" s="298"/>
      <c r="H33" s="298"/>
      <c r="I33" s="298"/>
      <c r="J33" s="298"/>
      <c r="K33" s="298"/>
      <c r="L33" s="298"/>
      <c r="M33" s="298"/>
      <c r="N33" s="298"/>
      <c r="O33" s="298"/>
      <c r="P33" s="298"/>
      <c r="Q33" s="298"/>
      <c r="R33" s="298"/>
      <c r="S33" s="298"/>
      <c r="T33" s="312"/>
      <c r="U33" s="110"/>
      <c r="V33" s="110"/>
      <c r="W33" s="110"/>
      <c r="X33" s="110"/>
      <c r="Y33" s="110"/>
      <c r="Z33" s="110"/>
    </row>
    <row r="34" ht="13.5" customHeight="1">
      <c r="A34" s="176" t="s">
        <v>359</v>
      </c>
      <c r="B34" s="177" t="s">
        <v>360</v>
      </c>
      <c r="C34" s="178"/>
      <c r="D34" s="179"/>
      <c r="E34" s="180"/>
      <c r="F34" s="156"/>
      <c r="G34" s="156"/>
      <c r="H34" s="156"/>
      <c r="I34" s="156"/>
      <c r="J34" s="156"/>
      <c r="K34" s="165"/>
      <c r="L34" s="165"/>
      <c r="M34" s="165"/>
      <c r="N34" s="156"/>
      <c r="O34" s="156"/>
      <c r="P34" s="156"/>
      <c r="Q34" s="156"/>
      <c r="R34" s="156"/>
      <c r="S34" s="156"/>
      <c r="T34" s="313"/>
      <c r="U34" s="110"/>
      <c r="V34" s="110"/>
      <c r="W34" s="110"/>
      <c r="X34" s="110"/>
      <c r="Y34" s="110"/>
      <c r="Z34" s="110"/>
    </row>
    <row r="35" ht="13.5" customHeight="1">
      <c r="A35" s="181"/>
      <c r="B35" s="254"/>
      <c r="C35" s="183"/>
      <c r="D35" s="184" t="s">
        <v>634</v>
      </c>
      <c r="E35" s="185"/>
      <c r="F35" s="165" t="s">
        <v>353</v>
      </c>
      <c r="G35" s="165"/>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4"/>
      <c r="C36" s="183"/>
      <c r="D36" s="184" t="s">
        <v>635</v>
      </c>
      <c r="E36" s="185"/>
      <c r="F36" s="165"/>
      <c r="G36" s="165" t="s">
        <v>353</v>
      </c>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5"/>
      <c r="C37" s="183"/>
      <c r="D37" s="184"/>
      <c r="E37" s="185"/>
      <c r="F37" s="165"/>
      <c r="G37" s="165"/>
      <c r="H37" s="165"/>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184" t="s">
        <v>636</v>
      </c>
      <c r="E38" s="185"/>
      <c r="F38" s="165"/>
      <c r="G38" s="165"/>
      <c r="H38" s="165" t="s">
        <v>353</v>
      </c>
      <c r="I38" s="165"/>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184" t="s">
        <v>639</v>
      </c>
      <c r="E39" s="185"/>
      <c r="F39" s="165"/>
      <c r="G39" s="165"/>
      <c r="H39" s="165"/>
      <c r="I39" s="165" t="s">
        <v>353</v>
      </c>
      <c r="J39" s="165"/>
      <c r="K39" s="165"/>
      <c r="L39" s="165"/>
      <c r="M39" s="165"/>
      <c r="N39" s="165"/>
      <c r="O39" s="165"/>
      <c r="P39" s="165"/>
      <c r="Q39" s="165"/>
      <c r="R39" s="165"/>
      <c r="S39" s="165"/>
      <c r="T39" s="304"/>
      <c r="U39" s="110"/>
      <c r="V39" s="110"/>
      <c r="W39" s="110"/>
      <c r="X39" s="110"/>
      <c r="Y39" s="110"/>
      <c r="Z39" s="110"/>
    </row>
    <row r="40" ht="13.5" customHeight="1">
      <c r="A40" s="181"/>
      <c r="B40" s="255"/>
      <c r="C40" s="183"/>
      <c r="D40" s="184" t="s">
        <v>641</v>
      </c>
      <c r="E40" s="188"/>
      <c r="F40" s="165"/>
      <c r="G40" s="165"/>
      <c r="H40" s="165"/>
      <c r="I40" s="165"/>
      <c r="J40" s="165" t="s">
        <v>353</v>
      </c>
      <c r="K40" s="165"/>
      <c r="L40" s="165"/>
      <c r="M40" s="165"/>
      <c r="N40" s="165"/>
      <c r="O40" s="165"/>
      <c r="P40" s="165"/>
      <c r="Q40" s="165"/>
      <c r="R40" s="165"/>
      <c r="S40" s="165"/>
      <c r="T40" s="304"/>
      <c r="U40" s="110"/>
      <c r="V40" s="110"/>
      <c r="W40" s="110"/>
      <c r="X40" s="110"/>
      <c r="Y40" s="110"/>
      <c r="Z40" s="110"/>
    </row>
    <row r="41" ht="13.5" customHeight="1">
      <c r="A41" s="181"/>
      <c r="B41" s="255"/>
      <c r="C41" s="183"/>
      <c r="D41" s="184" t="s">
        <v>644</v>
      </c>
      <c r="E41" s="188"/>
      <c r="F41" s="165"/>
      <c r="G41" s="165"/>
      <c r="H41" s="165"/>
      <c r="I41" s="165"/>
      <c r="J41" s="165"/>
      <c r="K41" s="165" t="s">
        <v>353</v>
      </c>
      <c r="L41" s="165"/>
      <c r="M41" s="165"/>
      <c r="N41" s="165"/>
      <c r="O41" s="165"/>
      <c r="P41" s="165"/>
      <c r="Q41" s="165"/>
      <c r="R41" s="165"/>
      <c r="S41" s="165"/>
      <c r="T41" s="304"/>
      <c r="U41" s="110"/>
      <c r="V41" s="110"/>
      <c r="W41" s="110"/>
      <c r="X41" s="110"/>
      <c r="Y41" s="110"/>
      <c r="Z41" s="110"/>
    </row>
    <row r="42" ht="13.5" customHeight="1">
      <c r="A42" s="181"/>
      <c r="B42" s="255"/>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255"/>
      <c r="C43" s="183"/>
      <c r="D43" s="184" t="s">
        <v>647</v>
      </c>
      <c r="E43" s="188"/>
      <c r="F43" s="165"/>
      <c r="G43" s="165"/>
      <c r="H43" s="165"/>
      <c r="I43" s="165"/>
      <c r="J43" s="165"/>
      <c r="K43" s="165"/>
      <c r="L43" s="165" t="s">
        <v>353</v>
      </c>
      <c r="M43" s="165"/>
      <c r="N43" s="165"/>
      <c r="O43" s="165"/>
      <c r="P43" s="165"/>
      <c r="Q43" s="165"/>
      <c r="R43" s="165"/>
      <c r="S43" s="165"/>
      <c r="T43" s="304"/>
      <c r="U43" s="110"/>
      <c r="V43" s="110"/>
      <c r="W43" s="110"/>
      <c r="X43" s="110"/>
      <c r="Y43" s="110"/>
      <c r="Z43" s="110"/>
    </row>
    <row r="44" ht="13.5" customHeight="1">
      <c r="A44" s="181"/>
      <c r="B44" s="255"/>
      <c r="C44" s="183"/>
      <c r="D44" s="184"/>
      <c r="E44" s="188"/>
      <c r="F44" s="165"/>
      <c r="G44" s="165"/>
      <c r="H44" s="165"/>
      <c r="I44" s="165"/>
      <c r="J44" s="165"/>
      <c r="K44" s="165"/>
      <c r="L44" s="165"/>
      <c r="M44" s="165"/>
      <c r="N44" s="165"/>
      <c r="O44" s="165"/>
      <c r="P44" s="165"/>
      <c r="Q44" s="165"/>
      <c r="R44" s="165"/>
      <c r="S44" s="165"/>
      <c r="T44" s="304"/>
      <c r="U44" s="110"/>
      <c r="V44" s="110"/>
      <c r="W44" s="110"/>
      <c r="X44" s="110"/>
      <c r="Y44" s="110"/>
      <c r="Z44" s="110"/>
    </row>
    <row r="45" ht="13.5" customHeight="1">
      <c r="A45" s="181"/>
      <c r="B45" s="192"/>
      <c r="C45" s="193"/>
      <c r="D45" s="194"/>
      <c r="E45" s="195"/>
      <c r="F45" s="165"/>
      <c r="G45" s="165"/>
      <c r="H45" s="165"/>
      <c r="I45" s="165"/>
      <c r="J45" s="165"/>
      <c r="K45" s="165"/>
      <c r="L45" s="165"/>
      <c r="M45" s="165"/>
      <c r="N45" s="196"/>
      <c r="O45" s="196"/>
      <c r="P45" s="196"/>
      <c r="Q45" s="196"/>
      <c r="R45" s="196"/>
      <c r="S45" s="196"/>
      <c r="T45" s="319"/>
      <c r="U45" s="110"/>
      <c r="V45" s="110"/>
      <c r="W45" s="110"/>
      <c r="X45" s="110"/>
      <c r="Y45" s="110"/>
      <c r="Z45" s="110"/>
    </row>
    <row r="46" ht="13.5" customHeight="1">
      <c r="A46" s="228"/>
      <c r="B46" s="229"/>
      <c r="C46" s="230"/>
      <c r="D46" s="231"/>
      <c r="E46" s="232"/>
      <c r="F46" s="165"/>
      <c r="G46" s="165"/>
      <c r="H46" s="165"/>
      <c r="I46" s="165"/>
      <c r="J46" s="165"/>
      <c r="K46" s="165"/>
      <c r="L46" s="165"/>
      <c r="M46" s="165"/>
      <c r="N46" s="233"/>
      <c r="O46" s="233"/>
      <c r="P46" s="233"/>
      <c r="Q46" s="233"/>
      <c r="R46" s="233"/>
      <c r="S46" s="233"/>
      <c r="T46" s="322"/>
      <c r="U46" s="110"/>
      <c r="V46" s="110"/>
      <c r="W46" s="110"/>
      <c r="X46" s="110"/>
      <c r="Y46" s="110"/>
      <c r="Z46" s="110"/>
    </row>
    <row r="47" ht="13.5" customHeight="1">
      <c r="A47" s="228"/>
      <c r="B47" s="256"/>
      <c r="C47" s="257"/>
      <c r="D47" s="258"/>
      <c r="E47" s="232"/>
      <c r="F47" s="298"/>
      <c r="G47" s="298"/>
      <c r="H47" s="298"/>
      <c r="I47" s="298"/>
      <c r="J47" s="298"/>
      <c r="K47" s="298"/>
      <c r="L47" s="298"/>
      <c r="M47" s="298"/>
      <c r="N47" s="233"/>
      <c r="O47" s="233"/>
      <c r="P47" s="233"/>
      <c r="Q47" s="233"/>
      <c r="R47" s="233"/>
      <c r="S47" s="233"/>
      <c r="T47" s="322"/>
      <c r="U47" s="110"/>
      <c r="V47" s="110"/>
      <c r="W47" s="110"/>
      <c r="X47" s="110"/>
      <c r="Y47" s="110"/>
      <c r="Z47" s="110"/>
    </row>
    <row r="48" ht="18.0" customHeight="1">
      <c r="A48" s="176" t="s">
        <v>367</v>
      </c>
      <c r="B48" s="197" t="s">
        <v>368</v>
      </c>
      <c r="C48" s="198"/>
      <c r="D48" s="199"/>
      <c r="E48" s="200"/>
      <c r="F48" s="325" t="s">
        <v>220</v>
      </c>
      <c r="G48" s="325" t="s">
        <v>221</v>
      </c>
      <c r="H48" s="325" t="s">
        <v>221</v>
      </c>
      <c r="I48" s="325" t="s">
        <v>220</v>
      </c>
      <c r="J48" s="325" t="s">
        <v>220</v>
      </c>
      <c r="K48" s="325" t="s">
        <v>220</v>
      </c>
      <c r="L48" s="325" t="s">
        <v>38</v>
      </c>
      <c r="M48" s="165"/>
      <c r="N48" s="201"/>
      <c r="O48" s="201"/>
      <c r="P48" s="201"/>
      <c r="Q48" s="201"/>
      <c r="R48" s="201"/>
      <c r="S48" s="201"/>
      <c r="T48" s="326"/>
      <c r="U48" s="110"/>
      <c r="V48" s="110"/>
      <c r="W48" s="110"/>
      <c r="X48" s="110"/>
      <c r="Y48" s="110"/>
      <c r="Z48" s="110"/>
    </row>
    <row r="49" ht="17.25" customHeight="1">
      <c r="A49" s="260"/>
      <c r="B49" s="204" t="s">
        <v>369</v>
      </c>
      <c r="C49" s="12"/>
      <c r="D49" s="13"/>
      <c r="E49" s="205"/>
      <c r="F49" s="206"/>
      <c r="G49" s="206"/>
      <c r="H49" s="206"/>
      <c r="I49" s="206"/>
      <c r="J49" s="206"/>
      <c r="K49" s="206"/>
      <c r="L49" s="206"/>
      <c r="M49" s="165"/>
      <c r="N49" s="206"/>
      <c r="O49" s="206"/>
      <c r="P49" s="206"/>
      <c r="Q49" s="206"/>
      <c r="R49" s="206"/>
      <c r="S49" s="206"/>
      <c r="T49" s="327"/>
      <c r="U49" s="110"/>
      <c r="V49" s="110"/>
      <c r="W49" s="110"/>
      <c r="X49" s="110"/>
      <c r="Y49" s="110"/>
      <c r="Z49" s="110"/>
    </row>
    <row r="50" ht="19.5" customHeight="1">
      <c r="A50" s="260"/>
      <c r="B50" s="208" t="s">
        <v>371</v>
      </c>
      <c r="C50" s="12"/>
      <c r="D50" s="13"/>
      <c r="E50" s="209"/>
      <c r="F50" s="210"/>
      <c r="G50" s="210"/>
      <c r="H50" s="210"/>
      <c r="I50" s="210"/>
      <c r="J50" s="210"/>
      <c r="K50" s="210"/>
      <c r="L50" s="210"/>
      <c r="M50" s="165"/>
      <c r="N50" s="210"/>
      <c r="O50" s="210"/>
      <c r="P50" s="210"/>
      <c r="Q50" s="210"/>
      <c r="R50" s="210"/>
      <c r="S50" s="210"/>
      <c r="T50" s="328"/>
      <c r="U50" s="110"/>
      <c r="V50" s="110"/>
      <c r="W50" s="110"/>
      <c r="X50" s="110"/>
      <c r="Y50" s="110"/>
      <c r="Z50" s="110"/>
    </row>
    <row r="51" ht="18.0" customHeight="1">
      <c r="A51" s="261"/>
      <c r="B51" s="215" t="s">
        <v>372</v>
      </c>
      <c r="C51" s="216"/>
      <c r="D51" s="217"/>
      <c r="E51" s="218"/>
      <c r="F51" s="219"/>
      <c r="G51" s="219"/>
      <c r="H51" s="219"/>
      <c r="I51" s="219"/>
      <c r="J51" s="219"/>
      <c r="K51" s="219"/>
      <c r="L51" s="219"/>
      <c r="M51" s="219"/>
      <c r="N51" s="219"/>
      <c r="O51" s="219"/>
      <c r="P51" s="219"/>
      <c r="Q51" s="219"/>
      <c r="R51" s="219"/>
      <c r="S51" s="219"/>
      <c r="T51" s="329"/>
      <c r="U51" s="110"/>
      <c r="V51" s="110"/>
      <c r="W51" s="110"/>
      <c r="X51" s="110"/>
      <c r="Y51" s="110"/>
      <c r="Z51" s="110"/>
    </row>
    <row r="52" ht="12.0" customHeight="1">
      <c r="A52" s="143"/>
      <c r="B52" s="110"/>
      <c r="C52" s="111"/>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ht="13.5" customHeight="1">
      <c r="A251" s="110"/>
      <c r="B251" s="143"/>
      <c r="C251" s="110"/>
      <c r="D251" s="111"/>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T2"/>
    <mergeCell ref="C3:E3"/>
    <mergeCell ref="F3:K3"/>
    <mergeCell ref="L3:N3"/>
    <mergeCell ref="A3:B3"/>
    <mergeCell ref="A4:B4"/>
    <mergeCell ref="C4:D4"/>
    <mergeCell ref="F4:K4"/>
    <mergeCell ref="L4:T4"/>
    <mergeCell ref="A5:B5"/>
    <mergeCell ref="C5:T5"/>
    <mergeCell ref="O6:T6"/>
    <mergeCell ref="O7:T7"/>
    <mergeCell ref="B48:D48"/>
    <mergeCell ref="B49:D49"/>
    <mergeCell ref="B50:D50"/>
    <mergeCell ref="B51:D51"/>
    <mergeCell ref="A6:B6"/>
    <mergeCell ref="C6:E6"/>
    <mergeCell ref="F6:K6"/>
    <mergeCell ref="L6:N6"/>
    <mergeCell ref="A7:B7"/>
    <mergeCell ref="C7:E7"/>
    <mergeCell ref="F7:K7"/>
  </mergeCells>
  <dataValidations>
    <dataValidation type="list" allowBlank="1" showInputMessage="1" showErrorMessage="1" prompt=" - " sqref="F49:T49">
      <formula1>"P,F"</formula1>
    </dataValidation>
    <dataValidation type="list" allowBlank="1" showInputMessage="1" showErrorMessage="1" prompt=" - " sqref="F10:T47">
      <formula1>"O"</formula1>
    </dataValidation>
    <dataValidation type="list" allowBlank="1" showInputMessage="1" showErrorMessage="1" prompt=" - " sqref="F48:T48">
      <formula1>"N,A,B"</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6" width="5.5"/>
    <col customWidth="1" min="7" max="7" width="4.63"/>
    <col customWidth="1" min="8" max="8" width="4.38"/>
    <col customWidth="1" min="9" max="9" width="4.0"/>
    <col customWidth="1" min="10" max="10" width="3.75"/>
    <col customWidth="1" min="11" max="11" width="4.63"/>
    <col customWidth="1" min="12" max="12" width="5.5"/>
    <col customWidth="1" min="13" max="13" width="5.88"/>
    <col customWidth="1" min="14"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Functions!E38</f>
        <v>F-28</v>
      </c>
      <c r="D2" s="113"/>
      <c r="E2" s="115"/>
      <c r="F2" s="116" t="s">
        <v>71</v>
      </c>
      <c r="G2" s="117"/>
      <c r="H2" s="117"/>
      <c r="I2" s="117"/>
      <c r="J2" s="117"/>
      <c r="K2" s="117"/>
      <c r="L2" s="118" t="str">
        <f>Functions!D38</f>
        <v>FEFO/MLOR scenarios, equality, deadline and priority</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123"/>
      <c r="P3" s="123"/>
      <c r="Q3" s="123"/>
      <c r="R3" s="123"/>
      <c r="S3" s="123"/>
      <c r="T3" s="279"/>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13.5" customHeight="1">
      <c r="A5" s="121" t="s">
        <v>342</v>
      </c>
      <c r="B5" s="13"/>
      <c r="C5" s="132" t="s">
        <v>277</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COUNTIF(F47:K47,"P")</f>
        <v>0</v>
      </c>
      <c r="B7" s="138"/>
      <c r="C7" s="139">
        <f>COUNTIF(F47:K47,"F")</f>
        <v>0</v>
      </c>
      <c r="D7" s="140"/>
      <c r="E7" s="138"/>
      <c r="F7" s="139">
        <f>SUM(O7,-A7,-C7)</f>
        <v>5</v>
      </c>
      <c r="G7" s="140"/>
      <c r="H7" s="140"/>
      <c r="I7" s="140"/>
      <c r="J7" s="140"/>
      <c r="K7" s="138"/>
      <c r="L7" s="141">
        <f>COUNTIF(F46:K46,"N")</f>
        <v>0</v>
      </c>
      <c r="M7" s="141">
        <f>COUNTIF(F46:K46,"A")</f>
        <v>3</v>
      </c>
      <c r="N7" s="141">
        <f>COUNTIF(F46:K46,"B")</f>
        <v>2</v>
      </c>
      <c r="O7" s="139">
        <f>COUNTA(F9:K9)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338" t="s">
        <v>344</v>
      </c>
      <c r="G9" s="338" t="s">
        <v>345</v>
      </c>
      <c r="H9" s="338" t="s">
        <v>346</v>
      </c>
      <c r="I9" s="338" t="s">
        <v>347</v>
      </c>
      <c r="J9" s="338" t="s">
        <v>348</v>
      </c>
      <c r="K9" s="338"/>
      <c r="L9" s="338"/>
      <c r="M9" s="338"/>
      <c r="N9" s="338"/>
      <c r="O9" s="338"/>
      <c r="P9" s="338"/>
      <c r="Q9" s="338"/>
      <c r="R9" s="338"/>
      <c r="S9" s="338"/>
      <c r="T9" s="339"/>
      <c r="U9" s="150"/>
      <c r="V9" s="120"/>
      <c r="W9" s="110"/>
      <c r="X9" s="110"/>
      <c r="Y9" s="110"/>
      <c r="Z9" s="110"/>
    </row>
    <row r="10" ht="13.5" customHeight="1">
      <c r="A10" s="151" t="s">
        <v>350</v>
      </c>
      <c r="B10" s="163" t="s">
        <v>351</v>
      </c>
      <c r="C10" s="171"/>
      <c r="D10" s="249"/>
      <c r="E10" s="248"/>
      <c r="F10" s="165"/>
      <c r="G10" s="165"/>
      <c r="H10" s="165"/>
      <c r="I10" s="165"/>
      <c r="J10" s="165"/>
      <c r="K10" s="165"/>
      <c r="L10" s="165"/>
      <c r="M10" s="165"/>
      <c r="N10" s="165"/>
      <c r="O10" s="165"/>
      <c r="P10" s="165"/>
      <c r="Q10" s="165"/>
      <c r="R10" s="165"/>
      <c r="S10" s="165"/>
      <c r="T10" s="165"/>
      <c r="U10" s="110"/>
      <c r="V10" s="110"/>
      <c r="W10" s="110"/>
      <c r="X10" s="110"/>
      <c r="Y10" s="110"/>
      <c r="Z10" s="110"/>
    </row>
    <row r="11" ht="13.5" customHeight="1">
      <c r="A11" s="162"/>
      <c r="B11" s="249"/>
      <c r="C11" s="171"/>
      <c r="D11" s="174" t="s">
        <v>629</v>
      </c>
      <c r="E11" s="155"/>
      <c r="F11" s="165" t="s">
        <v>353</v>
      </c>
      <c r="G11" s="165"/>
      <c r="H11" s="165"/>
      <c r="I11" s="165"/>
      <c r="J11" s="165"/>
      <c r="K11" s="165"/>
      <c r="L11" s="165"/>
      <c r="M11" s="165"/>
      <c r="N11" s="165"/>
      <c r="O11" s="165"/>
      <c r="P11" s="165"/>
      <c r="Q11" s="165"/>
      <c r="R11" s="165"/>
      <c r="S11" s="165"/>
      <c r="T11" s="304"/>
      <c r="U11" s="110"/>
      <c r="V11" s="120"/>
      <c r="W11" s="110"/>
      <c r="X11" s="110"/>
      <c r="Y11" s="110"/>
      <c r="Z11" s="110"/>
    </row>
    <row r="12" ht="13.5" customHeight="1">
      <c r="A12" s="162"/>
      <c r="B12" s="163"/>
      <c r="C12" s="171"/>
      <c r="D12" s="249"/>
      <c r="E12" s="155"/>
      <c r="F12" s="165"/>
      <c r="G12" s="165"/>
      <c r="H12" s="165"/>
      <c r="I12" s="165"/>
      <c r="J12" s="165"/>
      <c r="K12" s="165"/>
      <c r="L12" s="165"/>
      <c r="M12" s="165"/>
      <c r="N12" s="165"/>
      <c r="O12" s="165"/>
      <c r="P12" s="165"/>
      <c r="Q12" s="165"/>
      <c r="R12" s="165"/>
      <c r="S12" s="165"/>
      <c r="T12" s="304"/>
      <c r="U12" s="110"/>
      <c r="V12" s="110"/>
      <c r="W12" s="110"/>
      <c r="X12" s="110"/>
      <c r="Y12" s="110"/>
      <c r="Z12" s="110"/>
    </row>
    <row r="13" ht="13.5" customHeight="1">
      <c r="A13" s="162"/>
      <c r="B13" s="249"/>
      <c r="C13" s="171"/>
      <c r="D13" s="174" t="s">
        <v>630</v>
      </c>
      <c r="E13" s="155"/>
      <c r="F13" s="165"/>
      <c r="G13" s="165" t="s">
        <v>353</v>
      </c>
      <c r="H13" s="165"/>
      <c r="I13" s="165"/>
      <c r="J13" s="165"/>
      <c r="K13" s="165"/>
      <c r="L13" s="165"/>
      <c r="M13" s="165"/>
      <c r="N13" s="165"/>
      <c r="O13" s="165"/>
      <c r="P13" s="165"/>
      <c r="Q13" s="165"/>
      <c r="R13" s="165"/>
      <c r="S13" s="165"/>
      <c r="T13" s="304"/>
      <c r="U13" s="110"/>
      <c r="V13" s="110"/>
      <c r="W13" s="110"/>
      <c r="X13" s="110"/>
      <c r="Y13" s="110"/>
      <c r="Z13" s="110"/>
    </row>
    <row r="14" ht="13.5" customHeight="1">
      <c r="A14" s="162"/>
      <c r="B14" s="163"/>
      <c r="C14" s="171"/>
      <c r="D14" s="174" t="s">
        <v>631</v>
      </c>
      <c r="E14" s="173"/>
      <c r="F14" s="165"/>
      <c r="G14" s="165"/>
      <c r="H14" s="165" t="s">
        <v>353</v>
      </c>
      <c r="I14" s="165"/>
      <c r="J14" s="165"/>
      <c r="K14" s="165"/>
      <c r="L14" s="165"/>
      <c r="M14" s="165"/>
      <c r="N14" s="165"/>
      <c r="O14" s="165"/>
      <c r="P14" s="165"/>
      <c r="Q14" s="165"/>
      <c r="R14" s="165"/>
      <c r="S14" s="165"/>
      <c r="T14" s="304"/>
      <c r="U14" s="110"/>
      <c r="V14" s="110"/>
      <c r="W14" s="110"/>
      <c r="X14" s="110"/>
      <c r="Y14" s="110"/>
      <c r="Z14" s="110"/>
    </row>
    <row r="15" ht="13.5" customHeight="1">
      <c r="A15" s="162"/>
      <c r="B15" s="163"/>
      <c r="C15" s="171"/>
      <c r="D15" s="174" t="s">
        <v>632</v>
      </c>
      <c r="E15" s="173"/>
      <c r="F15" s="165"/>
      <c r="G15" s="165"/>
      <c r="H15" s="165"/>
      <c r="I15" s="165" t="s">
        <v>353</v>
      </c>
      <c r="J15" s="165"/>
      <c r="K15" s="165"/>
      <c r="L15" s="165"/>
      <c r="M15" s="165"/>
      <c r="N15" s="165"/>
      <c r="O15" s="165"/>
      <c r="P15" s="165"/>
      <c r="Q15" s="165"/>
      <c r="R15" s="165"/>
      <c r="S15" s="165"/>
      <c r="T15" s="304"/>
      <c r="U15" s="110"/>
      <c r="V15" s="110"/>
      <c r="W15" s="110"/>
      <c r="X15" s="110"/>
      <c r="Y15" s="110"/>
      <c r="Z15" s="110"/>
    </row>
    <row r="16" ht="13.5" customHeight="1">
      <c r="A16" s="162"/>
      <c r="B16" s="163"/>
      <c r="C16" s="171"/>
      <c r="D16" s="174" t="s">
        <v>633</v>
      </c>
      <c r="E16" s="173"/>
      <c r="F16" s="165"/>
      <c r="G16" s="165"/>
      <c r="H16" s="165"/>
      <c r="I16" s="165"/>
      <c r="J16" s="165" t="s">
        <v>353</v>
      </c>
      <c r="K16" s="165"/>
      <c r="L16" s="165"/>
      <c r="M16" s="165"/>
      <c r="N16" s="165"/>
      <c r="O16" s="165"/>
      <c r="P16" s="165"/>
      <c r="Q16" s="165"/>
      <c r="R16" s="165"/>
      <c r="S16" s="165"/>
      <c r="T16" s="304"/>
      <c r="U16" s="110"/>
      <c r="V16" s="110"/>
      <c r="W16" s="110"/>
      <c r="X16" s="110"/>
      <c r="Y16" s="110"/>
      <c r="Z16" s="110"/>
    </row>
    <row r="17" ht="13.5" customHeight="1">
      <c r="A17" s="162"/>
      <c r="B17" s="163"/>
      <c r="C17" s="171"/>
      <c r="D17" s="174"/>
      <c r="E17" s="173"/>
      <c r="F17" s="165"/>
      <c r="G17" s="165"/>
      <c r="H17" s="165"/>
      <c r="I17" s="165"/>
      <c r="J17" s="165"/>
      <c r="K17" s="165"/>
      <c r="L17" s="165"/>
      <c r="M17" s="165"/>
      <c r="N17" s="165"/>
      <c r="O17" s="165"/>
      <c r="P17" s="165"/>
      <c r="Q17" s="165"/>
      <c r="R17" s="165"/>
      <c r="S17" s="165"/>
      <c r="T17" s="304"/>
      <c r="U17" s="175"/>
      <c r="V17" s="110"/>
      <c r="W17" s="110"/>
      <c r="X17" s="110"/>
      <c r="Y17" s="110"/>
      <c r="Z17" s="110"/>
    </row>
    <row r="18" ht="13.5" customHeight="1">
      <c r="A18" s="162"/>
      <c r="B18" s="163"/>
      <c r="C18" s="171"/>
      <c r="D18" s="174"/>
      <c r="E18" s="173"/>
      <c r="F18" s="165"/>
      <c r="G18" s="165"/>
      <c r="H18" s="165"/>
      <c r="I18" s="165"/>
      <c r="J18" s="165"/>
      <c r="K18" s="165"/>
      <c r="L18" s="165"/>
      <c r="M18" s="165"/>
      <c r="N18" s="165"/>
      <c r="O18" s="165"/>
      <c r="P18" s="165"/>
      <c r="Q18" s="165"/>
      <c r="R18" s="165"/>
      <c r="S18" s="165"/>
      <c r="T18" s="304"/>
      <c r="U18" s="175"/>
      <c r="V18" s="110"/>
      <c r="W18" s="110"/>
      <c r="X18" s="110"/>
      <c r="Y18" s="110"/>
      <c r="Z18" s="110"/>
    </row>
    <row r="19" ht="13.5" customHeight="1">
      <c r="A19" s="162"/>
      <c r="B19" s="163"/>
      <c r="C19" s="171"/>
      <c r="D19" s="174"/>
      <c r="E19" s="173"/>
      <c r="F19" s="165"/>
      <c r="G19" s="165"/>
      <c r="H19" s="165"/>
      <c r="I19" s="165"/>
      <c r="J19" s="165"/>
      <c r="K19" s="165"/>
      <c r="L19" s="165"/>
      <c r="M19" s="165"/>
      <c r="N19" s="165"/>
      <c r="O19" s="165"/>
      <c r="P19" s="165"/>
      <c r="Q19" s="165"/>
      <c r="R19" s="165"/>
      <c r="S19" s="165"/>
      <c r="T19" s="304"/>
      <c r="U19" s="175"/>
      <c r="V19" s="110"/>
      <c r="W19" s="110"/>
      <c r="X19" s="110"/>
      <c r="Y19" s="110"/>
      <c r="Z19" s="110"/>
    </row>
    <row r="20" ht="13.5" customHeight="1">
      <c r="A20" s="162"/>
      <c r="B20" s="163"/>
      <c r="C20" s="171"/>
      <c r="D20" s="174"/>
      <c r="E20" s="155"/>
      <c r="F20" s="165"/>
      <c r="G20" s="165"/>
      <c r="H20" s="165"/>
      <c r="I20" s="165"/>
      <c r="J20" s="165"/>
      <c r="K20" s="165"/>
      <c r="L20" s="165"/>
      <c r="M20" s="165"/>
      <c r="N20" s="165"/>
      <c r="O20" s="165"/>
      <c r="P20" s="165"/>
      <c r="Q20" s="165"/>
      <c r="R20" s="165"/>
      <c r="S20" s="165"/>
      <c r="T20" s="304"/>
      <c r="U20" s="110"/>
      <c r="V20" s="110"/>
      <c r="W20" s="110"/>
      <c r="X20" s="110"/>
      <c r="Y20" s="110"/>
      <c r="Z20" s="110"/>
    </row>
    <row r="21" ht="13.5" customHeight="1">
      <c r="A21" s="162"/>
      <c r="B21" s="347"/>
      <c r="C21" s="349"/>
      <c r="D21" s="350"/>
      <c r="E21" s="351"/>
      <c r="F21" s="165"/>
      <c r="G21" s="165"/>
      <c r="H21" s="165"/>
      <c r="I21" s="165"/>
      <c r="J21" s="165"/>
      <c r="K21" s="165"/>
      <c r="L21" s="165"/>
      <c r="M21" s="165"/>
      <c r="N21" s="165"/>
      <c r="O21" s="165"/>
      <c r="P21" s="165"/>
      <c r="Q21" s="165"/>
      <c r="R21" s="165"/>
      <c r="S21" s="165"/>
      <c r="T21" s="304"/>
      <c r="U21" s="110"/>
      <c r="V21" s="110"/>
      <c r="W21" s="110"/>
      <c r="X21" s="110"/>
      <c r="Y21" s="110"/>
      <c r="Z21" s="110"/>
    </row>
    <row r="22" ht="13.5" customHeight="1">
      <c r="A22" s="162"/>
      <c r="B22" s="353"/>
      <c r="C22" s="349"/>
      <c r="D22" s="354"/>
      <c r="E22" s="351"/>
      <c r="F22" s="355"/>
      <c r="G22" s="356"/>
      <c r="H22" s="355"/>
      <c r="I22" s="355"/>
      <c r="J22" s="355"/>
      <c r="K22" s="356"/>
      <c r="L22" s="165"/>
      <c r="M22" s="165"/>
      <c r="N22" s="165"/>
      <c r="O22" s="165"/>
      <c r="P22" s="165"/>
      <c r="Q22" s="165"/>
      <c r="R22" s="165"/>
      <c r="S22" s="165"/>
      <c r="T22" s="304"/>
      <c r="U22" s="110"/>
      <c r="V22" s="110"/>
      <c r="W22" s="110"/>
      <c r="X22" s="110"/>
      <c r="Y22" s="110"/>
      <c r="Z22" s="110"/>
    </row>
    <row r="23" ht="13.5" customHeight="1">
      <c r="A23" s="162"/>
      <c r="B23" s="353"/>
      <c r="C23" s="349"/>
      <c r="D23" s="354"/>
      <c r="E23" s="155"/>
      <c r="F23" s="355"/>
      <c r="G23" s="356"/>
      <c r="H23" s="356"/>
      <c r="I23" s="355"/>
      <c r="J23" s="356"/>
      <c r="K23" s="355"/>
      <c r="L23" s="165"/>
      <c r="M23" s="165"/>
      <c r="N23" s="165"/>
      <c r="O23" s="165"/>
      <c r="P23" s="165"/>
      <c r="Q23" s="165"/>
      <c r="R23" s="165"/>
      <c r="S23" s="165"/>
      <c r="T23" s="304"/>
      <c r="U23" s="110"/>
      <c r="V23" s="110"/>
      <c r="W23" s="110"/>
      <c r="X23" s="110"/>
      <c r="Y23" s="110"/>
      <c r="Z23" s="110"/>
    </row>
    <row r="24" ht="13.5" customHeight="1">
      <c r="A24" s="162"/>
      <c r="B24" s="347"/>
      <c r="C24" s="349"/>
      <c r="D24" s="358"/>
      <c r="E24" s="351"/>
      <c r="F24" s="165"/>
      <c r="G24" s="165"/>
      <c r="H24" s="165"/>
      <c r="I24" s="165"/>
      <c r="J24" s="165"/>
      <c r="K24" s="165"/>
      <c r="L24" s="165"/>
      <c r="M24" s="165"/>
      <c r="N24" s="165"/>
      <c r="O24" s="165"/>
      <c r="P24" s="165"/>
      <c r="Q24" s="165"/>
      <c r="R24" s="165"/>
      <c r="S24" s="165"/>
      <c r="T24" s="304"/>
      <c r="U24" s="110"/>
      <c r="V24" s="110"/>
      <c r="W24" s="110"/>
      <c r="X24" s="110"/>
      <c r="Y24" s="110"/>
      <c r="Z24" s="110"/>
    </row>
    <row r="25" ht="13.5" customHeight="1">
      <c r="A25" s="162"/>
      <c r="B25" s="353"/>
      <c r="C25" s="349"/>
      <c r="D25" s="354"/>
      <c r="E25" s="351"/>
      <c r="F25" s="355"/>
      <c r="G25" s="356"/>
      <c r="H25" s="356"/>
      <c r="I25" s="355"/>
      <c r="J25" s="356"/>
      <c r="K25" s="356"/>
      <c r="L25" s="165"/>
      <c r="M25" s="165"/>
      <c r="N25" s="165"/>
      <c r="O25" s="165"/>
      <c r="P25" s="165"/>
      <c r="Q25" s="165"/>
      <c r="R25" s="165"/>
      <c r="S25" s="165"/>
      <c r="T25" s="304"/>
      <c r="U25" s="110"/>
      <c r="V25" s="110"/>
      <c r="W25" s="110"/>
      <c r="X25" s="110"/>
      <c r="Y25" s="110"/>
      <c r="Z25" s="110"/>
    </row>
    <row r="26" ht="13.5" customHeight="1">
      <c r="A26" s="162"/>
      <c r="B26" s="353"/>
      <c r="C26" s="349"/>
      <c r="D26" s="354"/>
      <c r="E26" s="351"/>
      <c r="F26" s="355"/>
      <c r="G26" s="355"/>
      <c r="H26" s="356"/>
      <c r="I26" s="356"/>
      <c r="J26" s="356"/>
      <c r="K26" s="355"/>
      <c r="L26" s="165"/>
      <c r="M26" s="165"/>
      <c r="N26" s="165"/>
      <c r="O26" s="165"/>
      <c r="P26" s="165"/>
      <c r="Q26" s="165"/>
      <c r="R26" s="165"/>
      <c r="S26" s="165"/>
      <c r="T26" s="304"/>
      <c r="U26" s="110"/>
      <c r="V26" s="110"/>
      <c r="W26" s="110"/>
      <c r="X26" s="110"/>
      <c r="Y26" s="110"/>
      <c r="Z26" s="110"/>
    </row>
    <row r="27" ht="13.5" customHeight="1">
      <c r="A27" s="162"/>
      <c r="B27" s="353"/>
      <c r="C27" s="349"/>
      <c r="D27" s="354"/>
      <c r="E27" s="351"/>
      <c r="F27" s="355"/>
      <c r="G27" s="355"/>
      <c r="H27" s="355"/>
      <c r="I27" s="356"/>
      <c r="J27" s="356"/>
      <c r="K27" s="355"/>
      <c r="L27" s="165"/>
      <c r="M27" s="165"/>
      <c r="N27" s="165"/>
      <c r="O27" s="165"/>
      <c r="P27" s="165"/>
      <c r="Q27" s="165"/>
      <c r="R27" s="165"/>
      <c r="S27" s="165"/>
      <c r="T27" s="304"/>
      <c r="U27" s="110"/>
      <c r="V27" s="110"/>
      <c r="W27" s="110"/>
      <c r="X27" s="110"/>
      <c r="Y27" s="110"/>
      <c r="Z27" s="110"/>
    </row>
    <row r="28" ht="13.5" customHeight="1">
      <c r="A28" s="162"/>
      <c r="B28" s="347"/>
      <c r="C28" s="349"/>
      <c r="D28" s="358"/>
      <c r="E28" s="351"/>
      <c r="F28" s="165"/>
      <c r="G28" s="165"/>
      <c r="H28" s="165"/>
      <c r="I28" s="165"/>
      <c r="J28" s="165"/>
      <c r="K28" s="165"/>
      <c r="L28" s="165"/>
      <c r="M28" s="165"/>
      <c r="N28" s="165"/>
      <c r="O28" s="165"/>
      <c r="P28" s="165"/>
      <c r="Q28" s="165"/>
      <c r="R28" s="165"/>
      <c r="S28" s="165"/>
      <c r="T28" s="304"/>
      <c r="U28" s="110"/>
      <c r="V28" s="110"/>
      <c r="W28" s="110"/>
      <c r="X28" s="110"/>
      <c r="Y28" s="110"/>
      <c r="Z28" s="110"/>
    </row>
    <row r="29" ht="13.5" customHeight="1">
      <c r="A29" s="162"/>
      <c r="B29" s="353"/>
      <c r="C29" s="349"/>
      <c r="D29" s="354"/>
      <c r="E29" s="351"/>
      <c r="F29" s="355"/>
      <c r="G29" s="356"/>
      <c r="H29" s="356"/>
      <c r="I29" s="355"/>
      <c r="J29" s="355"/>
      <c r="K29" s="356"/>
      <c r="L29" s="165"/>
      <c r="M29" s="165"/>
      <c r="N29" s="165"/>
      <c r="O29" s="165"/>
      <c r="P29" s="165"/>
      <c r="Q29" s="165"/>
      <c r="R29" s="165"/>
      <c r="S29" s="165"/>
      <c r="T29" s="304"/>
      <c r="U29" s="110"/>
      <c r="V29" s="110"/>
      <c r="W29" s="110"/>
      <c r="X29" s="110"/>
      <c r="Y29" s="110"/>
      <c r="Z29" s="110"/>
    </row>
    <row r="30" ht="13.5" customHeight="1">
      <c r="A30" s="162"/>
      <c r="B30" s="353"/>
      <c r="C30" s="349"/>
      <c r="D30" s="354"/>
      <c r="E30" s="351"/>
      <c r="F30" s="355"/>
      <c r="G30" s="355"/>
      <c r="H30" s="355"/>
      <c r="I30" s="356"/>
      <c r="J30" s="356"/>
      <c r="K30" s="355"/>
      <c r="L30" s="165"/>
      <c r="M30" s="165"/>
      <c r="N30" s="165"/>
      <c r="O30" s="165"/>
      <c r="P30" s="165"/>
      <c r="Q30" s="165"/>
      <c r="R30" s="165"/>
      <c r="S30" s="165"/>
      <c r="T30" s="304"/>
      <c r="U30" s="110"/>
      <c r="V30" s="110"/>
      <c r="W30" s="110"/>
      <c r="X30" s="110"/>
      <c r="Y30" s="110"/>
      <c r="Z30" s="110"/>
    </row>
    <row r="31" ht="13.5" customHeight="1">
      <c r="A31" s="162"/>
      <c r="B31" s="347"/>
      <c r="C31" s="349"/>
      <c r="D31" s="249"/>
      <c r="E31" s="351"/>
      <c r="F31" s="355"/>
      <c r="G31" s="355"/>
      <c r="H31" s="355"/>
      <c r="I31" s="355"/>
      <c r="J31" s="355"/>
      <c r="K31" s="355"/>
      <c r="L31" s="165"/>
      <c r="M31" s="165"/>
      <c r="N31" s="165"/>
      <c r="O31" s="165"/>
      <c r="P31" s="165"/>
      <c r="Q31" s="165"/>
      <c r="R31" s="165"/>
      <c r="S31" s="165"/>
      <c r="T31" s="304"/>
      <c r="U31" s="110"/>
      <c r="V31" s="110"/>
      <c r="W31" s="110"/>
      <c r="X31" s="110"/>
      <c r="Y31" s="110"/>
      <c r="Z31" s="110"/>
    </row>
    <row r="32" ht="13.5" customHeight="1">
      <c r="A32" s="162"/>
      <c r="B32" s="363"/>
      <c r="C32" s="364"/>
      <c r="D32" s="365"/>
      <c r="E32" s="366"/>
      <c r="F32" s="367"/>
      <c r="G32" s="367"/>
      <c r="H32" s="367"/>
      <c r="I32" s="367"/>
      <c r="J32" s="367"/>
      <c r="K32" s="367"/>
      <c r="L32" s="196"/>
      <c r="M32" s="298"/>
      <c r="N32" s="298"/>
      <c r="O32" s="298"/>
      <c r="P32" s="298"/>
      <c r="Q32" s="298"/>
      <c r="R32" s="298"/>
      <c r="S32" s="298"/>
      <c r="T32" s="312"/>
      <c r="U32" s="110"/>
      <c r="V32" s="110"/>
      <c r="W32" s="110"/>
      <c r="X32" s="110"/>
      <c r="Y32" s="110"/>
      <c r="Z32" s="110"/>
    </row>
    <row r="33" ht="13.5" customHeight="1">
      <c r="A33" s="176" t="s">
        <v>359</v>
      </c>
      <c r="B33" s="370" t="s">
        <v>360</v>
      </c>
      <c r="C33" s="372"/>
      <c r="D33" s="374"/>
      <c r="E33" s="375"/>
      <c r="F33" s="378"/>
      <c r="G33" s="378"/>
      <c r="H33" s="378"/>
      <c r="I33" s="378"/>
      <c r="J33" s="378"/>
      <c r="K33" s="378"/>
      <c r="L33" s="378"/>
      <c r="M33" s="378"/>
      <c r="N33" s="378"/>
      <c r="O33" s="378"/>
      <c r="P33" s="378"/>
      <c r="Q33" s="156"/>
      <c r="R33" s="156"/>
      <c r="S33" s="156"/>
      <c r="T33" s="313"/>
      <c r="U33" s="110"/>
      <c r="V33" s="110"/>
      <c r="W33" s="110"/>
      <c r="X33" s="110"/>
      <c r="Y33" s="110"/>
      <c r="Z33" s="110"/>
    </row>
    <row r="34" ht="13.5" customHeight="1">
      <c r="A34" s="181"/>
      <c r="B34" s="255"/>
      <c r="C34" s="183"/>
      <c r="D34" s="184" t="s">
        <v>637</v>
      </c>
      <c r="E34" s="185"/>
      <c r="F34" s="165" t="s">
        <v>353</v>
      </c>
      <c r="G34" s="165"/>
      <c r="H34" s="165"/>
      <c r="I34" s="165"/>
      <c r="J34" s="165"/>
      <c r="K34" s="165"/>
      <c r="L34" s="165"/>
      <c r="M34" s="165"/>
      <c r="N34" s="165"/>
      <c r="O34" s="165"/>
      <c r="P34" s="165"/>
      <c r="Q34" s="165"/>
      <c r="R34" s="165"/>
      <c r="S34" s="165"/>
      <c r="T34" s="304"/>
      <c r="U34" s="110"/>
      <c r="V34" s="110"/>
      <c r="W34" s="110"/>
      <c r="X34" s="110"/>
      <c r="Y34" s="110"/>
      <c r="Z34" s="110"/>
    </row>
    <row r="35" ht="13.5" customHeight="1">
      <c r="A35" s="181"/>
      <c r="B35" s="255"/>
      <c r="C35" s="183"/>
      <c r="D35" s="184" t="s">
        <v>642</v>
      </c>
      <c r="E35" s="185"/>
      <c r="F35" s="165"/>
      <c r="G35" s="165" t="s">
        <v>353</v>
      </c>
      <c r="H35" s="165"/>
      <c r="I35" s="165"/>
      <c r="J35" s="165"/>
      <c r="K35" s="165"/>
      <c r="L35" s="165"/>
      <c r="M35" s="165"/>
      <c r="N35" s="165"/>
      <c r="O35" s="165"/>
      <c r="P35" s="165"/>
      <c r="Q35" s="165"/>
      <c r="R35" s="165"/>
      <c r="S35" s="165"/>
      <c r="T35" s="304"/>
      <c r="U35" s="110"/>
      <c r="V35" s="110"/>
      <c r="W35" s="110"/>
      <c r="X35" s="110"/>
      <c r="Y35" s="110"/>
      <c r="Z35" s="110"/>
    </row>
    <row r="36" ht="13.5" customHeight="1">
      <c r="A36" s="181"/>
      <c r="B36" s="255"/>
      <c r="C36" s="183"/>
      <c r="D36" s="184"/>
      <c r="E36" s="185"/>
      <c r="F36" s="165"/>
      <c r="G36" s="165"/>
      <c r="H36" s="165"/>
      <c r="I36" s="165"/>
      <c r="J36" s="165"/>
      <c r="K36" s="165"/>
      <c r="L36" s="165"/>
      <c r="M36" s="165"/>
      <c r="N36" s="165"/>
      <c r="O36" s="165"/>
      <c r="P36" s="165"/>
      <c r="Q36" s="165"/>
      <c r="R36" s="165"/>
      <c r="S36" s="165"/>
      <c r="T36" s="304"/>
      <c r="U36" s="110"/>
      <c r="V36" s="110"/>
      <c r="W36" s="110"/>
      <c r="X36" s="110"/>
      <c r="Y36" s="110"/>
      <c r="Z36" s="110"/>
    </row>
    <row r="37" ht="13.5" customHeight="1">
      <c r="A37" s="181"/>
      <c r="B37" s="255"/>
      <c r="C37" s="183"/>
      <c r="D37" s="184" t="s">
        <v>646</v>
      </c>
      <c r="E37" s="185"/>
      <c r="F37" s="165"/>
      <c r="G37" s="165"/>
      <c r="H37" s="165" t="s">
        <v>353</v>
      </c>
      <c r="I37" s="165"/>
      <c r="J37" s="165"/>
      <c r="K37" s="165"/>
      <c r="L37" s="165"/>
      <c r="M37" s="165"/>
      <c r="N37" s="165"/>
      <c r="O37" s="165"/>
      <c r="P37" s="165"/>
      <c r="Q37" s="165"/>
      <c r="R37" s="165"/>
      <c r="S37" s="165"/>
      <c r="T37" s="304"/>
      <c r="U37" s="110"/>
      <c r="V37" s="110"/>
      <c r="W37" s="110"/>
      <c r="X37" s="110"/>
      <c r="Y37" s="110"/>
      <c r="Z37" s="110"/>
    </row>
    <row r="38" ht="13.5" customHeight="1">
      <c r="A38" s="181"/>
      <c r="B38" s="255"/>
      <c r="C38" s="183"/>
      <c r="D38" s="384" t="s">
        <v>648</v>
      </c>
      <c r="E38" s="185"/>
      <c r="F38" s="165"/>
      <c r="G38" s="165"/>
      <c r="H38" s="165"/>
      <c r="I38" s="165" t="s">
        <v>353</v>
      </c>
      <c r="J38" s="165"/>
      <c r="K38" s="165"/>
      <c r="L38" s="165"/>
      <c r="M38" s="165"/>
      <c r="N38" s="165"/>
      <c r="O38" s="165"/>
      <c r="P38" s="165"/>
      <c r="Q38" s="165"/>
      <c r="R38" s="165"/>
      <c r="S38" s="165"/>
      <c r="T38" s="304"/>
      <c r="U38" s="110"/>
      <c r="V38" s="110"/>
      <c r="W38" s="110"/>
      <c r="X38" s="110"/>
      <c r="Y38" s="110"/>
      <c r="Z38" s="110"/>
    </row>
    <row r="39" ht="13.5" customHeight="1">
      <c r="A39" s="181"/>
      <c r="B39" s="255"/>
      <c r="C39" s="183"/>
      <c r="D39" s="384" t="s">
        <v>649</v>
      </c>
      <c r="E39" s="185"/>
      <c r="F39" s="165"/>
      <c r="G39" s="165"/>
      <c r="H39" s="165"/>
      <c r="I39" s="165"/>
      <c r="J39" s="165" t="s">
        <v>353</v>
      </c>
      <c r="K39" s="165"/>
      <c r="L39" s="165"/>
      <c r="M39" s="165"/>
      <c r="N39" s="165"/>
      <c r="O39" s="165"/>
      <c r="P39" s="165"/>
      <c r="Q39" s="165"/>
      <c r="R39" s="165"/>
      <c r="S39" s="165"/>
      <c r="T39" s="304"/>
      <c r="U39" s="110"/>
      <c r="V39" s="110"/>
      <c r="W39" s="110"/>
      <c r="X39" s="110"/>
      <c r="Y39" s="110"/>
      <c r="Z39" s="110"/>
    </row>
    <row r="40" ht="13.5" customHeight="1">
      <c r="A40" s="181"/>
      <c r="B40" s="385"/>
      <c r="C40" s="183"/>
      <c r="D40" s="384"/>
      <c r="E40" s="188"/>
      <c r="F40" s="165"/>
      <c r="G40" s="165"/>
      <c r="H40" s="165"/>
      <c r="I40" s="165"/>
      <c r="J40" s="165"/>
      <c r="K40" s="165"/>
      <c r="L40" s="165"/>
      <c r="M40" s="165"/>
      <c r="N40" s="165"/>
      <c r="O40" s="165"/>
      <c r="P40" s="165"/>
      <c r="Q40" s="165"/>
      <c r="R40" s="165"/>
      <c r="S40" s="165"/>
      <c r="T40" s="304"/>
      <c r="U40" s="110"/>
      <c r="V40" s="110"/>
      <c r="W40" s="110"/>
      <c r="X40" s="110"/>
      <c r="Y40" s="110"/>
      <c r="Z40" s="110"/>
    </row>
    <row r="41" ht="13.5" customHeight="1">
      <c r="A41" s="181"/>
      <c r="B41" s="255"/>
      <c r="C41" s="183"/>
      <c r="D41" s="384"/>
      <c r="E41" s="188"/>
      <c r="F41" s="165"/>
      <c r="G41" s="165"/>
      <c r="H41" s="165"/>
      <c r="I41" s="165"/>
      <c r="J41" s="165"/>
      <c r="K41" s="165"/>
      <c r="L41" s="165"/>
      <c r="M41" s="165"/>
      <c r="N41" s="165"/>
      <c r="O41" s="165"/>
      <c r="P41" s="165"/>
      <c r="Q41" s="165"/>
      <c r="R41" s="165"/>
      <c r="S41" s="165"/>
      <c r="T41" s="304"/>
      <c r="U41" s="110"/>
      <c r="V41" s="110"/>
      <c r="W41" s="110"/>
      <c r="X41" s="110"/>
      <c r="Y41" s="110"/>
      <c r="Z41" s="110"/>
    </row>
    <row r="42" ht="13.5" customHeight="1">
      <c r="A42" s="181"/>
      <c r="B42" s="255"/>
      <c r="C42" s="183"/>
      <c r="D42" s="184"/>
      <c r="E42" s="188"/>
      <c r="F42" s="165"/>
      <c r="G42" s="165"/>
      <c r="H42" s="165"/>
      <c r="I42" s="165"/>
      <c r="J42" s="165"/>
      <c r="K42" s="165"/>
      <c r="L42" s="165"/>
      <c r="M42" s="165"/>
      <c r="N42" s="165"/>
      <c r="O42" s="165"/>
      <c r="P42" s="165"/>
      <c r="Q42" s="165"/>
      <c r="R42" s="165"/>
      <c r="S42" s="165"/>
      <c r="T42" s="304"/>
      <c r="U42" s="110"/>
      <c r="V42" s="110"/>
      <c r="W42" s="110"/>
      <c r="X42" s="110"/>
      <c r="Y42" s="110"/>
      <c r="Z42" s="110"/>
    </row>
    <row r="43" ht="13.5" customHeight="1">
      <c r="A43" s="181"/>
      <c r="B43" s="385"/>
      <c r="C43" s="183"/>
      <c r="D43" s="184"/>
      <c r="E43" s="188"/>
      <c r="F43" s="165"/>
      <c r="G43" s="165"/>
      <c r="H43" s="165"/>
      <c r="I43" s="165"/>
      <c r="J43" s="165"/>
      <c r="K43" s="165"/>
      <c r="L43" s="165"/>
      <c r="M43" s="165"/>
      <c r="N43" s="165"/>
      <c r="O43" s="165"/>
      <c r="P43" s="165"/>
      <c r="Q43" s="165"/>
      <c r="R43" s="165"/>
      <c r="S43" s="165"/>
      <c r="T43" s="304"/>
      <c r="U43" s="110"/>
      <c r="V43" s="110"/>
      <c r="W43" s="110"/>
      <c r="X43" s="110"/>
      <c r="Y43" s="110"/>
      <c r="Z43" s="110"/>
    </row>
    <row r="44" ht="13.5" customHeight="1">
      <c r="A44" s="181"/>
      <c r="B44" s="255"/>
      <c r="C44" s="193"/>
      <c r="D44" s="194"/>
      <c r="E44" s="388"/>
      <c r="F44" s="165"/>
      <c r="G44" s="165"/>
      <c r="H44" s="165"/>
      <c r="I44" s="165"/>
      <c r="J44" s="165"/>
      <c r="K44" s="165"/>
      <c r="L44" s="165"/>
      <c r="M44" s="196"/>
      <c r="N44" s="196"/>
      <c r="O44" s="196"/>
      <c r="P44" s="196"/>
      <c r="Q44" s="196"/>
      <c r="R44" s="196"/>
      <c r="S44" s="196"/>
      <c r="T44" s="319"/>
      <c r="U44" s="110"/>
      <c r="V44" s="110"/>
      <c r="W44" s="110"/>
      <c r="X44" s="110"/>
      <c r="Y44" s="110"/>
      <c r="Z44" s="110"/>
    </row>
    <row r="45" ht="13.5" customHeight="1">
      <c r="A45" s="181"/>
      <c r="B45" s="332"/>
      <c r="C45" s="333"/>
      <c r="D45" s="334"/>
      <c r="E45" s="195"/>
      <c r="F45" s="165"/>
      <c r="G45" s="165"/>
      <c r="H45" s="165"/>
      <c r="I45" s="165"/>
      <c r="J45" s="165"/>
      <c r="K45" s="165"/>
      <c r="L45" s="196"/>
      <c r="M45" s="196"/>
      <c r="N45" s="196"/>
      <c r="O45" s="196"/>
      <c r="P45" s="196"/>
      <c r="Q45" s="196"/>
      <c r="R45" s="196"/>
      <c r="S45" s="196"/>
      <c r="T45" s="319"/>
      <c r="U45" s="110"/>
      <c r="V45" s="110"/>
      <c r="W45" s="110"/>
      <c r="X45" s="110"/>
      <c r="Y45" s="110"/>
      <c r="Z45" s="110"/>
    </row>
    <row r="46" ht="13.5" customHeight="1">
      <c r="A46" s="176" t="s">
        <v>367</v>
      </c>
      <c r="B46" s="389" t="s">
        <v>368</v>
      </c>
      <c r="C46" s="198"/>
      <c r="D46" s="199"/>
      <c r="E46" s="200"/>
      <c r="F46" s="201" t="s">
        <v>221</v>
      </c>
      <c r="G46" s="201" t="s">
        <v>221</v>
      </c>
      <c r="H46" s="201" t="s">
        <v>38</v>
      </c>
      <c r="I46" s="201" t="s">
        <v>38</v>
      </c>
      <c r="J46" s="201" t="s">
        <v>38</v>
      </c>
      <c r="K46" s="201"/>
      <c r="L46" s="201"/>
      <c r="M46" s="201"/>
      <c r="N46" s="201"/>
      <c r="O46" s="201"/>
      <c r="P46" s="201"/>
      <c r="Q46" s="201"/>
      <c r="R46" s="201"/>
      <c r="S46" s="201"/>
      <c r="T46" s="326"/>
      <c r="U46" s="110"/>
      <c r="V46" s="110"/>
      <c r="W46" s="110"/>
      <c r="X46" s="110"/>
      <c r="Y46" s="110"/>
      <c r="Z46" s="110"/>
    </row>
    <row r="47" ht="13.5" customHeight="1">
      <c r="A47" s="260"/>
      <c r="B47" s="391" t="s">
        <v>369</v>
      </c>
      <c r="C47" s="12"/>
      <c r="D47" s="13"/>
      <c r="E47" s="205"/>
      <c r="F47" s="206"/>
      <c r="G47" s="206"/>
      <c r="H47" s="206"/>
      <c r="I47" s="206"/>
      <c r="J47" s="206"/>
      <c r="K47" s="206"/>
      <c r="L47" s="165"/>
      <c r="M47" s="206"/>
      <c r="N47" s="206"/>
      <c r="O47" s="206"/>
      <c r="P47" s="206"/>
      <c r="Q47" s="206"/>
      <c r="R47" s="206"/>
      <c r="S47" s="206"/>
      <c r="T47" s="327"/>
      <c r="U47" s="110"/>
      <c r="V47" s="110"/>
      <c r="W47" s="110"/>
      <c r="X47" s="110"/>
      <c r="Y47" s="110"/>
      <c r="Z47" s="110"/>
    </row>
    <row r="48" ht="13.5" customHeight="1">
      <c r="A48" s="260"/>
      <c r="B48" s="392" t="s">
        <v>371</v>
      </c>
      <c r="C48" s="12"/>
      <c r="D48" s="13"/>
      <c r="E48" s="209"/>
      <c r="F48" s="210"/>
      <c r="G48" s="210"/>
      <c r="H48" s="210"/>
      <c r="I48" s="210"/>
      <c r="J48" s="210"/>
      <c r="K48" s="210"/>
      <c r="L48" s="165"/>
      <c r="M48" s="210"/>
      <c r="N48" s="210"/>
      <c r="O48" s="210"/>
      <c r="P48" s="210"/>
      <c r="Q48" s="210"/>
      <c r="R48" s="210"/>
      <c r="S48" s="210"/>
      <c r="T48" s="328"/>
      <c r="U48" s="110"/>
      <c r="V48" s="110"/>
      <c r="W48" s="110"/>
      <c r="X48" s="110"/>
      <c r="Y48" s="110"/>
      <c r="Z48" s="110"/>
    </row>
    <row r="49" ht="12.0" customHeight="1">
      <c r="A49" s="261"/>
      <c r="B49" s="393" t="s">
        <v>372</v>
      </c>
      <c r="C49" s="216"/>
      <c r="D49" s="217"/>
      <c r="E49" s="218"/>
      <c r="F49" s="219"/>
      <c r="G49" s="219"/>
      <c r="H49" s="219"/>
      <c r="I49" s="219"/>
      <c r="J49" s="219"/>
      <c r="K49" s="219"/>
      <c r="L49" s="219"/>
      <c r="M49" s="219"/>
      <c r="N49" s="219"/>
      <c r="O49" s="219"/>
      <c r="P49" s="219"/>
      <c r="Q49" s="219"/>
      <c r="R49" s="219"/>
      <c r="S49" s="219"/>
      <c r="T49" s="329"/>
      <c r="U49" s="110"/>
      <c r="V49" s="110"/>
      <c r="W49" s="110"/>
      <c r="X49" s="110"/>
      <c r="Y49" s="110"/>
      <c r="Z49" s="110"/>
    </row>
    <row r="50" ht="12.0" customHeight="1">
      <c r="A50" s="143"/>
      <c r="B50" s="110"/>
      <c r="C50" s="111"/>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T2"/>
    <mergeCell ref="C3:E3"/>
    <mergeCell ref="F3:K3"/>
    <mergeCell ref="L3:T3"/>
    <mergeCell ref="A3:B3"/>
    <mergeCell ref="A4:B4"/>
    <mergeCell ref="C4:D4"/>
    <mergeCell ref="F4:K4"/>
    <mergeCell ref="L4:T4"/>
    <mergeCell ref="A5:B5"/>
    <mergeCell ref="C5:T5"/>
    <mergeCell ref="O6:T6"/>
    <mergeCell ref="O7:T7"/>
    <mergeCell ref="B46:D46"/>
    <mergeCell ref="B47:D47"/>
    <mergeCell ref="B48:D48"/>
    <mergeCell ref="B49:D49"/>
    <mergeCell ref="A6:B6"/>
    <mergeCell ref="C6:E6"/>
    <mergeCell ref="F6:K6"/>
    <mergeCell ref="L6:N6"/>
    <mergeCell ref="A7:B7"/>
    <mergeCell ref="C7:E7"/>
    <mergeCell ref="F7:K7"/>
  </mergeCells>
  <dataValidations>
    <dataValidation type="list" allowBlank="1" showInputMessage="1" showErrorMessage="1" prompt=" - " sqref="F47:K47 M47:T47">
      <formula1>"P,F"</formula1>
    </dataValidation>
    <dataValidation type="list" allowBlank="1" showInputMessage="1" showErrorMessage="1" prompt=" - " sqref="F10:T45 L47:L48">
      <formula1>"O"</formula1>
    </dataValidation>
    <dataValidation type="list" allowBlank="1" showInputMessage="1" showErrorMessage="1" prompt=" - " sqref="F46:T46">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6" width="5.5"/>
    <col customWidth="1" min="7" max="7" width="4.63"/>
    <col customWidth="1" min="8" max="8" width="4.38"/>
    <col customWidth="1" min="9" max="9" width="4.0"/>
    <col customWidth="1" min="10" max="10" width="3.75"/>
    <col customWidth="1" min="11" max="11" width="4.63"/>
    <col customWidth="1" min="12" max="12" width="5.5"/>
    <col customWidth="1" min="13" max="13" width="5.88"/>
    <col customWidth="1" min="14" max="15" width="4.25"/>
    <col customWidth="1" min="16" max="16" width="5.5"/>
    <col customWidth="1" min="17" max="21" width="2.88"/>
    <col customWidth="1" min="22" max="23" width="9.0"/>
    <col customWidth="1" min="24" max="26" width="10.0"/>
  </cols>
  <sheetData>
    <row r="1" ht="13.5" customHeight="1">
      <c r="A1" s="340"/>
      <c r="B1" s="340"/>
      <c r="C1" s="341"/>
      <c r="D1" s="341"/>
      <c r="E1" s="341"/>
      <c r="F1" s="341"/>
      <c r="G1" s="341"/>
      <c r="H1" s="341"/>
      <c r="I1" s="341"/>
      <c r="J1" s="341"/>
      <c r="K1" s="341"/>
      <c r="L1" s="341"/>
      <c r="M1" s="341"/>
      <c r="N1" s="341"/>
      <c r="O1" s="341"/>
      <c r="P1" s="341"/>
      <c r="Q1" s="341"/>
      <c r="R1" s="341"/>
      <c r="S1" s="341"/>
      <c r="T1" s="341"/>
      <c r="U1" s="341"/>
      <c r="V1" s="110"/>
      <c r="W1" s="110"/>
      <c r="X1" s="110"/>
      <c r="Y1" s="110"/>
      <c r="Z1" s="110"/>
    </row>
    <row r="2" ht="13.5" customHeight="1">
      <c r="A2" s="342" t="s">
        <v>337</v>
      </c>
      <c r="B2" s="113"/>
      <c r="C2" s="343" t="str">
        <f>Functions!E39</f>
        <v>F-29</v>
      </c>
      <c r="D2" s="113"/>
      <c r="E2" s="115"/>
      <c r="F2" s="344" t="s">
        <v>71</v>
      </c>
      <c r="G2" s="117"/>
      <c r="H2" s="117"/>
      <c r="I2" s="117"/>
      <c r="J2" s="117"/>
      <c r="K2" s="117"/>
      <c r="L2" s="118" t="str">
        <f>Functions!D39</f>
        <v>Distance-band intervals and versioned transit rules</v>
      </c>
      <c r="M2" s="113"/>
      <c r="N2" s="113"/>
      <c r="O2" s="113"/>
      <c r="P2" s="113"/>
      <c r="Q2" s="113"/>
      <c r="R2" s="113"/>
      <c r="S2" s="113"/>
      <c r="T2" s="119"/>
      <c r="U2" s="341"/>
      <c r="V2" s="120"/>
      <c r="W2" s="110"/>
      <c r="X2" s="110"/>
      <c r="Y2" s="110"/>
      <c r="Z2" s="110"/>
    </row>
    <row r="3" ht="13.5" customHeight="1">
      <c r="A3" s="345" t="s">
        <v>338</v>
      </c>
      <c r="B3" s="13"/>
      <c r="C3" s="321" t="s">
        <v>183</v>
      </c>
      <c r="D3" s="12"/>
      <c r="E3" s="13"/>
      <c r="F3" s="346" t="s">
        <v>339</v>
      </c>
      <c r="G3" s="12"/>
      <c r="H3" s="12"/>
      <c r="I3" s="12"/>
      <c r="J3" s="12"/>
      <c r="K3" s="13"/>
      <c r="L3" s="348"/>
      <c r="M3" s="123"/>
      <c r="N3" s="123"/>
      <c r="O3" s="123"/>
      <c r="P3" s="123"/>
      <c r="Q3" s="123"/>
      <c r="R3" s="123"/>
      <c r="S3" s="123"/>
      <c r="T3" s="279"/>
      <c r="U3" s="341"/>
      <c r="V3" s="110"/>
      <c r="W3" s="110"/>
      <c r="X3" s="110"/>
      <c r="Y3" s="110"/>
      <c r="Z3" s="110"/>
    </row>
    <row r="4" ht="13.5" customHeight="1">
      <c r="A4" s="345" t="s">
        <v>340</v>
      </c>
      <c r="B4" s="13"/>
      <c r="C4" s="128"/>
      <c r="D4" s="12"/>
      <c r="E4" s="352"/>
      <c r="F4" s="346" t="s">
        <v>341</v>
      </c>
      <c r="G4" s="12"/>
      <c r="H4" s="12"/>
      <c r="I4" s="12"/>
      <c r="J4" s="12"/>
      <c r="K4" s="13"/>
      <c r="L4" s="130" t="str">
        <f>IF(OR(C4="",Functions!E6="N/A"),"N/A",C4*Functions!E6/1000-O7)</f>
        <v>N/A</v>
      </c>
      <c r="M4" s="12"/>
      <c r="N4" s="12"/>
      <c r="O4" s="12"/>
      <c r="P4" s="12"/>
      <c r="Q4" s="12"/>
      <c r="R4" s="12"/>
      <c r="S4" s="12"/>
      <c r="T4" s="131"/>
      <c r="U4" s="341"/>
      <c r="V4" s="120"/>
      <c r="W4" s="110"/>
      <c r="X4" s="110"/>
      <c r="Y4" s="110"/>
      <c r="Z4" s="110"/>
    </row>
    <row r="5" ht="19.5" customHeight="1">
      <c r="A5" s="345" t="s">
        <v>342</v>
      </c>
      <c r="B5" s="13"/>
      <c r="C5" s="321" t="s">
        <v>283</v>
      </c>
      <c r="D5" s="12"/>
      <c r="E5" s="12"/>
      <c r="F5" s="12"/>
      <c r="G5" s="12"/>
      <c r="H5" s="12"/>
      <c r="I5" s="12"/>
      <c r="J5" s="12"/>
      <c r="K5" s="12"/>
      <c r="L5" s="12"/>
      <c r="M5" s="12"/>
      <c r="N5" s="12"/>
      <c r="O5" s="12"/>
      <c r="P5" s="12"/>
      <c r="Q5" s="12"/>
      <c r="R5" s="12"/>
      <c r="S5" s="12"/>
      <c r="T5" s="131"/>
      <c r="U5" s="341"/>
      <c r="V5" s="110"/>
      <c r="W5" s="110"/>
      <c r="X5" s="110"/>
      <c r="Y5" s="110"/>
      <c r="Z5" s="110"/>
    </row>
    <row r="6" ht="13.5" customHeight="1">
      <c r="A6" s="357" t="s">
        <v>217</v>
      </c>
      <c r="B6" s="13"/>
      <c r="C6" s="134" t="s">
        <v>218</v>
      </c>
      <c r="D6" s="12"/>
      <c r="E6" s="13"/>
      <c r="F6" s="134" t="s">
        <v>219</v>
      </c>
      <c r="G6" s="12"/>
      <c r="H6" s="12"/>
      <c r="I6" s="12"/>
      <c r="J6" s="12"/>
      <c r="K6" s="13"/>
      <c r="L6" s="135" t="s">
        <v>343</v>
      </c>
      <c r="M6" s="12"/>
      <c r="N6" s="12"/>
      <c r="O6" s="134" t="s">
        <v>222</v>
      </c>
      <c r="P6" s="12"/>
      <c r="Q6" s="12"/>
      <c r="R6" s="12"/>
      <c r="S6" s="12"/>
      <c r="T6" s="131"/>
      <c r="U6" s="341"/>
      <c r="V6" s="120"/>
      <c r="W6" s="110"/>
      <c r="X6" s="110"/>
      <c r="Y6" s="110"/>
      <c r="Z6" s="110"/>
    </row>
    <row r="7" ht="13.5" customHeight="1">
      <c r="A7" s="359">
        <f>COUNTIF(F56:O56,"P")</f>
        <v>0</v>
      </c>
      <c r="B7" s="138"/>
      <c r="C7" s="360">
        <f>COUNTIF(F56:O56,"F")</f>
        <v>0</v>
      </c>
      <c r="D7" s="140"/>
      <c r="E7" s="138"/>
      <c r="F7" s="360">
        <f>SUM(O7,-A7,-C7)</f>
        <v>4</v>
      </c>
      <c r="G7" s="140"/>
      <c r="H7" s="140"/>
      <c r="I7" s="140"/>
      <c r="J7" s="140"/>
      <c r="K7" s="138"/>
      <c r="L7" s="361">
        <f>COUNTIF(F55:O55,"N")</f>
        <v>2</v>
      </c>
      <c r="M7" s="361">
        <f>COUNTIF(F55:O55,"A")</f>
        <v>0</v>
      </c>
      <c r="N7" s="361">
        <f>COUNTIF(F55:O55,"B")</f>
        <v>2</v>
      </c>
      <c r="O7" s="360">
        <f>COUNTA(F9:O9)</f>
        <v>4</v>
      </c>
      <c r="P7" s="140"/>
      <c r="Q7" s="140"/>
      <c r="R7" s="140"/>
      <c r="S7" s="140"/>
      <c r="T7" s="284"/>
      <c r="U7" s="362"/>
      <c r="V7" s="110"/>
      <c r="W7" s="110"/>
      <c r="X7" s="110"/>
      <c r="Y7" s="110"/>
      <c r="Z7" s="110"/>
    </row>
    <row r="8" ht="12.0" customHeight="1">
      <c r="A8" s="341"/>
      <c r="B8" s="341"/>
      <c r="C8" s="341"/>
      <c r="D8" s="341"/>
      <c r="E8" s="341"/>
      <c r="F8" s="341"/>
      <c r="G8" s="341"/>
      <c r="H8" s="341"/>
      <c r="I8" s="341"/>
      <c r="J8" s="341"/>
      <c r="K8" s="341"/>
      <c r="L8" s="341"/>
      <c r="M8" s="341"/>
      <c r="N8" s="341"/>
      <c r="O8" s="341"/>
      <c r="P8" s="341"/>
      <c r="Q8" s="341"/>
      <c r="R8" s="341"/>
      <c r="S8" s="341"/>
      <c r="T8" s="341"/>
      <c r="U8" s="341"/>
      <c r="V8" s="110"/>
      <c r="W8" s="110"/>
      <c r="X8" s="110"/>
      <c r="Y8" s="110"/>
      <c r="Z8" s="110"/>
    </row>
    <row r="9" ht="45.0" customHeight="1">
      <c r="A9" s="368"/>
      <c r="B9" s="368"/>
      <c r="C9" s="368"/>
      <c r="D9" s="368"/>
      <c r="E9" s="369"/>
      <c r="F9" s="369" t="s">
        <v>344</v>
      </c>
      <c r="G9" s="369" t="s">
        <v>345</v>
      </c>
      <c r="H9" s="369" t="s">
        <v>346</v>
      </c>
      <c r="I9" s="369" t="s">
        <v>347</v>
      </c>
      <c r="J9" s="369"/>
      <c r="K9" s="369"/>
      <c r="L9" s="369"/>
      <c r="M9" s="369"/>
      <c r="N9" s="369"/>
      <c r="O9" s="369"/>
      <c r="P9" s="247"/>
      <c r="Q9" s="247"/>
      <c r="R9" s="247"/>
      <c r="S9" s="247"/>
      <c r="T9" s="302"/>
    </row>
    <row r="10" ht="13.5" customHeight="1">
      <c r="A10" s="371" t="s">
        <v>350</v>
      </c>
      <c r="B10" s="373" t="s">
        <v>351</v>
      </c>
      <c r="C10" s="376"/>
      <c r="D10" s="376"/>
      <c r="E10" s="377"/>
      <c r="F10" s="376"/>
      <c r="G10" s="376"/>
      <c r="H10" s="376"/>
      <c r="I10" s="376"/>
      <c r="J10" s="376"/>
      <c r="K10" s="376"/>
      <c r="L10" s="376"/>
      <c r="M10" s="376"/>
      <c r="N10" s="376"/>
      <c r="O10" s="376"/>
      <c r="P10" s="379"/>
      <c r="Q10" s="379"/>
      <c r="R10" s="379"/>
      <c r="S10" s="379"/>
      <c r="T10" s="380"/>
    </row>
    <row r="11" ht="13.5" customHeight="1">
      <c r="A11" s="381"/>
      <c r="B11" s="376"/>
      <c r="C11" s="376"/>
      <c r="D11" s="382" t="s">
        <v>638</v>
      </c>
      <c r="E11" s="377"/>
      <c r="F11" s="383" t="s">
        <v>353</v>
      </c>
      <c r="G11" s="383"/>
      <c r="H11" s="383"/>
      <c r="I11" s="383"/>
      <c r="J11" s="383"/>
      <c r="K11" s="383"/>
      <c r="L11" s="383"/>
      <c r="M11" s="383"/>
      <c r="N11" s="376"/>
      <c r="O11" s="383"/>
      <c r="P11" s="379"/>
      <c r="Q11" s="379"/>
      <c r="R11" s="379"/>
      <c r="S11" s="379"/>
      <c r="T11" s="380"/>
    </row>
    <row r="12" ht="13.5" customHeight="1">
      <c r="A12" s="381"/>
      <c r="B12" s="376"/>
      <c r="C12" s="376"/>
      <c r="D12" s="382" t="s">
        <v>640</v>
      </c>
      <c r="E12" s="377"/>
      <c r="F12" s="376"/>
      <c r="G12" s="376" t="s">
        <v>353</v>
      </c>
      <c r="H12" s="376"/>
      <c r="I12" s="376"/>
      <c r="J12" s="376"/>
      <c r="K12" s="376"/>
      <c r="L12" s="376"/>
      <c r="M12" s="376"/>
      <c r="N12" s="383"/>
      <c r="O12" s="376"/>
      <c r="P12" s="379"/>
      <c r="Q12" s="379"/>
      <c r="R12" s="379"/>
      <c r="S12" s="379"/>
      <c r="T12" s="380"/>
    </row>
    <row r="13" ht="13.5" customHeight="1">
      <c r="A13" s="381"/>
      <c r="B13" s="373"/>
      <c r="C13" s="376"/>
      <c r="D13" s="376"/>
      <c r="E13" s="377"/>
      <c r="F13" s="376"/>
      <c r="G13" s="376"/>
      <c r="H13" s="376"/>
      <c r="I13" s="376"/>
      <c r="J13" s="376"/>
      <c r="K13" s="376"/>
      <c r="L13" s="376"/>
      <c r="M13" s="376"/>
      <c r="N13" s="376"/>
      <c r="O13" s="376"/>
      <c r="P13" s="379"/>
      <c r="Q13" s="379"/>
      <c r="R13" s="379"/>
      <c r="S13" s="379"/>
      <c r="T13" s="380"/>
    </row>
    <row r="14" ht="13.5" customHeight="1">
      <c r="A14" s="381"/>
      <c r="B14" s="376"/>
      <c r="C14" s="376"/>
      <c r="D14" s="382" t="s">
        <v>643</v>
      </c>
      <c r="E14" s="377"/>
      <c r="F14" s="383"/>
      <c r="G14" s="383"/>
      <c r="H14" s="383" t="s">
        <v>353</v>
      </c>
      <c r="I14" s="383"/>
      <c r="J14" s="376"/>
      <c r="K14" s="376"/>
      <c r="L14" s="383"/>
      <c r="M14" s="383"/>
      <c r="N14" s="376"/>
      <c r="O14" s="383"/>
      <c r="P14" s="379"/>
      <c r="Q14" s="379"/>
      <c r="R14" s="379"/>
      <c r="S14" s="379"/>
      <c r="T14" s="380"/>
    </row>
    <row r="15" ht="13.5" customHeight="1">
      <c r="A15" s="381"/>
      <c r="B15" s="376"/>
      <c r="C15" s="376"/>
      <c r="D15" s="382" t="s">
        <v>645</v>
      </c>
      <c r="E15" s="377"/>
      <c r="F15" s="376"/>
      <c r="G15" s="376"/>
      <c r="H15" s="376"/>
      <c r="I15" s="376" t="s">
        <v>353</v>
      </c>
      <c r="J15" s="383"/>
      <c r="K15" s="376"/>
      <c r="L15" s="376"/>
      <c r="M15" s="376"/>
      <c r="N15" s="376"/>
      <c r="O15" s="376"/>
      <c r="P15" s="379"/>
      <c r="Q15" s="379"/>
      <c r="R15" s="379"/>
      <c r="S15" s="379"/>
      <c r="T15" s="380"/>
    </row>
    <row r="16" ht="13.5" customHeight="1">
      <c r="A16" s="381"/>
      <c r="B16" s="376"/>
      <c r="C16" s="376"/>
      <c r="D16" s="382"/>
      <c r="E16" s="377"/>
      <c r="F16" s="376"/>
      <c r="G16" s="376"/>
      <c r="H16" s="376"/>
      <c r="I16" s="376"/>
      <c r="J16" s="376"/>
      <c r="K16" s="383"/>
      <c r="L16" s="376"/>
      <c r="M16" s="376"/>
      <c r="N16" s="376"/>
      <c r="O16" s="376"/>
      <c r="P16" s="379"/>
      <c r="Q16" s="379"/>
      <c r="R16" s="379"/>
      <c r="S16" s="379"/>
      <c r="T16" s="380"/>
    </row>
    <row r="17" ht="13.5" customHeight="1">
      <c r="A17" s="381"/>
      <c r="B17" s="376"/>
      <c r="C17" s="376"/>
      <c r="D17" s="382"/>
      <c r="E17" s="377"/>
      <c r="F17" s="376"/>
      <c r="G17" s="376"/>
      <c r="H17" s="376"/>
      <c r="I17" s="376"/>
      <c r="J17" s="376"/>
      <c r="K17" s="376"/>
      <c r="L17" s="376"/>
      <c r="M17" s="376"/>
      <c r="N17" s="383"/>
      <c r="O17" s="376"/>
      <c r="P17" s="379"/>
      <c r="Q17" s="379"/>
      <c r="R17" s="379"/>
      <c r="S17" s="379"/>
      <c r="T17" s="380"/>
    </row>
    <row r="18" ht="13.5" customHeight="1">
      <c r="A18" s="381"/>
      <c r="B18" s="373"/>
      <c r="C18" s="376"/>
      <c r="D18" s="376"/>
      <c r="E18" s="377"/>
      <c r="F18" s="376"/>
      <c r="G18" s="376"/>
      <c r="H18" s="376"/>
      <c r="I18" s="376"/>
      <c r="J18" s="376"/>
      <c r="K18" s="376"/>
      <c r="L18" s="376"/>
      <c r="M18" s="376"/>
      <c r="N18" s="376"/>
      <c r="O18" s="376"/>
      <c r="P18" s="379"/>
      <c r="Q18" s="379"/>
      <c r="R18" s="379"/>
      <c r="S18" s="379"/>
      <c r="T18" s="380"/>
    </row>
    <row r="19" ht="13.5" customHeight="1">
      <c r="A19" s="381"/>
      <c r="B19" s="376"/>
      <c r="C19" s="376"/>
      <c r="D19" s="382"/>
      <c r="E19" s="377"/>
      <c r="F19" s="383"/>
      <c r="G19" s="383"/>
      <c r="H19" s="383"/>
      <c r="I19" s="383"/>
      <c r="J19" s="376"/>
      <c r="K19" s="376"/>
      <c r="L19" s="383"/>
      <c r="M19" s="383"/>
      <c r="N19" s="376"/>
      <c r="O19" s="383"/>
      <c r="P19" s="379"/>
      <c r="Q19" s="379"/>
      <c r="R19" s="379"/>
      <c r="S19" s="379"/>
      <c r="T19" s="380"/>
    </row>
    <row r="20" ht="13.5" customHeight="1">
      <c r="A20" s="381"/>
      <c r="B20" s="376"/>
      <c r="C20" s="376"/>
      <c r="D20" s="382"/>
      <c r="E20" s="377"/>
      <c r="F20" s="376"/>
      <c r="G20" s="376"/>
      <c r="H20" s="376"/>
      <c r="I20" s="376"/>
      <c r="J20" s="376"/>
      <c r="K20" s="383"/>
      <c r="L20" s="376"/>
      <c r="M20" s="376"/>
      <c r="N20" s="376"/>
      <c r="O20" s="376"/>
      <c r="P20" s="379"/>
      <c r="Q20" s="379"/>
      <c r="R20" s="379"/>
      <c r="S20" s="379"/>
      <c r="T20" s="380"/>
    </row>
    <row r="21" ht="13.5" customHeight="1">
      <c r="A21" s="381"/>
      <c r="B21" s="376"/>
      <c r="C21" s="376"/>
      <c r="D21" s="386"/>
      <c r="E21" s="377"/>
      <c r="F21" s="376"/>
      <c r="G21" s="376"/>
      <c r="H21" s="376"/>
      <c r="I21" s="376"/>
      <c r="J21" s="383"/>
      <c r="K21" s="376"/>
      <c r="L21" s="376"/>
      <c r="M21" s="376"/>
      <c r="N21" s="383"/>
      <c r="O21" s="376"/>
      <c r="P21" s="379"/>
      <c r="Q21" s="379"/>
      <c r="R21" s="379"/>
      <c r="S21" s="379"/>
      <c r="T21" s="380"/>
    </row>
    <row r="22" ht="13.5" customHeight="1">
      <c r="A22" s="381"/>
      <c r="B22" s="373"/>
      <c r="C22" s="376"/>
      <c r="D22" s="387"/>
      <c r="E22" s="377"/>
      <c r="F22" s="376"/>
      <c r="G22" s="376"/>
      <c r="H22" s="376"/>
      <c r="I22" s="376"/>
      <c r="J22" s="376"/>
      <c r="K22" s="376"/>
      <c r="L22" s="376"/>
      <c r="M22" s="376"/>
      <c r="N22" s="376"/>
      <c r="O22" s="376"/>
      <c r="P22" s="379"/>
      <c r="Q22" s="379"/>
      <c r="R22" s="379"/>
      <c r="S22" s="379"/>
      <c r="T22" s="380"/>
    </row>
    <row r="23" ht="13.5" customHeight="1">
      <c r="A23" s="381"/>
      <c r="B23" s="376"/>
      <c r="C23" s="376"/>
      <c r="D23" s="386"/>
      <c r="E23" s="377"/>
      <c r="F23" s="383"/>
      <c r="G23" s="383"/>
      <c r="H23" s="383"/>
      <c r="I23" s="383"/>
      <c r="J23" s="376"/>
      <c r="K23" s="376"/>
      <c r="L23" s="383"/>
      <c r="M23" s="383"/>
      <c r="N23" s="376"/>
      <c r="O23" s="376"/>
      <c r="P23" s="379"/>
      <c r="Q23" s="379"/>
      <c r="R23" s="379"/>
      <c r="S23" s="379"/>
      <c r="T23" s="380"/>
    </row>
    <row r="24" ht="13.5" customHeight="1">
      <c r="A24" s="381"/>
      <c r="B24" s="376"/>
      <c r="C24" s="376"/>
      <c r="D24" s="386"/>
      <c r="E24" s="377"/>
      <c r="F24" s="376"/>
      <c r="G24" s="376"/>
      <c r="H24" s="376"/>
      <c r="I24" s="376"/>
      <c r="J24" s="376"/>
      <c r="K24" s="376"/>
      <c r="L24" s="376"/>
      <c r="M24" s="376"/>
      <c r="N24" s="376"/>
      <c r="O24" s="383"/>
      <c r="P24" s="379"/>
      <c r="Q24" s="379"/>
      <c r="R24" s="379"/>
      <c r="S24" s="379"/>
      <c r="T24" s="380"/>
    </row>
    <row r="25" ht="13.5" customHeight="1">
      <c r="A25" s="381"/>
      <c r="B25" s="376"/>
      <c r="C25" s="376"/>
      <c r="D25" s="386"/>
      <c r="E25" s="377"/>
      <c r="F25" s="376"/>
      <c r="G25" s="376"/>
      <c r="H25" s="376"/>
      <c r="I25" s="376"/>
      <c r="J25" s="383"/>
      <c r="K25" s="383"/>
      <c r="L25" s="376"/>
      <c r="M25" s="376"/>
      <c r="N25" s="383"/>
      <c r="O25" s="376"/>
      <c r="P25" s="379"/>
      <c r="Q25" s="379"/>
      <c r="R25" s="379"/>
      <c r="S25" s="379"/>
      <c r="T25" s="380"/>
    </row>
    <row r="26" ht="13.5" customHeight="1">
      <c r="A26" s="381"/>
      <c r="B26" s="373"/>
      <c r="C26" s="376"/>
      <c r="D26" s="387"/>
      <c r="E26" s="377"/>
      <c r="F26" s="376"/>
      <c r="G26" s="376"/>
      <c r="H26" s="376"/>
      <c r="I26" s="376"/>
      <c r="J26" s="376"/>
      <c r="K26" s="376"/>
      <c r="L26" s="376"/>
      <c r="M26" s="376"/>
      <c r="N26" s="376"/>
      <c r="O26" s="376"/>
      <c r="P26" s="379"/>
      <c r="Q26" s="379"/>
      <c r="R26" s="379"/>
      <c r="S26" s="379"/>
      <c r="T26" s="380"/>
    </row>
    <row r="27" ht="13.5" customHeight="1">
      <c r="A27" s="381"/>
      <c r="B27" s="376"/>
      <c r="C27" s="376"/>
      <c r="D27" s="386"/>
      <c r="E27" s="377"/>
      <c r="F27" s="383"/>
      <c r="G27" s="376"/>
      <c r="H27" s="383"/>
      <c r="I27" s="383"/>
      <c r="J27" s="376"/>
      <c r="K27" s="376"/>
      <c r="L27" s="376"/>
      <c r="M27" s="376"/>
      <c r="N27" s="376"/>
      <c r="O27" s="383"/>
      <c r="P27" s="379"/>
      <c r="Q27" s="379"/>
      <c r="R27" s="379"/>
      <c r="S27" s="379"/>
      <c r="T27" s="380"/>
    </row>
    <row r="28" ht="13.5" customHeight="1">
      <c r="A28" s="381"/>
      <c r="B28" s="376"/>
      <c r="C28" s="376"/>
      <c r="D28" s="386"/>
      <c r="E28" s="377"/>
      <c r="F28" s="376"/>
      <c r="G28" s="383"/>
      <c r="H28" s="376"/>
      <c r="I28" s="376"/>
      <c r="J28" s="376"/>
      <c r="K28" s="376"/>
      <c r="L28" s="383"/>
      <c r="M28" s="376"/>
      <c r="N28" s="376"/>
      <c r="O28" s="376"/>
      <c r="P28" s="379"/>
      <c r="Q28" s="379"/>
      <c r="R28" s="379"/>
      <c r="S28" s="379"/>
      <c r="T28" s="380"/>
    </row>
    <row r="29" ht="13.5" customHeight="1">
      <c r="A29" s="381"/>
      <c r="B29" s="376"/>
      <c r="C29" s="376"/>
      <c r="D29" s="386"/>
      <c r="E29" s="377"/>
      <c r="F29" s="376"/>
      <c r="G29" s="376"/>
      <c r="H29" s="376"/>
      <c r="I29" s="376"/>
      <c r="J29" s="383"/>
      <c r="K29" s="383"/>
      <c r="L29" s="376"/>
      <c r="M29" s="383"/>
      <c r="N29" s="383"/>
      <c r="O29" s="376"/>
      <c r="P29" s="379"/>
      <c r="Q29" s="379"/>
      <c r="R29" s="379"/>
      <c r="S29" s="379"/>
      <c r="T29" s="380"/>
    </row>
    <row r="30" ht="13.5" customHeight="1">
      <c r="A30" s="381"/>
      <c r="B30" s="373"/>
      <c r="C30" s="376"/>
      <c r="D30" s="387"/>
      <c r="E30" s="377"/>
      <c r="F30" s="376"/>
      <c r="G30" s="376"/>
      <c r="H30" s="376"/>
      <c r="I30" s="376"/>
      <c r="J30" s="376"/>
      <c r="K30" s="376"/>
      <c r="L30" s="376"/>
      <c r="M30" s="376"/>
      <c r="N30" s="376"/>
      <c r="O30" s="376"/>
      <c r="P30" s="379"/>
      <c r="Q30" s="379"/>
      <c r="R30" s="379"/>
      <c r="S30" s="379"/>
      <c r="T30" s="380"/>
    </row>
    <row r="31" ht="13.5" customHeight="1">
      <c r="A31" s="381"/>
      <c r="B31" s="376"/>
      <c r="C31" s="376"/>
      <c r="D31" s="382"/>
      <c r="E31" s="377"/>
      <c r="F31" s="383"/>
      <c r="G31" s="376"/>
      <c r="H31" s="376"/>
      <c r="I31" s="383"/>
      <c r="J31" s="376"/>
      <c r="K31" s="376"/>
      <c r="L31" s="376"/>
      <c r="M31" s="376"/>
      <c r="N31" s="376"/>
      <c r="O31" s="383"/>
      <c r="P31" s="379"/>
      <c r="Q31" s="379"/>
      <c r="R31" s="379"/>
      <c r="S31" s="379"/>
      <c r="T31" s="380"/>
    </row>
    <row r="32" ht="13.5" customHeight="1">
      <c r="A32" s="381"/>
      <c r="B32" s="376"/>
      <c r="C32" s="376"/>
      <c r="D32" s="382"/>
      <c r="E32" s="377"/>
      <c r="F32" s="376"/>
      <c r="G32" s="376"/>
      <c r="H32" s="383"/>
      <c r="I32" s="376"/>
      <c r="J32" s="376"/>
      <c r="K32" s="376"/>
      <c r="L32" s="376"/>
      <c r="M32" s="383"/>
      <c r="N32" s="376"/>
      <c r="O32" s="376"/>
      <c r="P32" s="379"/>
      <c r="Q32" s="379"/>
      <c r="R32" s="379"/>
      <c r="S32" s="379"/>
      <c r="T32" s="380"/>
    </row>
    <row r="33" ht="13.5" customHeight="1">
      <c r="A33" s="381"/>
      <c r="B33" s="376"/>
      <c r="C33" s="376"/>
      <c r="D33" s="382"/>
      <c r="E33" s="377"/>
      <c r="F33" s="376"/>
      <c r="G33" s="383"/>
      <c r="H33" s="376"/>
      <c r="I33" s="376"/>
      <c r="J33" s="383"/>
      <c r="K33" s="383"/>
      <c r="L33" s="383"/>
      <c r="M33" s="376"/>
      <c r="N33" s="383"/>
      <c r="O33" s="376"/>
      <c r="P33" s="379"/>
      <c r="Q33" s="379"/>
      <c r="R33" s="379"/>
      <c r="S33" s="379"/>
      <c r="T33" s="380"/>
    </row>
    <row r="34" ht="13.5" customHeight="1">
      <c r="A34" s="381"/>
      <c r="B34" s="373"/>
      <c r="C34" s="376"/>
      <c r="D34" s="376"/>
      <c r="E34" s="377"/>
      <c r="F34" s="376"/>
      <c r="G34" s="376"/>
      <c r="H34" s="376"/>
      <c r="I34" s="376"/>
      <c r="J34" s="376"/>
      <c r="K34" s="376"/>
      <c r="L34" s="376"/>
      <c r="M34" s="376"/>
      <c r="N34" s="376"/>
      <c r="O34" s="376"/>
      <c r="P34" s="379"/>
      <c r="Q34" s="379"/>
      <c r="R34" s="379"/>
      <c r="S34" s="379"/>
      <c r="T34" s="390"/>
    </row>
    <row r="35" ht="13.5" customHeight="1">
      <c r="A35" s="381"/>
      <c r="B35" s="376"/>
      <c r="C35" s="376"/>
      <c r="D35" s="382"/>
      <c r="E35" s="377"/>
      <c r="F35" s="383"/>
      <c r="G35" s="376"/>
      <c r="H35" s="376"/>
      <c r="I35" s="376"/>
      <c r="J35" s="376"/>
      <c r="K35" s="376"/>
      <c r="L35" s="376"/>
      <c r="M35" s="376"/>
      <c r="N35" s="376"/>
      <c r="O35" s="383"/>
      <c r="P35" s="379"/>
      <c r="Q35" s="379"/>
      <c r="R35" s="379"/>
      <c r="S35" s="379"/>
      <c r="T35" s="380"/>
    </row>
    <row r="36" ht="13.5" customHeight="1">
      <c r="A36" s="381"/>
      <c r="B36" s="376"/>
      <c r="C36" s="376"/>
      <c r="D36" s="382"/>
      <c r="E36" s="377"/>
      <c r="F36" s="376"/>
      <c r="G36" s="376"/>
      <c r="H36" s="376"/>
      <c r="I36" s="383"/>
      <c r="J36" s="376"/>
      <c r="K36" s="376"/>
      <c r="L36" s="376"/>
      <c r="M36" s="376"/>
      <c r="N36" s="376"/>
      <c r="O36" s="376"/>
      <c r="P36" s="379"/>
      <c r="Q36" s="379"/>
      <c r="R36" s="379"/>
      <c r="S36" s="379"/>
      <c r="T36" s="380"/>
    </row>
    <row r="37" ht="13.5" customHeight="1">
      <c r="A37" s="381"/>
      <c r="B37" s="376"/>
      <c r="C37" s="376"/>
      <c r="D37" s="382"/>
      <c r="E37" s="377"/>
      <c r="F37" s="376"/>
      <c r="G37" s="383"/>
      <c r="H37" s="383"/>
      <c r="I37" s="376"/>
      <c r="J37" s="383"/>
      <c r="K37" s="383"/>
      <c r="L37" s="383"/>
      <c r="M37" s="383"/>
      <c r="N37" s="383"/>
      <c r="O37" s="376"/>
      <c r="P37" s="379"/>
      <c r="Q37" s="379"/>
      <c r="R37" s="379"/>
      <c r="S37" s="379"/>
      <c r="T37" s="380"/>
    </row>
    <row r="38" ht="13.5" customHeight="1">
      <c r="A38" s="371" t="s">
        <v>359</v>
      </c>
      <c r="B38" s="373" t="s">
        <v>360</v>
      </c>
      <c r="C38" s="376"/>
      <c r="D38" s="387"/>
      <c r="E38" s="377"/>
      <c r="F38" s="376"/>
      <c r="G38" s="376"/>
      <c r="H38" s="376"/>
      <c r="I38" s="376"/>
      <c r="J38" s="376"/>
      <c r="K38" s="376"/>
      <c r="L38" s="376"/>
      <c r="M38" s="376"/>
      <c r="N38" s="376"/>
      <c r="O38" s="376"/>
      <c r="P38" s="379"/>
      <c r="Q38" s="379"/>
      <c r="R38" s="379"/>
      <c r="S38" s="379"/>
      <c r="T38" s="380"/>
    </row>
    <row r="39" ht="13.5" customHeight="1">
      <c r="A39" s="381"/>
      <c r="B39" s="376"/>
      <c r="C39" s="376"/>
      <c r="D39" s="386" t="s">
        <v>650</v>
      </c>
      <c r="E39" s="377"/>
      <c r="F39" s="383" t="s">
        <v>353</v>
      </c>
      <c r="G39" s="383"/>
      <c r="H39" s="383"/>
      <c r="I39" s="383"/>
      <c r="J39" s="376"/>
      <c r="K39" s="376"/>
      <c r="L39" s="383"/>
      <c r="M39" s="383"/>
      <c r="N39" s="376"/>
      <c r="O39" s="383"/>
      <c r="P39" s="379"/>
      <c r="Q39" s="379"/>
      <c r="R39" s="379"/>
      <c r="S39" s="379"/>
      <c r="T39" s="380"/>
    </row>
    <row r="40" ht="13.5" customHeight="1">
      <c r="A40" s="381"/>
      <c r="B40" s="376"/>
      <c r="C40" s="376"/>
      <c r="D40" s="386" t="s">
        <v>651</v>
      </c>
      <c r="E40" s="377"/>
      <c r="F40" s="376"/>
      <c r="G40" s="376" t="s">
        <v>353</v>
      </c>
      <c r="H40" s="376"/>
      <c r="I40" s="376"/>
      <c r="J40" s="383"/>
      <c r="K40" s="376"/>
      <c r="L40" s="376"/>
      <c r="M40" s="376"/>
      <c r="N40" s="376"/>
      <c r="O40" s="376"/>
      <c r="P40" s="379"/>
      <c r="Q40" s="379"/>
      <c r="R40" s="379"/>
      <c r="S40" s="379"/>
      <c r="T40" s="380"/>
    </row>
    <row r="41" ht="13.5" customHeight="1">
      <c r="A41" s="381"/>
      <c r="B41" s="376"/>
      <c r="C41" s="376"/>
      <c r="D41" s="386" t="s">
        <v>652</v>
      </c>
      <c r="E41" s="377"/>
      <c r="F41" s="376"/>
      <c r="G41" s="376"/>
      <c r="H41" s="376" t="s">
        <v>353</v>
      </c>
      <c r="I41" s="376"/>
      <c r="J41" s="376"/>
      <c r="K41" s="383"/>
      <c r="L41" s="376"/>
      <c r="M41" s="376"/>
      <c r="N41" s="376"/>
      <c r="O41" s="376"/>
      <c r="P41" s="379"/>
      <c r="Q41" s="379"/>
      <c r="R41" s="379"/>
      <c r="S41" s="379"/>
      <c r="T41" s="380"/>
    </row>
    <row r="42" ht="13.5" customHeight="1">
      <c r="A42" s="381"/>
      <c r="B42" s="376"/>
      <c r="C42" s="376"/>
      <c r="D42" s="382" t="s">
        <v>653</v>
      </c>
      <c r="E42" s="377"/>
      <c r="F42" s="376"/>
      <c r="G42" s="376"/>
      <c r="H42" s="376"/>
      <c r="I42" s="376" t="s">
        <v>353</v>
      </c>
      <c r="J42" s="376"/>
      <c r="K42" s="376"/>
      <c r="L42" s="376"/>
      <c r="M42" s="376"/>
      <c r="N42" s="383"/>
      <c r="O42" s="376"/>
      <c r="P42" s="379"/>
      <c r="Q42" s="379"/>
      <c r="R42" s="379"/>
      <c r="S42" s="379"/>
      <c r="T42" s="380"/>
    </row>
    <row r="43" ht="13.5" customHeight="1">
      <c r="A43" s="381"/>
      <c r="B43" s="373"/>
      <c r="C43" s="376"/>
      <c r="D43" s="376"/>
      <c r="E43" s="377"/>
      <c r="F43" s="376"/>
      <c r="G43" s="376"/>
      <c r="H43" s="376"/>
      <c r="I43" s="376"/>
      <c r="J43" s="376"/>
      <c r="K43" s="376"/>
      <c r="L43" s="376"/>
      <c r="M43" s="376"/>
      <c r="N43" s="376"/>
      <c r="O43" s="376"/>
      <c r="P43" s="394"/>
      <c r="Q43" s="379"/>
      <c r="R43" s="379"/>
      <c r="S43" s="379"/>
      <c r="T43" s="380"/>
    </row>
    <row r="44" ht="13.5" customHeight="1">
      <c r="A44" s="381"/>
      <c r="B44" s="376"/>
      <c r="C44" s="376"/>
      <c r="D44" s="382"/>
      <c r="E44" s="377"/>
      <c r="F44" s="383"/>
      <c r="G44" s="376"/>
      <c r="H44" s="376"/>
      <c r="I44" s="376"/>
      <c r="J44" s="376"/>
      <c r="K44" s="376"/>
      <c r="L44" s="376"/>
      <c r="M44" s="376"/>
      <c r="N44" s="376"/>
      <c r="O44" s="383"/>
      <c r="P44" s="394"/>
      <c r="Q44" s="379"/>
      <c r="R44" s="379"/>
      <c r="S44" s="379"/>
      <c r="T44" s="380"/>
    </row>
    <row r="45" ht="13.5" customHeight="1">
      <c r="A45" s="381"/>
      <c r="B45" s="376"/>
      <c r="C45" s="376"/>
      <c r="D45" s="382"/>
      <c r="E45" s="377"/>
      <c r="F45" s="376"/>
      <c r="G45" s="383"/>
      <c r="H45" s="383"/>
      <c r="I45" s="383"/>
      <c r="J45" s="383"/>
      <c r="K45" s="383"/>
      <c r="L45" s="383"/>
      <c r="M45" s="383"/>
      <c r="N45" s="383"/>
      <c r="O45" s="376"/>
      <c r="P45" s="394"/>
      <c r="Q45" s="379"/>
      <c r="R45" s="379"/>
      <c r="S45" s="379"/>
      <c r="T45" s="380"/>
    </row>
    <row r="46" ht="13.5" customHeight="1">
      <c r="A46" s="381"/>
      <c r="B46" s="373"/>
      <c r="C46" s="376"/>
      <c r="D46" s="376"/>
      <c r="E46" s="377"/>
      <c r="F46" s="376"/>
      <c r="G46" s="376"/>
      <c r="H46" s="376"/>
      <c r="I46" s="376"/>
      <c r="J46" s="376"/>
      <c r="K46" s="376"/>
      <c r="L46" s="376"/>
      <c r="M46" s="376"/>
      <c r="N46" s="376"/>
      <c r="O46" s="376"/>
      <c r="P46" s="379"/>
      <c r="Q46" s="379"/>
      <c r="R46" s="379"/>
      <c r="S46" s="379"/>
      <c r="T46" s="380"/>
    </row>
    <row r="47" ht="13.5" customHeight="1">
      <c r="A47" s="381"/>
      <c r="B47" s="376"/>
      <c r="C47" s="376"/>
      <c r="D47" s="382"/>
      <c r="E47" s="377"/>
      <c r="F47" s="383"/>
      <c r="G47" s="376"/>
      <c r="H47" s="376"/>
      <c r="I47" s="376"/>
      <c r="J47" s="376"/>
      <c r="K47" s="376"/>
      <c r="L47" s="376"/>
      <c r="M47" s="376"/>
      <c r="N47" s="376"/>
      <c r="O47" s="383"/>
      <c r="P47" s="379"/>
      <c r="Q47" s="379"/>
      <c r="R47" s="379"/>
      <c r="S47" s="379"/>
      <c r="T47" s="380"/>
      <c r="U47" s="110"/>
    </row>
    <row r="48" ht="13.5" customHeight="1">
      <c r="A48" s="381"/>
      <c r="B48" s="376"/>
      <c r="C48" s="376"/>
      <c r="D48" s="382"/>
      <c r="E48" s="377"/>
      <c r="F48" s="395"/>
      <c r="G48" s="396"/>
      <c r="H48" s="396"/>
      <c r="I48" s="396"/>
      <c r="J48" s="396"/>
      <c r="K48" s="396"/>
      <c r="L48" s="383"/>
      <c r="M48" s="396"/>
      <c r="N48" s="396"/>
      <c r="O48" s="395"/>
      <c r="P48" s="379"/>
      <c r="Q48" s="379"/>
      <c r="R48" s="379"/>
      <c r="S48" s="379"/>
      <c r="T48" s="380"/>
      <c r="U48" s="110"/>
    </row>
    <row r="49" ht="12.0" customHeight="1">
      <c r="A49" s="381"/>
      <c r="B49" s="373"/>
      <c r="C49" s="376"/>
      <c r="D49" s="376"/>
      <c r="E49" s="377"/>
      <c r="F49" s="376"/>
      <c r="G49" s="376"/>
      <c r="H49" s="376"/>
      <c r="I49" s="376"/>
      <c r="J49" s="376"/>
      <c r="K49" s="376"/>
      <c r="L49" s="376"/>
      <c r="M49" s="376"/>
      <c r="N49" s="376"/>
      <c r="O49" s="376"/>
      <c r="P49" s="379"/>
      <c r="Q49" s="379"/>
      <c r="R49" s="379"/>
      <c r="S49" s="379"/>
      <c r="T49" s="380"/>
      <c r="U49" s="110"/>
    </row>
    <row r="50" ht="12.0" customHeight="1">
      <c r="A50" s="381"/>
      <c r="B50" s="376"/>
      <c r="C50" s="376"/>
      <c r="D50" s="382"/>
      <c r="E50" s="377"/>
      <c r="F50" s="376"/>
      <c r="G50" s="383"/>
      <c r="H50" s="383"/>
      <c r="I50" s="383"/>
      <c r="J50" s="376"/>
      <c r="K50" s="376"/>
      <c r="L50" s="383"/>
      <c r="M50" s="383"/>
      <c r="N50" s="376"/>
      <c r="O50" s="376"/>
      <c r="P50" s="379"/>
      <c r="Q50" s="379"/>
      <c r="R50" s="379"/>
      <c r="S50" s="379"/>
      <c r="T50" s="380"/>
      <c r="U50" s="110"/>
    </row>
    <row r="51" ht="13.5" customHeight="1">
      <c r="A51" s="381"/>
      <c r="B51" s="376"/>
      <c r="C51" s="376"/>
      <c r="D51" s="382"/>
      <c r="E51" s="377"/>
      <c r="F51" s="383"/>
      <c r="G51" s="376"/>
      <c r="H51" s="376"/>
      <c r="I51" s="376"/>
      <c r="J51" s="383"/>
      <c r="K51" s="383"/>
      <c r="L51" s="376"/>
      <c r="M51" s="376"/>
      <c r="N51" s="383"/>
      <c r="O51" s="383"/>
      <c r="P51" s="379"/>
      <c r="Q51" s="379"/>
      <c r="R51" s="379"/>
      <c r="S51" s="379"/>
      <c r="T51" s="380"/>
      <c r="U51" s="110"/>
    </row>
    <row r="52" ht="13.5" customHeight="1">
      <c r="A52" s="381"/>
      <c r="B52" s="373"/>
      <c r="C52" s="376"/>
      <c r="D52" s="376"/>
      <c r="E52" s="377"/>
      <c r="F52" s="376"/>
      <c r="G52" s="376"/>
      <c r="H52" s="376"/>
      <c r="I52" s="376"/>
      <c r="J52" s="376"/>
      <c r="K52" s="376"/>
      <c r="L52" s="376"/>
      <c r="M52" s="376"/>
      <c r="N52" s="376"/>
      <c r="O52" s="376"/>
      <c r="P52" s="379"/>
      <c r="Q52" s="379"/>
      <c r="R52" s="379"/>
      <c r="S52" s="379"/>
      <c r="T52" s="380"/>
      <c r="U52" s="110"/>
    </row>
    <row r="53" ht="13.5" customHeight="1">
      <c r="A53" s="381"/>
      <c r="B53" s="376"/>
      <c r="C53" s="376"/>
      <c r="D53" s="382"/>
      <c r="E53" s="377"/>
      <c r="F53" s="376"/>
      <c r="G53" s="383"/>
      <c r="H53" s="383"/>
      <c r="I53" s="383"/>
      <c r="J53" s="376"/>
      <c r="K53" s="376"/>
      <c r="L53" s="383"/>
      <c r="M53" s="383"/>
      <c r="N53" s="376"/>
      <c r="O53" s="376"/>
      <c r="P53" s="379"/>
      <c r="Q53" s="379"/>
      <c r="R53" s="379"/>
      <c r="S53" s="379"/>
      <c r="T53" s="380"/>
      <c r="U53" s="341"/>
      <c r="V53" s="110"/>
    </row>
    <row r="54" ht="13.5" customHeight="1">
      <c r="A54" s="381"/>
      <c r="B54" s="397"/>
      <c r="C54" s="397"/>
      <c r="D54" s="398"/>
      <c r="E54" s="399"/>
      <c r="F54" s="400"/>
      <c r="G54" s="397"/>
      <c r="H54" s="397"/>
      <c r="I54" s="397"/>
      <c r="J54" s="400"/>
      <c r="K54" s="400"/>
      <c r="L54" s="397"/>
      <c r="M54" s="397"/>
      <c r="N54" s="400"/>
      <c r="O54" s="400"/>
      <c r="P54" s="401"/>
      <c r="Q54" s="401"/>
      <c r="R54" s="402"/>
      <c r="S54" s="402"/>
      <c r="T54" s="403"/>
      <c r="U54" s="110"/>
    </row>
    <row r="55" ht="13.5" customHeight="1">
      <c r="A55" s="404" t="s">
        <v>367</v>
      </c>
      <c r="B55" s="405" t="s">
        <v>368</v>
      </c>
      <c r="C55" s="198"/>
      <c r="D55" s="199"/>
      <c r="E55" s="406"/>
      <c r="F55" s="407" t="s">
        <v>221</v>
      </c>
      <c r="G55" s="407" t="s">
        <v>220</v>
      </c>
      <c r="H55" s="407" t="s">
        <v>220</v>
      </c>
      <c r="I55" s="407" t="s">
        <v>221</v>
      </c>
      <c r="J55" s="407"/>
      <c r="K55" s="407"/>
      <c r="L55" s="407"/>
      <c r="M55" s="407"/>
      <c r="N55" s="407"/>
      <c r="O55" s="407"/>
      <c r="P55" s="407"/>
      <c r="Q55" s="407" t="s">
        <v>220</v>
      </c>
      <c r="R55" s="407" t="s">
        <v>220</v>
      </c>
      <c r="S55" s="407" t="s">
        <v>220</v>
      </c>
      <c r="T55" s="408"/>
      <c r="U55" s="110"/>
    </row>
    <row r="56" ht="13.5" customHeight="1">
      <c r="A56" s="409"/>
      <c r="B56" s="410" t="s">
        <v>369</v>
      </c>
      <c r="C56" s="12"/>
      <c r="D56" s="13"/>
      <c r="E56" s="377"/>
      <c r="F56" s="411"/>
      <c r="G56" s="411"/>
      <c r="H56" s="411"/>
      <c r="I56" s="411"/>
      <c r="J56" s="411"/>
      <c r="K56" s="411"/>
      <c r="L56" s="411"/>
      <c r="M56" s="411"/>
      <c r="N56" s="411"/>
      <c r="O56" s="411"/>
      <c r="P56" s="411"/>
      <c r="Q56" s="411"/>
      <c r="R56" s="411"/>
      <c r="S56" s="411"/>
      <c r="T56" s="380"/>
      <c r="U56" s="110"/>
    </row>
    <row r="57" ht="13.5" customHeight="1">
      <c r="A57" s="409"/>
      <c r="B57" s="410" t="s">
        <v>371</v>
      </c>
      <c r="C57" s="12"/>
      <c r="D57" s="13"/>
      <c r="E57" s="377"/>
      <c r="F57" s="412"/>
      <c r="G57" s="412"/>
      <c r="H57" s="412"/>
      <c r="I57" s="412"/>
      <c r="J57" s="412"/>
      <c r="K57" s="412"/>
      <c r="L57" s="412"/>
      <c r="M57" s="412"/>
      <c r="N57" s="412"/>
      <c r="O57" s="412"/>
      <c r="P57" s="413"/>
      <c r="Q57" s="413"/>
      <c r="R57" s="413"/>
      <c r="S57" s="413"/>
      <c r="T57" s="414"/>
      <c r="U57" s="110"/>
    </row>
    <row r="58" ht="13.5" customHeight="1">
      <c r="A58" s="409"/>
      <c r="B58" s="415" t="s">
        <v>372</v>
      </c>
      <c r="C58" s="216"/>
      <c r="D58" s="217"/>
      <c r="E58" s="416"/>
      <c r="F58" s="417"/>
      <c r="G58" s="417"/>
      <c r="H58" s="417"/>
      <c r="I58" s="417"/>
      <c r="J58" s="417"/>
      <c r="K58" s="417"/>
      <c r="L58" s="417"/>
      <c r="M58" s="417"/>
      <c r="N58" s="417"/>
      <c r="O58" s="417"/>
      <c r="P58" s="417"/>
      <c r="Q58" s="417"/>
      <c r="R58" s="417"/>
      <c r="S58" s="417"/>
      <c r="T58" s="418"/>
      <c r="U58" s="110"/>
    </row>
    <row r="59" ht="13.5" customHeight="1">
      <c r="A59" s="341"/>
      <c r="B59" s="341"/>
      <c r="C59" s="341"/>
      <c r="D59" s="341"/>
      <c r="E59" s="341"/>
      <c r="F59" s="341"/>
      <c r="G59" s="341"/>
      <c r="H59" s="341"/>
      <c r="I59" s="341"/>
      <c r="J59" s="341"/>
      <c r="K59" s="341"/>
      <c r="L59" s="341"/>
      <c r="M59" s="341"/>
      <c r="N59" s="341"/>
      <c r="O59" s="341"/>
      <c r="P59" s="341"/>
      <c r="Q59" s="341"/>
      <c r="R59" s="341"/>
      <c r="S59" s="341"/>
      <c r="T59" s="341"/>
      <c r="U59" s="110"/>
      <c r="V59" s="110"/>
      <c r="W59" s="110"/>
      <c r="X59" s="110"/>
      <c r="Y59" s="110"/>
    </row>
    <row r="60" ht="13.5" customHeight="1">
      <c r="A60" s="110"/>
      <c r="B60" s="143"/>
      <c r="C60" s="110"/>
      <c r="D60" s="111"/>
      <c r="E60" s="110"/>
      <c r="F60" s="110"/>
      <c r="G60" s="110"/>
      <c r="H60" s="110"/>
      <c r="I60" s="110"/>
      <c r="J60" s="110"/>
      <c r="K60" s="110"/>
      <c r="L60" s="110"/>
      <c r="M60" s="110"/>
      <c r="N60" s="110"/>
      <c r="O60" s="110"/>
      <c r="P60" s="110"/>
      <c r="Q60" s="110"/>
      <c r="R60" s="110"/>
    </row>
    <row r="61" ht="13.5" customHeight="1">
      <c r="A61" s="110"/>
      <c r="B61" s="143"/>
      <c r="C61" s="110"/>
      <c r="D61" s="111"/>
      <c r="E61" s="110"/>
      <c r="F61" s="110"/>
      <c r="G61" s="110"/>
      <c r="H61" s="110"/>
      <c r="I61" s="110"/>
      <c r="J61" s="110"/>
      <c r="K61" s="110"/>
      <c r="L61" s="110"/>
      <c r="M61" s="110"/>
      <c r="N61" s="110"/>
      <c r="O61" s="110"/>
      <c r="P61" s="110"/>
      <c r="Q61" s="110"/>
      <c r="R61" s="110"/>
    </row>
    <row r="62" ht="13.5" customHeight="1">
      <c r="A62" s="110"/>
      <c r="B62" s="143"/>
      <c r="C62" s="110"/>
      <c r="D62" s="111"/>
      <c r="E62" s="110"/>
      <c r="F62" s="110"/>
      <c r="G62" s="110"/>
      <c r="H62" s="110"/>
      <c r="I62" s="110"/>
      <c r="J62" s="110"/>
      <c r="K62" s="110"/>
      <c r="L62" s="110"/>
      <c r="M62" s="110"/>
      <c r="N62" s="110"/>
      <c r="O62" s="110"/>
      <c r="P62" s="110"/>
      <c r="Q62" s="110"/>
      <c r="R62" s="110"/>
    </row>
    <row r="63" ht="13.5" customHeight="1">
      <c r="A63" s="110"/>
      <c r="B63" s="143"/>
      <c r="C63" s="110"/>
      <c r="D63" s="111"/>
      <c r="E63" s="110"/>
      <c r="F63" s="110"/>
      <c r="G63" s="110"/>
      <c r="H63" s="110"/>
      <c r="I63" s="110"/>
      <c r="J63" s="110"/>
      <c r="K63" s="110"/>
      <c r="L63" s="110"/>
      <c r="M63" s="110"/>
      <c r="N63" s="110"/>
      <c r="O63" s="110"/>
      <c r="P63" s="110"/>
      <c r="Q63" s="110"/>
      <c r="R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ht="13.5" customHeight="1">
      <c r="A251" s="110"/>
      <c r="B251" s="143"/>
      <c r="C251" s="110"/>
      <c r="D251" s="111"/>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ht="13.5" customHeight="1">
      <c r="A252" s="110"/>
      <c r="B252" s="143"/>
      <c r="C252" s="110"/>
      <c r="D252" s="111"/>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ht="13.5" customHeight="1">
      <c r="A253" s="110"/>
      <c r="B253" s="143"/>
      <c r="C253" s="110"/>
      <c r="D253" s="111"/>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ht="13.5" customHeight="1">
      <c r="A254" s="110"/>
      <c r="B254" s="143"/>
      <c r="C254" s="110"/>
      <c r="D254" s="111"/>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ht="13.5" customHeight="1">
      <c r="A255" s="110"/>
      <c r="B255" s="143"/>
      <c r="C255" s="110"/>
      <c r="D255" s="111"/>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ht="13.5" customHeight="1">
      <c r="A256" s="110"/>
      <c r="B256" s="143"/>
      <c r="C256" s="110"/>
      <c r="D256" s="111"/>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ht="13.5" customHeight="1">
      <c r="A257" s="110"/>
      <c r="B257" s="143"/>
      <c r="C257" s="110"/>
      <c r="D257" s="111"/>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ht="13.5" customHeight="1">
      <c r="A258" s="110"/>
      <c r="B258" s="143"/>
      <c r="C258" s="110"/>
      <c r="D258" s="111"/>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T2"/>
    <mergeCell ref="C3:E3"/>
    <mergeCell ref="F3:K3"/>
    <mergeCell ref="L3:T3"/>
    <mergeCell ref="A3:B3"/>
    <mergeCell ref="A4:B4"/>
    <mergeCell ref="C4:D4"/>
    <mergeCell ref="F4:K4"/>
    <mergeCell ref="L4:T4"/>
    <mergeCell ref="A5:B5"/>
    <mergeCell ref="C5:T5"/>
    <mergeCell ref="O6:T6"/>
    <mergeCell ref="O7:T7"/>
    <mergeCell ref="B55:D55"/>
    <mergeCell ref="B56:D56"/>
    <mergeCell ref="B57:D57"/>
    <mergeCell ref="B58:D58"/>
    <mergeCell ref="A6:B6"/>
    <mergeCell ref="C6:E6"/>
    <mergeCell ref="F6:K6"/>
    <mergeCell ref="L6:N6"/>
    <mergeCell ref="A7:B7"/>
    <mergeCell ref="C7:E7"/>
    <mergeCell ref="F7:K7"/>
  </mergeCells>
  <dataValidations>
    <dataValidation type="list" allowBlank="1" showInputMessage="1" showErrorMessage="1" prompt=" - " sqref="N47:O47 F56:S56">
      <formula1>"P,F"</formula1>
    </dataValidation>
    <dataValidation type="list" allowBlank="1" showInputMessage="1" showErrorMessage="1" prompt=" - " sqref="F10:T45 F46:M54 P46:T54 T55:T56">
      <formula1>"O"</formula1>
    </dataValidation>
    <dataValidation type="list" allowBlank="1" showInputMessage="1" showErrorMessage="1" prompt=" - " sqref="N46:O46 F55:S55">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6" width="5.5"/>
    <col customWidth="1" min="7" max="7" width="5.88"/>
    <col customWidth="1" min="8" max="8" width="5.38"/>
    <col customWidth="1" min="9" max="9" width="5.63"/>
    <col customWidth="1" min="10" max="10" width="5.38"/>
    <col customWidth="1" min="11" max="11" width="6.13"/>
    <col customWidth="1" min="12" max="12" width="6.0"/>
    <col customWidth="1" min="13" max="13" width="5.25"/>
    <col customWidth="1" min="14" max="14" width="4.0"/>
    <col customWidth="1" min="15" max="15" width="4.75"/>
    <col customWidth="1" min="16"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Functions!E40</f>
        <v>F-30</v>
      </c>
      <c r="D2" s="113"/>
      <c r="E2" s="115"/>
      <c r="F2" s="116" t="s">
        <v>71</v>
      </c>
      <c r="G2" s="117"/>
      <c r="H2" s="117"/>
      <c r="I2" s="117"/>
      <c r="J2" s="117"/>
      <c r="K2" s="117"/>
      <c r="L2" s="118" t="str">
        <f>Functions!D40</f>
        <v>Flutter business code formatting and validation</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123"/>
      <c r="P3" s="123"/>
      <c r="Q3" s="123"/>
      <c r="R3" s="123"/>
      <c r="S3" s="123"/>
      <c r="T3" s="279"/>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13.5" customHeight="1">
      <c r="A5" s="121" t="s">
        <v>342</v>
      </c>
      <c r="B5" s="13"/>
      <c r="C5" s="132" t="s">
        <v>288</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COUNTIF(F38:O38,"P")</f>
        <v>0</v>
      </c>
      <c r="B7" s="138"/>
      <c r="C7" s="139">
        <f>COUNTIF(F38:O38,"F")</f>
        <v>0</v>
      </c>
      <c r="D7" s="140"/>
      <c r="E7" s="138"/>
      <c r="F7" s="139">
        <f>SUM(O7,-A7,-C7)</f>
        <v>9</v>
      </c>
      <c r="G7" s="140"/>
      <c r="H7" s="140"/>
      <c r="I7" s="140"/>
      <c r="J7" s="140"/>
      <c r="K7" s="138"/>
      <c r="L7" s="141">
        <f>COUNTIF(F37:O37,"N")</f>
        <v>6</v>
      </c>
      <c r="M7" s="141">
        <f>COUNTIF(F37:O37,"A")</f>
        <v>2</v>
      </c>
      <c r="N7" s="141">
        <f>COUNTIF(F37:O37,"B")</f>
        <v>1</v>
      </c>
      <c r="O7" s="139">
        <f>COUNTA(F9:O9)</f>
        <v>9</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419" t="s">
        <v>344</v>
      </c>
      <c r="G9" s="419" t="s">
        <v>345</v>
      </c>
      <c r="H9" s="419" t="s">
        <v>346</v>
      </c>
      <c r="I9" s="419" t="s">
        <v>347</v>
      </c>
      <c r="J9" s="419" t="s">
        <v>348</v>
      </c>
      <c r="K9" s="419" t="s">
        <v>349</v>
      </c>
      <c r="L9" s="419" t="s">
        <v>458</v>
      </c>
      <c r="M9" s="419" t="s">
        <v>654</v>
      </c>
      <c r="N9" s="419" t="s">
        <v>655</v>
      </c>
      <c r="O9" s="419"/>
      <c r="P9" s="338"/>
      <c r="Q9" s="338"/>
      <c r="R9" s="338"/>
      <c r="S9" s="338"/>
      <c r="T9" s="339"/>
      <c r="U9" s="150"/>
      <c r="V9" s="120"/>
      <c r="W9" s="110"/>
      <c r="X9" s="110"/>
      <c r="Y9" s="110"/>
      <c r="Z9" s="110"/>
    </row>
    <row r="10" ht="13.5" customHeight="1">
      <c r="A10" s="151" t="s">
        <v>350</v>
      </c>
      <c r="B10" s="163" t="s">
        <v>351</v>
      </c>
      <c r="C10" s="171"/>
      <c r="D10" s="420"/>
      <c r="E10" s="421"/>
      <c r="F10" s="422"/>
      <c r="G10" s="422"/>
      <c r="H10" s="422"/>
      <c r="I10" s="422"/>
      <c r="J10" s="422"/>
      <c r="K10" s="422"/>
      <c r="L10" s="422"/>
      <c r="M10" s="422"/>
      <c r="N10" s="422"/>
      <c r="O10" s="422"/>
      <c r="P10" s="423"/>
      <c r="Q10" s="379"/>
      <c r="R10" s="379"/>
      <c r="S10" s="379"/>
      <c r="T10" s="379"/>
      <c r="U10" s="110"/>
      <c r="V10" s="110"/>
      <c r="W10" s="110"/>
      <c r="X10" s="110"/>
      <c r="Y10" s="110"/>
      <c r="Z10" s="110"/>
    </row>
    <row r="11" ht="13.5" customHeight="1">
      <c r="A11" s="162"/>
      <c r="B11" s="385"/>
      <c r="C11" s="171"/>
      <c r="D11" s="174" t="s">
        <v>656</v>
      </c>
      <c r="E11" s="424"/>
      <c r="F11" s="383" t="s">
        <v>353</v>
      </c>
      <c r="G11" s="383"/>
      <c r="H11" s="383"/>
      <c r="I11" s="422"/>
      <c r="J11" s="383"/>
      <c r="K11" s="383"/>
      <c r="L11" s="383"/>
      <c r="M11" s="383"/>
      <c r="N11" s="383"/>
      <c r="O11" s="383"/>
      <c r="P11" s="425"/>
      <c r="Q11" s="379"/>
      <c r="R11" s="379"/>
      <c r="S11" s="379"/>
      <c r="T11" s="380"/>
      <c r="U11" s="110"/>
      <c r="V11" s="120"/>
      <c r="W11" s="110"/>
      <c r="X11" s="110"/>
      <c r="Y11" s="110"/>
      <c r="Z11" s="110"/>
    </row>
    <row r="12" ht="13.5" customHeight="1">
      <c r="A12" s="162"/>
      <c r="B12" s="163"/>
      <c r="C12" s="171"/>
      <c r="D12" s="420" t="s">
        <v>657</v>
      </c>
      <c r="E12" s="424"/>
      <c r="F12" s="422"/>
      <c r="G12" s="422" t="s">
        <v>353</v>
      </c>
      <c r="H12" s="422"/>
      <c r="I12" s="383"/>
      <c r="J12" s="422"/>
      <c r="K12" s="422"/>
      <c r="L12" s="422"/>
      <c r="M12" s="422"/>
      <c r="N12" s="422"/>
      <c r="O12" s="422"/>
      <c r="P12" s="425"/>
      <c r="Q12" s="379"/>
      <c r="R12" s="379"/>
      <c r="S12" s="379"/>
      <c r="T12" s="380"/>
      <c r="U12" s="110"/>
      <c r="V12" s="110"/>
      <c r="W12" s="110"/>
      <c r="X12" s="110"/>
      <c r="Y12" s="110"/>
      <c r="Z12" s="110"/>
    </row>
    <row r="13" ht="13.5" customHeight="1">
      <c r="A13" s="162"/>
      <c r="B13" s="426"/>
      <c r="C13" s="171"/>
      <c r="D13" s="174"/>
      <c r="E13" s="424"/>
      <c r="F13" s="422"/>
      <c r="G13" s="422"/>
      <c r="H13" s="422"/>
      <c r="I13" s="422"/>
      <c r="J13" s="422"/>
      <c r="K13" s="422"/>
      <c r="L13" s="422"/>
      <c r="M13" s="422"/>
      <c r="N13" s="422"/>
      <c r="O13" s="422"/>
      <c r="P13" s="423"/>
      <c r="Q13" s="379"/>
      <c r="R13" s="379"/>
      <c r="S13" s="379"/>
      <c r="T13" s="380"/>
      <c r="U13" s="110"/>
      <c r="V13" s="110"/>
      <c r="W13" s="110"/>
      <c r="X13" s="110"/>
      <c r="Y13" s="110"/>
      <c r="Z13" s="110"/>
    </row>
    <row r="14" ht="13.5" customHeight="1">
      <c r="A14" s="162"/>
      <c r="B14" s="163"/>
      <c r="C14" s="171"/>
      <c r="D14" s="174" t="s">
        <v>658</v>
      </c>
      <c r="E14" s="427"/>
      <c r="F14" s="383"/>
      <c r="G14" s="422"/>
      <c r="H14" s="422" t="s">
        <v>353</v>
      </c>
      <c r="I14" s="422"/>
      <c r="J14" s="383"/>
      <c r="K14" s="422"/>
      <c r="L14" s="383"/>
      <c r="M14" s="422"/>
      <c r="N14" s="422"/>
      <c r="O14" s="422"/>
      <c r="P14" s="425"/>
      <c r="Q14" s="379"/>
      <c r="R14" s="379"/>
      <c r="S14" s="379"/>
      <c r="T14" s="380"/>
      <c r="U14" s="110"/>
      <c r="V14" s="110"/>
      <c r="W14" s="110"/>
      <c r="X14" s="110"/>
      <c r="Y14" s="110"/>
      <c r="Z14" s="110"/>
    </row>
    <row r="15" ht="13.5" customHeight="1">
      <c r="A15" s="162"/>
      <c r="B15" s="163"/>
      <c r="C15" s="171"/>
      <c r="D15" s="174" t="s">
        <v>659</v>
      </c>
      <c r="E15" s="427"/>
      <c r="F15" s="422"/>
      <c r="G15" s="422"/>
      <c r="H15" s="383"/>
      <c r="I15" s="422" t="s">
        <v>353</v>
      </c>
      <c r="J15" s="422"/>
      <c r="K15" s="422"/>
      <c r="L15" s="422"/>
      <c r="M15" s="422"/>
      <c r="N15" s="422"/>
      <c r="O15" s="422"/>
      <c r="P15" s="425"/>
      <c r="Q15" s="379"/>
      <c r="R15" s="379"/>
      <c r="S15" s="379"/>
      <c r="T15" s="380"/>
      <c r="U15" s="110"/>
      <c r="V15" s="110"/>
      <c r="W15" s="110"/>
      <c r="X15" s="110"/>
      <c r="Y15" s="110"/>
      <c r="Z15" s="110"/>
    </row>
    <row r="16" ht="13.5" customHeight="1">
      <c r="A16" s="162"/>
      <c r="B16" s="163"/>
      <c r="C16" s="171"/>
      <c r="D16" s="174" t="s">
        <v>660</v>
      </c>
      <c r="E16" s="427"/>
      <c r="F16" s="422"/>
      <c r="G16" s="383"/>
      <c r="H16" s="422"/>
      <c r="I16" s="422"/>
      <c r="J16" s="422" t="s">
        <v>353</v>
      </c>
      <c r="K16" s="383"/>
      <c r="L16" s="422"/>
      <c r="M16" s="383"/>
      <c r="N16" s="383"/>
      <c r="O16" s="383"/>
      <c r="P16" s="425"/>
      <c r="Q16" s="379"/>
      <c r="R16" s="379"/>
      <c r="S16" s="379"/>
      <c r="T16" s="380"/>
      <c r="U16" s="110"/>
      <c r="V16" s="110"/>
      <c r="W16" s="110"/>
      <c r="X16" s="110"/>
      <c r="Y16" s="110"/>
      <c r="Z16" s="110"/>
    </row>
    <row r="17" ht="13.5" customHeight="1">
      <c r="A17" s="162"/>
      <c r="B17" s="163"/>
      <c r="C17" s="171"/>
      <c r="D17" s="174" t="s">
        <v>661</v>
      </c>
      <c r="E17" s="427"/>
      <c r="F17" s="422"/>
      <c r="G17" s="422"/>
      <c r="H17" s="422"/>
      <c r="I17" s="383"/>
      <c r="J17" s="422"/>
      <c r="K17" s="422" t="s">
        <v>353</v>
      </c>
      <c r="L17" s="422"/>
      <c r="M17" s="422"/>
      <c r="N17" s="422"/>
      <c r="O17" s="422"/>
      <c r="P17" s="425"/>
      <c r="Q17" s="379"/>
      <c r="R17" s="379"/>
      <c r="S17" s="379"/>
      <c r="T17" s="380"/>
      <c r="U17" s="175"/>
      <c r="V17" s="110"/>
      <c r="W17" s="110"/>
      <c r="X17" s="110"/>
      <c r="Y17" s="110"/>
      <c r="Z17" s="110"/>
    </row>
    <row r="18" ht="13.5" customHeight="1">
      <c r="A18" s="162"/>
      <c r="B18" s="163"/>
      <c r="C18" s="171"/>
      <c r="D18" s="174"/>
      <c r="E18" s="427"/>
      <c r="F18" s="422"/>
      <c r="G18" s="422"/>
      <c r="H18" s="422"/>
      <c r="I18" s="422"/>
      <c r="J18" s="422"/>
      <c r="K18" s="422"/>
      <c r="L18" s="422"/>
      <c r="M18" s="422"/>
      <c r="N18" s="422"/>
      <c r="O18" s="422"/>
      <c r="P18" s="423"/>
      <c r="Q18" s="379"/>
      <c r="R18" s="379"/>
      <c r="S18" s="379"/>
      <c r="T18" s="380"/>
      <c r="U18" s="175"/>
      <c r="V18" s="110"/>
      <c r="W18" s="110"/>
      <c r="X18" s="110"/>
      <c r="Y18" s="110"/>
      <c r="Z18" s="110"/>
    </row>
    <row r="19" ht="13.5" customHeight="1">
      <c r="A19" s="162"/>
      <c r="B19" s="163"/>
      <c r="C19" s="171"/>
      <c r="D19" s="174" t="s">
        <v>662</v>
      </c>
      <c r="E19" s="427"/>
      <c r="F19" s="383"/>
      <c r="G19" s="383"/>
      <c r="H19" s="383"/>
      <c r="I19" s="422"/>
      <c r="J19" s="383"/>
      <c r="K19" s="383"/>
      <c r="L19" s="383" t="s">
        <v>353</v>
      </c>
      <c r="M19" s="383"/>
      <c r="N19" s="383"/>
      <c r="O19" s="422"/>
      <c r="P19" s="425"/>
      <c r="Q19" s="379"/>
      <c r="R19" s="379"/>
      <c r="S19" s="379"/>
      <c r="T19" s="380"/>
      <c r="U19" s="175"/>
      <c r="V19" s="110"/>
      <c r="W19" s="110"/>
      <c r="X19" s="110"/>
      <c r="Y19" s="110"/>
      <c r="Z19" s="110"/>
    </row>
    <row r="20" ht="13.5" customHeight="1">
      <c r="A20" s="162"/>
      <c r="B20" s="163"/>
      <c r="C20" s="171"/>
      <c r="D20" s="174" t="s">
        <v>663</v>
      </c>
      <c r="E20" s="424"/>
      <c r="F20" s="422"/>
      <c r="G20" s="422"/>
      <c r="H20" s="422"/>
      <c r="I20" s="422"/>
      <c r="J20" s="422"/>
      <c r="K20" s="422"/>
      <c r="L20" s="422"/>
      <c r="M20" s="422" t="s">
        <v>353</v>
      </c>
      <c r="N20" s="422"/>
      <c r="O20" s="383"/>
      <c r="P20" s="425"/>
      <c r="Q20" s="379"/>
      <c r="R20" s="379"/>
      <c r="S20" s="379"/>
      <c r="T20" s="380"/>
      <c r="U20" s="110"/>
      <c r="V20" s="110"/>
      <c r="W20" s="110"/>
      <c r="X20" s="110"/>
      <c r="Y20" s="110"/>
      <c r="Z20" s="110"/>
    </row>
    <row r="21" ht="13.5" customHeight="1">
      <c r="A21" s="428"/>
      <c r="B21" s="429"/>
      <c r="C21" s="364"/>
      <c r="D21" s="420" t="s">
        <v>664</v>
      </c>
      <c r="E21" s="430"/>
      <c r="F21" s="431"/>
      <c r="G21" s="431"/>
      <c r="H21" s="431"/>
      <c r="I21" s="400"/>
      <c r="J21" s="431"/>
      <c r="K21" s="431"/>
      <c r="L21" s="431"/>
      <c r="M21" s="431"/>
      <c r="N21" s="431" t="s">
        <v>353</v>
      </c>
      <c r="O21" s="431"/>
      <c r="P21" s="425"/>
      <c r="Q21" s="401"/>
      <c r="R21" s="401"/>
      <c r="S21" s="401"/>
      <c r="T21" s="403"/>
      <c r="U21" s="110"/>
      <c r="V21" s="110"/>
      <c r="W21" s="110"/>
      <c r="X21" s="110"/>
      <c r="Y21" s="110"/>
      <c r="Z21" s="110"/>
    </row>
    <row r="22" ht="13.5" customHeight="1">
      <c r="A22" s="151" t="s">
        <v>359</v>
      </c>
      <c r="B22" s="432" t="s">
        <v>360</v>
      </c>
      <c r="C22" s="433"/>
      <c r="D22" s="434"/>
      <c r="E22" s="435"/>
      <c r="F22" s="436"/>
      <c r="G22" s="436"/>
      <c r="H22" s="436"/>
      <c r="I22" s="436"/>
      <c r="J22" s="436"/>
      <c r="K22" s="436"/>
      <c r="L22" s="436"/>
      <c r="M22" s="436"/>
      <c r="N22" s="436"/>
      <c r="O22" s="436"/>
      <c r="P22" s="437"/>
      <c r="Q22" s="438"/>
      <c r="R22" s="438"/>
      <c r="S22" s="438"/>
      <c r="T22" s="439"/>
      <c r="U22" s="110"/>
      <c r="V22" s="110"/>
      <c r="W22" s="110"/>
      <c r="X22" s="110"/>
      <c r="Y22" s="110"/>
      <c r="Z22" s="110"/>
    </row>
    <row r="23" ht="13.5" customHeight="1">
      <c r="A23" s="440"/>
      <c r="B23" s="441"/>
      <c r="C23" s="442"/>
      <c r="D23" s="443" t="s">
        <v>665</v>
      </c>
      <c r="E23" s="430"/>
      <c r="F23" s="383" t="s">
        <v>353</v>
      </c>
      <c r="G23" s="383"/>
      <c r="H23" s="383"/>
      <c r="I23" s="422"/>
      <c r="J23" s="383"/>
      <c r="K23" s="383"/>
      <c r="L23" s="383"/>
      <c r="M23" s="383"/>
      <c r="N23" s="383"/>
      <c r="O23" s="383"/>
      <c r="P23" s="423"/>
      <c r="Q23" s="444"/>
      <c r="R23" s="444"/>
      <c r="S23" s="444"/>
      <c r="T23" s="445"/>
      <c r="U23" s="110"/>
      <c r="V23" s="110"/>
      <c r="W23" s="110"/>
      <c r="X23" s="110"/>
      <c r="Y23" s="110"/>
      <c r="Z23" s="110"/>
    </row>
    <row r="24" ht="13.5" customHeight="1">
      <c r="A24" s="440"/>
      <c r="B24" s="441"/>
      <c r="C24" s="442"/>
      <c r="D24" s="443" t="s">
        <v>666</v>
      </c>
      <c r="E24" s="446"/>
      <c r="F24" s="422"/>
      <c r="G24" s="422" t="s">
        <v>353</v>
      </c>
      <c r="H24" s="422"/>
      <c r="I24" s="383"/>
      <c r="J24" s="422"/>
      <c r="K24" s="422"/>
      <c r="L24" s="422"/>
      <c r="M24" s="422"/>
      <c r="N24" s="422"/>
      <c r="O24" s="422"/>
      <c r="P24" s="423"/>
      <c r="Q24" s="444"/>
      <c r="R24" s="444"/>
      <c r="S24" s="444"/>
      <c r="T24" s="445"/>
      <c r="U24" s="110"/>
      <c r="V24" s="110"/>
      <c r="W24" s="110"/>
      <c r="X24" s="110"/>
      <c r="Y24" s="110"/>
      <c r="Z24" s="110"/>
    </row>
    <row r="25" ht="13.5" customHeight="1">
      <c r="A25" s="440"/>
      <c r="B25" s="447"/>
      <c r="C25" s="442"/>
      <c r="D25" s="443"/>
      <c r="E25" s="446"/>
      <c r="F25" s="422"/>
      <c r="G25" s="422"/>
      <c r="H25" s="422"/>
      <c r="I25" s="422"/>
      <c r="J25" s="422"/>
      <c r="K25" s="422"/>
      <c r="L25" s="422"/>
      <c r="M25" s="422"/>
      <c r="N25" s="422"/>
      <c r="O25" s="422"/>
      <c r="P25" s="423"/>
      <c r="Q25" s="444"/>
      <c r="R25" s="444"/>
      <c r="S25" s="444"/>
      <c r="T25" s="445"/>
      <c r="U25" s="110"/>
      <c r="V25" s="110"/>
      <c r="W25" s="110"/>
      <c r="X25" s="110"/>
      <c r="Y25" s="110"/>
      <c r="Z25" s="110"/>
    </row>
    <row r="26" ht="13.5" customHeight="1">
      <c r="A26" s="440"/>
      <c r="B26" s="441"/>
      <c r="C26" s="442"/>
      <c r="D26" s="443" t="s">
        <v>667</v>
      </c>
      <c r="E26" s="446"/>
      <c r="F26" s="383"/>
      <c r="G26" s="422"/>
      <c r="H26" s="422" t="s">
        <v>353</v>
      </c>
      <c r="I26" s="422"/>
      <c r="J26" s="383"/>
      <c r="K26" s="422"/>
      <c r="L26" s="383"/>
      <c r="M26" s="422"/>
      <c r="N26" s="422"/>
      <c r="O26" s="422"/>
      <c r="P26" s="425"/>
      <c r="Q26" s="444"/>
      <c r="R26" s="444"/>
      <c r="S26" s="444"/>
      <c r="T26" s="445"/>
      <c r="U26" s="110"/>
      <c r="V26" s="110"/>
      <c r="W26" s="110"/>
      <c r="X26" s="110"/>
      <c r="Y26" s="110"/>
      <c r="Z26" s="110"/>
    </row>
    <row r="27" ht="13.5" customHeight="1">
      <c r="A27" s="440"/>
      <c r="B27" s="441"/>
      <c r="C27" s="442"/>
      <c r="D27" s="443" t="s">
        <v>668</v>
      </c>
      <c r="E27" s="446"/>
      <c r="F27" s="422"/>
      <c r="G27" s="383"/>
      <c r="H27" s="383"/>
      <c r="I27" s="383" t="s">
        <v>353</v>
      </c>
      <c r="J27" s="422"/>
      <c r="K27" s="383"/>
      <c r="L27" s="422"/>
      <c r="M27" s="383"/>
      <c r="N27" s="383"/>
      <c r="O27" s="383"/>
      <c r="P27" s="425"/>
      <c r="Q27" s="444"/>
      <c r="R27" s="444"/>
      <c r="S27" s="444"/>
      <c r="T27" s="445"/>
      <c r="U27" s="110"/>
      <c r="V27" s="110"/>
      <c r="W27" s="110"/>
      <c r="X27" s="110"/>
      <c r="Y27" s="110"/>
      <c r="Z27" s="110"/>
    </row>
    <row r="28" ht="13.5" customHeight="1">
      <c r="A28" s="440"/>
      <c r="B28" s="447"/>
      <c r="C28" s="442"/>
      <c r="D28" s="448"/>
      <c r="E28" s="446"/>
      <c r="F28" s="422"/>
      <c r="G28" s="422"/>
      <c r="H28" s="422"/>
      <c r="I28" s="422"/>
      <c r="J28" s="422"/>
      <c r="K28" s="422"/>
      <c r="L28" s="422"/>
      <c r="M28" s="422"/>
      <c r="N28" s="422"/>
      <c r="O28" s="422"/>
      <c r="P28" s="423"/>
      <c r="Q28" s="444"/>
      <c r="R28" s="444"/>
      <c r="S28" s="444"/>
      <c r="T28" s="445"/>
      <c r="U28" s="110"/>
      <c r="V28" s="110"/>
      <c r="W28" s="110"/>
      <c r="X28" s="110"/>
      <c r="Y28" s="110"/>
      <c r="Z28" s="110"/>
    </row>
    <row r="29" ht="13.5" customHeight="1">
      <c r="A29" s="440"/>
      <c r="B29" s="385"/>
      <c r="C29" s="442"/>
      <c r="D29" s="443" t="s">
        <v>669</v>
      </c>
      <c r="E29" s="446"/>
      <c r="F29" s="383"/>
      <c r="G29" s="422"/>
      <c r="H29" s="422"/>
      <c r="I29" s="422"/>
      <c r="J29" s="383" t="s">
        <v>353</v>
      </c>
      <c r="K29" s="422"/>
      <c r="L29" s="383"/>
      <c r="M29" s="422"/>
      <c r="N29" s="422"/>
      <c r="O29" s="422"/>
      <c r="P29" s="425"/>
      <c r="Q29" s="444"/>
      <c r="R29" s="444"/>
      <c r="S29" s="444"/>
      <c r="T29" s="445"/>
      <c r="U29" s="110"/>
      <c r="V29" s="110"/>
      <c r="W29" s="110"/>
      <c r="X29" s="110"/>
      <c r="Y29" s="110"/>
      <c r="Z29" s="110"/>
    </row>
    <row r="30" ht="13.5" customHeight="1">
      <c r="A30" s="440"/>
      <c r="B30" s="441"/>
      <c r="C30" s="442"/>
      <c r="D30" s="443" t="s">
        <v>670</v>
      </c>
      <c r="E30" s="446"/>
      <c r="F30" s="422"/>
      <c r="G30" s="383"/>
      <c r="H30" s="383"/>
      <c r="I30" s="422"/>
      <c r="J30" s="422"/>
      <c r="K30" s="383" t="s">
        <v>353</v>
      </c>
      <c r="L30" s="422"/>
      <c r="M30" s="383"/>
      <c r="N30" s="383"/>
      <c r="O30" s="383"/>
      <c r="P30" s="425"/>
      <c r="Q30" s="444"/>
      <c r="R30" s="444"/>
      <c r="S30" s="444"/>
      <c r="T30" s="445"/>
      <c r="U30" s="110"/>
      <c r="V30" s="110"/>
      <c r="W30" s="110"/>
      <c r="X30" s="110"/>
      <c r="Y30" s="110"/>
      <c r="Z30" s="110"/>
    </row>
    <row r="31" ht="13.5" customHeight="1">
      <c r="A31" s="440"/>
      <c r="B31" s="441"/>
      <c r="C31" s="442"/>
      <c r="D31" s="443" t="s">
        <v>671</v>
      </c>
      <c r="E31" s="446"/>
      <c r="F31" s="422"/>
      <c r="G31" s="422"/>
      <c r="H31" s="422"/>
      <c r="I31" s="383"/>
      <c r="J31" s="422"/>
      <c r="K31" s="422"/>
      <c r="L31" s="422" t="s">
        <v>353</v>
      </c>
      <c r="M31" s="422"/>
      <c r="N31" s="422"/>
      <c r="O31" s="422"/>
      <c r="P31" s="423"/>
      <c r="Q31" s="444"/>
      <c r="R31" s="444"/>
      <c r="S31" s="444"/>
      <c r="T31" s="445"/>
      <c r="U31" s="110"/>
      <c r="V31" s="110"/>
      <c r="W31" s="110"/>
      <c r="X31" s="110"/>
      <c r="Y31" s="110"/>
      <c r="Z31" s="110"/>
    </row>
    <row r="32" ht="13.5" customHeight="1">
      <c r="A32" s="440"/>
      <c r="B32" s="426"/>
      <c r="C32" s="442"/>
      <c r="D32" s="448"/>
      <c r="E32" s="446"/>
      <c r="F32" s="422"/>
      <c r="G32" s="422"/>
      <c r="H32" s="422"/>
      <c r="I32" s="422"/>
      <c r="J32" s="422"/>
      <c r="K32" s="422"/>
      <c r="L32" s="422"/>
      <c r="M32" s="422"/>
      <c r="N32" s="422"/>
      <c r="O32" s="422"/>
      <c r="P32" s="423"/>
      <c r="Q32" s="444"/>
      <c r="R32" s="444"/>
      <c r="S32" s="444"/>
      <c r="T32" s="445"/>
      <c r="U32" s="110"/>
      <c r="V32" s="110"/>
      <c r="W32" s="110"/>
      <c r="X32" s="110"/>
      <c r="Y32" s="110"/>
      <c r="Z32" s="110"/>
    </row>
    <row r="33" ht="13.5" customHeight="1">
      <c r="A33" s="440"/>
      <c r="B33" s="441"/>
      <c r="C33" s="442"/>
      <c r="D33" s="443" t="s">
        <v>672</v>
      </c>
      <c r="E33" s="446"/>
      <c r="F33" s="383"/>
      <c r="G33" s="383"/>
      <c r="H33" s="383"/>
      <c r="I33" s="422"/>
      <c r="J33" s="383"/>
      <c r="K33" s="383"/>
      <c r="L33" s="383"/>
      <c r="M33" s="422" t="s">
        <v>353</v>
      </c>
      <c r="N33" s="422"/>
      <c r="O33" s="383"/>
      <c r="P33" s="423"/>
      <c r="Q33" s="444"/>
      <c r="R33" s="444"/>
      <c r="S33" s="444"/>
      <c r="T33" s="445"/>
      <c r="U33" s="110"/>
      <c r="V33" s="110"/>
      <c r="W33" s="110"/>
      <c r="X33" s="110"/>
      <c r="Y33" s="110"/>
      <c r="Z33" s="110"/>
    </row>
    <row r="34" ht="13.5" customHeight="1">
      <c r="A34" s="440"/>
      <c r="B34" s="447"/>
      <c r="C34" s="442"/>
      <c r="D34" s="443" t="s">
        <v>673</v>
      </c>
      <c r="E34" s="446"/>
      <c r="F34" s="449"/>
      <c r="G34" s="449"/>
      <c r="H34" s="449"/>
      <c r="I34" s="449"/>
      <c r="J34" s="449"/>
      <c r="K34" s="449"/>
      <c r="L34" s="422"/>
      <c r="M34" s="396"/>
      <c r="N34" s="449" t="s">
        <v>353</v>
      </c>
      <c r="O34" s="449"/>
      <c r="P34" s="423"/>
      <c r="Q34" s="450"/>
      <c r="R34" s="450"/>
      <c r="S34" s="450"/>
      <c r="T34" s="451"/>
      <c r="U34" s="110"/>
      <c r="V34" s="110"/>
      <c r="W34" s="110"/>
      <c r="X34" s="110"/>
      <c r="Y34" s="110"/>
      <c r="Z34" s="110"/>
    </row>
    <row r="35" ht="13.5" customHeight="1">
      <c r="A35" s="440"/>
      <c r="B35" s="385"/>
      <c r="C35" s="442"/>
      <c r="D35" s="443"/>
      <c r="E35" s="446"/>
      <c r="F35" s="422"/>
      <c r="G35" s="422"/>
      <c r="H35" s="422"/>
      <c r="I35" s="422"/>
      <c r="J35" s="422"/>
      <c r="K35" s="422"/>
      <c r="L35" s="422"/>
      <c r="M35" s="422"/>
      <c r="N35" s="383"/>
      <c r="O35" s="422"/>
      <c r="P35" s="423"/>
      <c r="Q35" s="444"/>
      <c r="R35" s="444"/>
      <c r="S35" s="444"/>
      <c r="T35" s="445"/>
      <c r="U35" s="110"/>
      <c r="V35" s="110"/>
      <c r="W35" s="110"/>
      <c r="X35" s="110"/>
      <c r="Y35" s="110"/>
      <c r="Z35" s="110"/>
    </row>
    <row r="36" ht="13.5" customHeight="1">
      <c r="A36" s="440"/>
      <c r="B36" s="452"/>
      <c r="C36" s="453"/>
      <c r="D36" s="454"/>
      <c r="E36" s="455"/>
      <c r="F36" s="422"/>
      <c r="G36" s="422"/>
      <c r="H36" s="422"/>
      <c r="I36" s="383"/>
      <c r="J36" s="422"/>
      <c r="K36" s="422"/>
      <c r="L36" s="422"/>
      <c r="M36" s="422"/>
      <c r="N36" s="422"/>
      <c r="O36" s="422"/>
      <c r="P36" s="456"/>
      <c r="Q36" s="457"/>
      <c r="R36" s="457"/>
      <c r="S36" s="457"/>
      <c r="T36" s="458"/>
      <c r="U36" s="110"/>
      <c r="V36" s="110"/>
      <c r="W36" s="110"/>
      <c r="X36" s="110"/>
      <c r="Y36" s="110"/>
      <c r="Z36" s="110"/>
    </row>
    <row r="37" ht="13.5" customHeight="1">
      <c r="A37" s="151" t="s">
        <v>367</v>
      </c>
      <c r="B37" s="459" t="s">
        <v>368</v>
      </c>
      <c r="C37" s="198"/>
      <c r="D37" s="199"/>
      <c r="E37" s="438"/>
      <c r="F37" s="460" t="s">
        <v>221</v>
      </c>
      <c r="G37" s="460" t="s">
        <v>220</v>
      </c>
      <c r="H37" s="460" t="s">
        <v>220</v>
      </c>
      <c r="I37" s="460" t="s">
        <v>38</v>
      </c>
      <c r="J37" s="460" t="s">
        <v>220</v>
      </c>
      <c r="K37" s="460" t="s">
        <v>38</v>
      </c>
      <c r="L37" s="460" t="s">
        <v>220</v>
      </c>
      <c r="M37" s="460" t="s">
        <v>220</v>
      </c>
      <c r="N37" s="407" t="s">
        <v>220</v>
      </c>
      <c r="O37" s="460"/>
      <c r="P37" s="461"/>
      <c r="Q37" s="438"/>
      <c r="R37" s="438"/>
      <c r="S37" s="438"/>
      <c r="T37" s="439"/>
      <c r="U37" s="110"/>
      <c r="V37" s="110"/>
      <c r="W37" s="110"/>
      <c r="X37" s="110"/>
      <c r="Y37" s="110"/>
      <c r="Z37" s="110"/>
    </row>
    <row r="38" ht="13.5" customHeight="1">
      <c r="A38" s="462"/>
      <c r="B38" s="463" t="s">
        <v>369</v>
      </c>
      <c r="C38" s="12"/>
      <c r="D38" s="13"/>
      <c r="E38" s="444"/>
      <c r="F38" s="464"/>
      <c r="G38" s="464"/>
      <c r="H38" s="464"/>
      <c r="I38" s="411"/>
      <c r="J38" s="464"/>
      <c r="K38" s="464"/>
      <c r="L38" s="464"/>
      <c r="M38" s="464"/>
      <c r="N38" s="464"/>
      <c r="O38" s="464"/>
      <c r="P38" s="425"/>
      <c r="Q38" s="444"/>
      <c r="R38" s="444"/>
      <c r="S38" s="444"/>
      <c r="T38" s="445"/>
      <c r="U38" s="110"/>
      <c r="V38" s="110"/>
      <c r="W38" s="110"/>
      <c r="X38" s="110"/>
      <c r="Y38" s="110"/>
      <c r="Z38" s="110"/>
    </row>
    <row r="39" ht="13.5" customHeight="1">
      <c r="A39" s="462"/>
      <c r="B39" s="465" t="s">
        <v>371</v>
      </c>
      <c r="C39" s="12"/>
      <c r="D39" s="13"/>
      <c r="E39" s="444"/>
      <c r="F39" s="466"/>
      <c r="G39" s="466"/>
      <c r="H39" s="466"/>
      <c r="I39" s="466"/>
      <c r="J39" s="466"/>
      <c r="K39" s="466"/>
      <c r="L39" s="466"/>
      <c r="M39" s="466"/>
      <c r="N39" s="466"/>
      <c r="O39" s="466"/>
      <c r="P39" s="467"/>
      <c r="Q39" s="467"/>
      <c r="R39" s="467"/>
      <c r="S39" s="467"/>
      <c r="T39" s="468"/>
      <c r="U39" s="110"/>
      <c r="V39" s="110"/>
      <c r="W39" s="110"/>
      <c r="X39" s="110"/>
      <c r="Y39" s="110"/>
      <c r="Z39" s="110"/>
    </row>
    <row r="40" ht="13.5" customHeight="1">
      <c r="A40" s="469"/>
      <c r="B40" s="470" t="s">
        <v>372</v>
      </c>
      <c r="C40" s="216"/>
      <c r="D40" s="217"/>
      <c r="E40" s="471"/>
      <c r="F40" s="471"/>
      <c r="G40" s="471"/>
      <c r="H40" s="471"/>
      <c r="I40" s="471"/>
      <c r="J40" s="471"/>
      <c r="K40" s="471"/>
      <c r="L40" s="471"/>
      <c r="M40" s="471"/>
      <c r="N40" s="471"/>
      <c r="O40" s="471"/>
      <c r="P40" s="471"/>
      <c r="Q40" s="471"/>
      <c r="R40" s="471"/>
      <c r="S40" s="471"/>
      <c r="T40" s="472"/>
      <c r="U40" s="110"/>
      <c r="V40" s="110"/>
      <c r="W40" s="110"/>
      <c r="X40" s="110"/>
      <c r="Y40" s="110"/>
      <c r="Z40" s="110"/>
    </row>
    <row r="41" ht="13.5" customHeight="1">
      <c r="A41" s="473"/>
      <c r="B41" s="473"/>
      <c r="C41" s="473"/>
      <c r="D41" s="473"/>
      <c r="E41" s="473"/>
      <c r="F41" s="473"/>
      <c r="G41" s="473"/>
      <c r="H41" s="473"/>
      <c r="I41" s="473"/>
      <c r="J41" s="473"/>
      <c r="K41" s="473"/>
      <c r="L41" s="473"/>
      <c r="M41" s="473"/>
      <c r="N41" s="473"/>
      <c r="O41" s="473"/>
      <c r="P41" s="473"/>
      <c r="Q41" s="473"/>
      <c r="R41" s="473"/>
      <c r="S41" s="473"/>
      <c r="T41" s="473"/>
      <c r="U41" s="110"/>
      <c r="V41" s="110"/>
      <c r="W41" s="110"/>
      <c r="X41" s="110"/>
      <c r="Y41" s="110"/>
      <c r="Z41" s="110"/>
    </row>
    <row r="42" ht="13.5" customHeight="1">
      <c r="A42" s="473"/>
      <c r="B42" s="473"/>
      <c r="C42" s="473"/>
      <c r="D42" s="473"/>
      <c r="E42" s="473"/>
      <c r="F42" s="473"/>
      <c r="G42" s="473"/>
      <c r="H42" s="473"/>
      <c r="I42" s="473"/>
      <c r="J42" s="473"/>
      <c r="K42" s="473"/>
      <c r="L42" s="473"/>
      <c r="M42" s="473"/>
      <c r="N42" s="473"/>
      <c r="O42" s="473"/>
      <c r="P42" s="473"/>
      <c r="Q42" s="473"/>
      <c r="R42" s="473"/>
      <c r="S42" s="473"/>
      <c r="T42" s="473"/>
      <c r="U42" s="110"/>
      <c r="V42" s="110"/>
      <c r="W42" s="110"/>
      <c r="X42" s="110"/>
      <c r="Y42" s="110"/>
      <c r="Z42" s="110"/>
    </row>
    <row r="43" ht="13.5" customHeight="1">
      <c r="A43" s="473"/>
      <c r="B43" s="473"/>
      <c r="C43" s="473"/>
      <c r="D43" s="473"/>
      <c r="E43" s="473"/>
      <c r="F43" s="473"/>
      <c r="G43" s="473"/>
      <c r="H43" s="473"/>
      <c r="I43" s="473"/>
      <c r="J43" s="473"/>
      <c r="K43" s="473"/>
      <c r="L43" s="473"/>
      <c r="M43" s="473"/>
      <c r="N43" s="473"/>
      <c r="O43" s="473"/>
      <c r="P43" s="473"/>
      <c r="Q43" s="473"/>
      <c r="R43" s="473"/>
      <c r="S43" s="473"/>
      <c r="T43" s="473"/>
      <c r="U43" s="110"/>
      <c r="V43" s="110"/>
      <c r="W43" s="110"/>
      <c r="X43" s="110"/>
      <c r="Y43" s="110"/>
      <c r="Z43" s="110"/>
    </row>
    <row r="44" ht="13.5" customHeight="1">
      <c r="A44" s="473"/>
      <c r="B44" s="473"/>
      <c r="C44" s="473"/>
      <c r="D44" s="473"/>
      <c r="E44" s="473"/>
      <c r="F44" s="473"/>
      <c r="G44" s="473"/>
      <c r="H44" s="473"/>
      <c r="I44" s="473"/>
      <c r="J44" s="110"/>
      <c r="K44" s="110"/>
      <c r="L44" s="110"/>
      <c r="M44" s="110"/>
      <c r="N44" s="110"/>
      <c r="O44" s="110"/>
    </row>
    <row r="45" ht="13.5" customHeight="1">
      <c r="A45" s="473"/>
      <c r="B45" s="473"/>
      <c r="C45" s="473"/>
      <c r="D45" s="473"/>
      <c r="E45" s="473"/>
      <c r="F45" s="473"/>
      <c r="G45" s="473"/>
      <c r="H45" s="473"/>
      <c r="I45" s="473"/>
      <c r="J45" s="110"/>
      <c r="K45" s="110"/>
      <c r="L45" s="110"/>
      <c r="M45" s="110"/>
      <c r="N45" s="110"/>
      <c r="O45" s="110"/>
    </row>
    <row r="46" ht="13.5" customHeight="1">
      <c r="A46" s="473"/>
      <c r="B46" s="473"/>
      <c r="C46" s="473"/>
      <c r="D46" s="473"/>
      <c r="E46" s="473"/>
      <c r="F46" s="473"/>
      <c r="G46" s="473"/>
      <c r="H46" s="473"/>
      <c r="I46" s="473"/>
      <c r="J46" s="110"/>
      <c r="K46" s="110"/>
      <c r="L46" s="110"/>
      <c r="M46" s="110"/>
      <c r="N46" s="110"/>
      <c r="O46" s="110"/>
    </row>
    <row r="47" ht="13.5" customHeight="1">
      <c r="A47" s="473"/>
      <c r="B47" s="473"/>
      <c r="C47" s="473"/>
      <c r="D47" s="473"/>
      <c r="E47" s="473"/>
      <c r="F47" s="473"/>
      <c r="G47" s="473"/>
      <c r="H47" s="473"/>
      <c r="I47" s="473"/>
      <c r="J47" s="110"/>
      <c r="K47" s="110"/>
      <c r="L47" s="110"/>
      <c r="M47" s="110"/>
      <c r="N47" s="110"/>
      <c r="O47" s="110"/>
    </row>
    <row r="48" ht="13.5" customHeight="1">
      <c r="A48" s="473"/>
      <c r="B48" s="473"/>
      <c r="C48" s="473"/>
      <c r="D48" s="473"/>
      <c r="E48" s="473"/>
      <c r="F48" s="473"/>
      <c r="G48" s="473"/>
      <c r="H48" s="473"/>
      <c r="I48" s="473"/>
      <c r="J48" s="110"/>
      <c r="K48" s="110"/>
      <c r="L48" s="110"/>
      <c r="M48" s="110"/>
      <c r="N48" s="110"/>
      <c r="O48" s="110"/>
    </row>
    <row r="49" ht="12.0" customHeight="1">
      <c r="A49" s="473"/>
      <c r="B49" s="473"/>
      <c r="C49" s="473"/>
      <c r="D49" s="473"/>
      <c r="E49" s="473"/>
      <c r="F49" s="473"/>
      <c r="G49" s="473"/>
      <c r="H49" s="473"/>
      <c r="I49" s="473"/>
      <c r="J49" s="473"/>
      <c r="K49" s="473"/>
      <c r="L49" s="473"/>
      <c r="M49" s="473"/>
      <c r="N49" s="473"/>
      <c r="O49" s="473"/>
      <c r="P49" s="473"/>
      <c r="Q49" s="473"/>
      <c r="R49" s="473"/>
      <c r="S49" s="473"/>
      <c r="T49" s="473"/>
      <c r="U49" s="110"/>
      <c r="V49" s="110"/>
      <c r="W49" s="110"/>
      <c r="X49" s="110"/>
      <c r="Y49" s="110"/>
      <c r="Z49" s="110"/>
    </row>
    <row r="50" ht="12.0" customHeight="1">
      <c r="A50" s="473"/>
      <c r="B50" s="473"/>
      <c r="C50" s="473"/>
      <c r="D50" s="473"/>
      <c r="E50" s="473"/>
      <c r="F50" s="473"/>
      <c r="G50" s="473"/>
      <c r="H50" s="473"/>
      <c r="I50" s="473"/>
      <c r="J50" s="473"/>
      <c r="K50" s="473"/>
      <c r="L50" s="473"/>
      <c r="M50" s="473"/>
      <c r="N50" s="473"/>
      <c r="O50" s="473"/>
      <c r="P50" s="473"/>
      <c r="Q50" s="473"/>
      <c r="R50" s="473"/>
      <c r="S50" s="473"/>
      <c r="T50" s="473"/>
      <c r="U50" s="110"/>
      <c r="V50" s="110"/>
      <c r="W50" s="110"/>
      <c r="X50" s="110"/>
      <c r="Y50" s="110"/>
      <c r="Z50" s="110"/>
    </row>
    <row r="51" ht="13.5" customHeight="1">
      <c r="A51" s="473"/>
      <c r="B51" s="473"/>
      <c r="C51" s="473"/>
      <c r="D51" s="473"/>
      <c r="E51" s="473"/>
      <c r="F51" s="473"/>
      <c r="G51" s="473"/>
      <c r="H51" s="473"/>
      <c r="I51" s="473"/>
      <c r="J51" s="473"/>
      <c r="K51" s="473"/>
      <c r="L51" s="473"/>
      <c r="M51" s="473"/>
      <c r="N51" s="473"/>
      <c r="O51" s="473"/>
      <c r="P51" s="473"/>
      <c r="Q51" s="473"/>
      <c r="R51" s="473"/>
      <c r="S51" s="473"/>
      <c r="T51" s="473"/>
      <c r="U51" s="110"/>
      <c r="V51" s="110"/>
      <c r="W51" s="110"/>
      <c r="X51" s="110"/>
      <c r="Y51" s="110"/>
      <c r="Z51" s="110"/>
    </row>
    <row r="52" ht="13.5" customHeight="1">
      <c r="A52" s="473"/>
      <c r="B52" s="473"/>
      <c r="C52" s="473"/>
      <c r="D52" s="473"/>
      <c r="E52" s="473"/>
      <c r="F52" s="473"/>
      <c r="G52" s="473"/>
      <c r="H52" s="473"/>
      <c r="I52" s="473"/>
      <c r="J52" s="473"/>
      <c r="K52" s="473"/>
      <c r="L52" s="473"/>
      <c r="M52" s="473"/>
      <c r="N52" s="473"/>
      <c r="O52" s="473"/>
      <c r="P52" s="473"/>
      <c r="Q52" s="473"/>
      <c r="R52" s="473"/>
      <c r="S52" s="473"/>
      <c r="T52" s="473"/>
      <c r="U52" s="110"/>
      <c r="V52" s="110"/>
      <c r="W52" s="110"/>
      <c r="X52" s="110"/>
      <c r="Y52" s="110"/>
      <c r="Z52" s="110"/>
    </row>
    <row r="53" ht="13.5" customHeight="1">
      <c r="A53" s="473"/>
      <c r="B53" s="473"/>
      <c r="C53" s="473"/>
      <c r="D53" s="473"/>
      <c r="E53" s="473"/>
      <c r="F53" s="473"/>
      <c r="G53" s="473"/>
      <c r="H53" s="473"/>
      <c r="I53" s="473"/>
      <c r="J53" s="473"/>
      <c r="K53" s="473"/>
      <c r="L53" s="473"/>
      <c r="M53" s="473"/>
      <c r="N53" s="473"/>
      <c r="O53" s="473"/>
      <c r="P53" s="473"/>
      <c r="Q53" s="473"/>
      <c r="R53" s="473"/>
      <c r="S53" s="473"/>
      <c r="T53" s="473"/>
      <c r="U53" s="110"/>
      <c r="V53" s="110"/>
      <c r="W53" s="110"/>
      <c r="X53" s="110"/>
      <c r="Y53" s="110"/>
      <c r="Z53" s="110"/>
    </row>
    <row r="54" ht="13.5" customHeight="1">
      <c r="A54" s="473"/>
      <c r="B54" s="473"/>
      <c r="C54" s="473"/>
      <c r="D54" s="473"/>
      <c r="E54" s="473"/>
      <c r="F54" s="473"/>
      <c r="G54" s="473"/>
      <c r="H54" s="473"/>
      <c r="I54" s="473"/>
      <c r="J54" s="473"/>
      <c r="K54" s="473"/>
      <c r="L54" s="473"/>
      <c r="M54" s="473"/>
      <c r="N54" s="473"/>
      <c r="O54" s="473"/>
      <c r="P54" s="473"/>
      <c r="Q54" s="473"/>
      <c r="R54" s="473"/>
      <c r="S54" s="473"/>
      <c r="T54" s="473"/>
      <c r="U54" s="110"/>
      <c r="V54" s="110"/>
      <c r="W54" s="110"/>
      <c r="X54" s="110"/>
      <c r="Y54" s="110"/>
      <c r="Z54" s="110"/>
    </row>
    <row r="55" ht="13.5" customHeight="1">
      <c r="A55" s="473"/>
      <c r="B55" s="473"/>
      <c r="C55" s="473"/>
      <c r="D55" s="473"/>
      <c r="E55" s="473"/>
      <c r="F55" s="473"/>
      <c r="G55" s="473"/>
      <c r="H55" s="473"/>
      <c r="I55" s="473"/>
      <c r="J55" s="473"/>
      <c r="K55" s="473"/>
      <c r="L55" s="473"/>
      <c r="M55" s="473"/>
      <c r="N55" s="473"/>
      <c r="O55" s="473"/>
      <c r="P55" s="473"/>
      <c r="Q55" s="473"/>
      <c r="R55" s="473"/>
      <c r="S55" s="473"/>
      <c r="T55" s="473"/>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T2"/>
    <mergeCell ref="C3:E3"/>
    <mergeCell ref="F3:K3"/>
    <mergeCell ref="L3:T3"/>
    <mergeCell ref="A3:B3"/>
    <mergeCell ref="A4:B4"/>
    <mergeCell ref="C4:D4"/>
    <mergeCell ref="F4:K4"/>
    <mergeCell ref="L4:T4"/>
    <mergeCell ref="A5:B5"/>
    <mergeCell ref="C5:T5"/>
    <mergeCell ref="O6:T6"/>
    <mergeCell ref="O7:T7"/>
    <mergeCell ref="B37:D37"/>
    <mergeCell ref="B38:D38"/>
    <mergeCell ref="B39:D39"/>
    <mergeCell ref="B40:D40"/>
    <mergeCell ref="A6:B6"/>
    <mergeCell ref="C6:E6"/>
    <mergeCell ref="F6:K6"/>
    <mergeCell ref="L6:N6"/>
    <mergeCell ref="A7:B7"/>
    <mergeCell ref="C7:E7"/>
    <mergeCell ref="F7:K7"/>
  </mergeCells>
  <dataValidations>
    <dataValidation type="list" allowBlank="1" showInputMessage="1" showErrorMessage="1" prompt=" - " sqref="F38:T38">
      <formula1>"P,F"</formula1>
    </dataValidation>
    <dataValidation type="list" allowBlank="1" showInputMessage="1" showErrorMessage="1" prompt=" - " sqref="F10:T36">
      <formula1>"O"</formula1>
    </dataValidation>
    <dataValidation type="list" allowBlank="1" showInputMessage="1" showErrorMessage="1" prompt=" - " sqref="F37:T37">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1.88"/>
    <col customWidth="1" min="6" max="6" width="5.5"/>
    <col customWidth="1" min="7" max="7" width="4.63"/>
    <col customWidth="1" min="8" max="8" width="4.38"/>
    <col customWidth="1" min="9" max="9" width="4.0"/>
    <col customWidth="1" min="10" max="10" width="3.75"/>
    <col customWidth="1" min="11" max="12" width="4.25"/>
    <col customWidth="1" min="13" max="13" width="4.5"/>
    <col customWidth="1" min="14" max="14" width="3.75"/>
    <col customWidth="1" min="15" max="15" width="4.13"/>
    <col customWidth="1" min="16" max="21" width="2.88"/>
    <col customWidth="1" min="22" max="23" width="9.0"/>
    <col customWidth="1" min="24" max="26" width="10.0"/>
  </cols>
  <sheetData>
    <row r="1" ht="13.5" customHeight="1">
      <c r="A1" s="108"/>
      <c r="B1" s="109"/>
      <c r="C1" s="110"/>
      <c r="D1" s="111"/>
      <c r="E1" s="110"/>
      <c r="F1" s="110"/>
      <c r="G1" s="110"/>
      <c r="H1" s="110"/>
      <c r="I1" s="110"/>
      <c r="J1" s="110"/>
      <c r="K1" s="110"/>
      <c r="L1" s="110"/>
      <c r="M1" s="110"/>
      <c r="N1" s="110"/>
      <c r="O1" s="110"/>
      <c r="P1" s="110"/>
      <c r="Q1" s="110"/>
      <c r="R1" s="110"/>
      <c r="S1" s="110"/>
      <c r="T1" s="110"/>
      <c r="U1" s="110"/>
      <c r="V1" s="110"/>
      <c r="W1" s="110"/>
      <c r="X1" s="110"/>
      <c r="Y1" s="110"/>
      <c r="Z1" s="110"/>
    </row>
    <row r="2" ht="13.5" customHeight="1">
      <c r="A2" s="112" t="s">
        <v>337</v>
      </c>
      <c r="B2" s="113"/>
      <c r="C2" s="114" t="str">
        <f>Functions!E41</f>
        <v>F-31</v>
      </c>
      <c r="D2" s="113"/>
      <c r="E2" s="115"/>
      <c r="F2" s="116" t="s">
        <v>71</v>
      </c>
      <c r="G2" s="117"/>
      <c r="H2" s="117"/>
      <c r="I2" s="117"/>
      <c r="J2" s="117"/>
      <c r="K2" s="117"/>
      <c r="L2" s="118" t="str">
        <f>Functions!D41</f>
        <v>Final price, prepaid/deferred payment and receivable terms; reject COD</v>
      </c>
      <c r="M2" s="113"/>
      <c r="N2" s="113"/>
      <c r="O2" s="113"/>
      <c r="P2" s="113"/>
      <c r="Q2" s="113"/>
      <c r="R2" s="113"/>
      <c r="S2" s="113"/>
      <c r="T2" s="119"/>
      <c r="U2" s="110"/>
      <c r="V2" s="120"/>
      <c r="W2" s="110"/>
      <c r="X2" s="110"/>
      <c r="Y2" s="110"/>
      <c r="Z2" s="110"/>
    </row>
    <row r="3" ht="13.5" customHeight="1">
      <c r="A3" s="121" t="s">
        <v>338</v>
      </c>
      <c r="B3" s="13"/>
      <c r="C3" s="321" t="s">
        <v>183</v>
      </c>
      <c r="D3" s="12"/>
      <c r="E3" s="13"/>
      <c r="F3" s="125" t="s">
        <v>339</v>
      </c>
      <c r="G3" s="12"/>
      <c r="H3" s="12"/>
      <c r="I3" s="12"/>
      <c r="J3" s="12"/>
      <c r="K3" s="13"/>
      <c r="L3" s="126"/>
      <c r="M3" s="123"/>
      <c r="N3" s="123"/>
      <c r="O3" s="123"/>
      <c r="P3" s="123"/>
      <c r="Q3" s="123"/>
      <c r="R3" s="123"/>
      <c r="S3" s="123"/>
      <c r="T3" s="279"/>
      <c r="U3" s="110"/>
      <c r="V3" s="110"/>
      <c r="W3" s="110"/>
      <c r="X3" s="110"/>
      <c r="Y3" s="110"/>
      <c r="Z3" s="110"/>
    </row>
    <row r="4" ht="13.5" customHeight="1">
      <c r="A4" s="121" t="s">
        <v>340</v>
      </c>
      <c r="B4" s="13"/>
      <c r="C4" s="128"/>
      <c r="D4" s="12"/>
      <c r="E4" s="129"/>
      <c r="F4" s="125" t="s">
        <v>341</v>
      </c>
      <c r="G4" s="12"/>
      <c r="H4" s="12"/>
      <c r="I4" s="12"/>
      <c r="J4" s="12"/>
      <c r="K4" s="13"/>
      <c r="L4" s="130" t="str">
        <f>IF(OR(C4="",Functions!E6="N/A"),"N/A",C4*Functions!E6/1000-O7)</f>
        <v>N/A</v>
      </c>
      <c r="M4" s="12"/>
      <c r="N4" s="12"/>
      <c r="O4" s="12"/>
      <c r="P4" s="12"/>
      <c r="Q4" s="12"/>
      <c r="R4" s="12"/>
      <c r="S4" s="12"/>
      <c r="T4" s="131"/>
      <c r="U4" s="110"/>
      <c r="V4" s="120"/>
      <c r="W4" s="110"/>
      <c r="X4" s="110"/>
      <c r="Y4" s="110"/>
      <c r="Z4" s="110"/>
    </row>
    <row r="5" ht="13.5" customHeight="1">
      <c r="A5" s="121" t="s">
        <v>342</v>
      </c>
      <c r="B5" s="13"/>
      <c r="C5" s="132" t="s">
        <v>294</v>
      </c>
      <c r="D5" s="12"/>
      <c r="E5" s="12"/>
      <c r="F5" s="12"/>
      <c r="G5" s="12"/>
      <c r="H5" s="12"/>
      <c r="I5" s="12"/>
      <c r="J5" s="12"/>
      <c r="K5" s="12"/>
      <c r="L5" s="12"/>
      <c r="M5" s="12"/>
      <c r="N5" s="12"/>
      <c r="O5" s="12"/>
      <c r="P5" s="12"/>
      <c r="Q5" s="12"/>
      <c r="R5" s="12"/>
      <c r="S5" s="12"/>
      <c r="T5" s="131"/>
      <c r="U5" s="110"/>
      <c r="V5" s="110"/>
      <c r="W5" s="110"/>
      <c r="X5" s="110"/>
      <c r="Y5" s="110"/>
      <c r="Z5" s="110"/>
    </row>
    <row r="6" ht="13.5" customHeight="1">
      <c r="A6" s="133" t="s">
        <v>217</v>
      </c>
      <c r="B6" s="13"/>
      <c r="C6" s="134" t="s">
        <v>218</v>
      </c>
      <c r="D6" s="12"/>
      <c r="E6" s="13"/>
      <c r="F6" s="134" t="s">
        <v>219</v>
      </c>
      <c r="G6" s="12"/>
      <c r="H6" s="12"/>
      <c r="I6" s="12"/>
      <c r="J6" s="12"/>
      <c r="K6" s="13"/>
      <c r="L6" s="135" t="s">
        <v>343</v>
      </c>
      <c r="M6" s="12"/>
      <c r="N6" s="12"/>
      <c r="O6" s="134" t="s">
        <v>222</v>
      </c>
      <c r="P6" s="12"/>
      <c r="Q6" s="12"/>
      <c r="R6" s="12"/>
      <c r="S6" s="12"/>
      <c r="T6" s="131"/>
      <c r="U6" s="110"/>
      <c r="V6" s="120"/>
      <c r="W6" s="110"/>
      <c r="X6" s="110"/>
      <c r="Y6" s="110"/>
      <c r="Z6" s="110"/>
    </row>
    <row r="7" ht="13.5" customHeight="1">
      <c r="A7" s="137">
        <f>COUNTIF(F46:O46,"P")</f>
        <v>0</v>
      </c>
      <c r="B7" s="138"/>
      <c r="C7" s="139">
        <f>COUNTIF(F46:O46,"F")</f>
        <v>0</v>
      </c>
      <c r="D7" s="140"/>
      <c r="E7" s="138"/>
      <c r="F7" s="139">
        <f>SUM(O7,-A7,-C7)</f>
        <v>5</v>
      </c>
      <c r="G7" s="140"/>
      <c r="H7" s="140"/>
      <c r="I7" s="140"/>
      <c r="J7" s="140"/>
      <c r="K7" s="138"/>
      <c r="L7" s="141">
        <f>COUNTIF(F45:O45,"N")</f>
        <v>2</v>
      </c>
      <c r="M7" s="141">
        <f>COUNTIF(F45:O45,"A")</f>
        <v>2</v>
      </c>
      <c r="N7" s="141">
        <f>COUNTIF(F45:O45,"B")</f>
        <v>1</v>
      </c>
      <c r="O7" s="139">
        <f>COUNTA(F9:O9)</f>
        <v>5</v>
      </c>
      <c r="P7" s="140"/>
      <c r="Q7" s="140"/>
      <c r="R7" s="140"/>
      <c r="S7" s="140"/>
      <c r="T7" s="284"/>
      <c r="U7" s="242"/>
      <c r="V7" s="110"/>
      <c r="W7" s="110"/>
      <c r="X7" s="110"/>
      <c r="Y7" s="110"/>
      <c r="Z7" s="110"/>
    </row>
    <row r="8" ht="12.0" customHeight="1">
      <c r="A8" s="110"/>
      <c r="B8" s="143"/>
      <c r="C8" s="110"/>
      <c r="D8" s="111"/>
      <c r="E8" s="110"/>
      <c r="F8" s="110"/>
      <c r="G8" s="110"/>
      <c r="H8" s="110"/>
      <c r="I8" s="110"/>
      <c r="J8" s="110"/>
      <c r="K8" s="110"/>
      <c r="L8" s="110"/>
      <c r="M8" s="110"/>
      <c r="N8" s="110"/>
      <c r="O8" s="110"/>
      <c r="P8" s="110"/>
      <c r="Q8" s="110"/>
      <c r="R8" s="110"/>
      <c r="S8" s="110"/>
      <c r="T8" s="110"/>
      <c r="U8" s="110"/>
      <c r="V8" s="110"/>
      <c r="W8" s="110"/>
      <c r="X8" s="110"/>
      <c r="Y8" s="110"/>
      <c r="Z8" s="110"/>
    </row>
    <row r="9" ht="45.0" customHeight="1">
      <c r="A9" s="243"/>
      <c r="B9" s="244"/>
      <c r="C9" s="245"/>
      <c r="D9" s="246"/>
      <c r="E9" s="245"/>
      <c r="F9" s="338" t="s">
        <v>344</v>
      </c>
      <c r="G9" s="338" t="s">
        <v>345</v>
      </c>
      <c r="H9" s="338" t="s">
        <v>346</v>
      </c>
      <c r="I9" s="338" t="s">
        <v>347</v>
      </c>
      <c r="J9" s="338" t="s">
        <v>348</v>
      </c>
      <c r="K9" s="338"/>
      <c r="L9" s="338"/>
      <c r="M9" s="338"/>
      <c r="N9" s="338"/>
      <c r="O9" s="338"/>
      <c r="P9" s="338"/>
      <c r="Q9" s="338"/>
      <c r="R9" s="338"/>
      <c r="S9" s="338"/>
      <c r="T9" s="339"/>
      <c r="U9" s="150"/>
      <c r="V9" s="120"/>
      <c r="W9" s="110"/>
      <c r="X9" s="110"/>
      <c r="Y9" s="110"/>
      <c r="Z9" s="110"/>
    </row>
    <row r="10" ht="13.5" customHeight="1">
      <c r="A10" s="151" t="s">
        <v>350</v>
      </c>
      <c r="B10" s="163" t="s">
        <v>351</v>
      </c>
      <c r="C10" s="171"/>
      <c r="D10" s="420"/>
      <c r="E10" s="248"/>
      <c r="F10" s="376"/>
      <c r="G10" s="376"/>
      <c r="H10" s="376"/>
      <c r="I10" s="376"/>
      <c r="J10" s="376"/>
      <c r="K10" s="376"/>
      <c r="L10" s="376"/>
      <c r="M10" s="376"/>
      <c r="N10" s="376"/>
      <c r="O10" s="376"/>
      <c r="P10" s="165"/>
      <c r="Q10" s="165"/>
      <c r="R10" s="165"/>
      <c r="S10" s="165"/>
      <c r="T10" s="165"/>
      <c r="U10" s="110"/>
      <c r="V10" s="110"/>
      <c r="W10" s="110"/>
      <c r="X10" s="110"/>
      <c r="Y10" s="110"/>
      <c r="Z10" s="110"/>
    </row>
    <row r="11" ht="13.5" customHeight="1">
      <c r="A11" s="162"/>
      <c r="B11" s="426"/>
      <c r="C11" s="349"/>
      <c r="D11" s="174" t="s">
        <v>674</v>
      </c>
      <c r="E11" s="155"/>
      <c r="F11" s="479" t="s">
        <v>353</v>
      </c>
      <c r="G11" s="479"/>
      <c r="H11" s="376"/>
      <c r="I11" s="479"/>
      <c r="J11" s="479"/>
      <c r="K11" s="479"/>
      <c r="L11" s="479"/>
      <c r="M11" s="479"/>
      <c r="N11" s="479"/>
      <c r="O11" s="479"/>
      <c r="P11" s="165"/>
      <c r="Q11" s="165"/>
      <c r="R11" s="165"/>
      <c r="S11" s="165"/>
      <c r="T11" s="304"/>
      <c r="U11" s="110"/>
      <c r="V11" s="120"/>
      <c r="W11" s="110"/>
      <c r="X11" s="110"/>
      <c r="Y11" s="110"/>
      <c r="Z11" s="110"/>
    </row>
    <row r="12" ht="13.5" customHeight="1">
      <c r="A12" s="162"/>
      <c r="B12" s="163"/>
      <c r="C12" s="249"/>
      <c r="D12" s="420" t="s">
        <v>675</v>
      </c>
      <c r="E12" s="155"/>
      <c r="F12" s="376"/>
      <c r="G12" s="376" t="s">
        <v>353</v>
      </c>
      <c r="H12" s="479"/>
      <c r="I12" s="376"/>
      <c r="J12" s="376"/>
      <c r="K12" s="376"/>
      <c r="L12" s="376"/>
      <c r="M12" s="376"/>
      <c r="N12" s="376"/>
      <c r="O12" s="376"/>
      <c r="P12" s="165"/>
      <c r="Q12" s="165"/>
      <c r="R12" s="165"/>
      <c r="S12" s="165"/>
      <c r="T12" s="304"/>
      <c r="U12" s="110"/>
      <c r="V12" s="110"/>
      <c r="W12" s="110"/>
      <c r="X12" s="110"/>
      <c r="Y12" s="110"/>
      <c r="Z12" s="110"/>
    </row>
    <row r="13" ht="13.5" customHeight="1">
      <c r="A13" s="162"/>
      <c r="B13" s="426"/>
      <c r="C13" s="349"/>
      <c r="D13" s="174"/>
      <c r="E13" s="173"/>
      <c r="F13" s="376"/>
      <c r="G13" s="376"/>
      <c r="H13" s="376"/>
      <c r="I13" s="376"/>
      <c r="J13" s="376"/>
      <c r="K13" s="376"/>
      <c r="L13" s="376"/>
      <c r="M13" s="376"/>
      <c r="N13" s="376"/>
      <c r="O13" s="376"/>
      <c r="P13" s="165"/>
      <c r="Q13" s="165"/>
      <c r="R13" s="165"/>
      <c r="S13" s="165"/>
      <c r="T13" s="304"/>
      <c r="U13" s="110"/>
      <c r="V13" s="110"/>
      <c r="W13" s="110"/>
      <c r="X13" s="110"/>
      <c r="Y13" s="110"/>
      <c r="Z13" s="110"/>
    </row>
    <row r="14" ht="13.5" customHeight="1">
      <c r="A14" s="162"/>
      <c r="B14" s="163"/>
      <c r="C14" s="171"/>
      <c r="D14" s="174" t="s">
        <v>676</v>
      </c>
      <c r="E14" s="173"/>
      <c r="F14" s="479"/>
      <c r="G14" s="376"/>
      <c r="H14" s="376" t="s">
        <v>353</v>
      </c>
      <c r="I14" s="479"/>
      <c r="J14" s="479"/>
      <c r="K14" s="376"/>
      <c r="L14" s="479"/>
      <c r="M14" s="479"/>
      <c r="N14" s="479"/>
      <c r="O14" s="479"/>
      <c r="P14" s="165"/>
      <c r="Q14" s="165"/>
      <c r="R14" s="165"/>
      <c r="S14" s="165"/>
      <c r="T14" s="304"/>
      <c r="U14" s="110"/>
      <c r="V14" s="110"/>
      <c r="W14" s="110"/>
      <c r="X14" s="110"/>
      <c r="Y14" s="110"/>
      <c r="Z14" s="110"/>
    </row>
    <row r="15" ht="13.5" customHeight="1">
      <c r="A15" s="162"/>
      <c r="B15" s="163"/>
      <c r="C15" s="349"/>
      <c r="D15" s="174" t="s">
        <v>677</v>
      </c>
      <c r="E15" s="173"/>
      <c r="F15" s="376"/>
      <c r="G15" s="479"/>
      <c r="H15" s="376"/>
      <c r="I15" s="376" t="s">
        <v>353</v>
      </c>
      <c r="J15" s="376"/>
      <c r="K15" s="479"/>
      <c r="L15" s="376"/>
      <c r="M15" s="376"/>
      <c r="N15" s="376"/>
      <c r="O15" s="376"/>
      <c r="P15" s="165"/>
      <c r="Q15" s="165"/>
      <c r="R15" s="165"/>
      <c r="S15" s="165"/>
      <c r="T15" s="304"/>
      <c r="U15" s="110"/>
      <c r="V15" s="110"/>
      <c r="W15" s="110"/>
      <c r="X15" s="110"/>
      <c r="Y15" s="110"/>
      <c r="Z15" s="110"/>
    </row>
    <row r="16" ht="13.5" customHeight="1">
      <c r="A16" s="162"/>
      <c r="B16" s="163"/>
      <c r="C16" s="171"/>
      <c r="D16" s="174" t="s">
        <v>679</v>
      </c>
      <c r="E16" s="173"/>
      <c r="F16" s="376"/>
      <c r="G16" s="376"/>
      <c r="H16" s="479"/>
      <c r="I16" s="376"/>
      <c r="J16" s="376" t="s">
        <v>353</v>
      </c>
      <c r="K16" s="376"/>
      <c r="L16" s="376"/>
      <c r="M16" s="376"/>
      <c r="N16" s="376"/>
      <c r="O16" s="376"/>
      <c r="P16" s="165"/>
      <c r="Q16" s="165"/>
      <c r="R16" s="165"/>
      <c r="S16" s="165"/>
      <c r="T16" s="304"/>
      <c r="U16" s="110"/>
      <c r="V16" s="110"/>
      <c r="W16" s="110"/>
      <c r="X16" s="110"/>
      <c r="Y16" s="110"/>
      <c r="Z16" s="110"/>
    </row>
    <row r="17" ht="13.5" customHeight="1">
      <c r="A17" s="162"/>
      <c r="B17" s="163"/>
      <c r="C17" s="171"/>
      <c r="D17" s="174"/>
      <c r="E17" s="173"/>
      <c r="F17" s="376"/>
      <c r="G17" s="376"/>
      <c r="H17" s="376"/>
      <c r="I17" s="376"/>
      <c r="J17" s="376"/>
      <c r="K17" s="376"/>
      <c r="L17" s="376"/>
      <c r="M17" s="376"/>
      <c r="N17" s="376"/>
      <c r="O17" s="376"/>
      <c r="P17" s="165"/>
      <c r="Q17" s="165"/>
      <c r="R17" s="165"/>
      <c r="S17" s="165"/>
      <c r="T17" s="304"/>
      <c r="U17" s="175"/>
      <c r="V17" s="110"/>
      <c r="W17" s="110"/>
      <c r="X17" s="110"/>
      <c r="Y17" s="110"/>
      <c r="Z17" s="110"/>
    </row>
    <row r="18" ht="13.5" customHeight="1">
      <c r="A18" s="162"/>
      <c r="B18" s="163"/>
      <c r="C18" s="171"/>
      <c r="D18" s="174"/>
      <c r="E18" s="173"/>
      <c r="F18" s="376"/>
      <c r="G18" s="376"/>
      <c r="H18" s="376"/>
      <c r="I18" s="376"/>
      <c r="J18" s="376"/>
      <c r="K18" s="376"/>
      <c r="L18" s="376"/>
      <c r="M18" s="479"/>
      <c r="N18" s="376"/>
      <c r="O18" s="376"/>
      <c r="P18" s="165"/>
      <c r="Q18" s="165"/>
      <c r="R18" s="165"/>
      <c r="S18" s="165"/>
      <c r="T18" s="304"/>
      <c r="U18" s="175"/>
      <c r="V18" s="110"/>
      <c r="W18" s="110"/>
      <c r="X18" s="110"/>
      <c r="Y18" s="110"/>
      <c r="Z18" s="110"/>
    </row>
    <row r="19" ht="13.5" customHeight="1">
      <c r="A19" s="162"/>
      <c r="B19" s="163"/>
      <c r="C19" s="171"/>
      <c r="D19" s="174"/>
      <c r="E19" s="173"/>
      <c r="F19" s="376"/>
      <c r="G19" s="376"/>
      <c r="H19" s="376"/>
      <c r="I19" s="376"/>
      <c r="J19" s="376"/>
      <c r="K19" s="376"/>
      <c r="L19" s="376"/>
      <c r="M19" s="376"/>
      <c r="N19" s="376"/>
      <c r="O19" s="479"/>
      <c r="P19" s="165"/>
      <c r="Q19" s="165"/>
      <c r="R19" s="165"/>
      <c r="S19" s="165"/>
      <c r="T19" s="304"/>
      <c r="U19" s="175"/>
      <c r="V19" s="110"/>
      <c r="W19" s="110"/>
      <c r="X19" s="110"/>
      <c r="Y19" s="110"/>
      <c r="Z19" s="110"/>
    </row>
    <row r="20" ht="13.5" customHeight="1">
      <c r="A20" s="162"/>
      <c r="B20" s="163"/>
      <c r="C20" s="171"/>
      <c r="D20" s="174"/>
      <c r="E20" s="173"/>
      <c r="F20" s="479"/>
      <c r="G20" s="479"/>
      <c r="H20" s="376"/>
      <c r="I20" s="479"/>
      <c r="J20" s="479"/>
      <c r="K20" s="479"/>
      <c r="L20" s="479"/>
      <c r="M20" s="376"/>
      <c r="N20" s="479"/>
      <c r="O20" s="376"/>
      <c r="P20" s="165"/>
      <c r="Q20" s="165"/>
      <c r="R20" s="165"/>
      <c r="S20" s="165"/>
      <c r="T20" s="304"/>
      <c r="U20" s="110"/>
      <c r="V20" s="110"/>
      <c r="W20" s="110"/>
      <c r="X20" s="110"/>
      <c r="Y20" s="110"/>
      <c r="Z20" s="110"/>
    </row>
    <row r="21" ht="13.5" customHeight="1">
      <c r="A21" s="162"/>
      <c r="B21" s="500"/>
      <c r="C21" s="349"/>
      <c r="D21" s="420"/>
      <c r="E21" s="351"/>
      <c r="F21" s="376"/>
      <c r="G21" s="376"/>
      <c r="H21" s="479"/>
      <c r="I21" s="376"/>
      <c r="J21" s="376"/>
      <c r="K21" s="376"/>
      <c r="L21" s="376"/>
      <c r="M21" s="376"/>
      <c r="N21" s="376"/>
      <c r="O21" s="376"/>
      <c r="P21" s="165"/>
      <c r="Q21" s="165"/>
      <c r="R21" s="165"/>
      <c r="S21" s="165"/>
      <c r="T21" s="304"/>
      <c r="U21" s="110"/>
      <c r="V21" s="110"/>
      <c r="W21" s="110"/>
      <c r="X21" s="110"/>
      <c r="Y21" s="110"/>
      <c r="Z21" s="110"/>
    </row>
    <row r="22" ht="13.5" customHeight="1">
      <c r="A22" s="162"/>
      <c r="B22" s="500"/>
      <c r="C22" s="349"/>
      <c r="D22" s="354"/>
      <c r="E22" s="351"/>
      <c r="F22" s="376"/>
      <c r="G22" s="376"/>
      <c r="H22" s="376"/>
      <c r="I22" s="376"/>
      <c r="J22" s="376"/>
      <c r="K22" s="376"/>
      <c r="L22" s="376"/>
      <c r="M22" s="376"/>
      <c r="N22" s="376"/>
      <c r="O22" s="376"/>
      <c r="P22" s="165"/>
      <c r="Q22" s="165"/>
      <c r="R22" s="165"/>
      <c r="S22" s="165"/>
      <c r="T22" s="304"/>
      <c r="U22" s="110"/>
      <c r="V22" s="110"/>
      <c r="W22" s="110"/>
      <c r="X22" s="110"/>
      <c r="Y22" s="110"/>
      <c r="Z22" s="110"/>
    </row>
    <row r="23" ht="13.5" customHeight="1">
      <c r="A23" s="162"/>
      <c r="B23" s="500"/>
      <c r="C23" s="349"/>
      <c r="D23" s="489"/>
      <c r="E23" s="173"/>
      <c r="F23" s="479"/>
      <c r="G23" s="376"/>
      <c r="H23" s="376"/>
      <c r="I23" s="376"/>
      <c r="J23" s="376"/>
      <c r="K23" s="376"/>
      <c r="L23" s="376"/>
      <c r="M23" s="376"/>
      <c r="N23" s="376"/>
      <c r="O23" s="376"/>
      <c r="P23" s="165"/>
      <c r="Q23" s="165"/>
      <c r="R23" s="165"/>
      <c r="S23" s="165"/>
      <c r="T23" s="304"/>
      <c r="U23" s="110"/>
      <c r="V23" s="110"/>
      <c r="W23" s="110"/>
      <c r="X23" s="110"/>
      <c r="Y23" s="110"/>
      <c r="Z23" s="110"/>
    </row>
    <row r="24" ht="13.5" customHeight="1">
      <c r="A24" s="162"/>
      <c r="B24" s="500"/>
      <c r="C24" s="349"/>
      <c r="D24" s="489"/>
      <c r="E24" s="351"/>
      <c r="F24" s="376"/>
      <c r="G24" s="376"/>
      <c r="H24" s="376"/>
      <c r="I24" s="479"/>
      <c r="J24" s="376"/>
      <c r="K24" s="376"/>
      <c r="L24" s="376"/>
      <c r="M24" s="376"/>
      <c r="N24" s="376"/>
      <c r="O24" s="376"/>
      <c r="P24" s="165"/>
      <c r="Q24" s="165"/>
      <c r="R24" s="165"/>
      <c r="S24" s="165"/>
      <c r="T24" s="304"/>
      <c r="U24" s="110"/>
      <c r="V24" s="110"/>
      <c r="W24" s="110"/>
      <c r="X24" s="110"/>
      <c r="Y24" s="110"/>
      <c r="Z24" s="110"/>
    </row>
    <row r="25" ht="13.5" customHeight="1">
      <c r="A25" s="428"/>
      <c r="B25" s="429"/>
      <c r="C25" s="364"/>
      <c r="D25" s="365"/>
      <c r="E25" s="351"/>
      <c r="F25" s="376"/>
      <c r="G25" s="479"/>
      <c r="H25" s="479"/>
      <c r="I25" s="376"/>
      <c r="J25" s="479"/>
      <c r="K25" s="479"/>
      <c r="L25" s="479"/>
      <c r="M25" s="479"/>
      <c r="N25" s="479"/>
      <c r="O25" s="479"/>
      <c r="P25" s="165"/>
      <c r="Q25" s="165"/>
      <c r="R25" s="165"/>
      <c r="S25" s="165"/>
      <c r="T25" s="304"/>
      <c r="U25" s="110"/>
      <c r="V25" s="110"/>
      <c r="W25" s="110"/>
      <c r="X25" s="110"/>
      <c r="Y25" s="110"/>
      <c r="Z25" s="110"/>
    </row>
    <row r="26" ht="13.5" customHeight="1">
      <c r="A26" s="503" t="s">
        <v>359</v>
      </c>
      <c r="B26" s="504" t="s">
        <v>360</v>
      </c>
      <c r="C26" s="505"/>
      <c r="D26" s="506"/>
      <c r="E26" s="351"/>
      <c r="F26" s="376"/>
      <c r="G26" s="376"/>
      <c r="H26" s="376"/>
      <c r="I26" s="376"/>
      <c r="J26" s="376"/>
      <c r="K26" s="376"/>
      <c r="L26" s="376"/>
      <c r="M26" s="376"/>
      <c r="N26" s="376"/>
      <c r="O26" s="376"/>
      <c r="P26" s="165"/>
      <c r="Q26" s="165"/>
      <c r="R26" s="165"/>
      <c r="S26" s="165"/>
      <c r="T26" s="304"/>
      <c r="U26" s="110"/>
      <c r="V26" s="110"/>
      <c r="W26" s="110"/>
      <c r="X26" s="110"/>
      <c r="Y26" s="110"/>
      <c r="Z26" s="110"/>
    </row>
    <row r="27" ht="13.5" customHeight="1">
      <c r="A27" s="162"/>
      <c r="B27" s="500"/>
      <c r="C27" s="349"/>
      <c r="D27" s="489" t="s">
        <v>689</v>
      </c>
      <c r="E27" s="351"/>
      <c r="F27" s="479" t="s">
        <v>353</v>
      </c>
      <c r="G27" s="479"/>
      <c r="H27" s="376"/>
      <c r="I27" s="479"/>
      <c r="J27" s="479"/>
      <c r="K27" s="479"/>
      <c r="L27" s="479"/>
      <c r="M27" s="479"/>
      <c r="N27" s="479"/>
      <c r="O27" s="479"/>
      <c r="P27" s="165"/>
      <c r="Q27" s="165"/>
      <c r="R27" s="165"/>
      <c r="S27" s="165"/>
      <c r="T27" s="304"/>
      <c r="U27" s="110"/>
      <c r="V27" s="110"/>
      <c r="W27" s="110"/>
      <c r="X27" s="110"/>
      <c r="Y27" s="110"/>
      <c r="Z27" s="110"/>
    </row>
    <row r="28" ht="13.5" customHeight="1">
      <c r="A28" s="162"/>
      <c r="B28" s="500"/>
      <c r="C28" s="349"/>
      <c r="D28" s="489" t="s">
        <v>690</v>
      </c>
      <c r="E28" s="351"/>
      <c r="F28" s="376"/>
      <c r="G28" s="376" t="s">
        <v>353</v>
      </c>
      <c r="H28" s="479"/>
      <c r="I28" s="376"/>
      <c r="J28" s="376"/>
      <c r="K28" s="376"/>
      <c r="L28" s="376"/>
      <c r="M28" s="376"/>
      <c r="N28" s="376"/>
      <c r="O28" s="376"/>
      <c r="P28" s="165"/>
      <c r="Q28" s="165"/>
      <c r="R28" s="165"/>
      <c r="S28" s="165"/>
      <c r="T28" s="304"/>
      <c r="U28" s="110"/>
      <c r="V28" s="110"/>
      <c r="W28" s="110"/>
      <c r="X28" s="110"/>
      <c r="Y28" s="110"/>
      <c r="Z28" s="110"/>
    </row>
    <row r="29" ht="13.5" customHeight="1">
      <c r="A29" s="162"/>
      <c r="B29" s="500"/>
      <c r="C29" s="349"/>
      <c r="D29" s="354"/>
      <c r="E29" s="351"/>
      <c r="F29" s="376"/>
      <c r="G29" s="376"/>
      <c r="H29" s="376"/>
      <c r="I29" s="376"/>
      <c r="J29" s="376"/>
      <c r="K29" s="376"/>
      <c r="L29" s="376"/>
      <c r="M29" s="376"/>
      <c r="N29" s="376"/>
      <c r="O29" s="376"/>
      <c r="P29" s="165"/>
      <c r="Q29" s="165"/>
      <c r="R29" s="165"/>
      <c r="S29" s="165"/>
      <c r="T29" s="304"/>
      <c r="U29" s="110"/>
      <c r="V29" s="110"/>
      <c r="W29" s="110"/>
      <c r="X29" s="110"/>
      <c r="Y29" s="110"/>
      <c r="Z29" s="110"/>
    </row>
    <row r="30" ht="13.5" customHeight="1">
      <c r="A30" s="162"/>
      <c r="B30" s="500"/>
      <c r="C30" s="349"/>
      <c r="D30" s="489" t="s">
        <v>691</v>
      </c>
      <c r="E30" s="351"/>
      <c r="F30" s="479"/>
      <c r="G30" s="479"/>
      <c r="H30" s="376" t="s">
        <v>353</v>
      </c>
      <c r="I30" s="479"/>
      <c r="J30" s="479"/>
      <c r="K30" s="479"/>
      <c r="L30" s="479"/>
      <c r="M30" s="479"/>
      <c r="N30" s="479"/>
      <c r="O30" s="479"/>
      <c r="P30" s="165"/>
      <c r="Q30" s="165"/>
      <c r="R30" s="165"/>
      <c r="S30" s="165"/>
      <c r="T30" s="304"/>
      <c r="U30" s="110"/>
      <c r="V30" s="110"/>
      <c r="W30" s="110"/>
      <c r="X30" s="110"/>
      <c r="Y30" s="110"/>
      <c r="Z30" s="110"/>
    </row>
    <row r="31" ht="13.5" customHeight="1">
      <c r="A31" s="162"/>
      <c r="B31" s="500"/>
      <c r="C31" s="349"/>
      <c r="D31" s="420" t="s">
        <v>693</v>
      </c>
      <c r="E31" s="351"/>
      <c r="F31" s="376"/>
      <c r="G31" s="376"/>
      <c r="H31" s="479"/>
      <c r="I31" s="376" t="s">
        <v>353</v>
      </c>
      <c r="J31" s="376"/>
      <c r="K31" s="376"/>
      <c r="L31" s="376"/>
      <c r="M31" s="376"/>
      <c r="N31" s="376"/>
      <c r="O31" s="376"/>
      <c r="P31" s="165"/>
      <c r="Q31" s="165"/>
      <c r="R31" s="165"/>
      <c r="S31" s="165"/>
      <c r="T31" s="304"/>
      <c r="U31" s="110"/>
      <c r="V31" s="110"/>
      <c r="W31" s="110"/>
      <c r="X31" s="110"/>
      <c r="Y31" s="110"/>
      <c r="Z31" s="110"/>
    </row>
    <row r="32" ht="13.5" customHeight="1">
      <c r="A32" s="162"/>
      <c r="B32" s="500"/>
      <c r="C32" s="349"/>
      <c r="D32" s="489"/>
      <c r="E32" s="173"/>
      <c r="F32" s="376"/>
      <c r="G32" s="376"/>
      <c r="H32" s="376"/>
      <c r="I32" s="376"/>
      <c r="J32" s="376"/>
      <c r="K32" s="376"/>
      <c r="L32" s="376"/>
      <c r="M32" s="376"/>
      <c r="N32" s="376"/>
      <c r="O32" s="376"/>
      <c r="P32" s="298"/>
      <c r="Q32" s="298"/>
      <c r="R32" s="298"/>
      <c r="S32" s="298"/>
      <c r="T32" s="312"/>
      <c r="U32" s="110"/>
      <c r="V32" s="110"/>
      <c r="W32" s="110"/>
      <c r="X32" s="110"/>
      <c r="Y32" s="110"/>
      <c r="Z32" s="110"/>
    </row>
    <row r="33" ht="13.5" customHeight="1">
      <c r="A33" s="162"/>
      <c r="B33" s="520"/>
      <c r="C33" s="178"/>
      <c r="D33" s="179" t="s">
        <v>697</v>
      </c>
      <c r="E33" s="173"/>
      <c r="F33" s="479"/>
      <c r="G33" s="376"/>
      <c r="H33" s="376"/>
      <c r="I33" s="479"/>
      <c r="J33" s="479" t="s">
        <v>353</v>
      </c>
      <c r="K33" s="376"/>
      <c r="L33" s="479"/>
      <c r="M33" s="479"/>
      <c r="N33" s="479"/>
      <c r="O33" s="479"/>
      <c r="P33" s="156"/>
      <c r="Q33" s="156"/>
      <c r="R33" s="156"/>
      <c r="S33" s="156"/>
      <c r="T33" s="313"/>
      <c r="U33" s="110"/>
      <c r="V33" s="110"/>
      <c r="W33" s="110"/>
      <c r="X33" s="110"/>
      <c r="Y33" s="110"/>
      <c r="Z33" s="110"/>
    </row>
    <row r="34" ht="13.5" customHeight="1">
      <c r="A34" s="181"/>
      <c r="B34" s="255"/>
      <c r="C34" s="183"/>
      <c r="D34" s="184"/>
      <c r="E34" s="173"/>
      <c r="F34" s="376"/>
      <c r="G34" s="479"/>
      <c r="H34" s="479"/>
      <c r="I34" s="376"/>
      <c r="J34" s="376"/>
      <c r="K34" s="479"/>
      <c r="L34" s="376"/>
      <c r="M34" s="376"/>
      <c r="N34" s="376"/>
      <c r="O34" s="376"/>
      <c r="P34" s="165"/>
      <c r="Q34" s="165"/>
      <c r="R34" s="165"/>
      <c r="S34" s="165"/>
      <c r="T34" s="304"/>
      <c r="U34" s="110"/>
      <c r="V34" s="110"/>
      <c r="W34" s="110"/>
      <c r="X34" s="110"/>
      <c r="Y34" s="110"/>
      <c r="Z34" s="110"/>
    </row>
    <row r="35" ht="13.5" customHeight="1">
      <c r="A35" s="162"/>
      <c r="B35" s="255"/>
      <c r="C35" s="183"/>
      <c r="D35" s="184"/>
      <c r="E35" s="173"/>
      <c r="F35" s="376"/>
      <c r="G35" s="376"/>
      <c r="H35" s="376"/>
      <c r="I35" s="376"/>
      <c r="J35" s="376"/>
      <c r="K35" s="376"/>
      <c r="L35" s="376"/>
      <c r="M35" s="376"/>
      <c r="N35" s="376"/>
      <c r="O35" s="376"/>
      <c r="P35" s="165"/>
      <c r="Q35" s="165"/>
      <c r="R35" s="165"/>
      <c r="S35" s="165"/>
      <c r="T35" s="304"/>
      <c r="U35" s="110"/>
      <c r="V35" s="110"/>
      <c r="W35" s="110"/>
      <c r="X35" s="110"/>
      <c r="Y35" s="110"/>
      <c r="Z35" s="110"/>
    </row>
    <row r="36" ht="13.5" customHeight="1">
      <c r="A36" s="181"/>
      <c r="B36" s="255"/>
      <c r="C36" s="183"/>
      <c r="D36" s="184"/>
      <c r="E36" s="173"/>
      <c r="F36" s="479"/>
      <c r="G36" s="479"/>
      <c r="H36" s="376"/>
      <c r="I36" s="479"/>
      <c r="J36" s="479"/>
      <c r="K36" s="479"/>
      <c r="L36" s="479"/>
      <c r="M36" s="479"/>
      <c r="N36" s="479"/>
      <c r="O36" s="479"/>
      <c r="P36" s="165"/>
      <c r="Q36" s="165"/>
      <c r="R36" s="165"/>
      <c r="S36" s="165"/>
      <c r="T36" s="304"/>
      <c r="U36" s="110"/>
      <c r="V36" s="110"/>
      <c r="W36" s="110"/>
      <c r="X36" s="110"/>
      <c r="Y36" s="110"/>
      <c r="Z36" s="110"/>
    </row>
    <row r="37" ht="13.5" customHeight="1">
      <c r="A37" s="181"/>
      <c r="B37" s="255"/>
      <c r="C37" s="183"/>
      <c r="D37" s="184"/>
      <c r="E37" s="173"/>
      <c r="F37" s="376"/>
      <c r="G37" s="376"/>
      <c r="H37" s="479"/>
      <c r="I37" s="376"/>
      <c r="J37" s="376"/>
      <c r="K37" s="376"/>
      <c r="L37" s="376"/>
      <c r="M37" s="376"/>
      <c r="N37" s="376"/>
      <c r="O37" s="376"/>
      <c r="P37" s="165"/>
      <c r="Q37" s="165"/>
      <c r="R37" s="165"/>
      <c r="S37" s="165"/>
      <c r="T37" s="304"/>
      <c r="U37" s="110"/>
      <c r="V37" s="110"/>
      <c r="W37" s="110"/>
      <c r="X37" s="110"/>
      <c r="Y37" s="110"/>
      <c r="Z37" s="110"/>
    </row>
    <row r="38" ht="13.5" customHeight="1">
      <c r="A38" s="181"/>
      <c r="B38" s="255"/>
      <c r="C38" s="183"/>
      <c r="D38" s="384"/>
      <c r="E38" s="173"/>
      <c r="F38" s="376"/>
      <c r="G38" s="376"/>
      <c r="H38" s="376"/>
      <c r="I38" s="376"/>
      <c r="J38" s="376"/>
      <c r="K38" s="376"/>
      <c r="L38" s="376"/>
      <c r="M38" s="376"/>
      <c r="N38" s="376"/>
      <c r="O38" s="376"/>
      <c r="P38" s="165"/>
      <c r="Q38" s="165"/>
      <c r="R38" s="165"/>
      <c r="S38" s="165"/>
      <c r="T38" s="304"/>
      <c r="U38" s="110"/>
      <c r="V38" s="110"/>
      <c r="W38" s="110"/>
      <c r="X38" s="110"/>
      <c r="Y38" s="110"/>
      <c r="Z38" s="110"/>
    </row>
    <row r="39" ht="13.5" customHeight="1">
      <c r="A39" s="181"/>
      <c r="B39" s="255"/>
      <c r="C39" s="183"/>
      <c r="D39" s="184"/>
      <c r="E39" s="173"/>
      <c r="F39" s="376"/>
      <c r="G39" s="376"/>
      <c r="H39" s="376"/>
      <c r="I39" s="376"/>
      <c r="J39" s="376"/>
      <c r="K39" s="376"/>
      <c r="L39" s="376"/>
      <c r="M39" s="479"/>
      <c r="N39" s="376"/>
      <c r="O39" s="376"/>
      <c r="P39" s="165"/>
      <c r="Q39" s="165"/>
      <c r="R39" s="165"/>
      <c r="S39" s="165"/>
      <c r="T39" s="304"/>
      <c r="U39" s="110"/>
      <c r="V39" s="110"/>
      <c r="W39" s="110"/>
      <c r="X39" s="110"/>
      <c r="Y39" s="110"/>
      <c r="Z39" s="110"/>
    </row>
    <row r="40" ht="13.5" customHeight="1">
      <c r="A40" s="181"/>
      <c r="B40" s="426"/>
      <c r="C40" s="183"/>
      <c r="D40" s="184"/>
      <c r="E40" s="173"/>
      <c r="F40" s="479"/>
      <c r="G40" s="479"/>
      <c r="H40" s="479"/>
      <c r="I40" s="479"/>
      <c r="J40" s="479"/>
      <c r="K40" s="479"/>
      <c r="L40" s="479"/>
      <c r="M40" s="376"/>
      <c r="N40" s="479"/>
      <c r="O40" s="479"/>
      <c r="P40" s="165"/>
      <c r="Q40" s="165"/>
      <c r="R40" s="165"/>
      <c r="S40" s="165"/>
      <c r="T40" s="304"/>
      <c r="U40" s="110"/>
      <c r="V40" s="110"/>
      <c r="W40" s="110"/>
      <c r="X40" s="110"/>
      <c r="Y40" s="110"/>
      <c r="Z40" s="110"/>
    </row>
    <row r="41" ht="13.5" customHeight="1">
      <c r="A41" s="181"/>
      <c r="B41" s="255"/>
      <c r="C41" s="183"/>
      <c r="D41" s="384"/>
      <c r="E41" s="173"/>
      <c r="F41" s="376"/>
      <c r="G41" s="376"/>
      <c r="H41" s="376"/>
      <c r="I41" s="376"/>
      <c r="J41" s="376"/>
      <c r="K41" s="376"/>
      <c r="L41" s="376"/>
      <c r="M41" s="376"/>
      <c r="N41" s="376"/>
      <c r="O41" s="376"/>
      <c r="P41" s="165"/>
      <c r="Q41" s="165"/>
      <c r="R41" s="165"/>
      <c r="S41" s="165"/>
      <c r="T41" s="304"/>
      <c r="U41" s="110"/>
      <c r="V41" s="110"/>
      <c r="W41" s="110"/>
      <c r="X41" s="110"/>
      <c r="Y41" s="110"/>
      <c r="Z41" s="110"/>
    </row>
    <row r="42" ht="13.5" customHeight="1">
      <c r="A42" s="181"/>
      <c r="B42" s="255"/>
      <c r="C42" s="183"/>
      <c r="D42" s="184"/>
      <c r="E42" s="173"/>
      <c r="F42" s="479"/>
      <c r="G42" s="479"/>
      <c r="H42" s="376"/>
      <c r="I42" s="479"/>
      <c r="J42" s="479"/>
      <c r="K42" s="479"/>
      <c r="L42" s="479"/>
      <c r="M42" s="376"/>
      <c r="N42" s="479"/>
      <c r="O42" s="479"/>
      <c r="P42" s="165"/>
      <c r="Q42" s="165"/>
      <c r="R42" s="165"/>
      <c r="S42" s="165"/>
      <c r="T42" s="304"/>
      <c r="U42" s="110"/>
      <c r="V42" s="110"/>
      <c r="W42" s="110"/>
      <c r="X42" s="110"/>
      <c r="Y42" s="110"/>
      <c r="Z42" s="110"/>
    </row>
    <row r="43" ht="13.5" customHeight="1">
      <c r="A43" s="181"/>
      <c r="B43" s="426"/>
      <c r="C43" s="183"/>
      <c r="D43" s="184"/>
      <c r="E43" s="173"/>
      <c r="F43" s="376"/>
      <c r="G43" s="376"/>
      <c r="H43" s="376"/>
      <c r="I43" s="376"/>
      <c r="J43" s="376"/>
      <c r="K43" s="376"/>
      <c r="L43" s="376"/>
      <c r="M43" s="479"/>
      <c r="N43" s="376"/>
      <c r="O43" s="376"/>
      <c r="P43" s="165"/>
      <c r="Q43" s="165"/>
      <c r="R43" s="165"/>
      <c r="S43" s="165"/>
      <c r="T43" s="304"/>
      <c r="U43" s="110"/>
      <c r="V43" s="110"/>
      <c r="W43" s="110"/>
      <c r="X43" s="110"/>
      <c r="Y43" s="110"/>
      <c r="Z43" s="110"/>
    </row>
    <row r="44" ht="13.5" customHeight="1">
      <c r="A44" s="181"/>
      <c r="B44" s="255"/>
      <c r="C44" s="193"/>
      <c r="D44" s="194"/>
      <c r="E44" s="173"/>
      <c r="F44" s="376"/>
      <c r="G44" s="376"/>
      <c r="H44" s="479"/>
      <c r="I44" s="376"/>
      <c r="J44" s="376"/>
      <c r="K44" s="376"/>
      <c r="L44" s="376"/>
      <c r="M44" s="376"/>
      <c r="N44" s="376"/>
      <c r="O44" s="376"/>
      <c r="P44" s="196"/>
      <c r="Q44" s="196"/>
      <c r="R44" s="196"/>
      <c r="S44" s="196"/>
      <c r="T44" s="319"/>
      <c r="U44" s="110"/>
      <c r="V44" s="110"/>
      <c r="W44" s="110"/>
      <c r="X44" s="110"/>
      <c r="Y44" s="110"/>
      <c r="Z44" s="110"/>
    </row>
    <row r="45" ht="13.5" customHeight="1">
      <c r="A45" s="176" t="s">
        <v>367</v>
      </c>
      <c r="B45" s="389" t="s">
        <v>368</v>
      </c>
      <c r="C45" s="198"/>
      <c r="D45" s="199"/>
      <c r="E45" s="200"/>
      <c r="F45" s="201" t="s">
        <v>220</v>
      </c>
      <c r="G45" s="201" t="s">
        <v>38</v>
      </c>
      <c r="H45" s="201" t="s">
        <v>221</v>
      </c>
      <c r="I45" s="201" t="s">
        <v>220</v>
      </c>
      <c r="J45" s="201" t="s">
        <v>38</v>
      </c>
      <c r="K45" s="201"/>
      <c r="L45" s="201"/>
      <c r="M45" s="201"/>
      <c r="N45" s="201"/>
      <c r="O45" s="201"/>
      <c r="P45" s="201"/>
      <c r="Q45" s="201"/>
      <c r="R45" s="201"/>
      <c r="S45" s="201"/>
      <c r="T45" s="326"/>
      <c r="U45" s="110"/>
      <c r="V45" s="110"/>
      <c r="W45" s="110"/>
      <c r="X45" s="110"/>
      <c r="Y45" s="110"/>
      <c r="Z45" s="110"/>
    </row>
    <row r="46" ht="13.5" customHeight="1">
      <c r="A46" s="260"/>
      <c r="B46" s="391" t="s">
        <v>369</v>
      </c>
      <c r="C46" s="12"/>
      <c r="D46" s="13"/>
      <c r="E46" s="205"/>
      <c r="F46" s="206"/>
      <c r="G46" s="206"/>
      <c r="H46" s="206"/>
      <c r="I46" s="206"/>
      <c r="J46" s="206"/>
      <c r="K46" s="206"/>
      <c r="L46" s="206"/>
      <c r="M46" s="206"/>
      <c r="N46" s="206"/>
      <c r="O46" s="206"/>
      <c r="P46" s="206"/>
      <c r="Q46" s="206"/>
      <c r="R46" s="206"/>
      <c r="S46" s="206"/>
      <c r="T46" s="327"/>
      <c r="U46" s="110"/>
      <c r="V46" s="110"/>
      <c r="W46" s="110"/>
      <c r="X46" s="110"/>
      <c r="Y46" s="110"/>
      <c r="Z46" s="110"/>
    </row>
    <row r="47" ht="13.5" customHeight="1">
      <c r="A47" s="260"/>
      <c r="B47" s="392" t="s">
        <v>371</v>
      </c>
      <c r="C47" s="12"/>
      <c r="D47" s="13"/>
      <c r="E47" s="209"/>
      <c r="F47" s="210"/>
      <c r="G47" s="210"/>
      <c r="H47" s="210"/>
      <c r="I47" s="210"/>
      <c r="J47" s="210"/>
      <c r="K47" s="210"/>
      <c r="L47" s="210"/>
      <c r="M47" s="210"/>
      <c r="N47" s="210"/>
      <c r="O47" s="210"/>
      <c r="P47" s="210"/>
      <c r="Q47" s="210"/>
      <c r="R47" s="210"/>
      <c r="S47" s="210"/>
      <c r="T47" s="328"/>
      <c r="U47" s="110"/>
      <c r="V47" s="110"/>
      <c r="W47" s="110"/>
      <c r="X47" s="110"/>
      <c r="Y47" s="110"/>
      <c r="Z47" s="110"/>
    </row>
    <row r="48" ht="12.0" customHeight="1">
      <c r="A48" s="261"/>
      <c r="B48" s="393" t="s">
        <v>372</v>
      </c>
      <c r="C48" s="216"/>
      <c r="D48" s="217"/>
      <c r="E48" s="218"/>
      <c r="F48" s="219"/>
      <c r="G48" s="219"/>
      <c r="H48" s="219"/>
      <c r="I48" s="219"/>
      <c r="J48" s="219"/>
      <c r="K48" s="219"/>
      <c r="L48" s="219"/>
      <c r="M48" s="219"/>
      <c r="N48" s="219"/>
      <c r="O48" s="219"/>
      <c r="P48" s="219"/>
      <c r="Q48" s="219"/>
      <c r="R48" s="219"/>
      <c r="S48" s="219"/>
      <c r="T48" s="329"/>
      <c r="U48" s="110"/>
      <c r="V48" s="110"/>
      <c r="W48" s="110"/>
      <c r="X48" s="110"/>
      <c r="Y48" s="110"/>
      <c r="Z48" s="110"/>
    </row>
    <row r="49" ht="12.0" customHeight="1">
      <c r="A49" s="143"/>
      <c r="B49" s="110"/>
      <c r="C49" s="111"/>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ht="13.5" customHeight="1">
      <c r="A50" s="110"/>
      <c r="B50" s="143"/>
      <c r="C50" s="110"/>
      <c r="D50" s="111"/>
      <c r="E50" s="110"/>
      <c r="F50" s="110"/>
      <c r="G50" s="110"/>
      <c r="H50" s="110"/>
      <c r="I50" s="110"/>
      <c r="J50" s="110"/>
      <c r="K50" s="110"/>
      <c r="L50" s="110"/>
      <c r="M50" s="110"/>
      <c r="N50" s="110"/>
      <c r="O50" s="110"/>
      <c r="P50" s="110"/>
      <c r="Q50" s="110"/>
      <c r="R50" s="110"/>
      <c r="S50" s="110"/>
      <c r="T50" s="110"/>
      <c r="U50" s="110"/>
      <c r="V50" s="110"/>
      <c r="W50" s="110"/>
      <c r="X50" s="110"/>
      <c r="Y50" s="110"/>
      <c r="Z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c r="Z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c r="Z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c r="Z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c r="Z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c r="Z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c r="Z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c r="Z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c r="Z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c r="Z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c r="Z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c r="Z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c r="Z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c r="Z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c r="Z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c r="Z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c r="Z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c r="Z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c r="Z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c r="Z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c r="Z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c r="Z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c r="Z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c r="Z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c r="Z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c r="Z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c r="Z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c r="Z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c r="Z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c r="Z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c r="Z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c r="Z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c r="Z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c r="Z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c r="Z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c r="Z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c r="Z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c r="Z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c r="Z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c r="Z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c r="Z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c r="Z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c r="Z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c r="Z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c r="Z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c r="Z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c r="Z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c r="Z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c r="Z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c r="Z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E2"/>
    <mergeCell ref="F2:K2"/>
    <mergeCell ref="L2:T2"/>
    <mergeCell ref="C3:E3"/>
    <mergeCell ref="F3:K3"/>
    <mergeCell ref="L3:T3"/>
    <mergeCell ref="A3:B3"/>
    <mergeCell ref="A4:B4"/>
    <mergeCell ref="C4:D4"/>
    <mergeCell ref="F4:K4"/>
    <mergeCell ref="L4:T4"/>
    <mergeCell ref="A5:B5"/>
    <mergeCell ref="C5:T5"/>
    <mergeCell ref="O6:T6"/>
    <mergeCell ref="O7:T7"/>
    <mergeCell ref="B45:D45"/>
    <mergeCell ref="B46:D46"/>
    <mergeCell ref="B47:D47"/>
    <mergeCell ref="B48:D48"/>
    <mergeCell ref="A6:B6"/>
    <mergeCell ref="C6:E6"/>
    <mergeCell ref="F6:K6"/>
    <mergeCell ref="L6:N6"/>
    <mergeCell ref="A7:B7"/>
    <mergeCell ref="C7:E7"/>
    <mergeCell ref="F7:K7"/>
  </mergeCells>
  <dataValidations>
    <dataValidation type="list" allowBlank="1" showInputMessage="1" showErrorMessage="1" prompt=" - " sqref="F46:T46">
      <formula1>"P,F"</formula1>
    </dataValidation>
    <dataValidation type="list" allowBlank="1" showInputMessage="1" showErrorMessage="1" prompt=" - " sqref="F10:T44">
      <formula1>"O"</formula1>
    </dataValidation>
    <dataValidation type="list" allowBlank="1" showInputMessage="1" showErrorMessage="1" prompt=" - " sqref="F45:T45">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5.5"/>
    <col customWidth="1" min="6" max="6" width="4.63"/>
    <col customWidth="1" min="7" max="7" width="4.38"/>
    <col customWidth="1" min="8" max="8" width="4.0"/>
    <col customWidth="1" min="9" max="9" width="3.75"/>
    <col customWidth="1" min="10" max="10" width="4.63"/>
    <col customWidth="1" min="11" max="11" width="5.5"/>
    <col customWidth="1" min="12" max="12" width="5.88"/>
    <col customWidth="1" min="13" max="20" width="2.88"/>
    <col customWidth="1" min="21" max="22" width="9.0"/>
    <col customWidth="1" min="23" max="25" width="10.0"/>
  </cols>
  <sheetData>
    <row r="1" ht="13.5" customHeight="1">
      <c r="A1" s="474"/>
      <c r="B1" s="474"/>
      <c r="C1" s="475"/>
      <c r="D1" s="475"/>
      <c r="E1" s="475"/>
      <c r="F1" s="475"/>
      <c r="G1" s="475"/>
      <c r="H1" s="475"/>
      <c r="I1" s="475"/>
      <c r="J1" s="475"/>
      <c r="K1" s="475"/>
      <c r="L1" s="475"/>
      <c r="M1" s="475"/>
      <c r="N1" s="475"/>
      <c r="O1" s="475"/>
      <c r="P1" s="475"/>
      <c r="Q1" s="475"/>
      <c r="R1" s="475"/>
      <c r="S1" s="475"/>
      <c r="T1" s="475"/>
      <c r="U1" s="249"/>
      <c r="V1" s="249"/>
      <c r="W1" s="249"/>
      <c r="X1" s="249"/>
      <c r="Y1" s="249"/>
    </row>
    <row r="2" ht="13.5" customHeight="1">
      <c r="A2" s="342" t="s">
        <v>337</v>
      </c>
      <c r="B2" s="113"/>
      <c r="C2" s="343" t="str">
        <f>Functions!E42</f>
        <v>F-32</v>
      </c>
      <c r="D2" s="115"/>
      <c r="E2" s="344" t="s">
        <v>71</v>
      </c>
      <c r="F2" s="117"/>
      <c r="G2" s="117"/>
      <c r="H2" s="117"/>
      <c r="I2" s="117"/>
      <c r="J2" s="117"/>
      <c r="K2" s="118" t="str">
        <f>Functions!D42</f>
        <v>Create grouped warehouse picking documents after approval</v>
      </c>
      <c r="L2" s="113"/>
      <c r="M2" s="113"/>
      <c r="N2" s="113"/>
      <c r="O2" s="113"/>
      <c r="P2" s="113"/>
      <c r="Q2" s="113"/>
      <c r="R2" s="113"/>
      <c r="S2" s="119"/>
      <c r="T2" s="475"/>
      <c r="U2" s="249"/>
      <c r="V2" s="249"/>
      <c r="W2" s="249"/>
      <c r="X2" s="249"/>
      <c r="Y2" s="249"/>
    </row>
    <row r="3" ht="13.5" customHeight="1">
      <c r="A3" s="345" t="s">
        <v>338</v>
      </c>
      <c r="B3" s="13"/>
      <c r="C3" s="321" t="s">
        <v>183</v>
      </c>
      <c r="D3" s="13"/>
      <c r="E3" s="346" t="s">
        <v>339</v>
      </c>
      <c r="F3" s="12"/>
      <c r="G3" s="12"/>
      <c r="H3" s="12"/>
      <c r="I3" s="12"/>
      <c r="J3" s="13"/>
      <c r="K3" s="478"/>
      <c r="L3" s="123"/>
      <c r="M3" s="123"/>
      <c r="N3" s="123"/>
      <c r="O3" s="123"/>
      <c r="P3" s="123"/>
      <c r="Q3" s="123"/>
      <c r="R3" s="123"/>
      <c r="S3" s="279"/>
      <c r="T3" s="475"/>
      <c r="U3" s="249"/>
      <c r="V3" s="249"/>
      <c r="W3" s="249"/>
      <c r="X3" s="249"/>
      <c r="Y3" s="249"/>
    </row>
    <row r="4" ht="13.5" customHeight="1">
      <c r="A4" s="345" t="s">
        <v>340</v>
      </c>
      <c r="B4" s="13"/>
      <c r="C4" s="128"/>
      <c r="D4" s="12"/>
      <c r="E4" s="346" t="s">
        <v>341</v>
      </c>
      <c r="F4" s="12"/>
      <c r="G4" s="12"/>
      <c r="H4" s="12"/>
      <c r="I4" s="12"/>
      <c r="J4" s="13"/>
      <c r="K4" s="130" t="str">
        <f>IF(OR(C4="",Functions!E6="N/A"),"N/A",C4*Functions!E6/1000-N7)</f>
        <v>N/A</v>
      </c>
      <c r="L4" s="12"/>
      <c r="M4" s="12"/>
      <c r="N4" s="12"/>
      <c r="O4" s="12"/>
      <c r="P4" s="12"/>
      <c r="Q4" s="12"/>
      <c r="R4" s="12"/>
      <c r="S4" s="131"/>
      <c r="T4" s="475"/>
      <c r="U4" s="249"/>
      <c r="V4" s="249"/>
      <c r="W4" s="249"/>
      <c r="X4" s="249"/>
      <c r="Y4" s="249"/>
    </row>
    <row r="5" ht="27.0" customHeight="1">
      <c r="A5" s="345" t="s">
        <v>342</v>
      </c>
      <c r="B5" s="13"/>
      <c r="C5" s="321" t="s">
        <v>300</v>
      </c>
      <c r="D5" s="12"/>
      <c r="E5" s="12"/>
      <c r="F5" s="12"/>
      <c r="G5" s="12"/>
      <c r="H5" s="12"/>
      <c r="I5" s="12"/>
      <c r="J5" s="12"/>
      <c r="K5" s="12"/>
      <c r="L5" s="12"/>
      <c r="M5" s="12"/>
      <c r="N5" s="12"/>
      <c r="O5" s="12"/>
      <c r="P5" s="12"/>
      <c r="Q5" s="12"/>
      <c r="R5" s="12"/>
      <c r="S5" s="131"/>
      <c r="T5" s="475"/>
      <c r="U5" s="249"/>
      <c r="V5" s="249"/>
      <c r="W5" s="249"/>
      <c r="X5" s="249"/>
      <c r="Y5" s="249"/>
    </row>
    <row r="6" ht="13.5" customHeight="1">
      <c r="A6" s="357" t="s">
        <v>217</v>
      </c>
      <c r="B6" s="13"/>
      <c r="C6" s="134" t="s">
        <v>218</v>
      </c>
      <c r="D6" s="13"/>
      <c r="E6" s="134" t="s">
        <v>219</v>
      </c>
      <c r="F6" s="12"/>
      <c r="G6" s="12"/>
      <c r="H6" s="12"/>
      <c r="I6" s="12"/>
      <c r="J6" s="13"/>
      <c r="K6" s="135" t="s">
        <v>343</v>
      </c>
      <c r="L6" s="12"/>
      <c r="M6" s="12"/>
      <c r="N6" s="134" t="s">
        <v>222</v>
      </c>
      <c r="O6" s="12"/>
      <c r="P6" s="12"/>
      <c r="Q6" s="12"/>
      <c r="R6" s="12"/>
      <c r="S6" s="131"/>
      <c r="T6" s="475"/>
      <c r="U6" s="249"/>
      <c r="V6" s="249"/>
      <c r="W6" s="249"/>
      <c r="X6" s="249"/>
      <c r="Y6" s="249"/>
    </row>
    <row r="7" ht="13.5" customHeight="1">
      <c r="A7" s="359">
        <f>COUNTIF(E40:N40,"P")</f>
        <v>0</v>
      </c>
      <c r="B7" s="138"/>
      <c r="C7" s="360">
        <f>COUNTIF(E40:N40,"F")</f>
        <v>0</v>
      </c>
      <c r="D7" s="138"/>
      <c r="E7" s="360">
        <f>SUM(N7,-A7,-C7)</f>
        <v>5</v>
      </c>
      <c r="F7" s="140"/>
      <c r="G7" s="140"/>
      <c r="H7" s="140"/>
      <c r="I7" s="140"/>
      <c r="J7" s="138"/>
      <c r="K7" s="361">
        <f>COUNTIF(E39:N39,"N")</f>
        <v>3</v>
      </c>
      <c r="L7" s="361">
        <f>COUNTIF(E39:N39,"A")</f>
        <v>2</v>
      </c>
      <c r="M7" s="361">
        <f>COUNTIF(E39:N39,"B")</f>
        <v>0</v>
      </c>
      <c r="N7" s="360">
        <f>COUNTA(E9:N9)</f>
        <v>5</v>
      </c>
      <c r="O7" s="140"/>
      <c r="P7" s="140"/>
      <c r="Q7" s="140"/>
      <c r="R7" s="140"/>
      <c r="S7" s="284"/>
      <c r="T7" s="480"/>
      <c r="U7" s="249"/>
      <c r="V7" s="249"/>
      <c r="W7" s="249"/>
      <c r="X7" s="249"/>
      <c r="Y7" s="249"/>
    </row>
    <row r="8" ht="12.0" customHeight="1">
      <c r="A8" s="475"/>
      <c r="B8" s="475"/>
      <c r="C8" s="475"/>
      <c r="D8" s="475"/>
      <c r="E8" s="475"/>
      <c r="F8" s="475"/>
      <c r="G8" s="475"/>
      <c r="H8" s="475"/>
      <c r="I8" s="475"/>
      <c r="J8" s="475"/>
      <c r="K8" s="475"/>
      <c r="L8" s="475"/>
      <c r="M8" s="475"/>
      <c r="N8" s="475"/>
      <c r="O8" s="475"/>
      <c r="P8" s="475"/>
      <c r="Q8" s="475"/>
      <c r="R8" s="475"/>
      <c r="S8" s="475"/>
      <c r="T8" s="475"/>
      <c r="U8" s="249"/>
      <c r="V8" s="249"/>
      <c r="W8" s="249"/>
      <c r="X8" s="249"/>
      <c r="Y8" s="249"/>
    </row>
    <row r="9" ht="45.0" customHeight="1">
      <c r="A9" s="490"/>
      <c r="B9" s="490"/>
      <c r="C9" s="490"/>
      <c r="D9" s="490"/>
      <c r="E9" s="491" t="s">
        <v>344</v>
      </c>
      <c r="F9" s="491" t="s">
        <v>345</v>
      </c>
      <c r="G9" s="491" t="s">
        <v>346</v>
      </c>
      <c r="H9" s="491" t="s">
        <v>347</v>
      </c>
      <c r="I9" s="491" t="s">
        <v>348</v>
      </c>
      <c r="J9" s="491"/>
      <c r="K9" s="491"/>
      <c r="L9" s="491"/>
      <c r="M9" s="491"/>
      <c r="N9" s="491"/>
      <c r="O9" s="490"/>
      <c r="P9" s="490"/>
      <c r="Q9" s="490"/>
      <c r="R9" s="490"/>
      <c r="S9" s="490"/>
      <c r="T9" s="475"/>
      <c r="U9" s="249"/>
      <c r="V9" s="249"/>
      <c r="W9" s="249"/>
      <c r="X9" s="249"/>
      <c r="Y9" s="249"/>
    </row>
    <row r="10" ht="13.5" customHeight="1">
      <c r="A10" s="492" t="s">
        <v>350</v>
      </c>
      <c r="B10" s="493" t="s">
        <v>351</v>
      </c>
      <c r="C10" s="494"/>
      <c r="D10" s="495"/>
      <c r="E10" s="496"/>
      <c r="F10" s="496"/>
      <c r="G10" s="496"/>
      <c r="H10" s="496"/>
      <c r="I10" s="496"/>
      <c r="J10" s="496"/>
      <c r="K10" s="496"/>
      <c r="L10" s="496"/>
      <c r="M10" s="496"/>
      <c r="N10" s="496"/>
      <c r="O10" s="496"/>
      <c r="P10" s="496"/>
      <c r="Q10" s="496"/>
      <c r="R10" s="496"/>
      <c r="S10" s="496"/>
      <c r="T10" s="475"/>
      <c r="U10" s="249"/>
      <c r="V10" s="249"/>
      <c r="W10" s="249"/>
      <c r="X10" s="249"/>
      <c r="Y10" s="249"/>
    </row>
    <row r="11" ht="13.5" customHeight="1">
      <c r="A11" s="497"/>
      <c r="B11" s="498"/>
      <c r="C11" s="494"/>
      <c r="D11" s="499" t="s">
        <v>684</v>
      </c>
      <c r="E11" s="383" t="s">
        <v>353</v>
      </c>
      <c r="F11" s="383"/>
      <c r="G11" s="383"/>
      <c r="H11" s="464"/>
      <c r="I11" s="464"/>
      <c r="J11" s="464"/>
      <c r="K11" s="383"/>
      <c r="L11" s="383"/>
      <c r="M11" s="464"/>
      <c r="N11" s="464"/>
      <c r="O11" s="355"/>
      <c r="P11" s="355"/>
      <c r="Q11" s="355"/>
      <c r="R11" s="355"/>
      <c r="S11" s="355"/>
      <c r="T11" s="475"/>
      <c r="U11" s="249"/>
      <c r="V11" s="249"/>
      <c r="W11" s="249"/>
      <c r="X11" s="249"/>
      <c r="Y11" s="249"/>
    </row>
    <row r="12" ht="13.5" customHeight="1">
      <c r="A12" s="497"/>
      <c r="B12" s="498"/>
      <c r="C12" s="494"/>
      <c r="D12" s="499" t="s">
        <v>685</v>
      </c>
      <c r="E12" s="464"/>
      <c r="F12" s="464" t="s">
        <v>353</v>
      </c>
      <c r="G12" s="464"/>
      <c r="H12" s="383"/>
      <c r="I12" s="464"/>
      <c r="J12" s="383"/>
      <c r="K12" s="464"/>
      <c r="L12" s="464"/>
      <c r="M12" s="464"/>
      <c r="N12" s="464"/>
      <c r="O12" s="355"/>
      <c r="P12" s="355"/>
      <c r="Q12" s="355"/>
      <c r="R12" s="355"/>
      <c r="S12" s="355"/>
      <c r="T12" s="475"/>
      <c r="U12" s="249"/>
      <c r="V12" s="249"/>
      <c r="W12" s="249"/>
      <c r="X12" s="249"/>
      <c r="Y12" s="249"/>
    </row>
    <row r="13" ht="13.5" customHeight="1">
      <c r="A13" s="497"/>
      <c r="B13" s="498"/>
      <c r="C13" s="494"/>
      <c r="D13" s="499" t="s">
        <v>686</v>
      </c>
      <c r="E13" s="464"/>
      <c r="F13" s="464"/>
      <c r="G13" s="464" t="s">
        <v>353</v>
      </c>
      <c r="H13" s="464"/>
      <c r="I13" s="383"/>
      <c r="J13" s="464"/>
      <c r="K13" s="464"/>
      <c r="L13" s="464"/>
      <c r="M13" s="383"/>
      <c r="N13" s="464"/>
      <c r="O13" s="355"/>
      <c r="P13" s="355"/>
      <c r="Q13" s="355"/>
      <c r="R13" s="355"/>
      <c r="S13" s="355"/>
      <c r="T13" s="475"/>
      <c r="U13" s="249"/>
      <c r="V13" s="249"/>
      <c r="W13" s="249"/>
      <c r="X13" s="249"/>
      <c r="Y13" s="249"/>
    </row>
    <row r="14" ht="13.5" customHeight="1">
      <c r="A14" s="497"/>
      <c r="B14" s="498"/>
      <c r="C14" s="494"/>
      <c r="D14" s="499" t="s">
        <v>687</v>
      </c>
      <c r="E14" s="464"/>
      <c r="F14" s="464"/>
      <c r="G14" s="464"/>
      <c r="H14" s="464" t="s">
        <v>353</v>
      </c>
      <c r="I14" s="464"/>
      <c r="J14" s="464"/>
      <c r="K14" s="464"/>
      <c r="L14" s="464"/>
      <c r="M14" s="464"/>
      <c r="N14" s="383"/>
      <c r="O14" s="355"/>
      <c r="P14" s="355"/>
      <c r="Q14" s="355"/>
      <c r="R14" s="355"/>
      <c r="S14" s="355"/>
      <c r="T14" s="475"/>
      <c r="U14" s="249"/>
      <c r="V14" s="249"/>
      <c r="W14" s="249"/>
      <c r="X14" s="249"/>
      <c r="Y14" s="249"/>
    </row>
    <row r="15" ht="13.5" customHeight="1">
      <c r="A15" s="497"/>
      <c r="B15" s="501"/>
      <c r="C15" s="494"/>
      <c r="D15" s="502"/>
      <c r="E15" s="464"/>
      <c r="F15" s="464"/>
      <c r="G15" s="464"/>
      <c r="H15" s="464"/>
      <c r="I15" s="464"/>
      <c r="J15" s="464"/>
      <c r="K15" s="464"/>
      <c r="L15" s="464"/>
      <c r="M15" s="464"/>
      <c r="N15" s="464"/>
      <c r="O15" s="464"/>
      <c r="P15" s="464"/>
      <c r="Q15" s="464"/>
      <c r="R15" s="464"/>
      <c r="S15" s="464"/>
      <c r="T15" s="475"/>
      <c r="U15" s="249"/>
      <c r="V15" s="249"/>
      <c r="W15" s="249"/>
      <c r="X15" s="249"/>
      <c r="Y15" s="249"/>
    </row>
    <row r="16" ht="13.5" customHeight="1">
      <c r="A16" s="497"/>
      <c r="B16" s="498"/>
      <c r="C16" s="494"/>
      <c r="D16" s="499" t="s">
        <v>688</v>
      </c>
      <c r="E16" s="383"/>
      <c r="F16" s="383"/>
      <c r="G16" s="383"/>
      <c r="H16" s="464"/>
      <c r="I16" s="464" t="s">
        <v>353</v>
      </c>
      <c r="J16" s="464"/>
      <c r="K16" s="464"/>
      <c r="L16" s="383"/>
      <c r="M16" s="464"/>
      <c r="N16" s="464"/>
      <c r="O16" s="355"/>
      <c r="P16" s="355"/>
      <c r="Q16" s="355"/>
      <c r="R16" s="355"/>
      <c r="S16" s="355"/>
      <c r="T16" s="475"/>
      <c r="U16" s="249"/>
      <c r="V16" s="249"/>
      <c r="W16" s="249"/>
      <c r="X16" s="249"/>
      <c r="Y16" s="249"/>
    </row>
    <row r="17" ht="13.5" customHeight="1">
      <c r="A17" s="497"/>
      <c r="B17" s="498"/>
      <c r="C17" s="494"/>
      <c r="D17" s="499"/>
      <c r="E17" s="464"/>
      <c r="F17" s="464"/>
      <c r="G17" s="464"/>
      <c r="H17" s="464"/>
      <c r="I17" s="464"/>
      <c r="J17" s="464"/>
      <c r="K17" s="383"/>
      <c r="L17" s="464"/>
      <c r="M17" s="464"/>
      <c r="N17" s="464"/>
      <c r="O17" s="355"/>
      <c r="P17" s="355"/>
      <c r="Q17" s="355"/>
      <c r="R17" s="355"/>
      <c r="S17" s="355"/>
      <c r="T17" s="475"/>
      <c r="U17" s="249"/>
      <c r="V17" s="249"/>
      <c r="W17" s="249"/>
      <c r="X17" s="249"/>
      <c r="Y17" s="249"/>
    </row>
    <row r="18" ht="13.5" customHeight="1">
      <c r="A18" s="497"/>
      <c r="B18" s="498"/>
      <c r="C18" s="494"/>
      <c r="D18" s="499"/>
      <c r="E18" s="464"/>
      <c r="F18" s="464"/>
      <c r="G18" s="464"/>
      <c r="H18" s="383"/>
      <c r="I18" s="383"/>
      <c r="J18" s="383"/>
      <c r="K18" s="464"/>
      <c r="L18" s="464"/>
      <c r="M18" s="383"/>
      <c r="N18" s="383"/>
      <c r="O18" s="355"/>
      <c r="P18" s="355"/>
      <c r="Q18" s="355"/>
      <c r="R18" s="355"/>
      <c r="S18" s="355"/>
      <c r="T18" s="475"/>
      <c r="U18" s="249"/>
      <c r="V18" s="249"/>
      <c r="W18" s="249"/>
      <c r="X18" s="249"/>
      <c r="Y18" s="249"/>
    </row>
    <row r="19" ht="13.5" customHeight="1">
      <c r="A19" s="497"/>
      <c r="B19" s="501"/>
      <c r="C19" s="494"/>
      <c r="D19" s="502"/>
      <c r="E19" s="464"/>
      <c r="F19" s="464"/>
      <c r="G19" s="464"/>
      <c r="H19" s="464"/>
      <c r="I19" s="464"/>
      <c r="J19" s="464"/>
      <c r="K19" s="464"/>
      <c r="L19" s="464"/>
      <c r="M19" s="464"/>
      <c r="N19" s="464"/>
      <c r="O19" s="464"/>
      <c r="P19" s="464"/>
      <c r="Q19" s="464"/>
      <c r="R19" s="464"/>
      <c r="S19" s="464"/>
      <c r="T19" s="475"/>
      <c r="U19" s="249"/>
      <c r="V19" s="249"/>
      <c r="W19" s="249"/>
      <c r="X19" s="249"/>
      <c r="Y19" s="249"/>
    </row>
    <row r="20" ht="13.5" customHeight="1">
      <c r="A20" s="497"/>
      <c r="B20" s="498"/>
      <c r="C20" s="494"/>
      <c r="D20" s="499"/>
      <c r="E20" s="383"/>
      <c r="F20" s="383"/>
      <c r="G20" s="383"/>
      <c r="H20" s="383"/>
      <c r="I20" s="383"/>
      <c r="J20" s="464"/>
      <c r="K20" s="464"/>
      <c r="L20" s="464"/>
      <c r="M20" s="464"/>
      <c r="N20" s="464"/>
      <c r="O20" s="355"/>
      <c r="P20" s="355"/>
      <c r="Q20" s="355"/>
      <c r="R20" s="355"/>
      <c r="S20" s="355"/>
      <c r="T20" s="475"/>
      <c r="U20" s="249"/>
      <c r="V20" s="249"/>
      <c r="W20" s="249"/>
      <c r="X20" s="249"/>
      <c r="Y20" s="249"/>
    </row>
    <row r="21" ht="13.5" customHeight="1">
      <c r="A21" s="497"/>
      <c r="B21" s="498"/>
      <c r="C21" s="494"/>
      <c r="D21" s="513"/>
      <c r="E21" s="464"/>
      <c r="F21" s="464"/>
      <c r="G21" s="464"/>
      <c r="H21" s="464"/>
      <c r="I21" s="464"/>
      <c r="J21" s="383"/>
      <c r="K21" s="464"/>
      <c r="L21" s="383"/>
      <c r="M21" s="383"/>
      <c r="N21" s="464"/>
      <c r="O21" s="355"/>
      <c r="P21" s="355"/>
      <c r="Q21" s="355"/>
      <c r="R21" s="355"/>
      <c r="S21" s="355"/>
      <c r="T21" s="475"/>
      <c r="U21" s="249"/>
      <c r="V21" s="249"/>
      <c r="W21" s="249"/>
      <c r="X21" s="249"/>
      <c r="Y21" s="249"/>
    </row>
    <row r="22" ht="13.5" customHeight="1">
      <c r="A22" s="497"/>
      <c r="B22" s="498"/>
      <c r="C22" s="494"/>
      <c r="D22" s="513"/>
      <c r="E22" s="464"/>
      <c r="F22" s="464"/>
      <c r="G22" s="464"/>
      <c r="H22" s="464"/>
      <c r="I22" s="464"/>
      <c r="J22" s="464"/>
      <c r="K22" s="383"/>
      <c r="L22" s="464"/>
      <c r="M22" s="464"/>
      <c r="N22" s="383"/>
      <c r="O22" s="355"/>
      <c r="P22" s="355"/>
      <c r="Q22" s="355"/>
      <c r="R22" s="355"/>
      <c r="S22" s="355"/>
      <c r="T22" s="475"/>
      <c r="U22" s="249"/>
      <c r="V22" s="249"/>
      <c r="W22" s="249"/>
      <c r="X22" s="249"/>
      <c r="Y22" s="249"/>
    </row>
    <row r="23" ht="13.5" customHeight="1">
      <c r="A23" s="497"/>
      <c r="B23" s="501"/>
      <c r="C23" s="494"/>
      <c r="D23" s="518"/>
      <c r="E23" s="464"/>
      <c r="F23" s="464"/>
      <c r="G23" s="464"/>
      <c r="H23" s="464"/>
      <c r="I23" s="464"/>
      <c r="J23" s="464"/>
      <c r="K23" s="464"/>
      <c r="L23" s="464"/>
      <c r="M23" s="464"/>
      <c r="N23" s="464"/>
      <c r="O23" s="464"/>
      <c r="P23" s="464"/>
      <c r="Q23" s="464"/>
      <c r="R23" s="464"/>
      <c r="S23" s="464"/>
      <c r="T23" s="475"/>
      <c r="U23" s="249"/>
      <c r="V23" s="249"/>
      <c r="W23" s="249"/>
      <c r="X23" s="249"/>
      <c r="Y23" s="249"/>
    </row>
    <row r="24" ht="13.5" customHeight="1">
      <c r="A24" s="497"/>
      <c r="B24" s="498"/>
      <c r="C24" s="494"/>
      <c r="D24" s="513"/>
      <c r="E24" s="383"/>
      <c r="F24" s="464"/>
      <c r="G24" s="383"/>
      <c r="H24" s="383"/>
      <c r="I24" s="383"/>
      <c r="J24" s="464"/>
      <c r="K24" s="464"/>
      <c r="L24" s="464"/>
      <c r="M24" s="464"/>
      <c r="N24" s="464"/>
      <c r="O24" s="355"/>
      <c r="P24" s="355"/>
      <c r="Q24" s="355"/>
      <c r="R24" s="355"/>
      <c r="S24" s="355"/>
      <c r="T24" s="475"/>
      <c r="U24" s="249"/>
      <c r="V24" s="249"/>
      <c r="W24" s="249"/>
      <c r="X24" s="249"/>
      <c r="Y24" s="249"/>
    </row>
    <row r="25" ht="13.5" customHeight="1">
      <c r="A25" s="497"/>
      <c r="B25" s="498"/>
      <c r="C25" s="521"/>
      <c r="D25" s="513"/>
      <c r="E25" s="464"/>
      <c r="F25" s="383"/>
      <c r="G25" s="464"/>
      <c r="H25" s="464"/>
      <c r="I25" s="464"/>
      <c r="J25" s="464"/>
      <c r="K25" s="464"/>
      <c r="L25" s="464"/>
      <c r="M25" s="464"/>
      <c r="N25" s="464"/>
      <c r="O25" s="355"/>
      <c r="P25" s="355"/>
      <c r="Q25" s="355"/>
      <c r="R25" s="355"/>
      <c r="S25" s="355"/>
      <c r="T25" s="475"/>
      <c r="U25" s="249"/>
      <c r="V25" s="249"/>
      <c r="W25" s="249"/>
      <c r="X25" s="249"/>
      <c r="Y25" s="249"/>
    </row>
    <row r="26" ht="13.5" customHeight="1">
      <c r="A26" s="497"/>
      <c r="B26" s="498"/>
      <c r="C26" s="494"/>
      <c r="D26" s="513"/>
      <c r="E26" s="464"/>
      <c r="F26" s="464"/>
      <c r="G26" s="464"/>
      <c r="H26" s="464"/>
      <c r="I26" s="464"/>
      <c r="J26" s="383"/>
      <c r="K26" s="383"/>
      <c r="L26" s="383"/>
      <c r="M26" s="383"/>
      <c r="N26" s="383"/>
      <c r="O26" s="355"/>
      <c r="P26" s="355"/>
      <c r="Q26" s="355"/>
      <c r="R26" s="355"/>
      <c r="S26" s="355"/>
      <c r="T26" s="475"/>
      <c r="U26" s="249"/>
      <c r="V26" s="249"/>
      <c r="W26" s="249"/>
      <c r="X26" s="249"/>
      <c r="Y26" s="249"/>
    </row>
    <row r="27" ht="13.5" customHeight="1">
      <c r="A27" s="497"/>
      <c r="B27" s="501"/>
      <c r="C27" s="494"/>
      <c r="D27" s="518"/>
      <c r="E27" s="464"/>
      <c r="F27" s="464"/>
      <c r="G27" s="464"/>
      <c r="H27" s="464"/>
      <c r="I27" s="464"/>
      <c r="J27" s="464"/>
      <c r="K27" s="464"/>
      <c r="L27" s="464"/>
      <c r="M27" s="464"/>
      <c r="N27" s="464"/>
      <c r="O27" s="464"/>
      <c r="P27" s="464"/>
      <c r="Q27" s="464"/>
      <c r="R27" s="464"/>
      <c r="S27" s="464"/>
      <c r="T27" s="475"/>
      <c r="U27" s="249"/>
      <c r="V27" s="249"/>
      <c r="W27" s="249"/>
      <c r="X27" s="249"/>
      <c r="Y27" s="249"/>
    </row>
    <row r="28" ht="13.5" customHeight="1">
      <c r="A28" s="497"/>
      <c r="B28" s="498"/>
      <c r="C28" s="494"/>
      <c r="D28" s="513"/>
      <c r="E28" s="383"/>
      <c r="F28" s="383"/>
      <c r="G28" s="464"/>
      <c r="H28" s="464"/>
      <c r="I28" s="464"/>
      <c r="J28" s="464"/>
      <c r="K28" s="464"/>
      <c r="L28" s="464"/>
      <c r="M28" s="464"/>
      <c r="N28" s="464"/>
      <c r="O28" s="355"/>
      <c r="P28" s="355"/>
      <c r="Q28" s="355"/>
      <c r="R28" s="355"/>
      <c r="S28" s="355"/>
      <c r="T28" s="475"/>
      <c r="U28" s="249"/>
      <c r="V28" s="249"/>
      <c r="W28" s="249"/>
      <c r="X28" s="249"/>
      <c r="Y28" s="249"/>
    </row>
    <row r="29" ht="13.5" customHeight="1">
      <c r="A29" s="497"/>
      <c r="B29" s="498"/>
      <c r="C29" s="494"/>
      <c r="D29" s="513"/>
      <c r="E29" s="464"/>
      <c r="F29" s="464"/>
      <c r="G29" s="383"/>
      <c r="H29" s="464"/>
      <c r="I29" s="464"/>
      <c r="J29" s="464"/>
      <c r="K29" s="464"/>
      <c r="L29" s="464"/>
      <c r="M29" s="464"/>
      <c r="N29" s="464"/>
      <c r="O29" s="355"/>
      <c r="P29" s="355"/>
      <c r="Q29" s="355"/>
      <c r="R29" s="355"/>
      <c r="S29" s="355"/>
      <c r="T29" s="475"/>
      <c r="U29" s="249"/>
      <c r="V29" s="249"/>
      <c r="W29" s="249"/>
      <c r="X29" s="249"/>
      <c r="Y29" s="249"/>
    </row>
    <row r="30" ht="13.5" customHeight="1">
      <c r="A30" s="497"/>
      <c r="B30" s="498"/>
      <c r="C30" s="494"/>
      <c r="D30" s="513"/>
      <c r="E30" s="464"/>
      <c r="F30" s="464"/>
      <c r="G30" s="464"/>
      <c r="H30" s="383"/>
      <c r="I30" s="383"/>
      <c r="J30" s="383"/>
      <c r="K30" s="383"/>
      <c r="L30" s="383"/>
      <c r="M30" s="383"/>
      <c r="N30" s="383"/>
      <c r="O30" s="355"/>
      <c r="P30" s="355"/>
      <c r="Q30" s="355"/>
      <c r="R30" s="355"/>
      <c r="S30" s="355"/>
      <c r="T30" s="475"/>
      <c r="U30" s="249"/>
      <c r="V30" s="249"/>
      <c r="W30" s="249"/>
      <c r="X30" s="249"/>
      <c r="Y30" s="249"/>
    </row>
    <row r="31" ht="13.5" customHeight="1">
      <c r="A31" s="371" t="s">
        <v>359</v>
      </c>
      <c r="B31" s="501" t="s">
        <v>360</v>
      </c>
      <c r="C31" s="494"/>
      <c r="D31" s="502"/>
      <c r="E31" s="464"/>
      <c r="F31" s="464"/>
      <c r="G31" s="464"/>
      <c r="H31" s="464"/>
      <c r="I31" s="464"/>
      <c r="J31" s="464"/>
      <c r="K31" s="464"/>
      <c r="L31" s="464"/>
      <c r="M31" s="464"/>
      <c r="N31" s="464"/>
      <c r="O31" s="464"/>
      <c r="P31" s="464"/>
      <c r="Q31" s="464"/>
      <c r="R31" s="464"/>
      <c r="S31" s="464"/>
      <c r="T31" s="475"/>
      <c r="U31" s="249"/>
      <c r="V31" s="249"/>
      <c r="W31" s="249"/>
      <c r="X31" s="249"/>
      <c r="Y31" s="249"/>
    </row>
    <row r="32" ht="13.5" customHeight="1">
      <c r="A32" s="497"/>
      <c r="B32" s="498"/>
      <c r="C32" s="494"/>
      <c r="D32" s="499" t="s">
        <v>699</v>
      </c>
      <c r="E32" s="383" t="s">
        <v>353</v>
      </c>
      <c r="F32" s="464"/>
      <c r="G32" s="464"/>
      <c r="H32" s="383"/>
      <c r="I32" s="383"/>
      <c r="J32" s="464"/>
      <c r="K32" s="464"/>
      <c r="L32" s="464"/>
      <c r="M32" s="464"/>
      <c r="N32" s="464"/>
      <c r="O32" s="355"/>
      <c r="P32" s="355"/>
      <c r="Q32" s="355"/>
      <c r="R32" s="355"/>
      <c r="S32" s="355"/>
      <c r="T32" s="475"/>
      <c r="U32" s="249"/>
      <c r="V32" s="249"/>
      <c r="W32" s="249"/>
      <c r="X32" s="249"/>
      <c r="Y32" s="249"/>
    </row>
    <row r="33" ht="13.5" customHeight="1">
      <c r="A33" s="497"/>
      <c r="B33" s="498"/>
      <c r="C33" s="494"/>
      <c r="D33" s="499" t="s">
        <v>700</v>
      </c>
      <c r="E33" s="464"/>
      <c r="F33" s="383" t="s">
        <v>353</v>
      </c>
      <c r="G33" s="464"/>
      <c r="H33" s="464"/>
      <c r="I33" s="464"/>
      <c r="J33" s="383"/>
      <c r="K33" s="464"/>
      <c r="L33" s="383"/>
      <c r="M33" s="383"/>
      <c r="N33" s="464"/>
      <c r="O33" s="355"/>
      <c r="P33" s="355"/>
      <c r="Q33" s="355"/>
      <c r="R33" s="355"/>
      <c r="S33" s="355"/>
      <c r="T33" s="475"/>
      <c r="U33" s="249"/>
      <c r="V33" s="249"/>
      <c r="W33" s="249"/>
      <c r="X33" s="249"/>
      <c r="Y33" s="249"/>
    </row>
    <row r="34" ht="13.5" customHeight="1">
      <c r="A34" s="497"/>
      <c r="B34" s="498"/>
      <c r="C34" s="494"/>
      <c r="D34" s="499" t="s">
        <v>701</v>
      </c>
      <c r="E34" s="464"/>
      <c r="F34" s="464"/>
      <c r="G34" s="464" t="s">
        <v>353</v>
      </c>
      <c r="H34" s="464"/>
      <c r="I34" s="464"/>
      <c r="J34" s="464"/>
      <c r="K34" s="383"/>
      <c r="L34" s="464"/>
      <c r="M34" s="464"/>
      <c r="N34" s="464"/>
      <c r="O34" s="355"/>
      <c r="P34" s="355"/>
      <c r="Q34" s="355"/>
      <c r="R34" s="355"/>
      <c r="S34" s="355"/>
      <c r="T34" s="475"/>
      <c r="U34" s="249"/>
      <c r="V34" s="249"/>
      <c r="W34" s="249"/>
      <c r="X34" s="249"/>
      <c r="Y34" s="249"/>
    </row>
    <row r="35" ht="13.5" customHeight="1">
      <c r="A35" s="497"/>
      <c r="B35" s="498"/>
      <c r="C35" s="494"/>
      <c r="D35" s="499" t="s">
        <v>702</v>
      </c>
      <c r="E35" s="464"/>
      <c r="F35" s="464"/>
      <c r="G35" s="383"/>
      <c r="H35" s="464" t="s">
        <v>353</v>
      </c>
      <c r="I35" s="464"/>
      <c r="J35" s="464"/>
      <c r="K35" s="464"/>
      <c r="L35" s="464"/>
      <c r="M35" s="464"/>
      <c r="N35" s="383"/>
      <c r="O35" s="355"/>
      <c r="P35" s="355"/>
      <c r="Q35" s="355"/>
      <c r="R35" s="355"/>
      <c r="S35" s="355"/>
      <c r="T35" s="475"/>
      <c r="U35" s="249"/>
      <c r="V35" s="249"/>
      <c r="W35" s="249"/>
      <c r="X35" s="249"/>
      <c r="Y35" s="249"/>
    </row>
    <row r="36" ht="13.5" customHeight="1">
      <c r="A36" s="497"/>
      <c r="B36" s="501"/>
      <c r="C36" s="494"/>
      <c r="D36" s="502"/>
      <c r="E36" s="464"/>
      <c r="F36" s="464"/>
      <c r="G36" s="464"/>
      <c r="H36" s="464"/>
      <c r="I36" s="464"/>
      <c r="J36" s="464"/>
      <c r="K36" s="464"/>
      <c r="L36" s="464"/>
      <c r="M36" s="464"/>
      <c r="N36" s="464"/>
      <c r="O36" s="464"/>
      <c r="P36" s="464"/>
      <c r="Q36" s="464"/>
      <c r="R36" s="464"/>
      <c r="S36" s="464"/>
      <c r="T36" s="475"/>
      <c r="U36" s="249"/>
      <c r="V36" s="249"/>
      <c r="W36" s="249"/>
      <c r="X36" s="249"/>
      <c r="Y36" s="249"/>
    </row>
    <row r="37" ht="13.5" customHeight="1">
      <c r="A37" s="497"/>
      <c r="B37" s="498"/>
      <c r="C37" s="494"/>
      <c r="D37" s="499" t="s">
        <v>703</v>
      </c>
      <c r="E37" s="383"/>
      <c r="F37" s="464"/>
      <c r="G37" s="464"/>
      <c r="H37" s="383"/>
      <c r="I37" s="383" t="s">
        <v>353</v>
      </c>
      <c r="J37" s="464"/>
      <c r="K37" s="464"/>
      <c r="L37" s="464"/>
      <c r="M37" s="464"/>
      <c r="N37" s="464"/>
      <c r="O37" s="355"/>
      <c r="P37" s="355"/>
      <c r="Q37" s="355"/>
      <c r="R37" s="355"/>
      <c r="S37" s="355"/>
      <c r="T37" s="475"/>
      <c r="U37" s="249"/>
      <c r="V37" s="249"/>
      <c r="W37" s="249"/>
      <c r="X37" s="249"/>
      <c r="Y37" s="249"/>
    </row>
    <row r="38" ht="13.5" customHeight="1">
      <c r="A38" s="497"/>
      <c r="B38" s="528"/>
      <c r="C38" s="529"/>
      <c r="D38" s="530"/>
      <c r="E38" s="531"/>
      <c r="F38" s="400"/>
      <c r="G38" s="400"/>
      <c r="H38" s="531"/>
      <c r="I38" s="531"/>
      <c r="J38" s="400"/>
      <c r="K38" s="400"/>
      <c r="L38" s="400"/>
      <c r="M38" s="400"/>
      <c r="N38" s="400"/>
      <c r="O38" s="355"/>
      <c r="P38" s="355"/>
      <c r="Q38" s="355"/>
      <c r="R38" s="355"/>
      <c r="S38" s="355"/>
      <c r="T38" s="475"/>
      <c r="U38" s="249"/>
      <c r="V38" s="249"/>
      <c r="W38" s="249"/>
      <c r="X38" s="249"/>
      <c r="Y38" s="249"/>
    </row>
    <row r="39" ht="13.5" customHeight="1">
      <c r="A39" s="371" t="s">
        <v>367</v>
      </c>
      <c r="B39" s="534" t="s">
        <v>368</v>
      </c>
      <c r="C39" s="198"/>
      <c r="D39" s="199"/>
      <c r="E39" s="527" t="s">
        <v>38</v>
      </c>
      <c r="F39" s="527" t="s">
        <v>220</v>
      </c>
      <c r="G39" s="527" t="s">
        <v>38</v>
      </c>
      <c r="H39" s="527" t="s">
        <v>220</v>
      </c>
      <c r="I39" s="527" t="s">
        <v>220</v>
      </c>
      <c r="J39" s="527"/>
      <c r="K39" s="527"/>
      <c r="L39" s="527"/>
      <c r="M39" s="527"/>
      <c r="N39" s="527"/>
      <c r="O39" s="514"/>
      <c r="P39" s="514"/>
      <c r="Q39" s="514"/>
      <c r="R39" s="514"/>
      <c r="S39" s="539"/>
      <c r="T39" s="475"/>
      <c r="U39" s="249"/>
      <c r="V39" s="249"/>
      <c r="W39" s="249"/>
      <c r="X39" s="249"/>
      <c r="Y39" s="249"/>
    </row>
    <row r="40" ht="13.5" customHeight="1">
      <c r="A40" s="497"/>
      <c r="B40" s="501" t="s">
        <v>369</v>
      </c>
      <c r="C40" s="12"/>
      <c r="D40" s="13"/>
      <c r="E40" s="533"/>
      <c r="F40" s="533"/>
      <c r="G40" s="533"/>
      <c r="H40" s="533"/>
      <c r="I40" s="533"/>
      <c r="J40" s="533"/>
      <c r="K40" s="533"/>
      <c r="L40" s="533"/>
      <c r="M40" s="533"/>
      <c r="N40" s="533"/>
      <c r="O40" s="355"/>
      <c r="P40" s="355"/>
      <c r="Q40" s="355"/>
      <c r="R40" s="355"/>
      <c r="S40" s="541"/>
      <c r="T40" s="475"/>
      <c r="U40" s="249"/>
      <c r="V40" s="249"/>
      <c r="W40" s="249"/>
      <c r="X40" s="249"/>
      <c r="Y40" s="249"/>
    </row>
    <row r="41" ht="13.5" customHeight="1">
      <c r="A41" s="497"/>
      <c r="B41" s="501" t="s">
        <v>371</v>
      </c>
      <c r="C41" s="12"/>
      <c r="D41" s="13"/>
      <c r="E41" s="466"/>
      <c r="F41" s="466"/>
      <c r="G41" s="466"/>
      <c r="H41" s="466"/>
      <c r="I41" s="466"/>
      <c r="J41" s="466"/>
      <c r="K41" s="466"/>
      <c r="L41" s="466"/>
      <c r="M41" s="466"/>
      <c r="N41" s="466"/>
      <c r="O41" s="537"/>
      <c r="P41" s="537"/>
      <c r="Q41" s="537"/>
      <c r="R41" s="537"/>
      <c r="S41" s="542"/>
      <c r="T41" s="475"/>
      <c r="U41" s="249"/>
      <c r="V41" s="249"/>
      <c r="W41" s="249"/>
      <c r="X41" s="249"/>
      <c r="Y41" s="249"/>
    </row>
    <row r="42" ht="13.5" customHeight="1">
      <c r="A42" s="497"/>
      <c r="B42" s="470" t="s">
        <v>372</v>
      </c>
      <c r="C42" s="216"/>
      <c r="D42" s="217"/>
      <c r="E42" s="540"/>
      <c r="F42" s="540"/>
      <c r="G42" s="540"/>
      <c r="H42" s="540"/>
      <c r="I42" s="540"/>
      <c r="J42" s="540"/>
      <c r="K42" s="540"/>
      <c r="L42" s="540"/>
      <c r="M42" s="540"/>
      <c r="N42" s="540"/>
      <c r="O42" s="540"/>
      <c r="P42" s="540"/>
      <c r="Q42" s="540"/>
      <c r="R42" s="540"/>
      <c r="S42" s="543"/>
      <c r="T42" s="475"/>
      <c r="U42" s="249"/>
      <c r="V42" s="249"/>
      <c r="W42" s="249"/>
      <c r="X42" s="249"/>
      <c r="Y42" s="249"/>
    </row>
    <row r="43" ht="13.5" customHeight="1">
      <c r="A43" s="475"/>
      <c r="B43" s="475"/>
      <c r="C43" s="475"/>
      <c r="D43" s="475"/>
      <c r="E43" s="249"/>
      <c r="F43" s="249"/>
      <c r="G43" s="249"/>
      <c r="H43" s="249"/>
      <c r="I43" s="249"/>
      <c r="J43" s="249"/>
      <c r="K43" s="249"/>
      <c r="L43" s="249"/>
      <c r="M43" s="249"/>
      <c r="N43" s="249"/>
      <c r="O43" s="249"/>
      <c r="P43" s="249"/>
      <c r="Q43" s="249"/>
      <c r="R43" s="249"/>
      <c r="S43" s="249"/>
      <c r="T43" s="249"/>
      <c r="U43" s="249"/>
      <c r="V43" s="249"/>
      <c r="W43" s="249"/>
      <c r="X43" s="249"/>
      <c r="Y43" s="249"/>
    </row>
    <row r="44" ht="13.5" customHeight="1">
      <c r="A44" s="475"/>
      <c r="B44" s="475"/>
      <c r="C44" s="475"/>
      <c r="D44" s="475"/>
      <c r="E44" s="249"/>
      <c r="F44" s="249"/>
      <c r="G44" s="249"/>
      <c r="H44" s="249"/>
      <c r="I44" s="249"/>
      <c r="J44" s="249"/>
      <c r="K44" s="249"/>
      <c r="L44" s="249"/>
      <c r="M44" s="249"/>
      <c r="N44" s="249"/>
      <c r="O44" s="249"/>
      <c r="P44" s="249"/>
      <c r="Q44" s="249"/>
      <c r="R44" s="249"/>
      <c r="S44" s="249"/>
      <c r="T44" s="249"/>
      <c r="U44" s="249"/>
      <c r="V44" s="249"/>
      <c r="W44" s="249"/>
      <c r="X44" s="249"/>
      <c r="Y44" s="249"/>
    </row>
    <row r="45" ht="13.5" customHeight="1">
      <c r="A45" s="249"/>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ht="13.5" customHeight="1">
      <c r="A46" s="110"/>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ht="13.5" customHeight="1">
      <c r="A47" s="110"/>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ht="13.5" customHeight="1">
      <c r="A48" s="110"/>
      <c r="B48" s="110"/>
      <c r="C48" s="110"/>
      <c r="D48" s="110"/>
      <c r="E48" s="110"/>
      <c r="F48" s="249"/>
      <c r="G48" s="249"/>
      <c r="H48" s="249"/>
      <c r="I48" s="249"/>
      <c r="J48" s="249"/>
      <c r="K48" s="249"/>
      <c r="L48" s="249"/>
      <c r="M48" s="249"/>
      <c r="N48" s="249"/>
      <c r="O48" s="249"/>
      <c r="P48" s="249"/>
      <c r="Q48" s="249"/>
      <c r="R48" s="249"/>
      <c r="S48" s="249"/>
      <c r="T48" s="249"/>
      <c r="U48" s="249"/>
      <c r="V48" s="249"/>
      <c r="W48" s="249"/>
      <c r="X48" s="249"/>
      <c r="Y48" s="249"/>
    </row>
    <row r="49" ht="12.0" customHeight="1">
      <c r="A49" s="110"/>
      <c r="B49" s="110"/>
      <c r="C49" s="110"/>
      <c r="D49" s="110"/>
      <c r="E49" s="110"/>
      <c r="F49" s="249"/>
      <c r="G49" s="249"/>
      <c r="H49" s="249"/>
      <c r="I49" s="249"/>
      <c r="J49" s="249"/>
      <c r="K49" s="249"/>
      <c r="L49" s="249"/>
      <c r="M49" s="249"/>
      <c r="N49" s="249"/>
      <c r="O49" s="249"/>
      <c r="P49" s="249"/>
      <c r="Q49" s="249"/>
      <c r="R49" s="249"/>
      <c r="S49" s="249"/>
      <c r="T49" s="249"/>
      <c r="U49" s="249"/>
      <c r="V49" s="249"/>
      <c r="W49" s="249"/>
      <c r="X49" s="249"/>
      <c r="Y49" s="249"/>
    </row>
    <row r="50" ht="12.0" customHeight="1">
      <c r="A50" s="143"/>
      <c r="B50" s="110"/>
      <c r="C50" s="111"/>
      <c r="D50" s="110"/>
      <c r="E50" s="110"/>
      <c r="F50" s="110"/>
      <c r="G50" s="110"/>
      <c r="H50" s="110"/>
      <c r="I50" s="110"/>
      <c r="J50" s="110"/>
      <c r="K50" s="110"/>
      <c r="L50" s="110"/>
      <c r="M50" s="110"/>
      <c r="N50" s="110"/>
      <c r="O50" s="110"/>
      <c r="P50" s="110"/>
      <c r="Q50" s="110"/>
      <c r="R50" s="110"/>
      <c r="S50" s="110"/>
      <c r="T50" s="110"/>
      <c r="U50" s="110"/>
      <c r="V50" s="110"/>
      <c r="W50" s="110"/>
      <c r="X50" s="110"/>
      <c r="Y50" s="110"/>
    </row>
    <row r="51" ht="13.5" customHeight="1">
      <c r="A51" s="110"/>
      <c r="B51" s="143"/>
      <c r="C51" s="110"/>
      <c r="D51" s="111"/>
      <c r="E51" s="110"/>
      <c r="F51" s="110"/>
      <c r="G51" s="110"/>
      <c r="H51" s="110"/>
      <c r="I51" s="110"/>
      <c r="J51" s="110"/>
      <c r="K51" s="110"/>
      <c r="L51" s="110"/>
      <c r="M51" s="110"/>
      <c r="N51" s="110"/>
      <c r="O51" s="110"/>
      <c r="P51" s="110"/>
      <c r="Q51" s="110"/>
      <c r="R51" s="110"/>
      <c r="S51" s="110"/>
      <c r="T51" s="110"/>
      <c r="U51" s="110"/>
      <c r="V51" s="110"/>
      <c r="W51" s="110"/>
      <c r="X51" s="110"/>
      <c r="Y51" s="110"/>
    </row>
    <row r="52" ht="13.5" customHeight="1">
      <c r="A52" s="110"/>
      <c r="B52" s="143"/>
      <c r="C52" s="110"/>
      <c r="D52" s="111"/>
      <c r="E52" s="110"/>
      <c r="F52" s="110"/>
      <c r="G52" s="110"/>
      <c r="H52" s="110"/>
      <c r="I52" s="110"/>
      <c r="J52" s="110"/>
      <c r="K52" s="110"/>
      <c r="L52" s="110"/>
      <c r="M52" s="110"/>
      <c r="N52" s="110"/>
      <c r="O52" s="110"/>
      <c r="P52" s="110"/>
      <c r="Q52" s="110"/>
      <c r="R52" s="110"/>
      <c r="S52" s="110"/>
      <c r="T52" s="110"/>
      <c r="U52" s="110"/>
      <c r="V52" s="110"/>
      <c r="W52" s="110"/>
      <c r="X52" s="110"/>
      <c r="Y52" s="110"/>
    </row>
    <row r="53" ht="13.5" customHeight="1">
      <c r="A53" s="110"/>
      <c r="B53" s="143"/>
      <c r="C53" s="110"/>
      <c r="D53" s="111"/>
      <c r="E53" s="110"/>
      <c r="F53" s="110"/>
      <c r="G53" s="110"/>
      <c r="H53" s="110"/>
      <c r="I53" s="110"/>
      <c r="J53" s="110"/>
      <c r="K53" s="110"/>
      <c r="L53" s="110"/>
      <c r="M53" s="110"/>
      <c r="N53" s="110"/>
      <c r="O53" s="110"/>
      <c r="P53" s="110"/>
      <c r="Q53" s="110"/>
      <c r="R53" s="110"/>
      <c r="S53" s="110"/>
      <c r="T53" s="110"/>
      <c r="U53" s="110"/>
      <c r="V53" s="110"/>
      <c r="W53" s="110"/>
      <c r="X53" s="110"/>
      <c r="Y53" s="110"/>
    </row>
    <row r="54" ht="13.5" customHeight="1">
      <c r="A54" s="110"/>
      <c r="B54" s="143"/>
      <c r="C54" s="110"/>
      <c r="D54" s="111"/>
      <c r="E54" s="110"/>
      <c r="F54" s="110"/>
      <c r="G54" s="110"/>
      <c r="H54" s="110"/>
      <c r="I54" s="110"/>
      <c r="J54" s="110"/>
      <c r="K54" s="110"/>
      <c r="L54" s="110"/>
      <c r="M54" s="110"/>
      <c r="N54" s="110"/>
      <c r="O54" s="110"/>
      <c r="P54" s="110"/>
      <c r="Q54" s="110"/>
      <c r="R54" s="110"/>
      <c r="S54" s="110"/>
      <c r="T54" s="110"/>
      <c r="U54" s="110"/>
      <c r="V54" s="110"/>
      <c r="W54" s="110"/>
      <c r="X54" s="110"/>
      <c r="Y54" s="110"/>
    </row>
    <row r="55" ht="13.5" customHeight="1">
      <c r="A55" s="110"/>
      <c r="B55" s="143"/>
      <c r="C55" s="110"/>
      <c r="D55" s="111"/>
      <c r="E55" s="110"/>
      <c r="F55" s="110"/>
      <c r="G55" s="110"/>
      <c r="H55" s="110"/>
      <c r="I55" s="110"/>
      <c r="J55" s="110"/>
      <c r="K55" s="110"/>
      <c r="L55" s="110"/>
      <c r="M55" s="110"/>
      <c r="N55" s="110"/>
      <c r="O55" s="110"/>
      <c r="P55" s="110"/>
      <c r="Q55" s="110"/>
      <c r="R55" s="110"/>
      <c r="S55" s="110"/>
      <c r="T55" s="110"/>
      <c r="U55" s="110"/>
      <c r="V55" s="110"/>
      <c r="W55" s="110"/>
      <c r="X55" s="110"/>
      <c r="Y55" s="110"/>
    </row>
    <row r="56" ht="13.5" customHeight="1">
      <c r="A56" s="110"/>
      <c r="B56" s="143"/>
      <c r="C56" s="110"/>
      <c r="D56" s="111"/>
      <c r="E56" s="110"/>
      <c r="F56" s="110"/>
      <c r="G56" s="110"/>
      <c r="H56" s="110"/>
      <c r="I56" s="110"/>
      <c r="J56" s="110"/>
      <c r="K56" s="110"/>
      <c r="L56" s="110"/>
      <c r="M56" s="110"/>
      <c r="N56" s="110"/>
      <c r="O56" s="110"/>
      <c r="P56" s="110"/>
      <c r="Q56" s="110"/>
      <c r="R56" s="110"/>
      <c r="S56" s="110"/>
      <c r="T56" s="110"/>
      <c r="U56" s="110"/>
      <c r="V56" s="110"/>
      <c r="W56" s="110"/>
      <c r="X56" s="110"/>
      <c r="Y56" s="110"/>
    </row>
    <row r="57" ht="13.5" customHeight="1">
      <c r="A57" s="110"/>
      <c r="B57" s="143"/>
      <c r="C57" s="110"/>
      <c r="D57" s="111"/>
      <c r="E57" s="110"/>
      <c r="F57" s="110"/>
      <c r="G57" s="110"/>
      <c r="H57" s="110"/>
      <c r="I57" s="110"/>
      <c r="J57" s="110"/>
      <c r="K57" s="110"/>
      <c r="L57" s="110"/>
      <c r="M57" s="110"/>
      <c r="N57" s="110"/>
      <c r="O57" s="110"/>
      <c r="P57" s="110"/>
      <c r="Q57" s="110"/>
      <c r="R57" s="110"/>
      <c r="S57" s="110"/>
      <c r="T57" s="110"/>
      <c r="U57" s="110"/>
      <c r="V57" s="110"/>
      <c r="W57" s="110"/>
      <c r="X57" s="110"/>
      <c r="Y57" s="110"/>
    </row>
    <row r="58" ht="13.5" customHeight="1">
      <c r="A58" s="110"/>
      <c r="B58" s="143"/>
      <c r="C58" s="110"/>
      <c r="D58" s="111"/>
      <c r="E58" s="110"/>
      <c r="F58" s="110"/>
      <c r="G58" s="110"/>
      <c r="H58" s="110"/>
      <c r="I58" s="110"/>
      <c r="J58" s="110"/>
      <c r="K58" s="110"/>
      <c r="L58" s="110"/>
      <c r="M58" s="110"/>
      <c r="N58" s="110"/>
      <c r="O58" s="110"/>
      <c r="P58" s="110"/>
      <c r="Q58" s="110"/>
      <c r="R58" s="110"/>
      <c r="S58" s="110"/>
      <c r="T58" s="110"/>
      <c r="U58" s="110"/>
      <c r="V58" s="110"/>
      <c r="W58" s="110"/>
      <c r="X58" s="110"/>
      <c r="Y58" s="110"/>
    </row>
    <row r="59" ht="13.5" customHeight="1">
      <c r="A59" s="110"/>
      <c r="B59" s="143"/>
      <c r="C59" s="110"/>
      <c r="D59" s="111"/>
      <c r="E59" s="110"/>
      <c r="F59" s="110"/>
      <c r="G59" s="110"/>
      <c r="H59" s="110"/>
      <c r="I59" s="110"/>
      <c r="J59" s="110"/>
      <c r="K59" s="110"/>
      <c r="L59" s="110"/>
      <c r="M59" s="110"/>
      <c r="N59" s="110"/>
      <c r="O59" s="110"/>
      <c r="P59" s="110"/>
      <c r="Q59" s="110"/>
      <c r="R59" s="110"/>
      <c r="S59" s="110"/>
      <c r="T59" s="110"/>
      <c r="U59" s="110"/>
      <c r="V59" s="110"/>
      <c r="W59" s="110"/>
      <c r="X59" s="110"/>
      <c r="Y59" s="110"/>
    </row>
    <row r="60" ht="13.5" customHeight="1">
      <c r="A60" s="110"/>
      <c r="B60" s="143"/>
      <c r="C60" s="110"/>
      <c r="D60" s="111"/>
      <c r="E60" s="110"/>
      <c r="F60" s="110"/>
      <c r="G60" s="110"/>
      <c r="H60" s="110"/>
      <c r="I60" s="110"/>
      <c r="J60" s="110"/>
      <c r="K60" s="110"/>
      <c r="L60" s="110"/>
      <c r="M60" s="110"/>
      <c r="N60" s="110"/>
      <c r="O60" s="110"/>
      <c r="P60" s="110"/>
      <c r="Q60" s="110"/>
      <c r="R60" s="110"/>
      <c r="S60" s="110"/>
      <c r="T60" s="110"/>
      <c r="U60" s="110"/>
      <c r="V60" s="110"/>
      <c r="W60" s="110"/>
      <c r="X60" s="110"/>
      <c r="Y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D2"/>
    <mergeCell ref="E2:J2"/>
    <mergeCell ref="K2:S2"/>
    <mergeCell ref="C3:D3"/>
    <mergeCell ref="E3:J3"/>
    <mergeCell ref="K3:S3"/>
    <mergeCell ref="A3:B3"/>
    <mergeCell ref="A4:B4"/>
    <mergeCell ref="C4:D4"/>
    <mergeCell ref="E4:J4"/>
    <mergeCell ref="K4:S4"/>
    <mergeCell ref="A5:B5"/>
    <mergeCell ref="C5:S5"/>
    <mergeCell ref="N6:S6"/>
    <mergeCell ref="N7:S7"/>
    <mergeCell ref="B39:D39"/>
    <mergeCell ref="B40:D40"/>
    <mergeCell ref="B41:D41"/>
    <mergeCell ref="B42:D42"/>
    <mergeCell ref="A6:B6"/>
    <mergeCell ref="C6:D6"/>
    <mergeCell ref="E6:J6"/>
    <mergeCell ref="K6:M6"/>
    <mergeCell ref="A7:B7"/>
    <mergeCell ref="C7:D7"/>
    <mergeCell ref="E7:J7"/>
  </mergeCells>
  <dataValidations>
    <dataValidation type="list" allowBlank="1" showInputMessage="1" showErrorMessage="1" prompt=" - " sqref="E40:N40">
      <formula1>"P,F"</formula1>
    </dataValidation>
    <dataValidation type="list" allowBlank="1" showInputMessage="1" showErrorMessage="1" prompt=" - " sqref="E10:S38 O39:S41">
      <formula1>"O"</formula1>
    </dataValidation>
    <dataValidation type="list" allowBlank="1" showInputMessage="1" showErrorMessage="1" prompt=" - " sqref="E39:N39">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5.5"/>
    <col customWidth="1" min="6" max="6" width="4.63"/>
    <col customWidth="1" min="7" max="7" width="4.38"/>
    <col customWidth="1" min="8" max="8" width="4.0"/>
    <col customWidth="1" min="9" max="9" width="3.75"/>
    <col customWidth="1" min="10" max="10" width="4.63"/>
    <col customWidth="1" min="11" max="11" width="5.5"/>
    <col customWidth="1" min="12" max="12" width="4.5"/>
    <col customWidth="1" min="13" max="20" width="2.88"/>
    <col customWidth="1" min="21" max="22" width="9.0"/>
    <col customWidth="1" min="23" max="25" width="10.0"/>
  </cols>
  <sheetData>
    <row r="1" ht="13.5" customHeight="1">
      <c r="A1" s="474"/>
      <c r="B1" s="474"/>
      <c r="C1" s="475"/>
      <c r="D1" s="475"/>
      <c r="E1" s="475"/>
      <c r="F1" s="475"/>
      <c r="G1" s="475"/>
      <c r="H1" s="475"/>
      <c r="I1" s="475"/>
      <c r="J1" s="475"/>
      <c r="K1" s="475"/>
      <c r="L1" s="475"/>
      <c r="M1" s="475"/>
      <c r="N1" s="475"/>
      <c r="O1" s="475"/>
      <c r="P1" s="475"/>
      <c r="Q1" s="475"/>
      <c r="R1" s="475"/>
      <c r="S1" s="475"/>
      <c r="T1" s="475"/>
      <c r="U1" s="475"/>
      <c r="V1" s="475"/>
      <c r="W1" s="475"/>
      <c r="X1" s="475"/>
      <c r="Y1" s="475"/>
    </row>
    <row r="2" ht="13.5" customHeight="1">
      <c r="A2" s="476" t="s">
        <v>337</v>
      </c>
      <c r="B2" s="113"/>
      <c r="C2" s="343" t="str">
        <f>Functions!E43</f>
        <v>F-33</v>
      </c>
      <c r="D2" s="115"/>
      <c r="E2" s="344" t="s">
        <v>71</v>
      </c>
      <c r="F2" s="117"/>
      <c r="G2" s="117"/>
      <c r="H2" s="117"/>
      <c r="I2" s="117"/>
      <c r="J2" s="117"/>
      <c r="K2" s="118" t="str">
        <f>Functions!D43</f>
        <v>JWT sign-in, scoped access, lockout and token rotation</v>
      </c>
      <c r="L2" s="113"/>
      <c r="M2" s="113"/>
      <c r="N2" s="113"/>
      <c r="O2" s="113"/>
      <c r="P2" s="113"/>
      <c r="Q2" s="113"/>
      <c r="R2" s="113"/>
      <c r="S2" s="119"/>
      <c r="T2" s="475"/>
      <c r="U2" s="477"/>
      <c r="V2" s="475"/>
      <c r="W2" s="475"/>
      <c r="X2" s="475"/>
      <c r="Y2" s="475"/>
    </row>
    <row r="3" ht="13.5" customHeight="1">
      <c r="A3" s="330" t="s">
        <v>338</v>
      </c>
      <c r="B3" s="13"/>
      <c r="C3" s="321" t="s">
        <v>183</v>
      </c>
      <c r="D3" s="13"/>
      <c r="E3" s="346" t="s">
        <v>339</v>
      </c>
      <c r="F3" s="12"/>
      <c r="G3" s="12"/>
      <c r="H3" s="12"/>
      <c r="I3" s="12"/>
      <c r="J3" s="13"/>
      <c r="K3" s="348"/>
      <c r="L3" s="123"/>
      <c r="M3" s="123"/>
      <c r="N3" s="123"/>
      <c r="O3" s="123"/>
      <c r="P3" s="123"/>
      <c r="Q3" s="123"/>
      <c r="R3" s="123"/>
      <c r="S3" s="279"/>
      <c r="T3" s="475"/>
      <c r="U3" s="475"/>
      <c r="V3" s="475"/>
      <c r="W3" s="475"/>
      <c r="X3" s="475"/>
      <c r="Y3" s="475"/>
    </row>
    <row r="4" ht="13.5" customHeight="1">
      <c r="A4" s="330" t="s">
        <v>340</v>
      </c>
      <c r="B4" s="13"/>
      <c r="C4" s="128"/>
      <c r="D4" s="12"/>
      <c r="E4" s="346" t="s">
        <v>341</v>
      </c>
      <c r="F4" s="12"/>
      <c r="G4" s="12"/>
      <c r="H4" s="12"/>
      <c r="I4" s="12"/>
      <c r="J4" s="13"/>
      <c r="K4" s="130" t="str">
        <f>IF(OR(C4="",Functions!E6="N/A"),"N/A",C4*Functions!E6/1000-N7)</f>
        <v>N/A</v>
      </c>
      <c r="L4" s="12"/>
      <c r="M4" s="12"/>
      <c r="N4" s="12"/>
      <c r="O4" s="12"/>
      <c r="P4" s="12"/>
      <c r="Q4" s="12"/>
      <c r="R4" s="12"/>
      <c r="S4" s="131"/>
      <c r="T4" s="475"/>
      <c r="U4" s="477"/>
      <c r="V4" s="475"/>
      <c r="W4" s="475"/>
      <c r="X4" s="475"/>
      <c r="Y4" s="475"/>
    </row>
    <row r="5" ht="27.75" customHeight="1">
      <c r="A5" s="330" t="s">
        <v>342</v>
      </c>
      <c r="B5" s="13"/>
      <c r="C5" s="321" t="s">
        <v>306</v>
      </c>
      <c r="D5" s="12"/>
      <c r="E5" s="12"/>
      <c r="F5" s="12"/>
      <c r="G5" s="12"/>
      <c r="H5" s="12"/>
      <c r="I5" s="12"/>
      <c r="J5" s="12"/>
      <c r="K5" s="12"/>
      <c r="L5" s="12"/>
      <c r="M5" s="12"/>
      <c r="N5" s="12"/>
      <c r="O5" s="12"/>
      <c r="P5" s="12"/>
      <c r="Q5" s="12"/>
      <c r="R5" s="12"/>
      <c r="S5" s="131"/>
      <c r="T5" s="475"/>
      <c r="U5" s="475"/>
      <c r="V5" s="475"/>
      <c r="W5" s="475"/>
      <c r="X5" s="475"/>
      <c r="Y5" s="475"/>
    </row>
    <row r="6" ht="13.5" customHeight="1">
      <c r="A6" s="357" t="s">
        <v>217</v>
      </c>
      <c r="B6" s="13"/>
      <c r="C6" s="134" t="s">
        <v>218</v>
      </c>
      <c r="D6" s="13"/>
      <c r="E6" s="134" t="s">
        <v>219</v>
      </c>
      <c r="F6" s="12"/>
      <c r="G6" s="12"/>
      <c r="H6" s="12"/>
      <c r="I6" s="12"/>
      <c r="J6" s="13"/>
      <c r="K6" s="135" t="s">
        <v>343</v>
      </c>
      <c r="L6" s="12"/>
      <c r="M6" s="12"/>
      <c r="N6" s="134" t="s">
        <v>222</v>
      </c>
      <c r="O6" s="12"/>
      <c r="P6" s="12"/>
      <c r="Q6" s="12"/>
      <c r="R6" s="12"/>
      <c r="S6" s="131"/>
      <c r="T6" s="475"/>
      <c r="U6" s="477"/>
      <c r="V6" s="475"/>
      <c r="W6" s="475"/>
      <c r="X6" s="475"/>
      <c r="Y6" s="475"/>
    </row>
    <row r="7" ht="13.5" customHeight="1">
      <c r="A7" s="359">
        <f>COUNTIF(E52:L52,"P")</f>
        <v>0</v>
      </c>
      <c r="B7" s="138"/>
      <c r="C7" s="360">
        <f>COUNTIF(E52:L52,"F")</f>
        <v>0</v>
      </c>
      <c r="D7" s="138"/>
      <c r="E7" s="360">
        <f>SUM(N7,-A7,-C7)</f>
        <v>5</v>
      </c>
      <c r="F7" s="140"/>
      <c r="G7" s="140"/>
      <c r="H7" s="140"/>
      <c r="I7" s="140"/>
      <c r="J7" s="138"/>
      <c r="K7" s="361">
        <f>COUNTIF(E51:L51,"N")</f>
        <v>4</v>
      </c>
      <c r="L7" s="361">
        <f>COUNTIF(E51:L51,"A")</f>
        <v>1</v>
      </c>
      <c r="M7" s="361">
        <f>COUNTIF(E51:L51,"B")</f>
        <v>0</v>
      </c>
      <c r="N7" s="360">
        <f>COUNTA(E9:L9)</f>
        <v>5</v>
      </c>
      <c r="O7" s="140"/>
      <c r="P7" s="140"/>
      <c r="Q7" s="140"/>
      <c r="R7" s="140"/>
      <c r="S7" s="284"/>
      <c r="T7" s="480"/>
      <c r="U7" s="475"/>
      <c r="V7" s="475"/>
      <c r="W7" s="475"/>
      <c r="X7" s="475"/>
      <c r="Y7" s="475"/>
    </row>
    <row r="8" ht="12.0" customHeight="1">
      <c r="A8" s="475"/>
      <c r="B8" s="475"/>
      <c r="C8" s="475"/>
      <c r="D8" s="475"/>
      <c r="E8" s="475"/>
      <c r="F8" s="475"/>
      <c r="G8" s="475"/>
      <c r="H8" s="475"/>
      <c r="I8" s="475"/>
      <c r="J8" s="475"/>
      <c r="K8" s="475"/>
      <c r="L8" s="475"/>
      <c r="M8" s="475"/>
      <c r="N8" s="475"/>
      <c r="O8" s="475"/>
      <c r="P8" s="475"/>
      <c r="Q8" s="475"/>
      <c r="R8" s="475"/>
      <c r="S8" s="475"/>
      <c r="T8" s="475"/>
      <c r="U8" s="475"/>
      <c r="V8" s="475"/>
      <c r="W8" s="475"/>
      <c r="X8" s="475"/>
      <c r="Y8" s="475"/>
    </row>
    <row r="9" ht="45.0" customHeight="1">
      <c r="A9" s="481"/>
      <c r="B9" s="482"/>
      <c r="C9" s="482"/>
      <c r="D9" s="482"/>
      <c r="E9" s="369" t="s">
        <v>344</v>
      </c>
      <c r="F9" s="369" t="s">
        <v>345</v>
      </c>
      <c r="G9" s="369" t="s">
        <v>346</v>
      </c>
      <c r="H9" s="369" t="s">
        <v>347</v>
      </c>
      <c r="I9" s="369" t="s">
        <v>348</v>
      </c>
      <c r="J9" s="369"/>
      <c r="K9" s="369"/>
      <c r="L9" s="369"/>
      <c r="M9" s="483"/>
      <c r="N9" s="483"/>
      <c r="O9" s="483"/>
      <c r="P9" s="483"/>
      <c r="Q9" s="483"/>
      <c r="R9" s="483"/>
      <c r="S9" s="484"/>
      <c r="T9" s="475"/>
      <c r="U9" s="477"/>
      <c r="V9" s="475"/>
      <c r="W9" s="475"/>
      <c r="X9" s="475"/>
      <c r="Y9" s="475"/>
    </row>
    <row r="10" ht="13.5" customHeight="1">
      <c r="A10" s="485" t="s">
        <v>350</v>
      </c>
      <c r="B10" s="347" t="s">
        <v>351</v>
      </c>
      <c r="C10" s="364"/>
      <c r="D10" s="420"/>
      <c r="E10" s="355"/>
      <c r="F10" s="355"/>
      <c r="G10" s="355"/>
      <c r="H10" s="355"/>
      <c r="I10" s="355"/>
      <c r="J10" s="355"/>
      <c r="K10" s="355"/>
      <c r="L10" s="355"/>
      <c r="M10" s="355"/>
      <c r="N10" s="355"/>
      <c r="O10" s="355"/>
      <c r="P10" s="355"/>
      <c r="Q10" s="355"/>
      <c r="R10" s="355"/>
      <c r="S10" s="355"/>
      <c r="T10" s="475"/>
      <c r="U10" s="475"/>
      <c r="V10" s="475"/>
      <c r="W10" s="475"/>
      <c r="X10" s="475"/>
      <c r="Y10" s="475"/>
    </row>
    <row r="11" ht="13.5" customHeight="1">
      <c r="A11" s="486"/>
      <c r="B11" s="487"/>
      <c r="C11" s="349"/>
      <c r="D11" s="488" t="s">
        <v>678</v>
      </c>
      <c r="E11" s="356" t="s">
        <v>353</v>
      </c>
      <c r="F11" s="355"/>
      <c r="G11" s="355"/>
      <c r="H11" s="355"/>
      <c r="I11" s="355"/>
      <c r="J11" s="355"/>
      <c r="K11" s="355"/>
      <c r="L11" s="355"/>
      <c r="M11" s="355"/>
      <c r="N11" s="355"/>
      <c r="O11" s="355"/>
      <c r="P11" s="355"/>
      <c r="Q11" s="355"/>
      <c r="R11" s="355"/>
      <c r="S11" s="355"/>
      <c r="T11" s="475"/>
      <c r="U11" s="477"/>
      <c r="V11" s="475"/>
      <c r="W11" s="475"/>
      <c r="X11" s="475"/>
      <c r="Y11" s="475"/>
    </row>
    <row r="12" ht="13.5" customHeight="1">
      <c r="A12" s="486"/>
      <c r="B12" s="353"/>
      <c r="C12" s="249"/>
      <c r="D12" s="489" t="s">
        <v>680</v>
      </c>
      <c r="E12" s="355"/>
      <c r="F12" s="356" t="s">
        <v>353</v>
      </c>
      <c r="G12" s="356"/>
      <c r="H12" s="356"/>
      <c r="I12" s="356"/>
      <c r="J12" s="356"/>
      <c r="K12" s="356"/>
      <c r="L12" s="356"/>
      <c r="M12" s="355"/>
      <c r="N12" s="355"/>
      <c r="O12" s="355"/>
      <c r="P12" s="355"/>
      <c r="Q12" s="355"/>
      <c r="R12" s="355"/>
      <c r="S12" s="355"/>
      <c r="T12" s="475"/>
      <c r="U12" s="475"/>
      <c r="V12" s="475"/>
      <c r="W12" s="475"/>
      <c r="X12" s="475"/>
      <c r="Y12" s="475"/>
    </row>
    <row r="13" ht="13.5" customHeight="1">
      <c r="A13" s="486"/>
      <c r="B13" s="249"/>
      <c r="C13" s="349"/>
      <c r="D13" s="489"/>
      <c r="E13" s="355"/>
      <c r="F13" s="355"/>
      <c r="G13" s="355"/>
      <c r="H13" s="355"/>
      <c r="I13" s="355"/>
      <c r="J13" s="355"/>
      <c r="K13" s="355"/>
      <c r="L13" s="355"/>
      <c r="M13" s="355"/>
      <c r="N13" s="355"/>
      <c r="O13" s="355"/>
      <c r="P13" s="355"/>
      <c r="Q13" s="355"/>
      <c r="R13" s="355"/>
      <c r="S13" s="355"/>
      <c r="T13" s="475"/>
      <c r="U13" s="475"/>
      <c r="V13" s="475"/>
      <c r="W13" s="475"/>
      <c r="X13" s="475"/>
      <c r="Y13" s="475"/>
    </row>
    <row r="14" ht="13.5" customHeight="1">
      <c r="A14" s="486"/>
      <c r="B14" s="353"/>
      <c r="C14" s="349"/>
      <c r="D14" s="489" t="s">
        <v>681</v>
      </c>
      <c r="E14" s="355"/>
      <c r="F14" s="356"/>
      <c r="G14" s="355" t="s">
        <v>353</v>
      </c>
      <c r="H14" s="355"/>
      <c r="I14" s="355"/>
      <c r="J14" s="355"/>
      <c r="K14" s="355"/>
      <c r="L14" s="355"/>
      <c r="M14" s="355"/>
      <c r="N14" s="355"/>
      <c r="O14" s="355"/>
      <c r="P14" s="355"/>
      <c r="Q14" s="355"/>
      <c r="R14" s="355"/>
      <c r="S14" s="355"/>
      <c r="T14" s="475"/>
      <c r="U14" s="475"/>
      <c r="V14" s="475"/>
      <c r="W14" s="475"/>
      <c r="X14" s="475"/>
      <c r="Y14" s="475"/>
    </row>
    <row r="15" ht="13.5" customHeight="1">
      <c r="A15" s="486"/>
      <c r="B15" s="353"/>
      <c r="C15" s="349"/>
      <c r="D15" s="489" t="s">
        <v>682</v>
      </c>
      <c r="E15" s="355"/>
      <c r="F15" s="355"/>
      <c r="G15" s="356"/>
      <c r="H15" s="356" t="s">
        <v>353</v>
      </c>
      <c r="I15" s="356"/>
      <c r="J15" s="356"/>
      <c r="K15" s="355"/>
      <c r="L15" s="355"/>
      <c r="M15" s="355"/>
      <c r="N15" s="355"/>
      <c r="O15" s="355"/>
      <c r="P15" s="355"/>
      <c r="Q15" s="355"/>
      <c r="R15" s="355"/>
      <c r="S15" s="355"/>
      <c r="T15" s="475"/>
      <c r="U15" s="475"/>
      <c r="V15" s="475"/>
      <c r="W15" s="475"/>
      <c r="X15" s="475"/>
      <c r="Y15" s="475"/>
    </row>
    <row r="16" ht="13.5" customHeight="1">
      <c r="A16" s="486"/>
      <c r="B16" s="353"/>
      <c r="C16" s="349"/>
      <c r="D16" s="489" t="s">
        <v>683</v>
      </c>
      <c r="E16" s="356"/>
      <c r="F16" s="355"/>
      <c r="G16" s="355"/>
      <c r="H16" s="355"/>
      <c r="I16" s="355" t="s">
        <v>353</v>
      </c>
      <c r="J16" s="355"/>
      <c r="K16" s="356"/>
      <c r="L16" s="356"/>
      <c r="M16" s="355"/>
      <c r="N16" s="355"/>
      <c r="O16" s="355"/>
      <c r="P16" s="355"/>
      <c r="Q16" s="355"/>
      <c r="R16" s="355"/>
      <c r="S16" s="355"/>
      <c r="T16" s="475"/>
      <c r="U16" s="475"/>
      <c r="V16" s="475"/>
      <c r="W16" s="475"/>
      <c r="X16" s="475"/>
      <c r="Y16" s="475"/>
    </row>
    <row r="17" ht="13.5" customHeight="1">
      <c r="A17" s="486"/>
      <c r="B17" s="347"/>
      <c r="C17" s="349"/>
      <c r="D17" s="489"/>
      <c r="E17" s="355"/>
      <c r="F17" s="355"/>
      <c r="G17" s="355"/>
      <c r="H17" s="355"/>
      <c r="I17" s="355"/>
      <c r="J17" s="355"/>
      <c r="K17" s="355"/>
      <c r="L17" s="355"/>
      <c r="M17" s="355"/>
      <c r="N17" s="355"/>
      <c r="O17" s="355"/>
      <c r="P17" s="355"/>
      <c r="Q17" s="355"/>
      <c r="R17" s="355"/>
      <c r="S17" s="355"/>
      <c r="T17" s="475"/>
      <c r="U17" s="475"/>
      <c r="V17" s="475"/>
      <c r="W17" s="475"/>
      <c r="X17" s="475"/>
      <c r="Y17" s="475"/>
    </row>
    <row r="18" ht="13.5" customHeight="1">
      <c r="A18" s="486"/>
      <c r="B18" s="353"/>
      <c r="C18" s="349"/>
      <c r="D18" s="489"/>
      <c r="E18" s="355"/>
      <c r="F18" s="356"/>
      <c r="G18" s="355"/>
      <c r="H18" s="356"/>
      <c r="I18" s="356"/>
      <c r="J18" s="356"/>
      <c r="K18" s="355"/>
      <c r="L18" s="355"/>
      <c r="M18" s="355"/>
      <c r="N18" s="355"/>
      <c r="O18" s="355"/>
      <c r="P18" s="355"/>
      <c r="Q18" s="355"/>
      <c r="R18" s="355"/>
      <c r="S18" s="355"/>
      <c r="T18" s="475"/>
      <c r="U18" s="475"/>
      <c r="V18" s="475"/>
      <c r="W18" s="475"/>
      <c r="X18" s="475"/>
      <c r="Y18" s="475"/>
    </row>
    <row r="19" ht="13.5" customHeight="1">
      <c r="A19" s="486"/>
      <c r="B19" s="353"/>
      <c r="C19" s="349"/>
      <c r="D19" s="489"/>
      <c r="E19" s="355"/>
      <c r="F19" s="355"/>
      <c r="G19" s="356"/>
      <c r="H19" s="355"/>
      <c r="I19" s="355"/>
      <c r="J19" s="355"/>
      <c r="K19" s="355"/>
      <c r="L19" s="355"/>
      <c r="M19" s="355"/>
      <c r="N19" s="355"/>
      <c r="O19" s="355"/>
      <c r="P19" s="355"/>
      <c r="Q19" s="355"/>
      <c r="R19" s="355"/>
      <c r="S19" s="355"/>
      <c r="T19" s="475"/>
      <c r="U19" s="475"/>
      <c r="V19" s="475"/>
      <c r="W19" s="475"/>
      <c r="X19" s="475"/>
      <c r="Y19" s="475"/>
    </row>
    <row r="20" ht="13.5" customHeight="1">
      <c r="A20" s="486"/>
      <c r="B20" s="353"/>
      <c r="C20" s="349"/>
      <c r="D20" s="489"/>
      <c r="E20" s="356"/>
      <c r="F20" s="355"/>
      <c r="G20" s="355"/>
      <c r="H20" s="355"/>
      <c r="I20" s="355"/>
      <c r="J20" s="355"/>
      <c r="K20" s="356"/>
      <c r="L20" s="356"/>
      <c r="M20" s="355"/>
      <c r="N20" s="355"/>
      <c r="O20" s="355"/>
      <c r="P20" s="355"/>
      <c r="Q20" s="355"/>
      <c r="R20" s="355"/>
      <c r="S20" s="355"/>
      <c r="T20" s="475"/>
      <c r="U20" s="475"/>
      <c r="V20" s="475"/>
      <c r="W20" s="475"/>
      <c r="X20" s="475"/>
      <c r="Y20" s="475"/>
    </row>
    <row r="21" ht="13.5" customHeight="1">
      <c r="A21" s="486"/>
      <c r="B21" s="347"/>
      <c r="C21" s="349"/>
      <c r="D21" s="354"/>
      <c r="E21" s="355"/>
      <c r="F21" s="355"/>
      <c r="G21" s="355"/>
      <c r="H21" s="355"/>
      <c r="I21" s="355"/>
      <c r="J21" s="355"/>
      <c r="K21" s="355"/>
      <c r="L21" s="355"/>
      <c r="M21" s="355"/>
      <c r="N21" s="355"/>
      <c r="O21" s="355"/>
      <c r="P21" s="355"/>
      <c r="Q21" s="355"/>
      <c r="R21" s="355"/>
      <c r="S21" s="355"/>
      <c r="T21" s="475"/>
      <c r="U21" s="475"/>
      <c r="V21" s="475"/>
      <c r="W21" s="475"/>
      <c r="X21" s="475"/>
      <c r="Y21" s="475"/>
    </row>
    <row r="22" ht="13.5" customHeight="1">
      <c r="A22" s="486"/>
      <c r="B22" s="353"/>
      <c r="C22" s="349"/>
      <c r="D22" s="354"/>
      <c r="E22" s="355"/>
      <c r="F22" s="355"/>
      <c r="G22" s="355"/>
      <c r="H22" s="355"/>
      <c r="I22" s="355"/>
      <c r="J22" s="355"/>
      <c r="K22" s="355"/>
      <c r="L22" s="355"/>
      <c r="M22" s="355"/>
      <c r="N22" s="355"/>
      <c r="O22" s="355"/>
      <c r="P22" s="355"/>
      <c r="Q22" s="355"/>
      <c r="R22" s="355"/>
      <c r="S22" s="355"/>
      <c r="T22" s="475"/>
      <c r="U22" s="475"/>
      <c r="V22" s="475"/>
      <c r="W22" s="475"/>
      <c r="X22" s="475"/>
      <c r="Y22" s="475"/>
    </row>
    <row r="23" ht="13.5" customHeight="1">
      <c r="A23" s="486"/>
      <c r="B23" s="353"/>
      <c r="C23" s="349"/>
      <c r="D23" s="354"/>
      <c r="E23" s="355"/>
      <c r="F23" s="355"/>
      <c r="G23" s="355"/>
      <c r="H23" s="355"/>
      <c r="I23" s="356"/>
      <c r="J23" s="355"/>
      <c r="K23" s="355"/>
      <c r="L23" s="355"/>
      <c r="M23" s="355"/>
      <c r="N23" s="355"/>
      <c r="O23" s="355"/>
      <c r="P23" s="355"/>
      <c r="Q23" s="355"/>
      <c r="R23" s="355"/>
      <c r="S23" s="355"/>
      <c r="T23" s="475"/>
      <c r="U23" s="475"/>
      <c r="V23" s="475"/>
      <c r="W23" s="475"/>
      <c r="X23" s="475"/>
      <c r="Y23" s="475"/>
    </row>
    <row r="24" ht="13.5" customHeight="1">
      <c r="A24" s="486"/>
      <c r="B24" s="353"/>
      <c r="C24" s="349"/>
      <c r="D24" s="354"/>
      <c r="E24" s="355"/>
      <c r="F24" s="355"/>
      <c r="G24" s="355"/>
      <c r="H24" s="355"/>
      <c r="I24" s="355"/>
      <c r="J24" s="356"/>
      <c r="K24" s="355"/>
      <c r="L24" s="355"/>
      <c r="M24" s="355"/>
      <c r="N24" s="355"/>
      <c r="O24" s="355"/>
      <c r="P24" s="355"/>
      <c r="Q24" s="355"/>
      <c r="R24" s="355"/>
      <c r="S24" s="355"/>
      <c r="T24" s="475"/>
      <c r="U24" s="475"/>
      <c r="V24" s="475"/>
      <c r="W24" s="475"/>
      <c r="X24" s="475"/>
      <c r="Y24" s="475"/>
    </row>
    <row r="25" ht="13.5" customHeight="1">
      <c r="A25" s="486"/>
      <c r="B25" s="353"/>
      <c r="C25" s="349"/>
      <c r="D25" s="354"/>
      <c r="E25" s="355"/>
      <c r="F25" s="356"/>
      <c r="G25" s="356"/>
      <c r="H25" s="355"/>
      <c r="I25" s="355"/>
      <c r="J25" s="355"/>
      <c r="K25" s="356"/>
      <c r="L25" s="356"/>
      <c r="M25" s="355"/>
      <c r="N25" s="355"/>
      <c r="O25" s="355"/>
      <c r="P25" s="355"/>
      <c r="Q25" s="355"/>
      <c r="R25" s="355"/>
      <c r="S25" s="355"/>
      <c r="T25" s="475"/>
      <c r="U25" s="475"/>
      <c r="V25" s="475"/>
      <c r="W25" s="475"/>
      <c r="X25" s="475"/>
      <c r="Y25" s="475"/>
    </row>
    <row r="26" ht="13.5" customHeight="1">
      <c r="A26" s="486"/>
      <c r="B26" s="347"/>
      <c r="C26" s="349"/>
      <c r="D26" s="354"/>
      <c r="E26" s="355"/>
      <c r="F26" s="355"/>
      <c r="G26" s="355"/>
      <c r="H26" s="355"/>
      <c r="I26" s="355"/>
      <c r="J26" s="355"/>
      <c r="K26" s="355"/>
      <c r="L26" s="355"/>
      <c r="M26" s="355"/>
      <c r="N26" s="355"/>
      <c r="O26" s="355"/>
      <c r="P26" s="355"/>
      <c r="Q26" s="355"/>
      <c r="R26" s="355"/>
      <c r="S26" s="355"/>
      <c r="T26" s="475"/>
      <c r="U26" s="475"/>
      <c r="V26" s="475"/>
      <c r="W26" s="475"/>
      <c r="X26" s="475"/>
      <c r="Y26" s="475"/>
    </row>
    <row r="27" ht="13.5" customHeight="1">
      <c r="A27" s="486"/>
      <c r="B27" s="353"/>
      <c r="C27" s="349"/>
      <c r="D27" s="354"/>
      <c r="E27" s="355"/>
      <c r="F27" s="355"/>
      <c r="G27" s="355"/>
      <c r="H27" s="355"/>
      <c r="I27" s="355"/>
      <c r="J27" s="355"/>
      <c r="K27" s="355"/>
      <c r="L27" s="355"/>
      <c r="M27" s="355"/>
      <c r="N27" s="355"/>
      <c r="O27" s="355"/>
      <c r="P27" s="355"/>
      <c r="Q27" s="355"/>
      <c r="R27" s="355"/>
      <c r="S27" s="355"/>
      <c r="T27" s="475"/>
      <c r="U27" s="475"/>
      <c r="V27" s="475"/>
      <c r="W27" s="475"/>
      <c r="X27" s="475"/>
      <c r="Y27" s="475"/>
    </row>
    <row r="28" ht="13.5" customHeight="1">
      <c r="A28" s="486"/>
      <c r="B28" s="353"/>
      <c r="C28" s="349"/>
      <c r="D28" s="354"/>
      <c r="E28" s="355"/>
      <c r="F28" s="356"/>
      <c r="G28" s="356"/>
      <c r="H28" s="356"/>
      <c r="I28" s="356"/>
      <c r="J28" s="356"/>
      <c r="K28" s="355"/>
      <c r="L28" s="355"/>
      <c r="M28" s="355"/>
      <c r="N28" s="355"/>
      <c r="O28" s="355"/>
      <c r="P28" s="355"/>
      <c r="Q28" s="355"/>
      <c r="R28" s="355"/>
      <c r="S28" s="355"/>
      <c r="T28" s="475"/>
      <c r="U28" s="475"/>
      <c r="V28" s="475"/>
      <c r="W28" s="475"/>
      <c r="X28" s="475"/>
      <c r="Y28" s="475"/>
    </row>
    <row r="29" ht="13.5" customHeight="1">
      <c r="A29" s="486"/>
      <c r="B29" s="353"/>
      <c r="C29" s="349"/>
      <c r="D29" s="354"/>
      <c r="E29" s="355"/>
      <c r="F29" s="355"/>
      <c r="G29" s="355"/>
      <c r="H29" s="355"/>
      <c r="I29" s="355"/>
      <c r="J29" s="355"/>
      <c r="K29" s="355"/>
      <c r="L29" s="356"/>
      <c r="M29" s="355"/>
      <c r="N29" s="355"/>
      <c r="O29" s="355"/>
      <c r="P29" s="355"/>
      <c r="Q29" s="355"/>
      <c r="R29" s="355"/>
      <c r="S29" s="355"/>
      <c r="T29" s="475"/>
      <c r="U29" s="475"/>
      <c r="V29" s="475"/>
      <c r="W29" s="475"/>
      <c r="X29" s="475"/>
      <c r="Y29" s="475"/>
    </row>
    <row r="30" ht="13.5" customHeight="1">
      <c r="A30" s="507"/>
      <c r="B30" s="363"/>
      <c r="C30" s="364"/>
      <c r="D30" s="508"/>
      <c r="E30" s="509"/>
      <c r="F30" s="509"/>
      <c r="G30" s="509"/>
      <c r="H30" s="509"/>
      <c r="I30" s="509"/>
      <c r="J30" s="509"/>
      <c r="K30" s="509"/>
      <c r="L30" s="509"/>
      <c r="M30" s="509"/>
      <c r="N30" s="509"/>
      <c r="O30" s="509"/>
      <c r="P30" s="509"/>
      <c r="Q30" s="509"/>
      <c r="R30" s="509"/>
      <c r="S30" s="509"/>
      <c r="T30" s="475"/>
      <c r="U30" s="475"/>
      <c r="V30" s="475"/>
      <c r="W30" s="475"/>
      <c r="X30" s="475"/>
      <c r="Y30" s="475"/>
    </row>
    <row r="31" ht="13.5" customHeight="1">
      <c r="A31" s="510" t="s">
        <v>359</v>
      </c>
      <c r="B31" s="511" t="s">
        <v>360</v>
      </c>
      <c r="C31" s="505"/>
      <c r="D31" s="512"/>
      <c r="E31" s="514"/>
      <c r="F31" s="514"/>
      <c r="G31" s="514"/>
      <c r="H31" s="514"/>
      <c r="I31" s="514"/>
      <c r="J31" s="514"/>
      <c r="K31" s="514"/>
      <c r="L31" s="514"/>
      <c r="M31" s="514"/>
      <c r="N31" s="514"/>
      <c r="O31" s="514"/>
      <c r="P31" s="514"/>
      <c r="Q31" s="514"/>
      <c r="R31" s="514"/>
      <c r="S31" s="514"/>
      <c r="T31" s="475"/>
      <c r="U31" s="475"/>
      <c r="V31" s="475"/>
      <c r="W31" s="475"/>
      <c r="X31" s="475"/>
      <c r="Y31" s="475"/>
    </row>
    <row r="32" ht="13.5" customHeight="1">
      <c r="A32" s="486"/>
      <c r="B32" s="353"/>
      <c r="C32" s="349"/>
      <c r="D32" s="489" t="s">
        <v>692</v>
      </c>
      <c r="E32" s="355" t="s">
        <v>353</v>
      </c>
      <c r="F32" s="356"/>
      <c r="G32" s="355"/>
      <c r="H32" s="355"/>
      <c r="I32" s="355"/>
      <c r="J32" s="355"/>
      <c r="K32" s="355"/>
      <c r="L32" s="355"/>
      <c r="M32" s="355"/>
      <c r="N32" s="355"/>
      <c r="O32" s="355"/>
      <c r="P32" s="355"/>
      <c r="Q32" s="355"/>
      <c r="R32" s="355"/>
      <c r="S32" s="355"/>
      <c r="T32" s="475"/>
      <c r="U32" s="475"/>
      <c r="V32" s="475"/>
      <c r="W32" s="475"/>
      <c r="X32" s="475"/>
      <c r="Y32" s="475"/>
    </row>
    <row r="33" ht="13.5" customHeight="1">
      <c r="A33" s="515"/>
      <c r="B33" s="516"/>
      <c r="C33" s="517"/>
      <c r="D33" s="489" t="s">
        <v>694</v>
      </c>
      <c r="E33" s="355"/>
      <c r="F33" s="355" t="s">
        <v>353</v>
      </c>
      <c r="G33" s="355"/>
      <c r="H33" s="356"/>
      <c r="I33" s="356"/>
      <c r="J33" s="356"/>
      <c r="K33" s="355"/>
      <c r="L33" s="355"/>
      <c r="M33" s="355"/>
      <c r="N33" s="355"/>
      <c r="O33" s="355"/>
      <c r="P33" s="355"/>
      <c r="Q33" s="355"/>
      <c r="R33" s="355"/>
      <c r="S33" s="355"/>
      <c r="T33" s="475"/>
      <c r="U33" s="475"/>
      <c r="V33" s="475"/>
      <c r="W33" s="475"/>
      <c r="X33" s="475"/>
      <c r="Y33" s="475"/>
    </row>
    <row r="34" ht="13.5" customHeight="1">
      <c r="A34" s="515"/>
      <c r="B34" s="519"/>
      <c r="C34" s="442"/>
      <c r="D34" s="443" t="s">
        <v>695</v>
      </c>
      <c r="E34" s="356"/>
      <c r="F34" s="355"/>
      <c r="G34" s="356" t="s">
        <v>353</v>
      </c>
      <c r="H34" s="355"/>
      <c r="I34" s="355"/>
      <c r="J34" s="355"/>
      <c r="K34" s="355"/>
      <c r="L34" s="355"/>
      <c r="M34" s="355"/>
      <c r="N34" s="355"/>
      <c r="O34" s="355"/>
      <c r="P34" s="355"/>
      <c r="Q34" s="355"/>
      <c r="R34" s="355"/>
      <c r="S34" s="355"/>
      <c r="T34" s="475"/>
      <c r="U34" s="475"/>
      <c r="V34" s="475"/>
      <c r="W34" s="475"/>
      <c r="X34" s="475"/>
      <c r="Y34" s="475"/>
    </row>
    <row r="35" ht="13.5" customHeight="1">
      <c r="A35" s="515"/>
      <c r="B35" s="519"/>
      <c r="C35" s="442"/>
      <c r="D35" s="443" t="s">
        <v>696</v>
      </c>
      <c r="E35" s="355"/>
      <c r="F35" s="355"/>
      <c r="G35" s="355"/>
      <c r="H35" s="355" t="s">
        <v>353</v>
      </c>
      <c r="I35" s="355"/>
      <c r="J35" s="355"/>
      <c r="K35" s="356"/>
      <c r="L35" s="355"/>
      <c r="M35" s="355"/>
      <c r="N35" s="355"/>
      <c r="O35" s="355"/>
      <c r="P35" s="355"/>
      <c r="Q35" s="355"/>
      <c r="R35" s="355"/>
      <c r="S35" s="355"/>
      <c r="T35" s="475"/>
      <c r="U35" s="475"/>
      <c r="V35" s="475"/>
      <c r="W35" s="475"/>
      <c r="X35" s="475"/>
      <c r="Y35" s="475"/>
    </row>
    <row r="36" ht="13.5" customHeight="1">
      <c r="A36" s="515"/>
      <c r="B36" s="519"/>
      <c r="C36" s="442"/>
      <c r="D36" s="443" t="s">
        <v>698</v>
      </c>
      <c r="E36" s="355"/>
      <c r="F36" s="355"/>
      <c r="G36" s="355"/>
      <c r="H36" s="355"/>
      <c r="I36" s="355" t="s">
        <v>353</v>
      </c>
      <c r="J36" s="355"/>
      <c r="K36" s="355"/>
      <c r="L36" s="356"/>
      <c r="M36" s="355"/>
      <c r="N36" s="355"/>
      <c r="O36" s="355"/>
      <c r="P36" s="355"/>
      <c r="Q36" s="355"/>
      <c r="R36" s="355"/>
      <c r="S36" s="355"/>
      <c r="T36" s="475"/>
      <c r="U36" s="475"/>
      <c r="V36" s="475"/>
      <c r="W36" s="475"/>
      <c r="X36" s="475"/>
      <c r="Y36" s="475"/>
    </row>
    <row r="37" ht="13.5" customHeight="1">
      <c r="A37" s="515"/>
      <c r="B37" s="522"/>
      <c r="C37" s="442"/>
      <c r="D37" s="443"/>
      <c r="E37" s="355"/>
      <c r="F37" s="355"/>
      <c r="G37" s="355"/>
      <c r="H37" s="355"/>
      <c r="I37" s="355"/>
      <c r="J37" s="355"/>
      <c r="K37" s="355"/>
      <c r="L37" s="355"/>
      <c r="M37" s="355"/>
      <c r="N37" s="355"/>
      <c r="O37" s="355"/>
      <c r="P37" s="355"/>
      <c r="Q37" s="355"/>
      <c r="R37" s="355"/>
      <c r="S37" s="355"/>
      <c r="T37" s="475"/>
      <c r="U37" s="475"/>
      <c r="V37" s="475"/>
      <c r="W37" s="475"/>
      <c r="X37" s="475"/>
      <c r="Y37" s="475"/>
    </row>
    <row r="38" ht="13.5" customHeight="1">
      <c r="A38" s="515"/>
      <c r="B38" s="519"/>
      <c r="C38" s="442"/>
      <c r="D38" s="448"/>
      <c r="E38" s="355"/>
      <c r="F38" s="355"/>
      <c r="G38" s="355"/>
      <c r="H38" s="355"/>
      <c r="I38" s="356"/>
      <c r="J38" s="355"/>
      <c r="K38" s="355"/>
      <c r="L38" s="355"/>
      <c r="M38" s="355"/>
      <c r="N38" s="355"/>
      <c r="O38" s="355"/>
      <c r="P38" s="355"/>
      <c r="Q38" s="355"/>
      <c r="R38" s="355"/>
      <c r="S38" s="355"/>
      <c r="T38" s="475"/>
      <c r="U38" s="475"/>
      <c r="V38" s="475"/>
      <c r="W38" s="475"/>
      <c r="X38" s="475"/>
      <c r="Y38" s="475"/>
    </row>
    <row r="39" ht="13.5" customHeight="1">
      <c r="A39" s="515"/>
      <c r="B39" s="519"/>
      <c r="C39" s="442"/>
      <c r="D39" s="448"/>
      <c r="E39" s="356"/>
      <c r="F39" s="356"/>
      <c r="G39" s="356"/>
      <c r="H39" s="356"/>
      <c r="I39" s="355"/>
      <c r="J39" s="356"/>
      <c r="K39" s="356"/>
      <c r="L39" s="356"/>
      <c r="M39" s="355"/>
      <c r="N39" s="355"/>
      <c r="O39" s="355"/>
      <c r="P39" s="355"/>
      <c r="Q39" s="355"/>
      <c r="R39" s="355"/>
      <c r="S39" s="355"/>
      <c r="T39" s="475"/>
      <c r="U39" s="475"/>
      <c r="V39" s="475"/>
      <c r="W39" s="475"/>
      <c r="X39" s="475"/>
      <c r="Y39" s="475"/>
    </row>
    <row r="40" ht="13.5" customHeight="1">
      <c r="A40" s="507"/>
      <c r="B40" s="523"/>
      <c r="C40" s="517"/>
      <c r="D40" s="354"/>
      <c r="E40" s="355"/>
      <c r="F40" s="355"/>
      <c r="G40" s="355"/>
      <c r="H40" s="355"/>
      <c r="I40" s="355"/>
      <c r="J40" s="355"/>
      <c r="K40" s="355"/>
      <c r="L40" s="355"/>
      <c r="M40" s="355"/>
      <c r="N40" s="355"/>
      <c r="O40" s="355"/>
      <c r="P40" s="355"/>
      <c r="Q40" s="355"/>
      <c r="R40" s="355"/>
      <c r="S40" s="355"/>
      <c r="T40" s="475"/>
      <c r="U40" s="475"/>
      <c r="V40" s="475"/>
      <c r="W40" s="475"/>
      <c r="X40" s="475"/>
      <c r="Y40" s="475"/>
    </row>
    <row r="41" ht="13.5" customHeight="1">
      <c r="A41" s="507"/>
      <c r="B41" s="519"/>
      <c r="C41" s="442"/>
      <c r="D41" s="448"/>
      <c r="E41" s="355"/>
      <c r="F41" s="355"/>
      <c r="G41" s="355"/>
      <c r="H41" s="356"/>
      <c r="I41" s="356"/>
      <c r="J41" s="356"/>
      <c r="K41" s="355"/>
      <c r="L41" s="355"/>
      <c r="M41" s="355"/>
      <c r="N41" s="355"/>
      <c r="O41" s="355"/>
      <c r="P41" s="355"/>
      <c r="Q41" s="355"/>
      <c r="R41" s="355"/>
      <c r="S41" s="355"/>
      <c r="T41" s="475"/>
      <c r="U41" s="475"/>
      <c r="V41" s="475"/>
      <c r="W41" s="475"/>
      <c r="X41" s="475"/>
      <c r="Y41" s="475"/>
    </row>
    <row r="42" ht="13.5" customHeight="1">
      <c r="A42" s="507"/>
      <c r="B42" s="519"/>
      <c r="C42" s="442"/>
      <c r="D42" s="443"/>
      <c r="E42" s="356"/>
      <c r="F42" s="356"/>
      <c r="G42" s="356"/>
      <c r="H42" s="355"/>
      <c r="I42" s="355"/>
      <c r="J42" s="355"/>
      <c r="K42" s="356"/>
      <c r="L42" s="356"/>
      <c r="M42" s="355"/>
      <c r="N42" s="355"/>
      <c r="O42" s="355"/>
      <c r="P42" s="355"/>
      <c r="Q42" s="355"/>
      <c r="R42" s="355"/>
      <c r="S42" s="355"/>
      <c r="T42" s="475"/>
      <c r="U42" s="475"/>
      <c r="V42" s="475"/>
      <c r="W42" s="475"/>
      <c r="X42" s="475"/>
      <c r="Y42" s="475"/>
    </row>
    <row r="43" ht="13.5" customHeight="1">
      <c r="A43" s="507"/>
      <c r="B43" s="522"/>
      <c r="C43" s="442"/>
      <c r="D43" s="443"/>
      <c r="E43" s="355"/>
      <c r="F43" s="355"/>
      <c r="G43" s="355"/>
      <c r="H43" s="355"/>
      <c r="I43" s="355"/>
      <c r="J43" s="355"/>
      <c r="K43" s="355"/>
      <c r="L43" s="355"/>
      <c r="M43" s="355"/>
      <c r="N43" s="355"/>
      <c r="O43" s="355"/>
      <c r="P43" s="355"/>
      <c r="Q43" s="355"/>
      <c r="R43" s="355"/>
      <c r="S43" s="355"/>
      <c r="T43" s="475"/>
      <c r="U43" s="475"/>
      <c r="V43" s="475"/>
      <c r="W43" s="475"/>
      <c r="X43" s="475"/>
      <c r="Y43" s="475"/>
    </row>
    <row r="44" ht="13.5" customHeight="1">
      <c r="A44" s="507"/>
      <c r="B44" s="519"/>
      <c r="C44" s="442"/>
      <c r="D44" s="443"/>
      <c r="E44" s="355"/>
      <c r="F44" s="356"/>
      <c r="G44" s="355"/>
      <c r="H44" s="356"/>
      <c r="I44" s="356"/>
      <c r="J44" s="356"/>
      <c r="K44" s="355"/>
      <c r="L44" s="355"/>
      <c r="M44" s="355"/>
      <c r="N44" s="355"/>
      <c r="O44" s="355"/>
      <c r="P44" s="355"/>
      <c r="Q44" s="355"/>
      <c r="R44" s="355"/>
      <c r="S44" s="355"/>
      <c r="T44" s="475"/>
      <c r="U44" s="475"/>
      <c r="V44" s="475"/>
      <c r="W44" s="475"/>
      <c r="X44" s="475"/>
      <c r="Y44" s="475"/>
    </row>
    <row r="45" ht="13.5" customHeight="1">
      <c r="A45" s="507"/>
      <c r="B45" s="519"/>
      <c r="C45" s="442"/>
      <c r="D45" s="443"/>
      <c r="E45" s="356"/>
      <c r="F45" s="355"/>
      <c r="G45" s="356"/>
      <c r="H45" s="355"/>
      <c r="I45" s="355"/>
      <c r="J45" s="355"/>
      <c r="K45" s="356"/>
      <c r="L45" s="356"/>
      <c r="M45" s="355"/>
      <c r="N45" s="355"/>
      <c r="O45" s="355"/>
      <c r="P45" s="355"/>
      <c r="Q45" s="355"/>
      <c r="R45" s="355"/>
      <c r="S45" s="355"/>
      <c r="T45" s="475"/>
      <c r="U45" s="475"/>
      <c r="V45" s="475"/>
      <c r="W45" s="475"/>
      <c r="X45" s="475"/>
      <c r="Y45" s="475"/>
    </row>
    <row r="46" ht="13.5" customHeight="1">
      <c r="A46" s="507"/>
      <c r="B46" s="522"/>
      <c r="C46" s="442"/>
      <c r="D46" s="443"/>
      <c r="E46" s="355"/>
      <c r="F46" s="355"/>
      <c r="G46" s="355"/>
      <c r="H46" s="355"/>
      <c r="I46" s="355"/>
      <c r="J46" s="355"/>
      <c r="K46" s="355"/>
      <c r="L46" s="355"/>
      <c r="M46" s="355"/>
      <c r="N46" s="355"/>
      <c r="O46" s="355"/>
      <c r="P46" s="355"/>
      <c r="Q46" s="355"/>
      <c r="R46" s="355"/>
      <c r="S46" s="355"/>
      <c r="T46" s="475"/>
      <c r="U46" s="475"/>
      <c r="V46" s="475"/>
      <c r="W46" s="475"/>
      <c r="X46" s="475"/>
      <c r="Y46" s="475"/>
    </row>
    <row r="47" ht="13.5" customHeight="1">
      <c r="A47" s="507"/>
      <c r="B47" s="249"/>
      <c r="C47" s="442"/>
      <c r="D47" s="443"/>
      <c r="E47" s="355"/>
      <c r="F47" s="356"/>
      <c r="G47" s="355"/>
      <c r="H47" s="356"/>
      <c r="I47" s="356"/>
      <c r="J47" s="356"/>
      <c r="K47" s="355"/>
      <c r="L47" s="355"/>
      <c r="M47" s="355"/>
      <c r="N47" s="355"/>
      <c r="O47" s="355"/>
      <c r="P47" s="355"/>
      <c r="Q47" s="355"/>
      <c r="R47" s="355"/>
      <c r="S47" s="355"/>
      <c r="T47" s="475"/>
      <c r="U47" s="475"/>
      <c r="V47" s="475"/>
      <c r="W47" s="475"/>
      <c r="X47" s="475"/>
      <c r="Y47" s="475"/>
    </row>
    <row r="48" ht="13.5" customHeight="1">
      <c r="A48" s="507"/>
      <c r="B48" s="519"/>
      <c r="C48" s="442"/>
      <c r="D48" s="443"/>
      <c r="E48" s="524"/>
      <c r="F48" s="525"/>
      <c r="G48" s="524"/>
      <c r="H48" s="525"/>
      <c r="I48" s="525"/>
      <c r="J48" s="525"/>
      <c r="K48" s="355"/>
      <c r="L48" s="525"/>
      <c r="M48" s="525"/>
      <c r="N48" s="525"/>
      <c r="O48" s="525"/>
      <c r="P48" s="525"/>
      <c r="Q48" s="525"/>
      <c r="R48" s="525"/>
      <c r="S48" s="525"/>
      <c r="T48" s="475"/>
      <c r="U48" s="475"/>
      <c r="V48" s="475"/>
      <c r="W48" s="475"/>
      <c r="X48" s="475"/>
      <c r="Y48" s="475"/>
    </row>
    <row r="49" ht="12.0" customHeight="1">
      <c r="A49" s="507"/>
      <c r="B49" s="519"/>
      <c r="C49" s="442"/>
      <c r="D49" s="443"/>
      <c r="E49" s="355"/>
      <c r="F49" s="355"/>
      <c r="G49" s="355"/>
      <c r="H49" s="355"/>
      <c r="I49" s="355"/>
      <c r="J49" s="355"/>
      <c r="K49" s="356"/>
      <c r="L49" s="355"/>
      <c r="M49" s="355"/>
      <c r="N49" s="355"/>
      <c r="O49" s="355"/>
      <c r="P49" s="355"/>
      <c r="Q49" s="355"/>
      <c r="R49" s="355"/>
      <c r="S49" s="355"/>
      <c r="T49" s="475"/>
      <c r="U49" s="475"/>
      <c r="V49" s="475"/>
      <c r="W49" s="475"/>
      <c r="X49" s="475"/>
      <c r="Y49" s="475"/>
    </row>
    <row r="50" ht="12.0" customHeight="1">
      <c r="A50" s="507"/>
      <c r="B50" s="526"/>
      <c r="C50" s="442"/>
      <c r="D50" s="443"/>
      <c r="E50" s="355"/>
      <c r="F50" s="355"/>
      <c r="G50" s="355"/>
      <c r="H50" s="355"/>
      <c r="I50" s="355"/>
      <c r="J50" s="355"/>
      <c r="K50" s="355"/>
      <c r="L50" s="356"/>
      <c r="M50" s="355"/>
      <c r="N50" s="355"/>
      <c r="O50" s="355"/>
      <c r="P50" s="355"/>
      <c r="Q50" s="355"/>
      <c r="R50" s="355"/>
      <c r="S50" s="355"/>
      <c r="T50" s="475"/>
      <c r="U50" s="475"/>
      <c r="V50" s="475"/>
      <c r="W50" s="475"/>
      <c r="X50" s="475"/>
      <c r="Y50" s="475"/>
    </row>
    <row r="51" ht="13.5" customHeight="1">
      <c r="A51" s="510" t="s">
        <v>367</v>
      </c>
      <c r="B51" s="459" t="s">
        <v>704</v>
      </c>
      <c r="C51" s="198"/>
      <c r="D51" s="199"/>
      <c r="E51" s="527" t="s">
        <v>220</v>
      </c>
      <c r="F51" s="527" t="s">
        <v>38</v>
      </c>
      <c r="G51" s="527" t="s">
        <v>220</v>
      </c>
      <c r="H51" s="527" t="s">
        <v>220</v>
      </c>
      <c r="I51" s="527" t="s">
        <v>220</v>
      </c>
      <c r="J51" s="527"/>
      <c r="K51" s="527"/>
      <c r="L51" s="527"/>
      <c r="M51" s="514"/>
      <c r="N51" s="514"/>
      <c r="O51" s="514"/>
      <c r="P51" s="514"/>
      <c r="Q51" s="514"/>
      <c r="R51" s="514"/>
      <c r="S51" s="514"/>
      <c r="T51" s="475"/>
      <c r="U51" s="475"/>
      <c r="V51" s="475"/>
      <c r="W51" s="475"/>
      <c r="X51" s="475"/>
      <c r="Y51" s="475"/>
    </row>
    <row r="52" ht="13.5" customHeight="1">
      <c r="A52" s="532"/>
      <c r="B52" s="463" t="s">
        <v>705</v>
      </c>
      <c r="C52" s="12"/>
      <c r="D52" s="13"/>
      <c r="E52" s="533"/>
      <c r="F52" s="533"/>
      <c r="G52" s="533"/>
      <c r="H52" s="533"/>
      <c r="I52" s="533"/>
      <c r="J52" s="533"/>
      <c r="K52" s="533"/>
      <c r="L52" s="533"/>
      <c r="M52" s="355"/>
      <c r="N52" s="355"/>
      <c r="O52" s="355"/>
      <c r="P52" s="355"/>
      <c r="Q52" s="355"/>
      <c r="R52" s="355"/>
      <c r="S52" s="355"/>
      <c r="T52" s="475"/>
      <c r="U52" s="475"/>
      <c r="V52" s="475"/>
      <c r="W52" s="475"/>
      <c r="X52" s="475"/>
      <c r="Y52" s="475"/>
    </row>
    <row r="53" ht="13.5" customHeight="1">
      <c r="A53" s="532"/>
      <c r="B53" s="465" t="s">
        <v>706</v>
      </c>
      <c r="C53" s="12"/>
      <c r="D53" s="13"/>
      <c r="E53" s="535"/>
      <c r="F53" s="535"/>
      <c r="G53" s="535"/>
      <c r="H53" s="535"/>
      <c r="I53" s="535"/>
      <c r="J53" s="535"/>
      <c r="K53" s="535"/>
      <c r="L53" s="535"/>
      <c r="M53" s="536"/>
      <c r="N53" s="536"/>
      <c r="O53" s="537"/>
      <c r="P53" s="537"/>
      <c r="Q53" s="537"/>
      <c r="R53" s="537"/>
      <c r="S53" s="537"/>
      <c r="T53" s="475"/>
      <c r="U53" s="475"/>
      <c r="V53" s="475"/>
      <c r="W53" s="475"/>
      <c r="X53" s="475"/>
      <c r="Y53" s="475"/>
    </row>
    <row r="54" ht="13.5" customHeight="1">
      <c r="A54" s="538"/>
      <c r="B54" s="470" t="s">
        <v>372</v>
      </c>
      <c r="C54" s="216"/>
      <c r="D54" s="217"/>
      <c r="E54" s="540"/>
      <c r="F54" s="540"/>
      <c r="G54" s="540"/>
      <c r="H54" s="540"/>
      <c r="I54" s="540"/>
      <c r="J54" s="540"/>
      <c r="K54" s="540"/>
      <c r="L54" s="540"/>
      <c r="M54" s="540"/>
      <c r="N54" s="540"/>
      <c r="O54" s="540"/>
      <c r="P54" s="540"/>
      <c r="Q54" s="540"/>
      <c r="R54" s="540"/>
      <c r="S54" s="540"/>
      <c r="T54" s="475"/>
      <c r="U54" s="475"/>
      <c r="V54" s="475"/>
      <c r="W54" s="475"/>
      <c r="X54" s="475"/>
      <c r="Y54" s="475"/>
    </row>
    <row r="55" ht="13.5" customHeight="1">
      <c r="A55" s="475"/>
      <c r="B55" s="475"/>
      <c r="C55" s="475"/>
      <c r="D55" s="475"/>
      <c r="E55" s="475"/>
      <c r="F55" s="475"/>
      <c r="G55" s="475"/>
      <c r="H55" s="475"/>
      <c r="I55" s="475"/>
      <c r="J55" s="475"/>
      <c r="K55" s="475"/>
      <c r="L55" s="475"/>
      <c r="M55" s="475"/>
      <c r="N55" s="475"/>
      <c r="O55" s="475"/>
      <c r="P55" s="475"/>
      <c r="Q55" s="475"/>
      <c r="R55" s="475"/>
      <c r="S55" s="475"/>
      <c r="T55" s="475"/>
      <c r="U55" s="475"/>
      <c r="V55" s="475"/>
      <c r="W55" s="475"/>
      <c r="X55" s="475"/>
      <c r="Y55" s="475"/>
    </row>
    <row r="56" ht="13.5" customHeight="1">
      <c r="A56" s="475"/>
      <c r="B56" s="475"/>
      <c r="C56" s="475"/>
      <c r="D56" s="475"/>
      <c r="E56" s="475"/>
      <c r="F56" s="475"/>
      <c r="G56" s="475"/>
      <c r="H56" s="475"/>
      <c r="I56" s="475"/>
      <c r="J56" s="475"/>
      <c r="K56" s="475"/>
      <c r="L56" s="475"/>
      <c r="M56" s="475"/>
      <c r="N56" s="475"/>
      <c r="O56" s="475"/>
      <c r="P56" s="475"/>
      <c r="Q56" s="475"/>
      <c r="R56" s="475"/>
      <c r="S56" s="475"/>
      <c r="T56" s="475"/>
      <c r="U56" s="475"/>
      <c r="V56" s="475"/>
      <c r="W56" s="475"/>
      <c r="X56" s="475"/>
      <c r="Y56" s="475"/>
    </row>
    <row r="57" ht="13.5" customHeight="1">
      <c r="A57" s="475"/>
      <c r="B57" s="475"/>
      <c r="C57" s="475"/>
      <c r="D57" s="475"/>
      <c r="E57" s="475"/>
      <c r="F57" s="475"/>
      <c r="G57" s="475"/>
      <c r="H57" s="475"/>
      <c r="I57" s="475"/>
      <c r="J57" s="475"/>
      <c r="K57" s="475"/>
      <c r="L57" s="475"/>
      <c r="M57" s="475"/>
      <c r="N57" s="475"/>
      <c r="O57" s="475"/>
      <c r="P57" s="475"/>
      <c r="Q57" s="475"/>
      <c r="R57" s="475"/>
      <c r="S57" s="475"/>
      <c r="T57" s="475"/>
      <c r="U57" s="475"/>
      <c r="V57" s="475"/>
      <c r="W57" s="475"/>
      <c r="X57" s="475"/>
      <c r="Y57" s="475"/>
    </row>
    <row r="58" ht="13.5" customHeight="1">
      <c r="A58" s="475"/>
      <c r="B58" s="475"/>
      <c r="C58" s="475"/>
      <c r="D58" s="475"/>
      <c r="E58" s="475"/>
      <c r="F58" s="475"/>
      <c r="G58" s="475"/>
      <c r="H58" s="475"/>
      <c r="I58" s="475"/>
      <c r="J58" s="475"/>
      <c r="K58" s="475"/>
      <c r="L58" s="475"/>
      <c r="M58" s="475"/>
      <c r="N58" s="475"/>
      <c r="O58" s="475"/>
      <c r="P58" s="475"/>
      <c r="Q58" s="475"/>
      <c r="R58" s="475"/>
      <c r="S58" s="475"/>
      <c r="T58" s="475"/>
      <c r="U58" s="475"/>
      <c r="V58" s="475"/>
      <c r="W58" s="475"/>
      <c r="X58" s="475"/>
      <c r="Y58" s="475"/>
    </row>
    <row r="59" ht="13.5" customHeight="1">
      <c r="A59" s="475"/>
      <c r="B59" s="475"/>
      <c r="C59" s="475"/>
      <c r="D59" s="475"/>
      <c r="E59" s="475"/>
      <c r="F59" s="475"/>
      <c r="G59" s="475"/>
      <c r="H59" s="475"/>
      <c r="I59" s="475"/>
      <c r="J59" s="475"/>
      <c r="K59" s="475"/>
      <c r="L59" s="475"/>
      <c r="M59" s="475"/>
      <c r="N59" s="475"/>
      <c r="O59" s="475"/>
      <c r="P59" s="475"/>
      <c r="Q59" s="475"/>
      <c r="R59" s="475"/>
      <c r="S59" s="475"/>
      <c r="T59" s="475"/>
      <c r="U59" s="475"/>
      <c r="V59" s="475"/>
      <c r="W59" s="475"/>
      <c r="X59" s="475"/>
      <c r="Y59" s="475"/>
    </row>
    <row r="60" ht="13.5" customHeight="1">
      <c r="A60" s="475"/>
      <c r="B60" s="475"/>
      <c r="C60" s="475"/>
      <c r="D60" s="475"/>
      <c r="E60" s="475"/>
      <c r="F60" s="475"/>
      <c r="G60" s="475"/>
      <c r="H60" s="475"/>
      <c r="I60" s="475"/>
      <c r="J60" s="475"/>
      <c r="K60" s="475"/>
      <c r="L60" s="475"/>
      <c r="M60" s="475"/>
      <c r="N60" s="475"/>
      <c r="O60" s="475"/>
      <c r="P60" s="475"/>
      <c r="Q60" s="475"/>
      <c r="R60" s="475"/>
      <c r="S60" s="475"/>
      <c r="T60" s="475"/>
      <c r="U60" s="475"/>
      <c r="V60" s="475"/>
      <c r="W60" s="475"/>
      <c r="X60" s="475"/>
      <c r="Y60" s="475"/>
    </row>
    <row r="61" ht="13.5" customHeight="1">
      <c r="A61" s="475"/>
      <c r="B61" s="475"/>
      <c r="C61" s="475"/>
      <c r="D61" s="475"/>
      <c r="E61" s="475"/>
      <c r="F61" s="475"/>
      <c r="G61" s="475"/>
      <c r="H61" s="475"/>
      <c r="I61" s="475"/>
      <c r="J61" s="475"/>
      <c r="K61" s="475"/>
      <c r="L61" s="475"/>
      <c r="M61" s="475"/>
      <c r="N61" s="475"/>
      <c r="O61" s="475"/>
      <c r="P61" s="475"/>
      <c r="Q61" s="475"/>
      <c r="R61" s="475"/>
      <c r="S61" s="475"/>
      <c r="T61" s="475"/>
      <c r="U61" s="475"/>
      <c r="V61" s="475"/>
      <c r="W61" s="475"/>
      <c r="X61" s="475"/>
      <c r="Y61" s="475"/>
    </row>
    <row r="62" ht="13.5" customHeight="1">
      <c r="A62" s="475"/>
      <c r="B62" s="475"/>
      <c r="C62" s="475"/>
      <c r="D62" s="475"/>
      <c r="E62" s="475"/>
      <c r="F62" s="475"/>
      <c r="G62" s="475"/>
      <c r="H62" s="475"/>
      <c r="I62" s="475"/>
      <c r="J62" s="475"/>
      <c r="K62" s="475"/>
      <c r="L62" s="475"/>
      <c r="M62" s="475"/>
      <c r="N62" s="475"/>
      <c r="O62" s="475"/>
      <c r="P62" s="475"/>
      <c r="Q62" s="475"/>
      <c r="R62" s="475"/>
      <c r="S62" s="475"/>
      <c r="T62" s="475"/>
      <c r="U62" s="475"/>
      <c r="V62" s="475"/>
      <c r="W62" s="475"/>
      <c r="X62" s="475"/>
      <c r="Y62" s="475"/>
    </row>
    <row r="63" ht="13.5" customHeight="1">
      <c r="A63" s="475"/>
      <c r="B63" s="475"/>
      <c r="C63" s="475"/>
      <c r="D63" s="475"/>
      <c r="E63" s="475"/>
      <c r="F63" s="475"/>
      <c r="G63" s="475"/>
      <c r="H63" s="475"/>
      <c r="I63" s="475"/>
      <c r="J63" s="475"/>
      <c r="K63" s="475"/>
      <c r="L63" s="475"/>
      <c r="M63" s="475"/>
      <c r="N63" s="475"/>
      <c r="O63" s="475"/>
      <c r="P63" s="475"/>
      <c r="Q63" s="475"/>
      <c r="R63" s="475"/>
      <c r="S63" s="475"/>
      <c r="T63" s="475"/>
      <c r="U63" s="475"/>
      <c r="V63" s="475"/>
      <c r="W63" s="475"/>
      <c r="X63" s="475"/>
      <c r="Y63" s="475"/>
    </row>
    <row r="64" ht="13.5" customHeight="1">
      <c r="A64" s="475"/>
      <c r="B64" s="475"/>
      <c r="C64" s="475"/>
      <c r="D64" s="475"/>
      <c r="E64" s="475"/>
      <c r="F64" s="475"/>
      <c r="G64" s="475"/>
      <c r="H64" s="475"/>
      <c r="I64" s="475"/>
      <c r="J64" s="475"/>
      <c r="K64" s="475"/>
      <c r="L64" s="475"/>
      <c r="M64" s="475"/>
      <c r="N64" s="475"/>
      <c r="O64" s="475"/>
      <c r="P64" s="475"/>
      <c r="Q64" s="475"/>
      <c r="R64" s="475"/>
      <c r="S64" s="475"/>
      <c r="T64" s="475"/>
      <c r="U64" s="475"/>
      <c r="V64" s="475"/>
      <c r="W64" s="475"/>
      <c r="X64" s="475"/>
      <c r="Y64" s="475"/>
    </row>
    <row r="65" ht="13.5" customHeight="1">
      <c r="A65" s="475"/>
      <c r="B65" s="475"/>
      <c r="C65" s="475"/>
      <c r="D65" s="475"/>
      <c r="E65" s="475"/>
      <c r="F65" s="475"/>
      <c r="G65" s="475"/>
      <c r="H65" s="475"/>
      <c r="I65" s="475"/>
      <c r="J65" s="475"/>
      <c r="K65" s="475"/>
      <c r="L65" s="475"/>
      <c r="M65" s="475"/>
      <c r="N65" s="475"/>
      <c r="O65" s="475"/>
      <c r="P65" s="475"/>
      <c r="Q65" s="475"/>
      <c r="R65" s="475"/>
      <c r="S65" s="475"/>
      <c r="T65" s="475"/>
      <c r="U65" s="475"/>
      <c r="V65" s="475"/>
      <c r="W65" s="475"/>
      <c r="X65" s="475"/>
      <c r="Y65" s="475"/>
    </row>
    <row r="66" ht="13.5" customHeight="1">
      <c r="A66" s="475"/>
      <c r="B66" s="475"/>
      <c r="C66" s="475"/>
      <c r="D66" s="475"/>
      <c r="E66" s="475"/>
      <c r="F66" s="475"/>
      <c r="G66" s="475"/>
      <c r="H66" s="475"/>
      <c r="I66" s="475"/>
      <c r="J66" s="475"/>
      <c r="K66" s="475"/>
      <c r="L66" s="475"/>
      <c r="M66" s="475"/>
      <c r="N66" s="475"/>
      <c r="O66" s="475"/>
      <c r="P66" s="475"/>
      <c r="Q66" s="475"/>
      <c r="R66" s="475"/>
      <c r="S66" s="475"/>
      <c r="T66" s="475"/>
      <c r="U66" s="475"/>
      <c r="V66" s="475"/>
      <c r="W66" s="475"/>
      <c r="X66" s="475"/>
      <c r="Y66" s="475"/>
    </row>
    <row r="67" ht="13.5" customHeight="1">
      <c r="A67" s="475"/>
      <c r="B67" s="475"/>
      <c r="C67" s="475"/>
      <c r="D67" s="475"/>
      <c r="E67" s="475"/>
      <c r="F67" s="475"/>
      <c r="G67" s="475"/>
      <c r="H67" s="475"/>
      <c r="I67" s="475"/>
      <c r="J67" s="475"/>
      <c r="K67" s="475"/>
      <c r="L67" s="475"/>
      <c r="M67" s="475"/>
      <c r="N67" s="475"/>
      <c r="O67" s="475"/>
      <c r="P67" s="475"/>
      <c r="Q67" s="475"/>
      <c r="R67" s="475"/>
      <c r="S67" s="475"/>
      <c r="T67" s="475"/>
      <c r="U67" s="475"/>
      <c r="V67" s="475"/>
      <c r="W67" s="475"/>
      <c r="X67" s="475"/>
      <c r="Y67" s="475"/>
    </row>
    <row r="68" ht="13.5" customHeight="1">
      <c r="A68" s="475"/>
      <c r="B68" s="475"/>
      <c r="C68" s="475"/>
      <c r="D68" s="475"/>
      <c r="E68" s="475"/>
      <c r="F68" s="475"/>
      <c r="G68" s="475"/>
      <c r="H68" s="475"/>
      <c r="I68" s="475"/>
      <c r="J68" s="475"/>
      <c r="K68" s="475"/>
      <c r="L68" s="475"/>
      <c r="M68" s="475"/>
      <c r="N68" s="475"/>
      <c r="O68" s="475"/>
      <c r="P68" s="475"/>
      <c r="Q68" s="475"/>
      <c r="R68" s="475"/>
      <c r="S68" s="475"/>
      <c r="T68" s="475"/>
      <c r="U68" s="475"/>
      <c r="V68" s="475"/>
      <c r="W68" s="475"/>
      <c r="X68" s="475"/>
      <c r="Y68" s="475"/>
    </row>
    <row r="69" ht="13.5" customHeight="1">
      <c r="A69" s="475"/>
      <c r="B69" s="475"/>
      <c r="C69" s="475"/>
      <c r="D69" s="475"/>
      <c r="E69" s="475"/>
      <c r="F69" s="475"/>
      <c r="G69" s="475"/>
      <c r="H69" s="475"/>
      <c r="I69" s="475"/>
      <c r="J69" s="475"/>
      <c r="K69" s="475"/>
      <c r="L69" s="475"/>
      <c r="M69" s="475"/>
      <c r="N69" s="475"/>
      <c r="O69" s="475"/>
      <c r="P69" s="475"/>
      <c r="Q69" s="475"/>
      <c r="R69" s="475"/>
      <c r="S69" s="475"/>
      <c r="T69" s="475"/>
      <c r="U69" s="475"/>
      <c r="V69" s="475"/>
      <c r="W69" s="475"/>
      <c r="X69" s="475"/>
      <c r="Y69" s="475"/>
    </row>
    <row r="70" ht="13.5" customHeight="1">
      <c r="A70" s="475"/>
      <c r="B70" s="475"/>
      <c r="C70" s="475"/>
      <c r="D70" s="475"/>
      <c r="E70" s="475"/>
      <c r="F70" s="475"/>
      <c r="G70" s="475"/>
      <c r="H70" s="475"/>
      <c r="I70" s="475"/>
      <c r="J70" s="475"/>
      <c r="K70" s="475"/>
      <c r="L70" s="475"/>
      <c r="M70" s="475"/>
      <c r="N70" s="475"/>
      <c r="O70" s="475"/>
      <c r="P70" s="475"/>
      <c r="Q70" s="475"/>
      <c r="R70" s="475"/>
      <c r="S70" s="475"/>
      <c r="T70" s="475"/>
      <c r="U70" s="475"/>
      <c r="V70" s="475"/>
      <c r="W70" s="475"/>
      <c r="X70" s="475"/>
      <c r="Y70" s="475"/>
    </row>
    <row r="71" ht="13.5" customHeight="1">
      <c r="A71" s="475"/>
      <c r="B71" s="475"/>
      <c r="C71" s="475"/>
      <c r="D71" s="475"/>
      <c r="E71" s="475"/>
      <c r="F71" s="475"/>
      <c r="G71" s="475"/>
      <c r="H71" s="475"/>
      <c r="I71" s="475"/>
      <c r="J71" s="475"/>
      <c r="K71" s="475"/>
      <c r="L71" s="475"/>
      <c r="M71" s="475"/>
      <c r="N71" s="475"/>
      <c r="O71" s="475"/>
      <c r="P71" s="475"/>
      <c r="Q71" s="475"/>
      <c r="R71" s="475"/>
      <c r="S71" s="475"/>
      <c r="T71" s="475"/>
      <c r="U71" s="475"/>
      <c r="V71" s="475"/>
      <c r="W71" s="475"/>
      <c r="X71" s="475"/>
      <c r="Y71" s="475"/>
    </row>
    <row r="72" ht="13.5" customHeight="1">
      <c r="A72" s="475"/>
      <c r="B72" s="475"/>
      <c r="C72" s="475"/>
      <c r="D72" s="475"/>
      <c r="E72" s="475"/>
      <c r="F72" s="475"/>
      <c r="G72" s="475"/>
      <c r="H72" s="475"/>
      <c r="I72" s="475"/>
      <c r="J72" s="475"/>
      <c r="K72" s="475"/>
      <c r="L72" s="475"/>
      <c r="M72" s="475"/>
      <c r="N72" s="475"/>
      <c r="O72" s="475"/>
      <c r="P72" s="475"/>
      <c r="Q72" s="475"/>
      <c r="R72" s="475"/>
      <c r="S72" s="475"/>
      <c r="T72" s="475"/>
      <c r="U72" s="475"/>
      <c r="V72" s="475"/>
      <c r="W72" s="475"/>
      <c r="X72" s="475"/>
      <c r="Y72" s="475"/>
    </row>
    <row r="73" ht="13.5" customHeight="1">
      <c r="A73" s="475"/>
      <c r="B73" s="475"/>
      <c r="C73" s="475"/>
      <c r="D73" s="475"/>
      <c r="E73" s="475"/>
      <c r="F73" s="475"/>
      <c r="G73" s="475"/>
      <c r="H73" s="475"/>
      <c r="I73" s="475"/>
      <c r="J73" s="475"/>
      <c r="K73" s="475"/>
      <c r="L73" s="475"/>
      <c r="M73" s="475"/>
      <c r="N73" s="475"/>
      <c r="O73" s="475"/>
      <c r="P73" s="475"/>
      <c r="Q73" s="475"/>
      <c r="R73" s="475"/>
      <c r="S73" s="475"/>
      <c r="T73" s="475"/>
      <c r="U73" s="475"/>
      <c r="V73" s="475"/>
      <c r="W73" s="475"/>
      <c r="X73" s="475"/>
      <c r="Y73" s="475"/>
    </row>
    <row r="74" ht="13.5" customHeight="1">
      <c r="A74" s="475"/>
      <c r="B74" s="475"/>
      <c r="C74" s="475"/>
      <c r="D74" s="475"/>
      <c r="E74" s="475"/>
      <c r="F74" s="475"/>
      <c r="G74" s="475"/>
      <c r="H74" s="475"/>
      <c r="I74" s="475"/>
      <c r="J74" s="475"/>
      <c r="K74" s="475"/>
      <c r="L74" s="475"/>
      <c r="M74" s="475"/>
      <c r="N74" s="475"/>
      <c r="O74" s="475"/>
      <c r="P74" s="475"/>
      <c r="Q74" s="475"/>
      <c r="R74" s="475"/>
      <c r="S74" s="475"/>
      <c r="T74" s="475"/>
      <c r="U74" s="475"/>
      <c r="V74" s="475"/>
      <c r="W74" s="475"/>
      <c r="X74" s="475"/>
      <c r="Y74" s="475"/>
    </row>
    <row r="75" ht="13.5" customHeight="1">
      <c r="A75" s="475"/>
      <c r="B75" s="475"/>
      <c r="C75" s="475"/>
      <c r="D75" s="475"/>
      <c r="E75" s="475"/>
      <c r="F75" s="475"/>
      <c r="G75" s="475"/>
      <c r="H75" s="475"/>
      <c r="I75" s="475"/>
      <c r="J75" s="475"/>
      <c r="K75" s="475"/>
      <c r="L75" s="475"/>
      <c r="M75" s="475"/>
      <c r="N75" s="475"/>
      <c r="O75" s="475"/>
      <c r="P75" s="475"/>
      <c r="Q75" s="475"/>
      <c r="R75" s="475"/>
      <c r="S75" s="475"/>
      <c r="T75" s="475"/>
      <c r="U75" s="475"/>
      <c r="V75" s="475"/>
      <c r="W75" s="475"/>
      <c r="X75" s="475"/>
      <c r="Y75" s="475"/>
    </row>
    <row r="76" ht="13.5" customHeight="1">
      <c r="A76" s="475"/>
      <c r="B76" s="475"/>
      <c r="C76" s="475"/>
      <c r="D76" s="475"/>
      <c r="E76" s="475"/>
      <c r="F76" s="475"/>
      <c r="G76" s="475"/>
      <c r="H76" s="475"/>
      <c r="I76" s="475"/>
      <c r="J76" s="475"/>
      <c r="K76" s="475"/>
      <c r="L76" s="475"/>
      <c r="M76" s="475"/>
      <c r="N76" s="475"/>
      <c r="O76" s="475"/>
      <c r="P76" s="475"/>
      <c r="Q76" s="475"/>
      <c r="R76" s="475"/>
      <c r="S76" s="475"/>
      <c r="T76" s="475"/>
      <c r="U76" s="475"/>
      <c r="V76" s="475"/>
      <c r="W76" s="475"/>
      <c r="X76" s="475"/>
      <c r="Y76" s="475"/>
    </row>
    <row r="77" ht="13.5" customHeight="1">
      <c r="A77" s="475"/>
      <c r="B77" s="475"/>
      <c r="C77" s="475"/>
      <c r="D77" s="475"/>
      <c r="E77" s="475"/>
      <c r="F77" s="475"/>
      <c r="G77" s="475"/>
      <c r="H77" s="475"/>
      <c r="I77" s="475"/>
      <c r="J77" s="475"/>
      <c r="K77" s="475"/>
      <c r="L77" s="475"/>
      <c r="M77" s="475"/>
      <c r="N77" s="475"/>
      <c r="O77" s="475"/>
      <c r="P77" s="475"/>
      <c r="Q77" s="475"/>
      <c r="R77" s="475"/>
      <c r="S77" s="475"/>
      <c r="T77" s="475"/>
      <c r="U77" s="475"/>
      <c r="V77" s="475"/>
      <c r="W77" s="475"/>
      <c r="X77" s="475"/>
      <c r="Y77" s="475"/>
    </row>
    <row r="78" ht="13.5" customHeight="1">
      <c r="A78" s="475"/>
      <c r="B78" s="475"/>
      <c r="C78" s="475"/>
      <c r="D78" s="475"/>
      <c r="E78" s="475"/>
      <c r="F78" s="475"/>
      <c r="G78" s="475"/>
      <c r="H78" s="475"/>
      <c r="I78" s="475"/>
      <c r="J78" s="475"/>
      <c r="K78" s="475"/>
      <c r="L78" s="475"/>
      <c r="M78" s="475"/>
      <c r="N78" s="475"/>
      <c r="O78" s="475"/>
      <c r="P78" s="475"/>
      <c r="Q78" s="475"/>
      <c r="R78" s="475"/>
      <c r="S78" s="475"/>
      <c r="T78" s="475"/>
      <c r="U78" s="475"/>
      <c r="V78" s="475"/>
      <c r="W78" s="475"/>
      <c r="X78" s="475"/>
      <c r="Y78" s="475"/>
    </row>
    <row r="79" ht="13.5" customHeight="1">
      <c r="A79" s="475"/>
      <c r="B79" s="475"/>
      <c r="C79" s="475"/>
      <c r="D79" s="475"/>
      <c r="E79" s="475"/>
      <c r="F79" s="475"/>
      <c r="G79" s="475"/>
      <c r="H79" s="475"/>
      <c r="I79" s="475"/>
      <c r="J79" s="475"/>
      <c r="K79" s="475"/>
      <c r="L79" s="475"/>
      <c r="M79" s="475"/>
      <c r="N79" s="475"/>
      <c r="O79" s="475"/>
      <c r="P79" s="475"/>
      <c r="Q79" s="475"/>
      <c r="R79" s="475"/>
      <c r="S79" s="475"/>
      <c r="T79" s="475"/>
      <c r="U79" s="475"/>
      <c r="V79" s="475"/>
      <c r="W79" s="475"/>
      <c r="X79" s="475"/>
      <c r="Y79" s="475"/>
    </row>
    <row r="80" ht="13.5" customHeight="1">
      <c r="A80" s="475"/>
      <c r="B80" s="475"/>
      <c r="C80" s="475"/>
      <c r="D80" s="475"/>
      <c r="E80" s="475"/>
      <c r="F80" s="475"/>
      <c r="G80" s="475"/>
      <c r="H80" s="475"/>
      <c r="I80" s="475"/>
      <c r="J80" s="475"/>
      <c r="K80" s="475"/>
      <c r="L80" s="475"/>
      <c r="M80" s="475"/>
      <c r="N80" s="475"/>
      <c r="O80" s="475"/>
      <c r="P80" s="475"/>
      <c r="Q80" s="475"/>
      <c r="R80" s="475"/>
      <c r="S80" s="475"/>
      <c r="T80" s="475"/>
      <c r="U80" s="475"/>
      <c r="V80" s="475"/>
      <c r="W80" s="475"/>
      <c r="X80" s="475"/>
      <c r="Y80" s="475"/>
    </row>
    <row r="81" ht="13.5" customHeight="1">
      <c r="A81" s="475"/>
      <c r="B81" s="475"/>
      <c r="C81" s="475"/>
      <c r="D81" s="475"/>
      <c r="E81" s="475"/>
      <c r="F81" s="475"/>
      <c r="G81" s="475"/>
      <c r="H81" s="475"/>
      <c r="I81" s="475"/>
      <c r="J81" s="475"/>
      <c r="K81" s="475"/>
      <c r="L81" s="475"/>
      <c r="M81" s="475"/>
      <c r="N81" s="475"/>
      <c r="O81" s="475"/>
      <c r="P81" s="475"/>
      <c r="Q81" s="475"/>
      <c r="R81" s="475"/>
      <c r="S81" s="475"/>
      <c r="T81" s="475"/>
      <c r="U81" s="475"/>
      <c r="V81" s="475"/>
      <c r="W81" s="475"/>
      <c r="X81" s="475"/>
      <c r="Y81" s="475"/>
    </row>
    <row r="82" ht="13.5" customHeight="1">
      <c r="A82" s="475"/>
      <c r="B82" s="475"/>
      <c r="C82" s="475"/>
      <c r="D82" s="475"/>
      <c r="E82" s="475"/>
      <c r="F82" s="475"/>
      <c r="G82" s="475"/>
      <c r="H82" s="475"/>
      <c r="I82" s="475"/>
      <c r="J82" s="475"/>
      <c r="K82" s="475"/>
      <c r="L82" s="475"/>
      <c r="M82" s="475"/>
      <c r="N82" s="475"/>
      <c r="O82" s="475"/>
      <c r="P82" s="475"/>
      <c r="Q82" s="475"/>
      <c r="R82" s="475"/>
      <c r="S82" s="475"/>
      <c r="T82" s="475"/>
      <c r="U82" s="475"/>
      <c r="V82" s="475"/>
      <c r="W82" s="475"/>
      <c r="X82" s="475"/>
      <c r="Y82" s="475"/>
    </row>
    <row r="83" ht="13.5" customHeight="1">
      <c r="A83" s="475"/>
      <c r="B83" s="475"/>
      <c r="C83" s="475"/>
      <c r="D83" s="475"/>
      <c r="E83" s="475"/>
      <c r="F83" s="475"/>
      <c r="G83" s="475"/>
      <c r="H83" s="475"/>
      <c r="I83" s="475"/>
      <c r="J83" s="475"/>
      <c r="K83" s="475"/>
      <c r="L83" s="475"/>
      <c r="M83" s="475"/>
      <c r="N83" s="475"/>
      <c r="O83" s="475"/>
      <c r="P83" s="475"/>
      <c r="Q83" s="475"/>
      <c r="R83" s="475"/>
      <c r="S83" s="475"/>
      <c r="T83" s="475"/>
      <c r="U83" s="475"/>
      <c r="V83" s="475"/>
      <c r="W83" s="475"/>
      <c r="X83" s="475"/>
      <c r="Y83" s="475"/>
    </row>
    <row r="84" ht="13.5" customHeight="1">
      <c r="A84" s="475"/>
      <c r="B84" s="475"/>
      <c r="C84" s="475"/>
      <c r="D84" s="475"/>
      <c r="E84" s="475"/>
      <c r="F84" s="475"/>
      <c r="G84" s="475"/>
      <c r="H84" s="475"/>
      <c r="I84" s="475"/>
      <c r="J84" s="475"/>
      <c r="K84" s="475"/>
      <c r="L84" s="475"/>
      <c r="M84" s="475"/>
      <c r="N84" s="475"/>
      <c r="O84" s="475"/>
      <c r="P84" s="475"/>
      <c r="Q84" s="475"/>
      <c r="R84" s="475"/>
      <c r="S84" s="475"/>
      <c r="T84" s="475"/>
      <c r="U84" s="475"/>
      <c r="V84" s="475"/>
      <c r="W84" s="475"/>
      <c r="X84" s="475"/>
      <c r="Y84" s="475"/>
    </row>
    <row r="85" ht="13.5" customHeight="1">
      <c r="A85" s="475"/>
      <c r="B85" s="475"/>
      <c r="C85" s="475"/>
      <c r="D85" s="475"/>
      <c r="E85" s="475"/>
      <c r="F85" s="475"/>
      <c r="G85" s="475"/>
      <c r="H85" s="475"/>
      <c r="I85" s="475"/>
      <c r="J85" s="475"/>
      <c r="K85" s="475"/>
      <c r="L85" s="475"/>
      <c r="M85" s="475"/>
      <c r="N85" s="475"/>
      <c r="O85" s="475"/>
      <c r="P85" s="475"/>
      <c r="Q85" s="475"/>
      <c r="R85" s="475"/>
      <c r="S85" s="475"/>
      <c r="T85" s="475"/>
      <c r="U85" s="475"/>
      <c r="V85" s="475"/>
      <c r="W85" s="475"/>
      <c r="X85" s="475"/>
      <c r="Y85" s="475"/>
    </row>
    <row r="86" ht="13.5" customHeight="1">
      <c r="A86" s="475"/>
      <c r="B86" s="475"/>
      <c r="C86" s="475"/>
      <c r="D86" s="475"/>
      <c r="E86" s="475"/>
      <c r="F86" s="475"/>
      <c r="G86" s="475"/>
      <c r="H86" s="475"/>
      <c r="I86" s="475"/>
      <c r="J86" s="475"/>
      <c r="K86" s="475"/>
      <c r="L86" s="475"/>
      <c r="M86" s="475"/>
      <c r="N86" s="475"/>
      <c r="O86" s="475"/>
      <c r="P86" s="475"/>
      <c r="Q86" s="475"/>
      <c r="R86" s="475"/>
      <c r="S86" s="475"/>
      <c r="T86" s="475"/>
      <c r="U86" s="475"/>
      <c r="V86" s="475"/>
      <c r="W86" s="475"/>
      <c r="X86" s="475"/>
      <c r="Y86" s="475"/>
    </row>
    <row r="87" ht="13.5" customHeight="1">
      <c r="A87" s="475"/>
      <c r="B87" s="475"/>
      <c r="C87" s="475"/>
      <c r="D87" s="475"/>
      <c r="E87" s="475"/>
      <c r="F87" s="475"/>
      <c r="G87" s="475"/>
      <c r="H87" s="475"/>
      <c r="I87" s="475"/>
      <c r="J87" s="475"/>
      <c r="K87" s="475"/>
      <c r="L87" s="475"/>
      <c r="M87" s="475"/>
      <c r="N87" s="475"/>
      <c r="O87" s="475"/>
      <c r="P87" s="475"/>
      <c r="Q87" s="475"/>
      <c r="R87" s="475"/>
      <c r="S87" s="475"/>
      <c r="T87" s="475"/>
      <c r="U87" s="475"/>
      <c r="V87" s="475"/>
      <c r="W87" s="475"/>
      <c r="X87" s="475"/>
      <c r="Y87" s="475"/>
    </row>
    <row r="88" ht="13.5" customHeight="1">
      <c r="A88" s="475"/>
      <c r="B88" s="475"/>
      <c r="C88" s="475"/>
      <c r="D88" s="475"/>
      <c r="E88" s="475"/>
      <c r="F88" s="475"/>
      <c r="G88" s="475"/>
      <c r="H88" s="475"/>
      <c r="I88" s="475"/>
      <c r="J88" s="475"/>
      <c r="K88" s="475"/>
      <c r="L88" s="475"/>
      <c r="M88" s="475"/>
      <c r="N88" s="475"/>
      <c r="O88" s="475"/>
      <c r="P88" s="475"/>
      <c r="Q88" s="475"/>
      <c r="R88" s="475"/>
      <c r="S88" s="475"/>
      <c r="T88" s="475"/>
      <c r="U88" s="475"/>
      <c r="V88" s="475"/>
      <c r="W88" s="475"/>
      <c r="X88" s="475"/>
      <c r="Y88" s="475"/>
    </row>
    <row r="89" ht="13.5" customHeight="1">
      <c r="A89" s="475"/>
      <c r="B89" s="475"/>
      <c r="C89" s="475"/>
      <c r="D89" s="475"/>
      <c r="E89" s="475"/>
      <c r="F89" s="475"/>
      <c r="G89" s="475"/>
      <c r="H89" s="475"/>
      <c r="I89" s="475"/>
      <c r="J89" s="475"/>
      <c r="K89" s="475"/>
      <c r="L89" s="475"/>
      <c r="M89" s="475"/>
      <c r="N89" s="475"/>
      <c r="O89" s="475"/>
      <c r="P89" s="475"/>
      <c r="Q89" s="475"/>
      <c r="R89" s="475"/>
      <c r="S89" s="475"/>
      <c r="T89" s="475"/>
      <c r="U89" s="475"/>
      <c r="V89" s="475"/>
      <c r="W89" s="475"/>
      <c r="X89" s="475"/>
      <c r="Y89" s="475"/>
    </row>
    <row r="90" ht="13.5" customHeight="1">
      <c r="A90" s="475"/>
      <c r="B90" s="475"/>
      <c r="C90" s="475"/>
      <c r="D90" s="475"/>
      <c r="E90" s="475"/>
      <c r="F90" s="475"/>
      <c r="G90" s="475"/>
      <c r="H90" s="475"/>
      <c r="I90" s="475"/>
      <c r="J90" s="475"/>
      <c r="K90" s="475"/>
      <c r="L90" s="475"/>
      <c r="M90" s="475"/>
      <c r="N90" s="475"/>
      <c r="O90" s="475"/>
      <c r="P90" s="475"/>
      <c r="Q90" s="475"/>
      <c r="R90" s="475"/>
      <c r="S90" s="475"/>
      <c r="T90" s="475"/>
      <c r="U90" s="475"/>
      <c r="V90" s="475"/>
      <c r="W90" s="475"/>
      <c r="X90" s="475"/>
      <c r="Y90" s="475"/>
    </row>
    <row r="91" ht="13.5" customHeight="1">
      <c r="A91" s="475"/>
      <c r="B91" s="475"/>
      <c r="C91" s="475"/>
      <c r="D91" s="475"/>
      <c r="E91" s="475"/>
      <c r="F91" s="475"/>
      <c r="G91" s="475"/>
      <c r="H91" s="475"/>
      <c r="I91" s="475"/>
      <c r="J91" s="475"/>
      <c r="K91" s="475"/>
      <c r="L91" s="475"/>
      <c r="M91" s="475"/>
      <c r="N91" s="475"/>
      <c r="O91" s="475"/>
      <c r="P91" s="475"/>
      <c r="Q91" s="475"/>
      <c r="R91" s="475"/>
      <c r="S91" s="475"/>
      <c r="T91" s="475"/>
      <c r="U91" s="475"/>
      <c r="V91" s="475"/>
      <c r="W91" s="475"/>
      <c r="X91" s="475"/>
      <c r="Y91" s="475"/>
    </row>
    <row r="92" ht="13.5" customHeight="1">
      <c r="A92" s="475"/>
      <c r="B92" s="475"/>
      <c r="C92" s="475"/>
      <c r="D92" s="475"/>
      <c r="E92" s="475"/>
      <c r="F92" s="475"/>
      <c r="G92" s="475"/>
      <c r="H92" s="475"/>
      <c r="I92" s="475"/>
      <c r="J92" s="475"/>
      <c r="K92" s="475"/>
      <c r="L92" s="475"/>
      <c r="M92" s="475"/>
      <c r="N92" s="475"/>
      <c r="O92" s="475"/>
      <c r="P92" s="475"/>
      <c r="Q92" s="475"/>
      <c r="R92" s="475"/>
      <c r="S92" s="475"/>
      <c r="T92" s="475"/>
      <c r="U92" s="475"/>
      <c r="V92" s="475"/>
      <c r="W92" s="475"/>
      <c r="X92" s="475"/>
      <c r="Y92" s="475"/>
    </row>
    <row r="93" ht="13.5" customHeight="1">
      <c r="A93" s="475"/>
      <c r="B93" s="475"/>
      <c r="C93" s="475"/>
      <c r="D93" s="475"/>
      <c r="E93" s="475"/>
      <c r="F93" s="475"/>
      <c r="G93" s="475"/>
      <c r="H93" s="475"/>
      <c r="I93" s="475"/>
      <c r="J93" s="475"/>
      <c r="K93" s="475"/>
      <c r="L93" s="475"/>
      <c r="M93" s="475"/>
      <c r="N93" s="475"/>
      <c r="O93" s="475"/>
      <c r="P93" s="475"/>
      <c r="Q93" s="475"/>
      <c r="R93" s="475"/>
      <c r="S93" s="475"/>
      <c r="T93" s="475"/>
      <c r="U93" s="475"/>
      <c r="V93" s="475"/>
      <c r="W93" s="475"/>
      <c r="X93" s="475"/>
      <c r="Y93" s="475"/>
    </row>
    <row r="94" ht="13.5" customHeight="1">
      <c r="A94" s="475"/>
      <c r="B94" s="475"/>
      <c r="C94" s="475"/>
      <c r="D94" s="475"/>
      <c r="E94" s="475"/>
      <c r="F94" s="475"/>
      <c r="G94" s="475"/>
      <c r="H94" s="475"/>
      <c r="I94" s="475"/>
      <c r="J94" s="475"/>
      <c r="K94" s="475"/>
      <c r="L94" s="475"/>
      <c r="M94" s="475"/>
      <c r="N94" s="475"/>
      <c r="O94" s="475"/>
      <c r="P94" s="475"/>
      <c r="Q94" s="475"/>
      <c r="R94" s="475"/>
      <c r="S94" s="475"/>
      <c r="T94" s="475"/>
      <c r="U94" s="475"/>
      <c r="V94" s="475"/>
      <c r="W94" s="475"/>
      <c r="X94" s="475"/>
      <c r="Y94" s="475"/>
    </row>
    <row r="95" ht="13.5" customHeight="1">
      <c r="A95" s="475"/>
      <c r="B95" s="475"/>
      <c r="C95" s="475"/>
      <c r="D95" s="475"/>
      <c r="E95" s="475"/>
      <c r="F95" s="475"/>
      <c r="G95" s="475"/>
      <c r="H95" s="475"/>
      <c r="I95" s="475"/>
      <c r="J95" s="475"/>
      <c r="K95" s="475"/>
      <c r="L95" s="475"/>
      <c r="M95" s="475"/>
      <c r="N95" s="475"/>
      <c r="O95" s="475"/>
      <c r="P95" s="475"/>
      <c r="Q95" s="475"/>
      <c r="R95" s="475"/>
      <c r="S95" s="475"/>
      <c r="T95" s="475"/>
      <c r="U95" s="475"/>
      <c r="V95" s="475"/>
      <c r="W95" s="475"/>
      <c r="X95" s="475"/>
      <c r="Y95" s="475"/>
    </row>
    <row r="96" ht="13.5" customHeight="1">
      <c r="A96" s="475"/>
      <c r="B96" s="475"/>
      <c r="C96" s="475"/>
      <c r="D96" s="475"/>
      <c r="E96" s="475"/>
      <c r="F96" s="475"/>
      <c r="G96" s="475"/>
      <c r="H96" s="475"/>
      <c r="I96" s="475"/>
      <c r="J96" s="475"/>
      <c r="K96" s="475"/>
      <c r="L96" s="475"/>
      <c r="M96" s="475"/>
      <c r="N96" s="475"/>
      <c r="O96" s="475"/>
      <c r="P96" s="475"/>
      <c r="Q96" s="475"/>
      <c r="R96" s="475"/>
      <c r="S96" s="475"/>
      <c r="T96" s="475"/>
      <c r="U96" s="475"/>
      <c r="V96" s="475"/>
      <c r="W96" s="475"/>
      <c r="X96" s="475"/>
      <c r="Y96" s="475"/>
    </row>
    <row r="97" ht="13.5" customHeight="1">
      <c r="A97" s="475"/>
      <c r="B97" s="475"/>
      <c r="C97" s="475"/>
      <c r="D97" s="475"/>
      <c r="E97" s="475"/>
      <c r="F97" s="475"/>
      <c r="G97" s="475"/>
      <c r="H97" s="475"/>
      <c r="I97" s="475"/>
      <c r="J97" s="475"/>
      <c r="K97" s="475"/>
      <c r="L97" s="475"/>
      <c r="M97" s="475"/>
      <c r="N97" s="475"/>
      <c r="O97" s="475"/>
      <c r="P97" s="475"/>
      <c r="Q97" s="475"/>
      <c r="R97" s="475"/>
      <c r="S97" s="475"/>
      <c r="T97" s="475"/>
      <c r="U97" s="475"/>
      <c r="V97" s="475"/>
      <c r="W97" s="475"/>
      <c r="X97" s="475"/>
      <c r="Y97" s="475"/>
    </row>
    <row r="98" ht="13.5" customHeight="1">
      <c r="A98" s="475"/>
      <c r="B98" s="475"/>
      <c r="C98" s="475"/>
      <c r="D98" s="475"/>
      <c r="E98" s="475"/>
      <c r="F98" s="475"/>
      <c r="G98" s="475"/>
      <c r="H98" s="475"/>
      <c r="I98" s="475"/>
      <c r="J98" s="475"/>
      <c r="K98" s="475"/>
      <c r="L98" s="475"/>
      <c r="M98" s="475"/>
      <c r="N98" s="475"/>
      <c r="O98" s="475"/>
      <c r="P98" s="475"/>
      <c r="Q98" s="475"/>
      <c r="R98" s="475"/>
      <c r="S98" s="475"/>
      <c r="T98" s="475"/>
      <c r="U98" s="475"/>
      <c r="V98" s="475"/>
      <c r="W98" s="475"/>
      <c r="X98" s="475"/>
      <c r="Y98" s="475"/>
    </row>
    <row r="99" ht="13.5" customHeight="1">
      <c r="A99" s="475"/>
      <c r="B99" s="475"/>
      <c r="C99" s="475"/>
      <c r="D99" s="475"/>
      <c r="E99" s="475"/>
      <c r="F99" s="475"/>
      <c r="G99" s="475"/>
      <c r="H99" s="475"/>
      <c r="I99" s="475"/>
      <c r="J99" s="475"/>
      <c r="K99" s="475"/>
      <c r="L99" s="475"/>
      <c r="M99" s="475"/>
      <c r="N99" s="475"/>
      <c r="O99" s="475"/>
      <c r="P99" s="475"/>
      <c r="Q99" s="475"/>
      <c r="R99" s="475"/>
      <c r="S99" s="475"/>
      <c r="T99" s="475"/>
      <c r="U99" s="475"/>
      <c r="V99" s="475"/>
      <c r="W99" s="475"/>
      <c r="X99" s="475"/>
      <c r="Y99" s="475"/>
    </row>
    <row r="100" ht="13.5" customHeight="1">
      <c r="A100" s="475"/>
      <c r="B100" s="475"/>
      <c r="C100" s="475"/>
      <c r="D100" s="475"/>
      <c r="E100" s="475"/>
      <c r="F100" s="475"/>
      <c r="G100" s="475"/>
      <c r="H100" s="475"/>
      <c r="I100" s="475"/>
      <c r="J100" s="475"/>
      <c r="K100" s="475"/>
      <c r="L100" s="475"/>
      <c r="M100" s="475"/>
      <c r="N100" s="475"/>
      <c r="O100" s="475"/>
      <c r="P100" s="475"/>
      <c r="Q100" s="475"/>
      <c r="R100" s="475"/>
      <c r="S100" s="475"/>
      <c r="T100" s="475"/>
      <c r="U100" s="475"/>
      <c r="V100" s="475"/>
      <c r="W100" s="475"/>
      <c r="X100" s="475"/>
      <c r="Y100" s="475"/>
    </row>
    <row r="101" ht="13.5" customHeight="1">
      <c r="A101" s="475"/>
      <c r="B101" s="475"/>
      <c r="C101" s="475"/>
      <c r="D101" s="475"/>
      <c r="E101" s="475"/>
      <c r="F101" s="475"/>
      <c r="G101" s="475"/>
      <c r="H101" s="475"/>
      <c r="I101" s="475"/>
      <c r="J101" s="475"/>
      <c r="K101" s="475"/>
      <c r="L101" s="475"/>
      <c r="M101" s="475"/>
      <c r="N101" s="475"/>
      <c r="O101" s="475"/>
      <c r="P101" s="475"/>
      <c r="Q101" s="475"/>
      <c r="R101" s="475"/>
      <c r="S101" s="475"/>
      <c r="T101" s="475"/>
      <c r="U101" s="475"/>
      <c r="V101" s="475"/>
      <c r="W101" s="475"/>
      <c r="X101" s="475"/>
      <c r="Y101" s="475"/>
    </row>
    <row r="102" ht="13.5" customHeight="1">
      <c r="A102" s="475"/>
      <c r="B102" s="475"/>
      <c r="C102" s="475"/>
      <c r="D102" s="475"/>
      <c r="E102" s="475"/>
      <c r="F102" s="475"/>
      <c r="G102" s="475"/>
      <c r="H102" s="475"/>
      <c r="I102" s="475"/>
      <c r="J102" s="475"/>
      <c r="K102" s="475"/>
      <c r="L102" s="475"/>
      <c r="M102" s="475"/>
      <c r="N102" s="475"/>
      <c r="O102" s="475"/>
      <c r="P102" s="475"/>
      <c r="Q102" s="475"/>
      <c r="R102" s="475"/>
      <c r="S102" s="475"/>
      <c r="T102" s="475"/>
      <c r="U102" s="475"/>
      <c r="V102" s="475"/>
      <c r="W102" s="475"/>
      <c r="X102" s="475"/>
      <c r="Y102" s="475"/>
    </row>
    <row r="103" ht="13.5" customHeight="1">
      <c r="A103" s="475"/>
      <c r="B103" s="475"/>
      <c r="C103" s="475"/>
      <c r="D103" s="475"/>
      <c r="E103" s="475"/>
      <c r="F103" s="475"/>
      <c r="G103" s="475"/>
      <c r="H103" s="475"/>
      <c r="I103" s="475"/>
      <c r="J103" s="475"/>
      <c r="K103" s="475"/>
      <c r="L103" s="475"/>
      <c r="M103" s="475"/>
      <c r="N103" s="475"/>
      <c r="O103" s="475"/>
      <c r="P103" s="475"/>
      <c r="Q103" s="475"/>
      <c r="R103" s="475"/>
      <c r="S103" s="475"/>
      <c r="T103" s="475"/>
      <c r="U103" s="475"/>
      <c r="V103" s="475"/>
      <c r="W103" s="475"/>
      <c r="X103" s="475"/>
      <c r="Y103" s="475"/>
    </row>
    <row r="104" ht="13.5" customHeight="1">
      <c r="A104" s="475"/>
      <c r="B104" s="475"/>
      <c r="C104" s="475"/>
      <c r="D104" s="475"/>
      <c r="E104" s="475"/>
      <c r="F104" s="475"/>
      <c r="G104" s="475"/>
      <c r="H104" s="475"/>
      <c r="I104" s="475"/>
      <c r="J104" s="475"/>
      <c r="K104" s="475"/>
      <c r="L104" s="475"/>
      <c r="M104" s="475"/>
      <c r="N104" s="475"/>
      <c r="O104" s="475"/>
      <c r="P104" s="475"/>
      <c r="Q104" s="475"/>
      <c r="R104" s="475"/>
      <c r="S104" s="475"/>
      <c r="T104" s="475"/>
      <c r="U104" s="475"/>
      <c r="V104" s="475"/>
      <c r="W104" s="475"/>
      <c r="X104" s="475"/>
      <c r="Y104" s="475"/>
    </row>
    <row r="105" ht="13.5" customHeight="1">
      <c r="A105" s="475"/>
      <c r="B105" s="475"/>
      <c r="C105" s="475"/>
      <c r="D105" s="475"/>
      <c r="E105" s="475"/>
      <c r="F105" s="475"/>
      <c r="G105" s="475"/>
      <c r="H105" s="475"/>
      <c r="I105" s="475"/>
      <c r="J105" s="475"/>
      <c r="K105" s="475"/>
      <c r="L105" s="475"/>
      <c r="M105" s="475"/>
      <c r="N105" s="475"/>
      <c r="O105" s="475"/>
      <c r="P105" s="475"/>
      <c r="Q105" s="475"/>
      <c r="R105" s="475"/>
      <c r="S105" s="475"/>
      <c r="T105" s="475"/>
      <c r="U105" s="475"/>
      <c r="V105" s="475"/>
      <c r="W105" s="475"/>
      <c r="X105" s="475"/>
      <c r="Y105" s="475"/>
    </row>
    <row r="106" ht="13.5" customHeight="1">
      <c r="A106" s="475"/>
      <c r="B106" s="475"/>
      <c r="C106" s="475"/>
      <c r="D106" s="475"/>
      <c r="E106" s="475"/>
      <c r="F106" s="475"/>
      <c r="G106" s="475"/>
      <c r="H106" s="475"/>
      <c r="I106" s="475"/>
      <c r="J106" s="475"/>
      <c r="K106" s="475"/>
      <c r="L106" s="475"/>
      <c r="M106" s="475"/>
      <c r="N106" s="475"/>
      <c r="O106" s="475"/>
      <c r="P106" s="475"/>
      <c r="Q106" s="475"/>
      <c r="R106" s="475"/>
      <c r="S106" s="475"/>
      <c r="T106" s="475"/>
      <c r="U106" s="475"/>
      <c r="V106" s="475"/>
      <c r="W106" s="475"/>
      <c r="X106" s="475"/>
      <c r="Y106" s="475"/>
    </row>
    <row r="107" ht="13.5" customHeight="1">
      <c r="A107" s="475"/>
      <c r="B107" s="475"/>
      <c r="C107" s="475"/>
      <c r="D107" s="475"/>
      <c r="E107" s="475"/>
      <c r="F107" s="475"/>
      <c r="G107" s="475"/>
      <c r="H107" s="475"/>
      <c r="I107" s="475"/>
      <c r="J107" s="475"/>
      <c r="K107" s="475"/>
      <c r="L107" s="475"/>
      <c r="M107" s="475"/>
      <c r="N107" s="475"/>
      <c r="O107" s="475"/>
      <c r="P107" s="475"/>
      <c r="Q107" s="475"/>
      <c r="R107" s="475"/>
      <c r="S107" s="475"/>
      <c r="T107" s="475"/>
      <c r="U107" s="475"/>
      <c r="V107" s="475"/>
      <c r="W107" s="475"/>
      <c r="X107" s="475"/>
      <c r="Y107" s="475"/>
    </row>
    <row r="108" ht="13.5" customHeight="1">
      <c r="A108" s="475"/>
      <c r="B108" s="475"/>
      <c r="C108" s="475"/>
      <c r="D108" s="475"/>
      <c r="E108" s="475"/>
      <c r="F108" s="475"/>
      <c r="G108" s="475"/>
      <c r="H108" s="475"/>
      <c r="I108" s="475"/>
      <c r="J108" s="475"/>
      <c r="K108" s="475"/>
      <c r="L108" s="475"/>
      <c r="M108" s="475"/>
      <c r="N108" s="475"/>
      <c r="O108" s="475"/>
      <c r="P108" s="475"/>
      <c r="Q108" s="475"/>
      <c r="R108" s="475"/>
      <c r="S108" s="475"/>
      <c r="T108" s="475"/>
      <c r="U108" s="475"/>
      <c r="V108" s="475"/>
      <c r="W108" s="475"/>
      <c r="X108" s="475"/>
      <c r="Y108" s="475"/>
    </row>
    <row r="109" ht="13.5" customHeight="1">
      <c r="A109" s="475"/>
      <c r="B109" s="475"/>
      <c r="C109" s="475"/>
      <c r="D109" s="475"/>
      <c r="E109" s="475"/>
      <c r="F109" s="475"/>
      <c r="G109" s="475"/>
      <c r="H109" s="475"/>
      <c r="I109" s="475"/>
      <c r="J109" s="475"/>
      <c r="K109" s="475"/>
      <c r="L109" s="475"/>
      <c r="M109" s="475"/>
      <c r="N109" s="475"/>
      <c r="O109" s="475"/>
      <c r="P109" s="475"/>
      <c r="Q109" s="475"/>
      <c r="R109" s="475"/>
      <c r="S109" s="475"/>
      <c r="T109" s="475"/>
      <c r="U109" s="475"/>
      <c r="V109" s="475"/>
      <c r="W109" s="475"/>
      <c r="X109" s="475"/>
      <c r="Y109" s="475"/>
    </row>
    <row r="110" ht="13.5" customHeight="1">
      <c r="A110" s="475"/>
      <c r="B110" s="475"/>
      <c r="C110" s="475"/>
      <c r="D110" s="475"/>
      <c r="E110" s="475"/>
      <c r="F110" s="475"/>
      <c r="G110" s="475"/>
      <c r="H110" s="475"/>
      <c r="I110" s="475"/>
      <c r="J110" s="475"/>
      <c r="K110" s="475"/>
      <c r="L110" s="475"/>
      <c r="M110" s="475"/>
      <c r="N110" s="475"/>
      <c r="O110" s="475"/>
      <c r="P110" s="475"/>
      <c r="Q110" s="475"/>
      <c r="R110" s="475"/>
      <c r="S110" s="475"/>
      <c r="T110" s="475"/>
      <c r="U110" s="475"/>
      <c r="V110" s="475"/>
      <c r="W110" s="475"/>
      <c r="X110" s="475"/>
      <c r="Y110" s="475"/>
    </row>
    <row r="111" ht="13.5" customHeight="1">
      <c r="A111" s="475"/>
      <c r="B111" s="475"/>
      <c r="C111" s="475"/>
      <c r="D111" s="475"/>
      <c r="E111" s="475"/>
      <c r="F111" s="475"/>
      <c r="G111" s="475"/>
      <c r="H111" s="475"/>
      <c r="I111" s="475"/>
      <c r="J111" s="475"/>
      <c r="K111" s="475"/>
      <c r="L111" s="475"/>
      <c r="M111" s="475"/>
      <c r="N111" s="475"/>
      <c r="O111" s="475"/>
      <c r="P111" s="475"/>
      <c r="Q111" s="475"/>
      <c r="R111" s="475"/>
      <c r="S111" s="475"/>
      <c r="T111" s="475"/>
      <c r="U111" s="475"/>
      <c r="V111" s="475"/>
      <c r="W111" s="475"/>
      <c r="X111" s="475"/>
      <c r="Y111" s="475"/>
    </row>
    <row r="112" ht="13.5" customHeight="1">
      <c r="A112" s="47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row>
    <row r="113" ht="13.5" customHeight="1">
      <c r="A113" s="475"/>
      <c r="B113" s="475"/>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row>
    <row r="114" ht="13.5" customHeight="1">
      <c r="A114" s="475"/>
      <c r="B114" s="475"/>
      <c r="C114" s="475"/>
      <c r="D114" s="475"/>
      <c r="E114" s="475"/>
      <c r="F114" s="475"/>
      <c r="G114" s="475"/>
      <c r="H114" s="475"/>
      <c r="I114" s="475"/>
      <c r="J114" s="475"/>
      <c r="K114" s="475"/>
      <c r="L114" s="475"/>
      <c r="M114" s="475"/>
      <c r="N114" s="475"/>
      <c r="O114" s="475"/>
      <c r="P114" s="475"/>
      <c r="Q114" s="475"/>
      <c r="R114" s="475"/>
      <c r="S114" s="475"/>
      <c r="T114" s="475"/>
      <c r="U114" s="475"/>
      <c r="V114" s="475"/>
      <c r="W114" s="475"/>
      <c r="X114" s="475"/>
      <c r="Y114" s="475"/>
    </row>
    <row r="115" ht="13.5" customHeight="1">
      <c r="A115" s="475"/>
      <c r="B115" s="475"/>
      <c r="C115" s="475"/>
      <c r="D115" s="475"/>
      <c r="E115" s="475"/>
      <c r="F115" s="475"/>
      <c r="G115" s="475"/>
      <c r="H115" s="475"/>
      <c r="I115" s="475"/>
      <c r="J115" s="475"/>
      <c r="K115" s="475"/>
      <c r="L115" s="475"/>
      <c r="M115" s="475"/>
      <c r="N115" s="475"/>
      <c r="O115" s="475"/>
      <c r="P115" s="475"/>
      <c r="Q115" s="475"/>
      <c r="R115" s="475"/>
      <c r="S115" s="475"/>
      <c r="T115" s="475"/>
      <c r="U115" s="475"/>
      <c r="V115" s="475"/>
      <c r="W115" s="475"/>
      <c r="X115" s="475"/>
      <c r="Y115" s="475"/>
    </row>
    <row r="116" ht="13.5" customHeight="1">
      <c r="A116" s="475"/>
      <c r="B116" s="475"/>
      <c r="C116" s="475"/>
      <c r="D116" s="475"/>
      <c r="E116" s="475"/>
      <c r="F116" s="475"/>
      <c r="G116" s="475"/>
      <c r="H116" s="475"/>
      <c r="I116" s="475"/>
      <c r="J116" s="475"/>
      <c r="K116" s="475"/>
      <c r="L116" s="475"/>
      <c r="M116" s="475"/>
      <c r="N116" s="475"/>
      <c r="O116" s="475"/>
      <c r="P116" s="475"/>
      <c r="Q116" s="475"/>
      <c r="R116" s="475"/>
      <c r="S116" s="475"/>
      <c r="T116" s="475"/>
      <c r="U116" s="475"/>
      <c r="V116" s="475"/>
      <c r="W116" s="475"/>
      <c r="X116" s="475"/>
      <c r="Y116" s="475"/>
    </row>
    <row r="117" ht="13.5" customHeight="1">
      <c r="A117" s="475"/>
      <c r="B117" s="475"/>
      <c r="C117" s="475"/>
      <c r="D117" s="475"/>
      <c r="E117" s="475"/>
      <c r="F117" s="475"/>
      <c r="G117" s="475"/>
      <c r="H117" s="475"/>
      <c r="I117" s="475"/>
      <c r="J117" s="475"/>
      <c r="K117" s="475"/>
      <c r="L117" s="475"/>
      <c r="M117" s="475"/>
      <c r="N117" s="475"/>
      <c r="O117" s="475"/>
      <c r="P117" s="475"/>
      <c r="Q117" s="475"/>
      <c r="R117" s="475"/>
      <c r="S117" s="475"/>
      <c r="T117" s="475"/>
      <c r="U117" s="475"/>
      <c r="V117" s="475"/>
      <c r="W117" s="475"/>
      <c r="X117" s="475"/>
      <c r="Y117" s="475"/>
    </row>
    <row r="118" ht="13.5" customHeight="1">
      <c r="A118" s="475"/>
      <c r="B118" s="475"/>
      <c r="C118" s="475"/>
      <c r="D118" s="475"/>
      <c r="E118" s="475"/>
      <c r="F118" s="475"/>
      <c r="G118" s="475"/>
      <c r="H118" s="475"/>
      <c r="I118" s="475"/>
      <c r="J118" s="475"/>
      <c r="K118" s="475"/>
      <c r="L118" s="475"/>
      <c r="M118" s="475"/>
      <c r="N118" s="475"/>
      <c r="O118" s="475"/>
      <c r="P118" s="475"/>
      <c r="Q118" s="475"/>
      <c r="R118" s="475"/>
      <c r="S118" s="475"/>
      <c r="T118" s="475"/>
      <c r="U118" s="475"/>
      <c r="V118" s="475"/>
      <c r="W118" s="475"/>
      <c r="X118" s="475"/>
      <c r="Y118" s="475"/>
    </row>
    <row r="119" ht="13.5" customHeight="1">
      <c r="A119" s="475"/>
      <c r="B119" s="475"/>
      <c r="C119" s="475"/>
      <c r="D119" s="475"/>
      <c r="E119" s="475"/>
      <c r="F119" s="475"/>
      <c r="G119" s="475"/>
      <c r="H119" s="475"/>
      <c r="I119" s="475"/>
      <c r="J119" s="475"/>
      <c r="K119" s="475"/>
      <c r="L119" s="475"/>
      <c r="M119" s="475"/>
      <c r="N119" s="475"/>
      <c r="O119" s="475"/>
      <c r="P119" s="475"/>
      <c r="Q119" s="475"/>
      <c r="R119" s="475"/>
      <c r="S119" s="475"/>
      <c r="T119" s="475"/>
      <c r="U119" s="475"/>
      <c r="V119" s="475"/>
      <c r="W119" s="475"/>
      <c r="X119" s="475"/>
      <c r="Y119" s="475"/>
    </row>
    <row r="120" ht="13.5" customHeight="1">
      <c r="A120" s="475"/>
      <c r="B120" s="475"/>
      <c r="C120" s="475"/>
      <c r="D120" s="475"/>
      <c r="E120" s="475"/>
      <c r="F120" s="475"/>
      <c r="G120" s="475"/>
      <c r="H120" s="475"/>
      <c r="I120" s="475"/>
      <c r="J120" s="475"/>
      <c r="K120" s="475"/>
      <c r="L120" s="475"/>
      <c r="M120" s="475"/>
      <c r="N120" s="475"/>
      <c r="O120" s="475"/>
      <c r="P120" s="475"/>
      <c r="Q120" s="475"/>
      <c r="R120" s="475"/>
      <c r="S120" s="475"/>
      <c r="T120" s="475"/>
      <c r="U120" s="475"/>
      <c r="V120" s="475"/>
      <c r="W120" s="475"/>
      <c r="X120" s="475"/>
      <c r="Y120" s="475"/>
    </row>
    <row r="121" ht="13.5" customHeight="1">
      <c r="A121" s="475"/>
      <c r="B121" s="475"/>
      <c r="C121" s="475"/>
      <c r="D121" s="475"/>
      <c r="E121" s="475"/>
      <c r="F121" s="475"/>
      <c r="G121" s="475"/>
      <c r="H121" s="475"/>
      <c r="I121" s="475"/>
      <c r="J121" s="475"/>
      <c r="K121" s="475"/>
      <c r="L121" s="475"/>
      <c r="M121" s="475"/>
      <c r="N121" s="475"/>
      <c r="O121" s="475"/>
      <c r="P121" s="475"/>
      <c r="Q121" s="475"/>
      <c r="R121" s="475"/>
      <c r="S121" s="475"/>
      <c r="T121" s="475"/>
      <c r="U121" s="475"/>
      <c r="V121" s="475"/>
      <c r="W121" s="475"/>
      <c r="X121" s="475"/>
      <c r="Y121" s="475"/>
    </row>
    <row r="122" ht="13.5" customHeight="1">
      <c r="A122" s="475"/>
      <c r="B122" s="475"/>
      <c r="C122" s="475"/>
      <c r="D122" s="475"/>
      <c r="E122" s="475"/>
      <c r="F122" s="475"/>
      <c r="G122" s="475"/>
      <c r="H122" s="475"/>
      <c r="I122" s="475"/>
      <c r="J122" s="475"/>
      <c r="K122" s="475"/>
      <c r="L122" s="475"/>
      <c r="M122" s="475"/>
      <c r="N122" s="475"/>
      <c r="O122" s="475"/>
      <c r="P122" s="475"/>
      <c r="Q122" s="475"/>
      <c r="R122" s="475"/>
      <c r="S122" s="475"/>
      <c r="T122" s="475"/>
      <c r="U122" s="475"/>
      <c r="V122" s="475"/>
      <c r="W122" s="475"/>
      <c r="X122" s="475"/>
      <c r="Y122" s="475"/>
    </row>
    <row r="123" ht="13.5" customHeight="1">
      <c r="A123" s="475"/>
      <c r="B123" s="475"/>
      <c r="C123" s="475"/>
      <c r="D123" s="475"/>
      <c r="E123" s="475"/>
      <c r="F123" s="475"/>
      <c r="G123" s="475"/>
      <c r="H123" s="475"/>
      <c r="I123" s="475"/>
      <c r="J123" s="475"/>
      <c r="K123" s="475"/>
      <c r="L123" s="475"/>
      <c r="M123" s="475"/>
      <c r="N123" s="475"/>
      <c r="O123" s="475"/>
      <c r="P123" s="475"/>
      <c r="Q123" s="475"/>
      <c r="R123" s="475"/>
      <c r="S123" s="475"/>
      <c r="T123" s="475"/>
      <c r="U123" s="475"/>
      <c r="V123" s="475"/>
      <c r="W123" s="475"/>
      <c r="X123" s="475"/>
      <c r="Y123" s="475"/>
    </row>
    <row r="124" ht="13.5" customHeight="1">
      <c r="A124" s="475"/>
      <c r="B124" s="475"/>
      <c r="C124" s="475"/>
      <c r="D124" s="475"/>
      <c r="E124" s="475"/>
      <c r="F124" s="475"/>
      <c r="G124" s="475"/>
      <c r="H124" s="475"/>
      <c r="I124" s="475"/>
      <c r="J124" s="475"/>
      <c r="K124" s="475"/>
      <c r="L124" s="475"/>
      <c r="M124" s="475"/>
      <c r="N124" s="475"/>
      <c r="O124" s="475"/>
      <c r="P124" s="475"/>
      <c r="Q124" s="475"/>
      <c r="R124" s="475"/>
      <c r="S124" s="475"/>
      <c r="T124" s="475"/>
      <c r="U124" s="475"/>
      <c r="V124" s="475"/>
      <c r="W124" s="475"/>
      <c r="X124" s="475"/>
      <c r="Y124" s="475"/>
    </row>
    <row r="125" ht="13.5" customHeight="1">
      <c r="A125" s="475"/>
      <c r="B125" s="475"/>
      <c r="C125" s="475"/>
      <c r="D125" s="475"/>
      <c r="E125" s="475"/>
      <c r="F125" s="475"/>
      <c r="G125" s="475"/>
      <c r="H125" s="475"/>
      <c r="I125" s="475"/>
      <c r="J125" s="475"/>
      <c r="K125" s="475"/>
      <c r="L125" s="475"/>
      <c r="M125" s="475"/>
      <c r="N125" s="475"/>
      <c r="O125" s="475"/>
      <c r="P125" s="475"/>
      <c r="Q125" s="475"/>
      <c r="R125" s="475"/>
      <c r="S125" s="475"/>
      <c r="T125" s="475"/>
      <c r="U125" s="475"/>
      <c r="V125" s="475"/>
      <c r="W125" s="475"/>
      <c r="X125" s="475"/>
      <c r="Y125" s="475"/>
    </row>
    <row r="126" ht="13.5" customHeight="1">
      <c r="A126" s="475"/>
      <c r="B126" s="475"/>
      <c r="C126" s="475"/>
      <c r="D126" s="475"/>
      <c r="E126" s="475"/>
      <c r="F126" s="475"/>
      <c r="G126" s="475"/>
      <c r="H126" s="475"/>
      <c r="I126" s="475"/>
      <c r="J126" s="475"/>
      <c r="K126" s="475"/>
      <c r="L126" s="475"/>
      <c r="M126" s="475"/>
      <c r="N126" s="475"/>
      <c r="O126" s="475"/>
      <c r="P126" s="475"/>
      <c r="Q126" s="475"/>
      <c r="R126" s="475"/>
      <c r="S126" s="475"/>
      <c r="T126" s="475"/>
      <c r="U126" s="475"/>
      <c r="V126" s="475"/>
      <c r="W126" s="475"/>
      <c r="X126" s="475"/>
      <c r="Y126" s="475"/>
    </row>
    <row r="127" ht="13.5" customHeight="1">
      <c r="A127" s="475"/>
      <c r="B127" s="475"/>
      <c r="C127" s="475"/>
      <c r="D127" s="475"/>
      <c r="E127" s="475"/>
      <c r="F127" s="475"/>
      <c r="G127" s="475"/>
      <c r="H127" s="475"/>
      <c r="I127" s="475"/>
      <c r="J127" s="475"/>
      <c r="K127" s="475"/>
      <c r="L127" s="475"/>
      <c r="M127" s="475"/>
      <c r="N127" s="475"/>
      <c r="O127" s="475"/>
      <c r="P127" s="475"/>
      <c r="Q127" s="475"/>
      <c r="R127" s="475"/>
      <c r="S127" s="475"/>
      <c r="T127" s="475"/>
      <c r="U127" s="475"/>
      <c r="V127" s="475"/>
      <c r="W127" s="475"/>
      <c r="X127" s="475"/>
      <c r="Y127" s="475"/>
    </row>
    <row r="128" ht="13.5" customHeight="1">
      <c r="A128" s="475"/>
      <c r="B128" s="475"/>
      <c r="C128" s="475"/>
      <c r="D128" s="475"/>
      <c r="E128" s="475"/>
      <c r="F128" s="475"/>
      <c r="G128" s="475"/>
      <c r="H128" s="475"/>
      <c r="I128" s="475"/>
      <c r="J128" s="475"/>
      <c r="K128" s="475"/>
      <c r="L128" s="475"/>
      <c r="M128" s="475"/>
      <c r="N128" s="475"/>
      <c r="O128" s="475"/>
      <c r="P128" s="475"/>
      <c r="Q128" s="475"/>
      <c r="R128" s="475"/>
      <c r="S128" s="475"/>
      <c r="T128" s="475"/>
      <c r="U128" s="475"/>
      <c r="V128" s="475"/>
      <c r="W128" s="475"/>
      <c r="X128" s="475"/>
      <c r="Y128" s="475"/>
    </row>
    <row r="129" ht="13.5" customHeight="1">
      <c r="A129" s="475"/>
      <c r="B129" s="475"/>
      <c r="C129" s="475"/>
      <c r="D129" s="475"/>
      <c r="E129" s="475"/>
      <c r="F129" s="475"/>
      <c r="G129" s="475"/>
      <c r="H129" s="475"/>
      <c r="I129" s="475"/>
      <c r="J129" s="475"/>
      <c r="K129" s="475"/>
      <c r="L129" s="475"/>
      <c r="M129" s="475"/>
      <c r="N129" s="475"/>
      <c r="O129" s="475"/>
      <c r="P129" s="475"/>
      <c r="Q129" s="475"/>
      <c r="R129" s="475"/>
      <c r="S129" s="475"/>
      <c r="T129" s="475"/>
      <c r="U129" s="475"/>
      <c r="V129" s="475"/>
      <c r="W129" s="475"/>
      <c r="X129" s="475"/>
      <c r="Y129" s="475"/>
    </row>
    <row r="130" ht="13.5" customHeight="1">
      <c r="A130" s="475"/>
      <c r="B130" s="475"/>
      <c r="C130" s="475"/>
      <c r="D130" s="475"/>
      <c r="E130" s="475"/>
      <c r="F130" s="475"/>
      <c r="G130" s="475"/>
      <c r="H130" s="475"/>
      <c r="I130" s="475"/>
      <c r="J130" s="475"/>
      <c r="K130" s="475"/>
      <c r="L130" s="475"/>
      <c r="M130" s="475"/>
      <c r="N130" s="475"/>
      <c r="O130" s="475"/>
      <c r="P130" s="475"/>
      <c r="Q130" s="475"/>
      <c r="R130" s="475"/>
      <c r="S130" s="475"/>
      <c r="T130" s="475"/>
      <c r="U130" s="475"/>
      <c r="V130" s="475"/>
      <c r="W130" s="475"/>
      <c r="X130" s="475"/>
      <c r="Y130" s="475"/>
    </row>
    <row r="131" ht="13.5" customHeight="1">
      <c r="A131" s="475"/>
      <c r="B131" s="475"/>
      <c r="C131" s="475"/>
      <c r="D131" s="475"/>
      <c r="E131" s="475"/>
      <c r="F131" s="475"/>
      <c r="G131" s="475"/>
      <c r="H131" s="475"/>
      <c r="I131" s="475"/>
      <c r="J131" s="475"/>
      <c r="K131" s="475"/>
      <c r="L131" s="475"/>
      <c r="M131" s="475"/>
      <c r="N131" s="475"/>
      <c r="O131" s="475"/>
      <c r="P131" s="475"/>
      <c r="Q131" s="475"/>
      <c r="R131" s="475"/>
      <c r="S131" s="475"/>
      <c r="T131" s="475"/>
      <c r="U131" s="475"/>
      <c r="V131" s="475"/>
      <c r="W131" s="475"/>
      <c r="X131" s="475"/>
      <c r="Y131" s="475"/>
    </row>
    <row r="132" ht="13.5" customHeight="1">
      <c r="A132" s="475"/>
      <c r="B132" s="475"/>
      <c r="C132" s="475"/>
      <c r="D132" s="475"/>
      <c r="E132" s="475"/>
      <c r="F132" s="475"/>
      <c r="G132" s="475"/>
      <c r="H132" s="475"/>
      <c r="I132" s="475"/>
      <c r="J132" s="475"/>
      <c r="K132" s="475"/>
      <c r="L132" s="475"/>
      <c r="M132" s="475"/>
      <c r="N132" s="475"/>
      <c r="O132" s="475"/>
      <c r="P132" s="475"/>
      <c r="Q132" s="475"/>
      <c r="R132" s="475"/>
      <c r="S132" s="475"/>
      <c r="T132" s="475"/>
      <c r="U132" s="475"/>
      <c r="V132" s="475"/>
      <c r="W132" s="475"/>
      <c r="X132" s="475"/>
      <c r="Y132" s="475"/>
    </row>
    <row r="133" ht="13.5" customHeight="1">
      <c r="A133" s="475"/>
      <c r="B133" s="475"/>
      <c r="C133" s="475"/>
      <c r="D133" s="475"/>
      <c r="E133" s="475"/>
      <c r="F133" s="475"/>
      <c r="G133" s="475"/>
      <c r="H133" s="475"/>
      <c r="I133" s="475"/>
      <c r="J133" s="475"/>
      <c r="K133" s="475"/>
      <c r="L133" s="475"/>
      <c r="M133" s="475"/>
      <c r="N133" s="475"/>
      <c r="O133" s="475"/>
      <c r="P133" s="475"/>
      <c r="Q133" s="475"/>
      <c r="R133" s="475"/>
      <c r="S133" s="475"/>
      <c r="T133" s="475"/>
      <c r="U133" s="475"/>
      <c r="V133" s="475"/>
      <c r="W133" s="475"/>
      <c r="X133" s="475"/>
      <c r="Y133" s="475"/>
    </row>
    <row r="134" ht="13.5" customHeight="1">
      <c r="A134" s="475"/>
      <c r="B134" s="475"/>
      <c r="C134" s="475"/>
      <c r="D134" s="475"/>
      <c r="E134" s="475"/>
      <c r="F134" s="475"/>
      <c r="G134" s="475"/>
      <c r="H134" s="475"/>
      <c r="I134" s="475"/>
      <c r="J134" s="475"/>
      <c r="K134" s="475"/>
      <c r="L134" s="475"/>
      <c r="M134" s="475"/>
      <c r="N134" s="475"/>
      <c r="O134" s="475"/>
      <c r="P134" s="475"/>
      <c r="Q134" s="475"/>
      <c r="R134" s="475"/>
      <c r="S134" s="475"/>
      <c r="T134" s="475"/>
      <c r="U134" s="475"/>
      <c r="V134" s="475"/>
      <c r="W134" s="475"/>
      <c r="X134" s="475"/>
      <c r="Y134" s="475"/>
    </row>
    <row r="135" ht="13.5" customHeight="1">
      <c r="A135" s="475"/>
      <c r="B135" s="475"/>
      <c r="C135" s="475"/>
      <c r="D135" s="475"/>
      <c r="E135" s="475"/>
      <c r="F135" s="475"/>
      <c r="G135" s="475"/>
      <c r="H135" s="475"/>
      <c r="I135" s="475"/>
      <c r="J135" s="475"/>
      <c r="K135" s="475"/>
      <c r="L135" s="475"/>
      <c r="M135" s="475"/>
      <c r="N135" s="475"/>
      <c r="O135" s="475"/>
      <c r="P135" s="475"/>
      <c r="Q135" s="475"/>
      <c r="R135" s="475"/>
      <c r="S135" s="475"/>
      <c r="T135" s="475"/>
      <c r="U135" s="475"/>
      <c r="V135" s="475"/>
      <c r="W135" s="475"/>
      <c r="X135" s="475"/>
      <c r="Y135" s="475"/>
    </row>
    <row r="136" ht="13.5" customHeight="1">
      <c r="A136" s="475"/>
      <c r="B136" s="475"/>
      <c r="C136" s="475"/>
      <c r="D136" s="475"/>
      <c r="E136" s="475"/>
      <c r="F136" s="475"/>
      <c r="G136" s="475"/>
      <c r="H136" s="475"/>
      <c r="I136" s="475"/>
      <c r="J136" s="475"/>
      <c r="K136" s="475"/>
      <c r="L136" s="475"/>
      <c r="M136" s="475"/>
      <c r="N136" s="475"/>
      <c r="O136" s="475"/>
      <c r="P136" s="475"/>
      <c r="Q136" s="475"/>
      <c r="R136" s="475"/>
      <c r="S136" s="475"/>
      <c r="T136" s="475"/>
      <c r="U136" s="475"/>
      <c r="V136" s="475"/>
      <c r="W136" s="475"/>
      <c r="X136" s="475"/>
      <c r="Y136" s="475"/>
    </row>
    <row r="137" ht="13.5" customHeight="1">
      <c r="A137" s="475"/>
      <c r="B137" s="475"/>
      <c r="C137" s="475"/>
      <c r="D137" s="475"/>
      <c r="E137" s="475"/>
      <c r="F137" s="475"/>
      <c r="G137" s="475"/>
      <c r="H137" s="475"/>
      <c r="I137" s="475"/>
      <c r="J137" s="475"/>
      <c r="K137" s="475"/>
      <c r="L137" s="475"/>
      <c r="M137" s="475"/>
      <c r="N137" s="475"/>
      <c r="O137" s="475"/>
      <c r="P137" s="475"/>
      <c r="Q137" s="475"/>
      <c r="R137" s="475"/>
      <c r="S137" s="475"/>
      <c r="T137" s="475"/>
      <c r="U137" s="475"/>
      <c r="V137" s="475"/>
      <c r="W137" s="475"/>
      <c r="X137" s="475"/>
      <c r="Y137" s="475"/>
    </row>
    <row r="138" ht="13.5" customHeight="1">
      <c r="A138" s="475"/>
      <c r="B138" s="475"/>
      <c r="C138" s="475"/>
      <c r="D138" s="475"/>
      <c r="E138" s="475"/>
      <c r="F138" s="475"/>
      <c r="G138" s="475"/>
      <c r="H138" s="475"/>
      <c r="I138" s="475"/>
      <c r="J138" s="475"/>
      <c r="K138" s="475"/>
      <c r="L138" s="475"/>
      <c r="M138" s="475"/>
      <c r="N138" s="475"/>
      <c r="O138" s="475"/>
      <c r="P138" s="475"/>
      <c r="Q138" s="475"/>
      <c r="R138" s="475"/>
      <c r="S138" s="475"/>
      <c r="T138" s="475"/>
      <c r="U138" s="475"/>
      <c r="V138" s="475"/>
      <c r="W138" s="475"/>
      <c r="X138" s="475"/>
      <c r="Y138" s="475"/>
    </row>
    <row r="139" ht="13.5" customHeight="1">
      <c r="A139" s="475"/>
      <c r="B139" s="475"/>
      <c r="C139" s="475"/>
      <c r="D139" s="475"/>
      <c r="E139" s="475"/>
      <c r="F139" s="475"/>
      <c r="G139" s="475"/>
      <c r="H139" s="475"/>
      <c r="I139" s="475"/>
      <c r="J139" s="475"/>
      <c r="K139" s="475"/>
      <c r="L139" s="475"/>
      <c r="M139" s="475"/>
      <c r="N139" s="475"/>
      <c r="O139" s="475"/>
      <c r="P139" s="475"/>
      <c r="Q139" s="475"/>
      <c r="R139" s="475"/>
      <c r="S139" s="475"/>
      <c r="T139" s="475"/>
      <c r="U139" s="475"/>
      <c r="V139" s="475"/>
      <c r="W139" s="475"/>
      <c r="X139" s="475"/>
      <c r="Y139" s="475"/>
    </row>
    <row r="140" ht="13.5" customHeight="1">
      <c r="A140" s="475"/>
      <c r="B140" s="475"/>
      <c r="C140" s="475"/>
      <c r="D140" s="475"/>
      <c r="E140" s="475"/>
      <c r="F140" s="475"/>
      <c r="G140" s="475"/>
      <c r="H140" s="475"/>
      <c r="I140" s="475"/>
      <c r="J140" s="475"/>
      <c r="K140" s="475"/>
      <c r="L140" s="475"/>
      <c r="M140" s="475"/>
      <c r="N140" s="475"/>
      <c r="O140" s="475"/>
      <c r="P140" s="475"/>
      <c r="Q140" s="475"/>
      <c r="R140" s="475"/>
      <c r="S140" s="475"/>
      <c r="T140" s="475"/>
      <c r="U140" s="475"/>
      <c r="V140" s="475"/>
      <c r="W140" s="475"/>
      <c r="X140" s="475"/>
      <c r="Y140" s="475"/>
    </row>
    <row r="141" ht="13.5" customHeight="1">
      <c r="A141" s="475"/>
      <c r="B141" s="475"/>
      <c r="C141" s="475"/>
      <c r="D141" s="475"/>
      <c r="E141" s="475"/>
      <c r="F141" s="475"/>
      <c r="G141" s="475"/>
      <c r="H141" s="475"/>
      <c r="I141" s="475"/>
      <c r="J141" s="475"/>
      <c r="K141" s="475"/>
      <c r="L141" s="475"/>
      <c r="M141" s="475"/>
      <c r="N141" s="475"/>
      <c r="O141" s="475"/>
      <c r="P141" s="475"/>
      <c r="Q141" s="475"/>
      <c r="R141" s="475"/>
      <c r="S141" s="475"/>
      <c r="T141" s="475"/>
      <c r="U141" s="475"/>
      <c r="V141" s="475"/>
      <c r="W141" s="475"/>
      <c r="X141" s="475"/>
      <c r="Y141" s="475"/>
    </row>
    <row r="142" ht="13.5" customHeight="1">
      <c r="A142" s="475"/>
      <c r="B142" s="475"/>
      <c r="C142" s="475"/>
      <c r="D142" s="475"/>
      <c r="E142" s="475"/>
      <c r="F142" s="475"/>
      <c r="G142" s="475"/>
      <c r="H142" s="475"/>
      <c r="I142" s="475"/>
      <c r="J142" s="475"/>
      <c r="K142" s="475"/>
      <c r="L142" s="475"/>
      <c r="M142" s="475"/>
      <c r="N142" s="475"/>
      <c r="O142" s="475"/>
      <c r="P142" s="475"/>
      <c r="Q142" s="475"/>
      <c r="R142" s="475"/>
      <c r="S142" s="475"/>
      <c r="T142" s="475"/>
      <c r="U142" s="475"/>
      <c r="V142" s="475"/>
      <c r="W142" s="475"/>
      <c r="X142" s="475"/>
      <c r="Y142" s="475"/>
    </row>
    <row r="143" ht="13.5" customHeight="1">
      <c r="A143" s="475"/>
      <c r="B143" s="475"/>
      <c r="C143" s="475"/>
      <c r="D143" s="475"/>
      <c r="E143" s="475"/>
      <c r="F143" s="475"/>
      <c r="G143" s="475"/>
      <c r="H143" s="475"/>
      <c r="I143" s="475"/>
      <c r="J143" s="475"/>
      <c r="K143" s="475"/>
      <c r="L143" s="475"/>
      <c r="M143" s="475"/>
      <c r="N143" s="475"/>
      <c r="O143" s="475"/>
      <c r="P143" s="475"/>
      <c r="Q143" s="475"/>
      <c r="R143" s="475"/>
      <c r="S143" s="475"/>
      <c r="T143" s="475"/>
      <c r="U143" s="475"/>
      <c r="V143" s="475"/>
      <c r="W143" s="475"/>
      <c r="X143" s="475"/>
      <c r="Y143" s="475"/>
    </row>
    <row r="144" ht="13.5" customHeight="1">
      <c r="A144" s="475"/>
      <c r="B144" s="475"/>
      <c r="C144" s="475"/>
      <c r="D144" s="475"/>
      <c r="E144" s="475"/>
      <c r="F144" s="475"/>
      <c r="G144" s="475"/>
      <c r="H144" s="475"/>
      <c r="I144" s="475"/>
      <c r="J144" s="475"/>
      <c r="K144" s="475"/>
      <c r="L144" s="475"/>
      <c r="M144" s="475"/>
      <c r="N144" s="475"/>
      <c r="O144" s="475"/>
      <c r="P144" s="475"/>
      <c r="Q144" s="475"/>
      <c r="R144" s="475"/>
      <c r="S144" s="475"/>
      <c r="T144" s="475"/>
      <c r="U144" s="475"/>
      <c r="V144" s="475"/>
      <c r="W144" s="475"/>
      <c r="X144" s="475"/>
      <c r="Y144" s="475"/>
    </row>
    <row r="145" ht="13.5" customHeight="1">
      <c r="A145" s="475"/>
      <c r="B145" s="475"/>
      <c r="C145" s="475"/>
      <c r="D145" s="475"/>
      <c r="E145" s="475"/>
      <c r="F145" s="475"/>
      <c r="G145" s="475"/>
      <c r="H145" s="475"/>
      <c r="I145" s="475"/>
      <c r="J145" s="475"/>
      <c r="K145" s="475"/>
      <c r="L145" s="475"/>
      <c r="M145" s="475"/>
      <c r="N145" s="475"/>
      <c r="O145" s="475"/>
      <c r="P145" s="475"/>
      <c r="Q145" s="475"/>
      <c r="R145" s="475"/>
      <c r="S145" s="475"/>
      <c r="T145" s="475"/>
      <c r="U145" s="475"/>
      <c r="V145" s="475"/>
      <c r="W145" s="475"/>
      <c r="X145" s="475"/>
      <c r="Y145" s="475"/>
    </row>
    <row r="146" ht="13.5" customHeight="1">
      <c r="A146" s="475"/>
      <c r="B146" s="475"/>
      <c r="C146" s="475"/>
      <c r="D146" s="475"/>
      <c r="E146" s="475"/>
      <c r="F146" s="475"/>
      <c r="G146" s="475"/>
      <c r="H146" s="475"/>
      <c r="I146" s="475"/>
      <c r="J146" s="475"/>
      <c r="K146" s="475"/>
      <c r="L146" s="475"/>
      <c r="M146" s="475"/>
      <c r="N146" s="475"/>
      <c r="O146" s="475"/>
      <c r="P146" s="475"/>
      <c r="Q146" s="475"/>
      <c r="R146" s="475"/>
      <c r="S146" s="475"/>
      <c r="T146" s="475"/>
      <c r="U146" s="475"/>
      <c r="V146" s="475"/>
      <c r="W146" s="475"/>
      <c r="X146" s="475"/>
      <c r="Y146" s="475"/>
    </row>
    <row r="147" ht="13.5" customHeight="1">
      <c r="A147" s="475"/>
      <c r="B147" s="475"/>
      <c r="C147" s="475"/>
      <c r="D147" s="475"/>
      <c r="E147" s="475"/>
      <c r="F147" s="475"/>
      <c r="G147" s="475"/>
      <c r="H147" s="475"/>
      <c r="I147" s="475"/>
      <c r="J147" s="475"/>
      <c r="K147" s="475"/>
      <c r="L147" s="475"/>
      <c r="M147" s="475"/>
      <c r="N147" s="475"/>
      <c r="O147" s="475"/>
      <c r="P147" s="475"/>
      <c r="Q147" s="475"/>
      <c r="R147" s="475"/>
      <c r="S147" s="475"/>
      <c r="T147" s="475"/>
      <c r="U147" s="475"/>
      <c r="V147" s="475"/>
      <c r="W147" s="475"/>
      <c r="X147" s="475"/>
      <c r="Y147" s="475"/>
    </row>
    <row r="148" ht="13.5" customHeight="1">
      <c r="A148" s="475"/>
      <c r="B148" s="475"/>
      <c r="C148" s="475"/>
      <c r="D148" s="475"/>
      <c r="E148" s="475"/>
      <c r="F148" s="475"/>
      <c r="G148" s="475"/>
      <c r="H148" s="475"/>
      <c r="I148" s="475"/>
      <c r="J148" s="475"/>
      <c r="K148" s="475"/>
      <c r="L148" s="475"/>
      <c r="M148" s="475"/>
      <c r="N148" s="475"/>
      <c r="O148" s="475"/>
      <c r="P148" s="475"/>
      <c r="Q148" s="475"/>
      <c r="R148" s="475"/>
      <c r="S148" s="475"/>
      <c r="T148" s="475"/>
      <c r="U148" s="475"/>
      <c r="V148" s="475"/>
      <c r="W148" s="475"/>
      <c r="X148" s="475"/>
      <c r="Y148" s="475"/>
    </row>
    <row r="149" ht="13.5" customHeight="1">
      <c r="A149" s="475"/>
      <c r="B149" s="475"/>
      <c r="C149" s="475"/>
      <c r="D149" s="475"/>
      <c r="E149" s="475"/>
      <c r="F149" s="475"/>
      <c r="G149" s="475"/>
      <c r="H149" s="475"/>
      <c r="I149" s="475"/>
      <c r="J149" s="475"/>
      <c r="K149" s="475"/>
      <c r="L149" s="475"/>
      <c r="M149" s="475"/>
      <c r="N149" s="475"/>
      <c r="O149" s="475"/>
      <c r="P149" s="475"/>
      <c r="Q149" s="475"/>
      <c r="R149" s="475"/>
      <c r="S149" s="475"/>
      <c r="T149" s="475"/>
      <c r="U149" s="475"/>
      <c r="V149" s="475"/>
      <c r="W149" s="475"/>
      <c r="X149" s="475"/>
      <c r="Y149" s="475"/>
    </row>
    <row r="150" ht="13.5" customHeight="1">
      <c r="A150" s="475"/>
      <c r="B150" s="475"/>
      <c r="C150" s="475"/>
      <c r="D150" s="475"/>
      <c r="E150" s="475"/>
      <c r="F150" s="475"/>
      <c r="G150" s="475"/>
      <c r="H150" s="475"/>
      <c r="I150" s="475"/>
      <c r="J150" s="475"/>
      <c r="K150" s="475"/>
      <c r="L150" s="475"/>
      <c r="M150" s="475"/>
      <c r="N150" s="475"/>
      <c r="O150" s="475"/>
      <c r="P150" s="475"/>
      <c r="Q150" s="475"/>
      <c r="R150" s="475"/>
      <c r="S150" s="475"/>
      <c r="T150" s="475"/>
      <c r="U150" s="475"/>
      <c r="V150" s="475"/>
      <c r="W150" s="475"/>
      <c r="X150" s="475"/>
      <c r="Y150" s="475"/>
    </row>
    <row r="151" ht="13.5" customHeight="1">
      <c r="A151" s="475"/>
      <c r="B151" s="475"/>
      <c r="C151" s="475"/>
      <c r="D151" s="475"/>
      <c r="E151" s="475"/>
      <c r="F151" s="475"/>
      <c r="G151" s="475"/>
      <c r="H151" s="475"/>
      <c r="I151" s="475"/>
      <c r="J151" s="475"/>
      <c r="K151" s="475"/>
      <c r="L151" s="475"/>
      <c r="M151" s="475"/>
      <c r="N151" s="475"/>
      <c r="O151" s="475"/>
      <c r="P151" s="475"/>
      <c r="Q151" s="475"/>
      <c r="R151" s="475"/>
      <c r="S151" s="475"/>
      <c r="T151" s="475"/>
      <c r="U151" s="475"/>
      <c r="V151" s="475"/>
      <c r="W151" s="475"/>
      <c r="X151" s="475"/>
      <c r="Y151" s="475"/>
    </row>
    <row r="152" ht="13.5" customHeight="1">
      <c r="A152" s="475"/>
      <c r="B152" s="475"/>
      <c r="C152" s="475"/>
      <c r="D152" s="475"/>
      <c r="E152" s="475"/>
      <c r="F152" s="475"/>
      <c r="G152" s="475"/>
      <c r="H152" s="475"/>
      <c r="I152" s="475"/>
      <c r="J152" s="475"/>
      <c r="K152" s="475"/>
      <c r="L152" s="475"/>
      <c r="M152" s="475"/>
      <c r="N152" s="475"/>
      <c r="O152" s="475"/>
      <c r="P152" s="475"/>
      <c r="Q152" s="475"/>
      <c r="R152" s="475"/>
      <c r="S152" s="475"/>
      <c r="T152" s="475"/>
      <c r="U152" s="475"/>
      <c r="V152" s="475"/>
      <c r="W152" s="475"/>
      <c r="X152" s="475"/>
      <c r="Y152" s="475"/>
    </row>
    <row r="153" ht="13.5" customHeight="1">
      <c r="A153" s="475"/>
      <c r="B153" s="475"/>
      <c r="C153" s="475"/>
      <c r="D153" s="475"/>
      <c r="E153" s="475"/>
      <c r="F153" s="475"/>
      <c r="G153" s="475"/>
      <c r="H153" s="475"/>
      <c r="I153" s="475"/>
      <c r="J153" s="475"/>
      <c r="K153" s="475"/>
      <c r="L153" s="475"/>
      <c r="M153" s="475"/>
      <c r="N153" s="475"/>
      <c r="O153" s="475"/>
      <c r="P153" s="475"/>
      <c r="Q153" s="475"/>
      <c r="R153" s="475"/>
      <c r="S153" s="475"/>
      <c r="T153" s="475"/>
      <c r="U153" s="475"/>
      <c r="V153" s="475"/>
      <c r="W153" s="475"/>
      <c r="X153" s="475"/>
      <c r="Y153" s="475"/>
    </row>
    <row r="154" ht="13.5" customHeight="1">
      <c r="A154" s="475"/>
      <c r="B154" s="475"/>
      <c r="C154" s="475"/>
      <c r="D154" s="475"/>
      <c r="E154" s="475"/>
      <c r="F154" s="475"/>
      <c r="G154" s="475"/>
      <c r="H154" s="475"/>
      <c r="I154" s="475"/>
      <c r="J154" s="475"/>
      <c r="K154" s="475"/>
      <c r="L154" s="475"/>
      <c r="M154" s="475"/>
      <c r="N154" s="475"/>
      <c r="O154" s="475"/>
      <c r="P154" s="475"/>
      <c r="Q154" s="475"/>
      <c r="R154" s="475"/>
      <c r="S154" s="475"/>
      <c r="T154" s="475"/>
      <c r="U154" s="475"/>
      <c r="V154" s="475"/>
      <c r="W154" s="475"/>
      <c r="X154" s="475"/>
      <c r="Y154" s="475"/>
    </row>
    <row r="155" ht="13.5" customHeight="1">
      <c r="A155" s="475"/>
      <c r="B155" s="475"/>
      <c r="C155" s="475"/>
      <c r="D155" s="475"/>
      <c r="E155" s="475"/>
      <c r="F155" s="475"/>
      <c r="G155" s="475"/>
      <c r="H155" s="475"/>
      <c r="I155" s="475"/>
      <c r="J155" s="475"/>
      <c r="K155" s="475"/>
      <c r="L155" s="475"/>
      <c r="M155" s="475"/>
      <c r="N155" s="475"/>
      <c r="O155" s="475"/>
      <c r="P155" s="475"/>
      <c r="Q155" s="475"/>
      <c r="R155" s="475"/>
      <c r="S155" s="475"/>
      <c r="T155" s="475"/>
      <c r="U155" s="475"/>
      <c r="V155" s="475"/>
      <c r="W155" s="475"/>
      <c r="X155" s="475"/>
      <c r="Y155" s="475"/>
    </row>
    <row r="156" ht="13.5" customHeight="1">
      <c r="A156" s="475"/>
      <c r="B156" s="475"/>
      <c r="C156" s="475"/>
      <c r="D156" s="475"/>
      <c r="E156" s="475"/>
      <c r="F156" s="475"/>
      <c r="G156" s="475"/>
      <c r="H156" s="475"/>
      <c r="I156" s="475"/>
      <c r="J156" s="475"/>
      <c r="K156" s="475"/>
      <c r="L156" s="475"/>
      <c r="M156" s="475"/>
      <c r="N156" s="475"/>
      <c r="O156" s="475"/>
      <c r="P156" s="475"/>
      <c r="Q156" s="475"/>
      <c r="R156" s="475"/>
      <c r="S156" s="475"/>
      <c r="T156" s="475"/>
      <c r="U156" s="475"/>
      <c r="V156" s="475"/>
      <c r="W156" s="475"/>
      <c r="X156" s="475"/>
      <c r="Y156" s="475"/>
    </row>
    <row r="157" ht="13.5" customHeight="1">
      <c r="A157" s="475"/>
      <c r="B157" s="475"/>
      <c r="C157" s="475"/>
      <c r="D157" s="475"/>
      <c r="E157" s="475"/>
      <c r="F157" s="475"/>
      <c r="G157" s="475"/>
      <c r="H157" s="475"/>
      <c r="I157" s="475"/>
      <c r="J157" s="475"/>
      <c r="K157" s="475"/>
      <c r="L157" s="475"/>
      <c r="M157" s="475"/>
      <c r="N157" s="475"/>
      <c r="O157" s="475"/>
      <c r="P157" s="475"/>
      <c r="Q157" s="475"/>
      <c r="R157" s="475"/>
      <c r="S157" s="475"/>
      <c r="T157" s="475"/>
      <c r="U157" s="475"/>
      <c r="V157" s="475"/>
      <c r="W157" s="475"/>
      <c r="X157" s="475"/>
      <c r="Y157" s="475"/>
    </row>
    <row r="158" ht="13.5" customHeight="1">
      <c r="A158" s="475"/>
      <c r="B158" s="475"/>
      <c r="C158" s="475"/>
      <c r="D158" s="475"/>
      <c r="E158" s="475"/>
      <c r="F158" s="475"/>
      <c r="G158" s="475"/>
      <c r="H158" s="475"/>
      <c r="I158" s="475"/>
      <c r="J158" s="475"/>
      <c r="K158" s="475"/>
      <c r="L158" s="475"/>
      <c r="M158" s="475"/>
      <c r="N158" s="475"/>
      <c r="O158" s="475"/>
      <c r="P158" s="475"/>
      <c r="Q158" s="475"/>
      <c r="R158" s="475"/>
      <c r="S158" s="475"/>
      <c r="T158" s="475"/>
      <c r="U158" s="475"/>
      <c r="V158" s="475"/>
      <c r="W158" s="475"/>
      <c r="X158" s="475"/>
      <c r="Y158" s="475"/>
    </row>
    <row r="159" ht="13.5" customHeight="1">
      <c r="A159" s="475"/>
      <c r="B159" s="475"/>
      <c r="C159" s="475"/>
      <c r="D159" s="475"/>
      <c r="E159" s="475"/>
      <c r="F159" s="475"/>
      <c r="G159" s="475"/>
      <c r="H159" s="475"/>
      <c r="I159" s="475"/>
      <c r="J159" s="475"/>
      <c r="K159" s="475"/>
      <c r="L159" s="475"/>
      <c r="M159" s="475"/>
      <c r="N159" s="475"/>
      <c r="O159" s="475"/>
      <c r="P159" s="475"/>
      <c r="Q159" s="475"/>
      <c r="R159" s="475"/>
      <c r="S159" s="475"/>
      <c r="T159" s="475"/>
      <c r="U159" s="475"/>
      <c r="V159" s="475"/>
      <c r="W159" s="475"/>
      <c r="X159" s="475"/>
      <c r="Y159" s="475"/>
    </row>
    <row r="160" ht="13.5" customHeight="1">
      <c r="A160" s="475"/>
      <c r="B160" s="475"/>
      <c r="C160" s="475"/>
      <c r="D160" s="475"/>
      <c r="E160" s="475"/>
      <c r="F160" s="475"/>
      <c r="G160" s="475"/>
      <c r="H160" s="475"/>
      <c r="I160" s="475"/>
      <c r="J160" s="475"/>
      <c r="K160" s="475"/>
      <c r="L160" s="475"/>
      <c r="M160" s="475"/>
      <c r="N160" s="475"/>
      <c r="O160" s="475"/>
      <c r="P160" s="475"/>
      <c r="Q160" s="475"/>
      <c r="R160" s="475"/>
      <c r="S160" s="475"/>
      <c r="T160" s="475"/>
      <c r="U160" s="475"/>
      <c r="V160" s="475"/>
      <c r="W160" s="475"/>
      <c r="X160" s="475"/>
      <c r="Y160" s="475"/>
    </row>
    <row r="161" ht="13.5" customHeight="1">
      <c r="A161" s="475"/>
      <c r="B161" s="475"/>
      <c r="C161" s="475"/>
      <c r="D161" s="475"/>
      <c r="E161" s="475"/>
      <c r="F161" s="475"/>
      <c r="G161" s="475"/>
      <c r="H161" s="475"/>
      <c r="I161" s="475"/>
      <c r="J161" s="475"/>
      <c r="K161" s="475"/>
      <c r="L161" s="475"/>
      <c r="M161" s="475"/>
      <c r="N161" s="475"/>
      <c r="O161" s="475"/>
      <c r="P161" s="475"/>
      <c r="Q161" s="475"/>
      <c r="R161" s="475"/>
      <c r="S161" s="475"/>
      <c r="T161" s="475"/>
      <c r="U161" s="475"/>
      <c r="V161" s="475"/>
      <c r="W161" s="475"/>
      <c r="X161" s="475"/>
      <c r="Y161" s="475"/>
    </row>
    <row r="162" ht="13.5" customHeight="1">
      <c r="A162" s="475"/>
      <c r="B162" s="475"/>
      <c r="C162" s="475"/>
      <c r="D162" s="475"/>
      <c r="E162" s="475"/>
      <c r="F162" s="475"/>
      <c r="G162" s="475"/>
      <c r="H162" s="475"/>
      <c r="I162" s="475"/>
      <c r="J162" s="475"/>
      <c r="K162" s="475"/>
      <c r="L162" s="475"/>
      <c r="M162" s="475"/>
      <c r="N162" s="475"/>
      <c r="O162" s="475"/>
      <c r="P162" s="475"/>
      <c r="Q162" s="475"/>
      <c r="R162" s="475"/>
      <c r="S162" s="475"/>
      <c r="T162" s="475"/>
      <c r="U162" s="475"/>
      <c r="V162" s="475"/>
      <c r="W162" s="475"/>
      <c r="X162" s="475"/>
      <c r="Y162" s="475"/>
    </row>
    <row r="163" ht="13.5" customHeight="1">
      <c r="A163" s="475"/>
      <c r="B163" s="475"/>
      <c r="C163" s="475"/>
      <c r="D163" s="475"/>
      <c r="E163" s="475"/>
      <c r="F163" s="475"/>
      <c r="G163" s="475"/>
      <c r="H163" s="475"/>
      <c r="I163" s="475"/>
      <c r="J163" s="475"/>
      <c r="K163" s="475"/>
      <c r="L163" s="475"/>
      <c r="M163" s="475"/>
      <c r="N163" s="475"/>
      <c r="O163" s="475"/>
      <c r="P163" s="475"/>
      <c r="Q163" s="475"/>
      <c r="R163" s="475"/>
      <c r="S163" s="475"/>
      <c r="T163" s="475"/>
      <c r="U163" s="475"/>
      <c r="V163" s="475"/>
      <c r="W163" s="475"/>
      <c r="X163" s="475"/>
      <c r="Y163" s="475"/>
    </row>
    <row r="164" ht="13.5" customHeight="1">
      <c r="A164" s="475"/>
      <c r="B164" s="475"/>
      <c r="C164" s="475"/>
      <c r="D164" s="475"/>
      <c r="E164" s="475"/>
      <c r="F164" s="475"/>
      <c r="G164" s="475"/>
      <c r="H164" s="475"/>
      <c r="I164" s="475"/>
      <c r="J164" s="475"/>
      <c r="K164" s="475"/>
      <c r="L164" s="475"/>
      <c r="M164" s="475"/>
      <c r="N164" s="475"/>
      <c r="O164" s="475"/>
      <c r="P164" s="475"/>
      <c r="Q164" s="475"/>
      <c r="R164" s="475"/>
      <c r="S164" s="475"/>
      <c r="T164" s="475"/>
      <c r="U164" s="475"/>
      <c r="V164" s="475"/>
      <c r="W164" s="475"/>
      <c r="X164" s="475"/>
      <c r="Y164" s="475"/>
    </row>
    <row r="165" ht="13.5" customHeight="1">
      <c r="A165" s="475"/>
      <c r="B165" s="475"/>
      <c r="C165" s="475"/>
      <c r="D165" s="475"/>
      <c r="E165" s="475"/>
      <c r="F165" s="475"/>
      <c r="G165" s="475"/>
      <c r="H165" s="475"/>
      <c r="I165" s="475"/>
      <c r="J165" s="475"/>
      <c r="K165" s="475"/>
      <c r="L165" s="475"/>
      <c r="M165" s="475"/>
      <c r="N165" s="475"/>
      <c r="O165" s="475"/>
      <c r="P165" s="475"/>
      <c r="Q165" s="475"/>
      <c r="R165" s="475"/>
      <c r="S165" s="475"/>
      <c r="T165" s="475"/>
      <c r="U165" s="475"/>
      <c r="V165" s="475"/>
      <c r="W165" s="475"/>
      <c r="X165" s="475"/>
      <c r="Y165" s="475"/>
    </row>
    <row r="166" ht="13.5" customHeight="1">
      <c r="A166" s="475"/>
      <c r="B166" s="475"/>
      <c r="C166" s="475"/>
      <c r="D166" s="475"/>
      <c r="E166" s="475"/>
      <c r="F166" s="475"/>
      <c r="G166" s="475"/>
      <c r="H166" s="475"/>
      <c r="I166" s="475"/>
      <c r="J166" s="475"/>
      <c r="K166" s="475"/>
      <c r="L166" s="475"/>
      <c r="M166" s="475"/>
      <c r="N166" s="475"/>
      <c r="O166" s="475"/>
      <c r="P166" s="475"/>
      <c r="Q166" s="475"/>
      <c r="R166" s="475"/>
      <c r="S166" s="475"/>
      <c r="T166" s="475"/>
      <c r="U166" s="475"/>
      <c r="V166" s="475"/>
      <c r="W166" s="475"/>
      <c r="X166" s="475"/>
      <c r="Y166" s="475"/>
    </row>
    <row r="167" ht="13.5" customHeight="1">
      <c r="A167" s="475"/>
      <c r="B167" s="475"/>
      <c r="C167" s="475"/>
      <c r="D167" s="475"/>
      <c r="E167" s="475"/>
      <c r="F167" s="475"/>
      <c r="G167" s="475"/>
      <c r="H167" s="475"/>
      <c r="I167" s="475"/>
      <c r="J167" s="475"/>
      <c r="K167" s="475"/>
      <c r="L167" s="475"/>
      <c r="M167" s="475"/>
      <c r="N167" s="475"/>
      <c r="O167" s="475"/>
      <c r="P167" s="475"/>
      <c r="Q167" s="475"/>
      <c r="R167" s="475"/>
      <c r="S167" s="475"/>
      <c r="T167" s="475"/>
      <c r="U167" s="475"/>
      <c r="V167" s="475"/>
      <c r="W167" s="475"/>
      <c r="X167" s="475"/>
      <c r="Y167" s="475"/>
    </row>
    <row r="168" ht="13.5" customHeight="1">
      <c r="A168" s="475"/>
      <c r="B168" s="475"/>
      <c r="C168" s="475"/>
      <c r="D168" s="475"/>
      <c r="E168" s="475"/>
      <c r="F168" s="475"/>
      <c r="G168" s="475"/>
      <c r="H168" s="475"/>
      <c r="I168" s="475"/>
      <c r="J168" s="475"/>
      <c r="K168" s="475"/>
      <c r="L168" s="475"/>
      <c r="M168" s="475"/>
      <c r="N168" s="475"/>
      <c r="O168" s="475"/>
      <c r="P168" s="475"/>
      <c r="Q168" s="475"/>
      <c r="R168" s="475"/>
      <c r="S168" s="475"/>
      <c r="T168" s="475"/>
      <c r="U168" s="475"/>
      <c r="V168" s="475"/>
      <c r="W168" s="475"/>
      <c r="X168" s="475"/>
      <c r="Y168" s="475"/>
    </row>
    <row r="169" ht="13.5" customHeight="1">
      <c r="A169" s="475"/>
      <c r="B169" s="475"/>
      <c r="C169" s="475"/>
      <c r="D169" s="475"/>
      <c r="E169" s="475"/>
      <c r="F169" s="475"/>
      <c r="G169" s="475"/>
      <c r="H169" s="475"/>
      <c r="I169" s="475"/>
      <c r="J169" s="475"/>
      <c r="K169" s="475"/>
      <c r="L169" s="475"/>
      <c r="M169" s="475"/>
      <c r="N169" s="475"/>
      <c r="O169" s="475"/>
      <c r="P169" s="475"/>
      <c r="Q169" s="475"/>
      <c r="R169" s="475"/>
      <c r="S169" s="475"/>
      <c r="T169" s="475"/>
      <c r="U169" s="475"/>
      <c r="V169" s="475"/>
      <c r="W169" s="475"/>
      <c r="X169" s="475"/>
      <c r="Y169" s="475"/>
    </row>
    <row r="170" ht="13.5" customHeight="1">
      <c r="A170" s="475"/>
      <c r="B170" s="475"/>
      <c r="C170" s="475"/>
      <c r="D170" s="475"/>
      <c r="E170" s="475"/>
      <c r="F170" s="475"/>
      <c r="G170" s="475"/>
      <c r="H170" s="475"/>
      <c r="I170" s="475"/>
      <c r="J170" s="475"/>
      <c r="K170" s="475"/>
      <c r="L170" s="475"/>
      <c r="M170" s="475"/>
      <c r="N170" s="475"/>
      <c r="O170" s="475"/>
      <c r="P170" s="475"/>
      <c r="Q170" s="475"/>
      <c r="R170" s="475"/>
      <c r="S170" s="475"/>
      <c r="T170" s="475"/>
      <c r="U170" s="475"/>
      <c r="V170" s="475"/>
      <c r="W170" s="475"/>
      <c r="X170" s="475"/>
      <c r="Y170" s="475"/>
    </row>
    <row r="171" ht="13.5" customHeight="1">
      <c r="A171" s="475"/>
      <c r="B171" s="475"/>
      <c r="C171" s="475"/>
      <c r="D171" s="475"/>
      <c r="E171" s="475"/>
      <c r="F171" s="475"/>
      <c r="G171" s="475"/>
      <c r="H171" s="475"/>
      <c r="I171" s="475"/>
      <c r="J171" s="475"/>
      <c r="K171" s="475"/>
      <c r="L171" s="475"/>
      <c r="M171" s="475"/>
      <c r="N171" s="475"/>
      <c r="O171" s="475"/>
      <c r="P171" s="475"/>
      <c r="Q171" s="475"/>
      <c r="R171" s="475"/>
      <c r="S171" s="475"/>
      <c r="T171" s="475"/>
      <c r="U171" s="475"/>
      <c r="V171" s="475"/>
      <c r="W171" s="475"/>
      <c r="X171" s="475"/>
      <c r="Y171" s="475"/>
    </row>
    <row r="172" ht="13.5" customHeight="1">
      <c r="A172" s="475"/>
      <c r="B172" s="475"/>
      <c r="C172" s="475"/>
      <c r="D172" s="475"/>
      <c r="E172" s="475"/>
      <c r="F172" s="475"/>
      <c r="G172" s="475"/>
      <c r="H172" s="475"/>
      <c r="I172" s="475"/>
      <c r="J172" s="475"/>
      <c r="K172" s="475"/>
      <c r="L172" s="475"/>
      <c r="M172" s="475"/>
      <c r="N172" s="475"/>
      <c r="O172" s="475"/>
      <c r="P172" s="475"/>
      <c r="Q172" s="475"/>
      <c r="R172" s="475"/>
      <c r="S172" s="475"/>
      <c r="T172" s="475"/>
      <c r="U172" s="475"/>
      <c r="V172" s="475"/>
      <c r="W172" s="475"/>
      <c r="X172" s="475"/>
      <c r="Y172" s="475"/>
    </row>
    <row r="173" ht="13.5" customHeight="1">
      <c r="A173" s="475"/>
      <c r="B173" s="475"/>
      <c r="C173" s="475"/>
      <c r="D173" s="475"/>
      <c r="E173" s="475"/>
      <c r="F173" s="475"/>
      <c r="G173" s="475"/>
      <c r="H173" s="475"/>
      <c r="I173" s="475"/>
      <c r="J173" s="475"/>
      <c r="K173" s="475"/>
      <c r="L173" s="475"/>
      <c r="M173" s="475"/>
      <c r="N173" s="475"/>
      <c r="O173" s="475"/>
      <c r="P173" s="475"/>
      <c r="Q173" s="475"/>
      <c r="R173" s="475"/>
      <c r="S173" s="475"/>
      <c r="T173" s="475"/>
      <c r="U173" s="475"/>
      <c r="V173" s="475"/>
      <c r="W173" s="475"/>
      <c r="X173" s="475"/>
      <c r="Y173" s="475"/>
    </row>
    <row r="174" ht="13.5" customHeight="1">
      <c r="A174" s="475"/>
      <c r="B174" s="475"/>
      <c r="C174" s="475"/>
      <c r="D174" s="475"/>
      <c r="E174" s="475"/>
      <c r="F174" s="475"/>
      <c r="G174" s="475"/>
      <c r="H174" s="475"/>
      <c r="I174" s="475"/>
      <c r="J174" s="475"/>
      <c r="K174" s="475"/>
      <c r="L174" s="475"/>
      <c r="M174" s="475"/>
      <c r="N174" s="475"/>
      <c r="O174" s="475"/>
      <c r="P174" s="475"/>
      <c r="Q174" s="475"/>
      <c r="R174" s="475"/>
      <c r="S174" s="475"/>
      <c r="T174" s="475"/>
      <c r="U174" s="475"/>
      <c r="V174" s="475"/>
      <c r="W174" s="475"/>
      <c r="X174" s="475"/>
      <c r="Y174" s="475"/>
    </row>
    <row r="175" ht="13.5" customHeight="1">
      <c r="A175" s="475"/>
      <c r="B175" s="475"/>
      <c r="C175" s="475"/>
      <c r="D175" s="475"/>
      <c r="E175" s="475"/>
      <c r="F175" s="475"/>
      <c r="G175" s="475"/>
      <c r="H175" s="475"/>
      <c r="I175" s="475"/>
      <c r="J175" s="475"/>
      <c r="K175" s="475"/>
      <c r="L175" s="475"/>
      <c r="M175" s="475"/>
      <c r="N175" s="475"/>
      <c r="O175" s="475"/>
      <c r="P175" s="475"/>
      <c r="Q175" s="475"/>
      <c r="R175" s="475"/>
      <c r="S175" s="475"/>
      <c r="T175" s="475"/>
      <c r="U175" s="475"/>
      <c r="V175" s="475"/>
      <c r="W175" s="475"/>
      <c r="X175" s="475"/>
      <c r="Y175" s="475"/>
    </row>
    <row r="176" ht="13.5" customHeight="1">
      <c r="A176" s="475"/>
      <c r="B176" s="475"/>
      <c r="C176" s="475"/>
      <c r="D176" s="475"/>
      <c r="E176" s="475"/>
      <c r="F176" s="475"/>
      <c r="G176" s="475"/>
      <c r="H176" s="475"/>
      <c r="I176" s="475"/>
      <c r="J176" s="475"/>
      <c r="K176" s="475"/>
      <c r="L176" s="475"/>
      <c r="M176" s="475"/>
      <c r="N176" s="475"/>
      <c r="O176" s="475"/>
      <c r="P176" s="475"/>
      <c r="Q176" s="475"/>
      <c r="R176" s="475"/>
      <c r="S176" s="475"/>
      <c r="T176" s="475"/>
      <c r="U176" s="475"/>
      <c r="V176" s="475"/>
      <c r="W176" s="475"/>
      <c r="X176" s="475"/>
      <c r="Y176" s="475"/>
    </row>
    <row r="177" ht="13.5" customHeight="1">
      <c r="A177" s="475"/>
      <c r="B177" s="475"/>
      <c r="C177" s="475"/>
      <c r="D177" s="475"/>
      <c r="E177" s="475"/>
      <c r="F177" s="475"/>
      <c r="G177" s="475"/>
      <c r="H177" s="475"/>
      <c r="I177" s="475"/>
      <c r="J177" s="475"/>
      <c r="K177" s="475"/>
      <c r="L177" s="475"/>
      <c r="M177" s="475"/>
      <c r="N177" s="475"/>
      <c r="O177" s="475"/>
      <c r="P177" s="475"/>
      <c r="Q177" s="475"/>
      <c r="R177" s="475"/>
      <c r="S177" s="475"/>
      <c r="T177" s="475"/>
      <c r="U177" s="475"/>
      <c r="V177" s="475"/>
      <c r="W177" s="475"/>
      <c r="X177" s="475"/>
      <c r="Y177" s="475"/>
    </row>
    <row r="178" ht="13.5" customHeight="1">
      <c r="A178" s="475"/>
      <c r="B178" s="475"/>
      <c r="C178" s="475"/>
      <c r="D178" s="475"/>
      <c r="E178" s="475"/>
      <c r="F178" s="475"/>
      <c r="G178" s="475"/>
      <c r="H178" s="475"/>
      <c r="I178" s="475"/>
      <c r="J178" s="475"/>
      <c r="K178" s="475"/>
      <c r="L178" s="475"/>
      <c r="M178" s="475"/>
      <c r="N178" s="475"/>
      <c r="O178" s="475"/>
      <c r="P178" s="475"/>
      <c r="Q178" s="475"/>
      <c r="R178" s="475"/>
      <c r="S178" s="475"/>
      <c r="T178" s="475"/>
      <c r="U178" s="475"/>
      <c r="V178" s="475"/>
      <c r="W178" s="475"/>
      <c r="X178" s="475"/>
      <c r="Y178" s="475"/>
    </row>
    <row r="179" ht="13.5" customHeight="1">
      <c r="A179" s="475"/>
      <c r="B179" s="475"/>
      <c r="C179" s="475"/>
      <c r="D179" s="475"/>
      <c r="E179" s="475"/>
      <c r="F179" s="475"/>
      <c r="G179" s="475"/>
      <c r="H179" s="475"/>
      <c r="I179" s="475"/>
      <c r="J179" s="475"/>
      <c r="K179" s="475"/>
      <c r="L179" s="475"/>
      <c r="M179" s="475"/>
      <c r="N179" s="475"/>
      <c r="O179" s="475"/>
      <c r="P179" s="475"/>
      <c r="Q179" s="475"/>
      <c r="R179" s="475"/>
      <c r="S179" s="475"/>
      <c r="T179" s="475"/>
      <c r="U179" s="475"/>
      <c r="V179" s="475"/>
      <c r="W179" s="475"/>
      <c r="X179" s="475"/>
      <c r="Y179" s="475"/>
    </row>
    <row r="180" ht="13.5" customHeight="1">
      <c r="A180" s="475"/>
      <c r="B180" s="475"/>
      <c r="C180" s="475"/>
      <c r="D180" s="475"/>
      <c r="E180" s="475"/>
      <c r="F180" s="475"/>
      <c r="G180" s="475"/>
      <c r="H180" s="475"/>
      <c r="I180" s="475"/>
      <c r="J180" s="475"/>
      <c r="K180" s="475"/>
      <c r="L180" s="475"/>
      <c r="M180" s="475"/>
      <c r="N180" s="475"/>
      <c r="O180" s="475"/>
      <c r="P180" s="475"/>
      <c r="Q180" s="475"/>
      <c r="R180" s="475"/>
      <c r="S180" s="475"/>
      <c r="T180" s="475"/>
      <c r="U180" s="475"/>
      <c r="V180" s="475"/>
      <c r="W180" s="475"/>
      <c r="X180" s="475"/>
      <c r="Y180" s="475"/>
    </row>
    <row r="181" ht="13.5" customHeight="1">
      <c r="A181" s="475"/>
      <c r="B181" s="475"/>
      <c r="C181" s="475"/>
      <c r="D181" s="475"/>
      <c r="E181" s="475"/>
      <c r="F181" s="475"/>
      <c r="G181" s="475"/>
      <c r="H181" s="475"/>
      <c r="I181" s="475"/>
      <c r="J181" s="475"/>
      <c r="K181" s="475"/>
      <c r="L181" s="475"/>
      <c r="M181" s="475"/>
      <c r="N181" s="475"/>
      <c r="O181" s="475"/>
      <c r="P181" s="475"/>
      <c r="Q181" s="475"/>
      <c r="R181" s="475"/>
      <c r="S181" s="475"/>
      <c r="T181" s="475"/>
      <c r="U181" s="475"/>
      <c r="V181" s="475"/>
      <c r="W181" s="475"/>
      <c r="X181" s="475"/>
      <c r="Y181" s="475"/>
    </row>
    <row r="182" ht="13.5" customHeight="1">
      <c r="A182" s="475"/>
      <c r="B182" s="475"/>
      <c r="C182" s="475"/>
      <c r="D182" s="475"/>
      <c r="E182" s="475"/>
      <c r="F182" s="475"/>
      <c r="G182" s="475"/>
      <c r="H182" s="475"/>
      <c r="I182" s="475"/>
      <c r="J182" s="475"/>
      <c r="K182" s="475"/>
      <c r="L182" s="475"/>
      <c r="M182" s="475"/>
      <c r="N182" s="475"/>
      <c r="O182" s="475"/>
      <c r="P182" s="475"/>
      <c r="Q182" s="475"/>
      <c r="R182" s="475"/>
      <c r="S182" s="475"/>
      <c r="T182" s="475"/>
      <c r="U182" s="475"/>
      <c r="V182" s="475"/>
      <c r="W182" s="475"/>
      <c r="X182" s="475"/>
      <c r="Y182" s="475"/>
    </row>
    <row r="183" ht="13.5" customHeight="1">
      <c r="A183" s="475"/>
      <c r="B183" s="475"/>
      <c r="C183" s="475"/>
      <c r="D183" s="475"/>
      <c r="E183" s="475"/>
      <c r="F183" s="475"/>
      <c r="G183" s="475"/>
      <c r="H183" s="475"/>
      <c r="I183" s="475"/>
      <c r="J183" s="475"/>
      <c r="K183" s="475"/>
      <c r="L183" s="475"/>
      <c r="M183" s="475"/>
      <c r="N183" s="475"/>
      <c r="O183" s="475"/>
      <c r="P183" s="475"/>
      <c r="Q183" s="475"/>
      <c r="R183" s="475"/>
      <c r="S183" s="475"/>
      <c r="T183" s="475"/>
      <c r="U183" s="475"/>
      <c r="V183" s="475"/>
      <c r="W183" s="475"/>
      <c r="X183" s="475"/>
      <c r="Y183" s="475"/>
    </row>
    <row r="184" ht="13.5" customHeight="1">
      <c r="A184" s="475"/>
      <c r="B184" s="475"/>
      <c r="C184" s="475"/>
      <c r="D184" s="475"/>
      <c r="E184" s="475"/>
      <c r="F184" s="475"/>
      <c r="G184" s="475"/>
      <c r="H184" s="475"/>
      <c r="I184" s="475"/>
      <c r="J184" s="475"/>
      <c r="K184" s="475"/>
      <c r="L184" s="475"/>
      <c r="M184" s="475"/>
      <c r="N184" s="475"/>
      <c r="O184" s="475"/>
      <c r="P184" s="475"/>
      <c r="Q184" s="475"/>
      <c r="R184" s="475"/>
      <c r="S184" s="475"/>
      <c r="T184" s="475"/>
      <c r="U184" s="475"/>
      <c r="V184" s="475"/>
      <c r="W184" s="475"/>
      <c r="X184" s="475"/>
      <c r="Y184" s="475"/>
    </row>
    <row r="185" ht="13.5" customHeight="1">
      <c r="A185" s="475"/>
      <c r="B185" s="475"/>
      <c r="C185" s="475"/>
      <c r="D185" s="475"/>
      <c r="E185" s="475"/>
      <c r="F185" s="475"/>
      <c r="G185" s="475"/>
      <c r="H185" s="475"/>
      <c r="I185" s="475"/>
      <c r="J185" s="475"/>
      <c r="K185" s="475"/>
      <c r="L185" s="475"/>
      <c r="M185" s="475"/>
      <c r="N185" s="475"/>
      <c r="O185" s="475"/>
      <c r="P185" s="475"/>
      <c r="Q185" s="475"/>
      <c r="R185" s="475"/>
      <c r="S185" s="475"/>
      <c r="T185" s="475"/>
      <c r="U185" s="475"/>
      <c r="V185" s="475"/>
      <c r="W185" s="475"/>
      <c r="X185" s="475"/>
      <c r="Y185" s="475"/>
    </row>
    <row r="186" ht="13.5" customHeight="1">
      <c r="A186" s="475"/>
      <c r="B186" s="475"/>
      <c r="C186" s="475"/>
      <c r="D186" s="475"/>
      <c r="E186" s="475"/>
      <c r="F186" s="475"/>
      <c r="G186" s="475"/>
      <c r="H186" s="475"/>
      <c r="I186" s="475"/>
      <c r="J186" s="475"/>
      <c r="K186" s="475"/>
      <c r="L186" s="475"/>
      <c r="M186" s="475"/>
      <c r="N186" s="475"/>
      <c r="O186" s="475"/>
      <c r="P186" s="475"/>
      <c r="Q186" s="475"/>
      <c r="R186" s="475"/>
      <c r="S186" s="475"/>
      <c r="T186" s="475"/>
      <c r="U186" s="475"/>
      <c r="V186" s="475"/>
      <c r="W186" s="475"/>
      <c r="X186" s="475"/>
      <c r="Y186" s="475"/>
    </row>
    <row r="187" ht="13.5" customHeight="1">
      <c r="A187" s="475"/>
      <c r="B187" s="475"/>
      <c r="C187" s="475"/>
      <c r="D187" s="475"/>
      <c r="E187" s="475"/>
      <c r="F187" s="475"/>
      <c r="G187" s="475"/>
      <c r="H187" s="475"/>
      <c r="I187" s="475"/>
      <c r="J187" s="475"/>
      <c r="K187" s="475"/>
      <c r="L187" s="475"/>
      <c r="M187" s="475"/>
      <c r="N187" s="475"/>
      <c r="O187" s="475"/>
      <c r="P187" s="475"/>
      <c r="Q187" s="475"/>
      <c r="R187" s="475"/>
      <c r="S187" s="475"/>
      <c r="T187" s="475"/>
      <c r="U187" s="475"/>
      <c r="V187" s="475"/>
      <c r="W187" s="475"/>
      <c r="X187" s="475"/>
      <c r="Y187" s="475"/>
    </row>
    <row r="188" ht="13.5" customHeight="1">
      <c r="A188" s="475"/>
      <c r="B188" s="475"/>
      <c r="C188" s="475"/>
      <c r="D188" s="475"/>
      <c r="E188" s="475"/>
      <c r="F188" s="475"/>
      <c r="G188" s="475"/>
      <c r="H188" s="475"/>
      <c r="I188" s="475"/>
      <c r="J188" s="475"/>
      <c r="K188" s="475"/>
      <c r="L188" s="475"/>
      <c r="M188" s="475"/>
      <c r="N188" s="475"/>
      <c r="O188" s="475"/>
      <c r="P188" s="475"/>
      <c r="Q188" s="475"/>
      <c r="R188" s="475"/>
      <c r="S188" s="475"/>
      <c r="T188" s="475"/>
      <c r="U188" s="475"/>
      <c r="V188" s="475"/>
      <c r="W188" s="475"/>
      <c r="X188" s="475"/>
      <c r="Y188" s="475"/>
    </row>
    <row r="189" ht="13.5" customHeight="1">
      <c r="A189" s="475"/>
      <c r="B189" s="475"/>
      <c r="C189" s="475"/>
      <c r="D189" s="475"/>
      <c r="E189" s="475"/>
      <c r="F189" s="475"/>
      <c r="G189" s="475"/>
      <c r="H189" s="475"/>
      <c r="I189" s="475"/>
      <c r="J189" s="475"/>
      <c r="K189" s="475"/>
      <c r="L189" s="475"/>
      <c r="M189" s="475"/>
      <c r="N189" s="475"/>
      <c r="O189" s="475"/>
      <c r="P189" s="475"/>
      <c r="Q189" s="475"/>
      <c r="R189" s="475"/>
      <c r="S189" s="475"/>
      <c r="T189" s="475"/>
      <c r="U189" s="475"/>
      <c r="V189" s="475"/>
      <c r="W189" s="475"/>
      <c r="X189" s="475"/>
      <c r="Y189" s="475"/>
    </row>
    <row r="190" ht="13.5" customHeight="1">
      <c r="A190" s="475"/>
      <c r="B190" s="475"/>
      <c r="C190" s="475"/>
      <c r="D190" s="475"/>
      <c r="E190" s="475"/>
      <c r="F190" s="475"/>
      <c r="G190" s="475"/>
      <c r="H190" s="475"/>
      <c r="I190" s="475"/>
      <c r="J190" s="475"/>
      <c r="K190" s="475"/>
      <c r="L190" s="475"/>
      <c r="M190" s="475"/>
      <c r="N190" s="475"/>
      <c r="O190" s="475"/>
      <c r="P190" s="475"/>
      <c r="Q190" s="475"/>
      <c r="R190" s="475"/>
      <c r="S190" s="475"/>
      <c r="T190" s="475"/>
      <c r="U190" s="475"/>
      <c r="V190" s="475"/>
      <c r="W190" s="475"/>
      <c r="X190" s="475"/>
      <c r="Y190" s="475"/>
    </row>
    <row r="191" ht="13.5" customHeight="1">
      <c r="A191" s="475"/>
      <c r="B191" s="475"/>
      <c r="C191" s="475"/>
      <c r="D191" s="475"/>
      <c r="E191" s="475"/>
      <c r="F191" s="475"/>
      <c r="G191" s="475"/>
      <c r="H191" s="475"/>
      <c r="I191" s="475"/>
      <c r="J191" s="475"/>
      <c r="K191" s="475"/>
      <c r="L191" s="475"/>
      <c r="M191" s="475"/>
      <c r="N191" s="475"/>
      <c r="O191" s="475"/>
      <c r="P191" s="475"/>
      <c r="Q191" s="475"/>
      <c r="R191" s="475"/>
      <c r="S191" s="475"/>
      <c r="T191" s="475"/>
      <c r="U191" s="475"/>
      <c r="V191" s="475"/>
      <c r="W191" s="475"/>
      <c r="X191" s="475"/>
      <c r="Y191" s="475"/>
    </row>
    <row r="192" ht="13.5" customHeight="1">
      <c r="A192" s="475"/>
      <c r="B192" s="475"/>
      <c r="C192" s="475"/>
      <c r="D192" s="475"/>
      <c r="E192" s="475"/>
      <c r="F192" s="475"/>
      <c r="G192" s="475"/>
      <c r="H192" s="475"/>
      <c r="I192" s="475"/>
      <c r="J192" s="475"/>
      <c r="K192" s="475"/>
      <c r="L192" s="475"/>
      <c r="M192" s="475"/>
      <c r="N192" s="475"/>
      <c r="O192" s="475"/>
      <c r="P192" s="475"/>
      <c r="Q192" s="475"/>
      <c r="R192" s="475"/>
      <c r="S192" s="475"/>
      <c r="T192" s="475"/>
      <c r="U192" s="475"/>
      <c r="V192" s="475"/>
      <c r="W192" s="475"/>
      <c r="X192" s="475"/>
      <c r="Y192" s="475"/>
    </row>
    <row r="193" ht="13.5" customHeight="1">
      <c r="A193" s="475"/>
      <c r="B193" s="475"/>
      <c r="C193" s="475"/>
      <c r="D193" s="475"/>
      <c r="E193" s="475"/>
      <c r="F193" s="475"/>
      <c r="G193" s="475"/>
      <c r="H193" s="475"/>
      <c r="I193" s="475"/>
      <c r="J193" s="475"/>
      <c r="K193" s="475"/>
      <c r="L193" s="475"/>
      <c r="M193" s="475"/>
      <c r="N193" s="475"/>
      <c r="O193" s="475"/>
      <c r="P193" s="475"/>
      <c r="Q193" s="475"/>
      <c r="R193" s="475"/>
      <c r="S193" s="475"/>
      <c r="T193" s="475"/>
      <c r="U193" s="475"/>
      <c r="V193" s="475"/>
      <c r="W193" s="475"/>
      <c r="X193" s="475"/>
      <c r="Y193" s="475"/>
    </row>
    <row r="194" ht="13.5" customHeight="1">
      <c r="A194" s="475"/>
      <c r="B194" s="475"/>
      <c r="C194" s="475"/>
      <c r="D194" s="475"/>
      <c r="E194" s="475"/>
      <c r="F194" s="475"/>
      <c r="G194" s="475"/>
      <c r="H194" s="475"/>
      <c r="I194" s="475"/>
      <c r="J194" s="475"/>
      <c r="K194" s="475"/>
      <c r="L194" s="475"/>
      <c r="M194" s="475"/>
      <c r="N194" s="475"/>
      <c r="O194" s="475"/>
      <c r="P194" s="475"/>
      <c r="Q194" s="475"/>
      <c r="R194" s="475"/>
      <c r="S194" s="475"/>
      <c r="T194" s="475"/>
      <c r="U194" s="475"/>
      <c r="V194" s="475"/>
      <c r="W194" s="475"/>
      <c r="X194" s="475"/>
      <c r="Y194" s="475"/>
    </row>
    <row r="195" ht="13.5" customHeight="1">
      <c r="A195" s="475"/>
      <c r="B195" s="475"/>
      <c r="C195" s="475"/>
      <c r="D195" s="475"/>
      <c r="E195" s="475"/>
      <c r="F195" s="475"/>
      <c r="G195" s="475"/>
      <c r="H195" s="475"/>
      <c r="I195" s="475"/>
      <c r="J195" s="475"/>
      <c r="K195" s="475"/>
      <c r="L195" s="475"/>
      <c r="M195" s="475"/>
      <c r="N195" s="475"/>
      <c r="O195" s="475"/>
      <c r="P195" s="475"/>
      <c r="Q195" s="475"/>
      <c r="R195" s="475"/>
      <c r="S195" s="475"/>
      <c r="T195" s="475"/>
      <c r="U195" s="475"/>
      <c r="V195" s="475"/>
      <c r="W195" s="475"/>
      <c r="X195" s="475"/>
      <c r="Y195" s="475"/>
    </row>
    <row r="196" ht="13.5" customHeight="1">
      <c r="A196" s="475"/>
      <c r="B196" s="475"/>
      <c r="C196" s="475"/>
      <c r="D196" s="475"/>
      <c r="E196" s="475"/>
      <c r="F196" s="475"/>
      <c r="G196" s="475"/>
      <c r="H196" s="475"/>
      <c r="I196" s="475"/>
      <c r="J196" s="475"/>
      <c r="K196" s="475"/>
      <c r="L196" s="475"/>
      <c r="M196" s="475"/>
      <c r="N196" s="475"/>
      <c r="O196" s="475"/>
      <c r="P196" s="475"/>
      <c r="Q196" s="475"/>
      <c r="R196" s="475"/>
      <c r="S196" s="475"/>
      <c r="T196" s="475"/>
      <c r="U196" s="475"/>
      <c r="V196" s="475"/>
      <c r="W196" s="475"/>
      <c r="X196" s="475"/>
      <c r="Y196" s="475"/>
    </row>
    <row r="197" ht="13.5" customHeight="1">
      <c r="A197" s="475"/>
      <c r="B197" s="475"/>
      <c r="C197" s="475"/>
      <c r="D197" s="475"/>
      <c r="E197" s="475"/>
      <c r="F197" s="475"/>
      <c r="G197" s="475"/>
      <c r="H197" s="475"/>
      <c r="I197" s="475"/>
      <c r="J197" s="475"/>
      <c r="K197" s="475"/>
      <c r="L197" s="475"/>
      <c r="M197" s="475"/>
      <c r="N197" s="475"/>
      <c r="O197" s="475"/>
      <c r="P197" s="475"/>
      <c r="Q197" s="475"/>
      <c r="R197" s="475"/>
      <c r="S197" s="475"/>
      <c r="T197" s="475"/>
      <c r="U197" s="475"/>
      <c r="V197" s="475"/>
      <c r="W197" s="475"/>
      <c r="X197" s="475"/>
      <c r="Y197" s="475"/>
    </row>
    <row r="198" ht="13.5" customHeight="1">
      <c r="A198" s="475"/>
      <c r="B198" s="475"/>
      <c r="C198" s="475"/>
      <c r="D198" s="475"/>
      <c r="E198" s="475"/>
      <c r="F198" s="475"/>
      <c r="G198" s="475"/>
      <c r="H198" s="475"/>
      <c r="I198" s="475"/>
      <c r="J198" s="475"/>
      <c r="K198" s="475"/>
      <c r="L198" s="475"/>
      <c r="M198" s="475"/>
      <c r="N198" s="475"/>
      <c r="O198" s="475"/>
      <c r="P198" s="475"/>
      <c r="Q198" s="475"/>
      <c r="R198" s="475"/>
      <c r="S198" s="475"/>
      <c r="T198" s="475"/>
      <c r="U198" s="475"/>
      <c r="V198" s="475"/>
      <c r="W198" s="475"/>
      <c r="X198" s="475"/>
      <c r="Y198" s="475"/>
    </row>
    <row r="199" ht="13.5" customHeight="1">
      <c r="A199" s="475"/>
      <c r="B199" s="475"/>
      <c r="C199" s="475"/>
      <c r="D199" s="475"/>
      <c r="E199" s="475"/>
      <c r="F199" s="475"/>
      <c r="G199" s="475"/>
      <c r="H199" s="475"/>
      <c r="I199" s="475"/>
      <c r="J199" s="475"/>
      <c r="K199" s="475"/>
      <c r="L199" s="475"/>
      <c r="M199" s="475"/>
      <c r="N199" s="475"/>
      <c r="O199" s="475"/>
      <c r="P199" s="475"/>
      <c r="Q199" s="475"/>
      <c r="R199" s="475"/>
      <c r="S199" s="475"/>
      <c r="T199" s="475"/>
      <c r="U199" s="475"/>
      <c r="V199" s="475"/>
      <c r="W199" s="475"/>
      <c r="X199" s="475"/>
      <c r="Y199" s="475"/>
    </row>
    <row r="200" ht="13.5" customHeight="1">
      <c r="A200" s="475"/>
      <c r="B200" s="475"/>
      <c r="C200" s="475"/>
      <c r="D200" s="475"/>
      <c r="E200" s="475"/>
      <c r="F200" s="475"/>
      <c r="G200" s="475"/>
      <c r="H200" s="475"/>
      <c r="I200" s="475"/>
      <c r="J200" s="475"/>
      <c r="K200" s="475"/>
      <c r="L200" s="475"/>
      <c r="M200" s="475"/>
      <c r="N200" s="475"/>
      <c r="O200" s="475"/>
      <c r="P200" s="475"/>
      <c r="Q200" s="475"/>
      <c r="R200" s="475"/>
      <c r="S200" s="475"/>
      <c r="T200" s="475"/>
      <c r="U200" s="475"/>
      <c r="V200" s="475"/>
      <c r="W200" s="475"/>
      <c r="X200" s="475"/>
      <c r="Y200" s="475"/>
    </row>
    <row r="201" ht="13.5" customHeight="1">
      <c r="A201" s="475"/>
      <c r="B201" s="475"/>
      <c r="C201" s="475"/>
      <c r="D201" s="475"/>
      <c r="E201" s="475"/>
      <c r="F201" s="475"/>
      <c r="G201" s="475"/>
      <c r="H201" s="475"/>
      <c r="I201" s="475"/>
      <c r="J201" s="475"/>
      <c r="K201" s="475"/>
      <c r="L201" s="475"/>
      <c r="M201" s="475"/>
      <c r="N201" s="475"/>
      <c r="O201" s="475"/>
      <c r="P201" s="475"/>
      <c r="Q201" s="475"/>
      <c r="R201" s="475"/>
      <c r="S201" s="475"/>
      <c r="T201" s="475"/>
      <c r="U201" s="475"/>
      <c r="V201" s="475"/>
      <c r="W201" s="475"/>
      <c r="X201" s="475"/>
      <c r="Y201" s="475"/>
    </row>
    <row r="202" ht="13.5" customHeight="1">
      <c r="A202" s="475"/>
      <c r="B202" s="475"/>
      <c r="C202" s="475"/>
      <c r="D202" s="475"/>
      <c r="E202" s="475"/>
      <c r="F202" s="475"/>
      <c r="G202" s="475"/>
      <c r="H202" s="475"/>
      <c r="I202" s="475"/>
      <c r="J202" s="475"/>
      <c r="K202" s="475"/>
      <c r="L202" s="475"/>
      <c r="M202" s="475"/>
      <c r="N202" s="475"/>
      <c r="O202" s="475"/>
      <c r="P202" s="475"/>
      <c r="Q202" s="475"/>
      <c r="R202" s="475"/>
      <c r="S202" s="475"/>
      <c r="T202" s="475"/>
      <c r="U202" s="475"/>
      <c r="V202" s="475"/>
      <c r="W202" s="475"/>
      <c r="X202" s="475"/>
      <c r="Y202" s="475"/>
    </row>
    <row r="203" ht="13.5" customHeight="1">
      <c r="A203" s="475"/>
      <c r="B203" s="475"/>
      <c r="C203" s="475"/>
      <c r="D203" s="475"/>
      <c r="E203" s="475"/>
      <c r="F203" s="475"/>
      <c r="G203" s="475"/>
      <c r="H203" s="475"/>
      <c r="I203" s="475"/>
      <c r="J203" s="475"/>
      <c r="K203" s="475"/>
      <c r="L203" s="475"/>
      <c r="M203" s="475"/>
      <c r="N203" s="475"/>
      <c r="O203" s="475"/>
      <c r="P203" s="475"/>
      <c r="Q203" s="475"/>
      <c r="R203" s="475"/>
      <c r="S203" s="475"/>
      <c r="T203" s="475"/>
      <c r="U203" s="475"/>
      <c r="V203" s="475"/>
      <c r="W203" s="475"/>
      <c r="X203" s="475"/>
      <c r="Y203" s="475"/>
    </row>
    <row r="204" ht="13.5" customHeight="1">
      <c r="A204" s="475"/>
      <c r="B204" s="475"/>
      <c r="C204" s="475"/>
      <c r="D204" s="475"/>
      <c r="E204" s="475"/>
      <c r="F204" s="475"/>
      <c r="G204" s="475"/>
      <c r="H204" s="475"/>
      <c r="I204" s="475"/>
      <c r="J204" s="475"/>
      <c r="K204" s="475"/>
      <c r="L204" s="475"/>
      <c r="M204" s="475"/>
      <c r="N204" s="475"/>
      <c r="O204" s="475"/>
      <c r="P204" s="475"/>
      <c r="Q204" s="475"/>
      <c r="R204" s="475"/>
      <c r="S204" s="475"/>
      <c r="T204" s="475"/>
      <c r="U204" s="475"/>
      <c r="V204" s="475"/>
      <c r="W204" s="475"/>
      <c r="X204" s="475"/>
      <c r="Y204" s="475"/>
    </row>
    <row r="205" ht="13.5" customHeight="1">
      <c r="A205" s="475"/>
      <c r="B205" s="475"/>
      <c r="C205" s="475"/>
      <c r="D205" s="475"/>
      <c r="E205" s="475"/>
      <c r="F205" s="475"/>
      <c r="G205" s="475"/>
      <c r="H205" s="475"/>
      <c r="I205" s="475"/>
      <c r="J205" s="475"/>
      <c r="K205" s="475"/>
      <c r="L205" s="475"/>
      <c r="M205" s="475"/>
      <c r="N205" s="475"/>
      <c r="O205" s="475"/>
      <c r="P205" s="475"/>
      <c r="Q205" s="475"/>
      <c r="R205" s="475"/>
      <c r="S205" s="475"/>
      <c r="T205" s="475"/>
      <c r="U205" s="475"/>
      <c r="V205" s="475"/>
      <c r="W205" s="475"/>
      <c r="X205" s="475"/>
      <c r="Y205" s="475"/>
    </row>
    <row r="206" ht="13.5" customHeight="1">
      <c r="A206" s="475"/>
      <c r="B206" s="475"/>
      <c r="C206" s="475"/>
      <c r="D206" s="475"/>
      <c r="E206" s="475"/>
      <c r="F206" s="475"/>
      <c r="G206" s="475"/>
      <c r="H206" s="475"/>
      <c r="I206" s="475"/>
      <c r="J206" s="475"/>
      <c r="K206" s="475"/>
      <c r="L206" s="475"/>
      <c r="M206" s="475"/>
      <c r="N206" s="475"/>
      <c r="O206" s="475"/>
      <c r="P206" s="475"/>
      <c r="Q206" s="475"/>
      <c r="R206" s="475"/>
      <c r="S206" s="475"/>
      <c r="T206" s="475"/>
      <c r="U206" s="475"/>
      <c r="V206" s="475"/>
      <c r="W206" s="475"/>
      <c r="X206" s="475"/>
      <c r="Y206" s="475"/>
    </row>
    <row r="207" ht="13.5" customHeight="1">
      <c r="A207" s="475"/>
      <c r="B207" s="475"/>
      <c r="C207" s="475"/>
      <c r="D207" s="475"/>
      <c r="E207" s="475"/>
      <c r="F207" s="475"/>
      <c r="G207" s="475"/>
      <c r="H207" s="475"/>
      <c r="I207" s="475"/>
      <c r="J207" s="475"/>
      <c r="K207" s="475"/>
      <c r="L207" s="475"/>
      <c r="M207" s="475"/>
      <c r="N207" s="475"/>
      <c r="O207" s="475"/>
      <c r="P207" s="475"/>
      <c r="Q207" s="475"/>
      <c r="R207" s="475"/>
      <c r="S207" s="475"/>
      <c r="T207" s="475"/>
      <c r="U207" s="475"/>
      <c r="V207" s="475"/>
      <c r="W207" s="475"/>
      <c r="X207" s="475"/>
      <c r="Y207" s="475"/>
    </row>
    <row r="208" ht="13.5" customHeight="1">
      <c r="A208" s="475"/>
      <c r="B208" s="475"/>
      <c r="C208" s="475"/>
      <c r="D208" s="475"/>
      <c r="E208" s="475"/>
      <c r="F208" s="475"/>
      <c r="G208" s="475"/>
      <c r="H208" s="475"/>
      <c r="I208" s="475"/>
      <c r="J208" s="475"/>
      <c r="K208" s="475"/>
      <c r="L208" s="475"/>
      <c r="M208" s="475"/>
      <c r="N208" s="475"/>
      <c r="O208" s="475"/>
      <c r="P208" s="475"/>
      <c r="Q208" s="475"/>
      <c r="R208" s="475"/>
      <c r="S208" s="475"/>
      <c r="T208" s="475"/>
      <c r="U208" s="475"/>
      <c r="V208" s="475"/>
      <c r="W208" s="475"/>
      <c r="X208" s="475"/>
      <c r="Y208" s="475"/>
    </row>
    <row r="209" ht="13.5" customHeight="1">
      <c r="A209" s="475"/>
      <c r="B209" s="475"/>
      <c r="C209" s="475"/>
      <c r="D209" s="475"/>
      <c r="E209" s="475"/>
      <c r="F209" s="475"/>
      <c r="G209" s="475"/>
      <c r="H209" s="475"/>
      <c r="I209" s="475"/>
      <c r="J209" s="475"/>
      <c r="K209" s="475"/>
      <c r="L209" s="475"/>
      <c r="M209" s="475"/>
      <c r="N209" s="475"/>
      <c r="O209" s="475"/>
      <c r="P209" s="475"/>
      <c r="Q209" s="475"/>
      <c r="R209" s="475"/>
      <c r="S209" s="475"/>
      <c r="T209" s="475"/>
      <c r="U209" s="475"/>
      <c r="V209" s="475"/>
      <c r="W209" s="475"/>
      <c r="X209" s="475"/>
      <c r="Y209" s="475"/>
    </row>
    <row r="210" ht="13.5" customHeight="1">
      <c r="A210" s="475"/>
      <c r="B210" s="475"/>
      <c r="C210" s="475"/>
      <c r="D210" s="475"/>
      <c r="E210" s="475"/>
      <c r="F210" s="475"/>
      <c r="G210" s="475"/>
      <c r="H210" s="475"/>
      <c r="I210" s="475"/>
      <c r="J210" s="475"/>
      <c r="K210" s="475"/>
      <c r="L210" s="475"/>
      <c r="M210" s="475"/>
      <c r="N210" s="475"/>
      <c r="O210" s="475"/>
      <c r="P210" s="475"/>
      <c r="Q210" s="475"/>
      <c r="R210" s="475"/>
      <c r="S210" s="475"/>
      <c r="T210" s="475"/>
      <c r="U210" s="475"/>
      <c r="V210" s="475"/>
      <c r="W210" s="475"/>
      <c r="X210" s="475"/>
      <c r="Y210" s="475"/>
    </row>
    <row r="211" ht="13.5" customHeight="1">
      <c r="A211" s="475"/>
      <c r="B211" s="475"/>
      <c r="C211" s="475"/>
      <c r="D211" s="475"/>
      <c r="E211" s="475"/>
      <c r="F211" s="475"/>
      <c r="G211" s="475"/>
      <c r="H211" s="475"/>
      <c r="I211" s="475"/>
      <c r="J211" s="475"/>
      <c r="K211" s="475"/>
      <c r="L211" s="475"/>
      <c r="M211" s="475"/>
      <c r="N211" s="475"/>
      <c r="O211" s="475"/>
      <c r="P211" s="475"/>
      <c r="Q211" s="475"/>
      <c r="R211" s="475"/>
      <c r="S211" s="475"/>
      <c r="T211" s="475"/>
      <c r="U211" s="475"/>
      <c r="V211" s="475"/>
      <c r="W211" s="475"/>
      <c r="X211" s="475"/>
      <c r="Y211" s="475"/>
    </row>
    <row r="212" ht="13.5" customHeight="1">
      <c r="A212" s="475"/>
      <c r="B212" s="475"/>
      <c r="C212" s="475"/>
      <c r="D212" s="475"/>
      <c r="E212" s="475"/>
      <c r="F212" s="475"/>
      <c r="G212" s="475"/>
      <c r="H212" s="475"/>
      <c r="I212" s="475"/>
      <c r="J212" s="475"/>
      <c r="K212" s="475"/>
      <c r="L212" s="475"/>
      <c r="M212" s="475"/>
      <c r="N212" s="475"/>
      <c r="O212" s="475"/>
      <c r="P212" s="475"/>
      <c r="Q212" s="475"/>
      <c r="R212" s="475"/>
      <c r="S212" s="475"/>
      <c r="T212" s="475"/>
      <c r="U212" s="475"/>
      <c r="V212" s="475"/>
      <c r="W212" s="475"/>
      <c r="X212" s="475"/>
      <c r="Y212" s="475"/>
    </row>
    <row r="213" ht="13.5" customHeight="1">
      <c r="A213" s="475"/>
      <c r="B213" s="475"/>
      <c r="C213" s="475"/>
      <c r="D213" s="475"/>
      <c r="E213" s="475"/>
      <c r="F213" s="475"/>
      <c r="G213" s="475"/>
      <c r="H213" s="475"/>
      <c r="I213" s="475"/>
      <c r="J213" s="475"/>
      <c r="K213" s="475"/>
      <c r="L213" s="475"/>
      <c r="M213" s="475"/>
      <c r="N213" s="475"/>
      <c r="O213" s="475"/>
      <c r="P213" s="475"/>
      <c r="Q213" s="475"/>
      <c r="R213" s="475"/>
      <c r="S213" s="475"/>
      <c r="T213" s="475"/>
      <c r="U213" s="475"/>
      <c r="V213" s="475"/>
      <c r="W213" s="475"/>
      <c r="X213" s="475"/>
      <c r="Y213" s="475"/>
    </row>
    <row r="214" ht="13.5" customHeight="1">
      <c r="A214" s="475"/>
      <c r="B214" s="475"/>
      <c r="C214" s="475"/>
      <c r="D214" s="475"/>
      <c r="E214" s="475"/>
      <c r="F214" s="475"/>
      <c r="G214" s="475"/>
      <c r="H214" s="475"/>
      <c r="I214" s="475"/>
      <c r="J214" s="475"/>
      <c r="K214" s="475"/>
      <c r="L214" s="475"/>
      <c r="M214" s="475"/>
      <c r="N214" s="475"/>
      <c r="O214" s="475"/>
      <c r="P214" s="475"/>
      <c r="Q214" s="475"/>
      <c r="R214" s="475"/>
      <c r="S214" s="475"/>
      <c r="T214" s="475"/>
      <c r="U214" s="475"/>
      <c r="V214" s="475"/>
      <c r="W214" s="475"/>
      <c r="X214" s="475"/>
      <c r="Y214" s="475"/>
    </row>
    <row r="215" ht="13.5" customHeight="1">
      <c r="A215" s="475"/>
      <c r="B215" s="475"/>
      <c r="C215" s="475"/>
      <c r="D215" s="475"/>
      <c r="E215" s="475"/>
      <c r="F215" s="475"/>
      <c r="G215" s="475"/>
      <c r="H215" s="475"/>
      <c r="I215" s="475"/>
      <c r="J215" s="475"/>
      <c r="K215" s="475"/>
      <c r="L215" s="475"/>
      <c r="M215" s="475"/>
      <c r="N215" s="475"/>
      <c r="O215" s="475"/>
      <c r="P215" s="475"/>
      <c r="Q215" s="475"/>
      <c r="R215" s="475"/>
      <c r="S215" s="475"/>
      <c r="T215" s="475"/>
      <c r="U215" s="475"/>
      <c r="V215" s="475"/>
      <c r="W215" s="475"/>
      <c r="X215" s="475"/>
      <c r="Y215" s="475"/>
    </row>
    <row r="216" ht="13.5" customHeight="1">
      <c r="A216" s="475"/>
      <c r="B216" s="475"/>
      <c r="C216" s="475"/>
      <c r="D216" s="475"/>
      <c r="E216" s="475"/>
      <c r="F216" s="475"/>
      <c r="G216" s="475"/>
      <c r="H216" s="475"/>
      <c r="I216" s="475"/>
      <c r="J216" s="475"/>
      <c r="K216" s="475"/>
      <c r="L216" s="475"/>
      <c r="M216" s="475"/>
      <c r="N216" s="475"/>
      <c r="O216" s="475"/>
      <c r="P216" s="475"/>
      <c r="Q216" s="475"/>
      <c r="R216" s="475"/>
      <c r="S216" s="475"/>
      <c r="T216" s="475"/>
      <c r="U216" s="475"/>
      <c r="V216" s="475"/>
      <c r="W216" s="475"/>
      <c r="X216" s="475"/>
      <c r="Y216" s="475"/>
    </row>
    <row r="217" ht="13.5" customHeight="1">
      <c r="A217" s="475"/>
      <c r="B217" s="475"/>
      <c r="C217" s="475"/>
      <c r="D217" s="475"/>
      <c r="E217" s="475"/>
      <c r="F217" s="475"/>
      <c r="G217" s="475"/>
      <c r="H217" s="475"/>
      <c r="I217" s="475"/>
      <c r="J217" s="475"/>
      <c r="K217" s="475"/>
      <c r="L217" s="475"/>
      <c r="M217" s="475"/>
      <c r="N217" s="475"/>
      <c r="O217" s="475"/>
      <c r="P217" s="475"/>
      <c r="Q217" s="475"/>
      <c r="R217" s="475"/>
      <c r="S217" s="475"/>
      <c r="T217" s="475"/>
      <c r="U217" s="475"/>
      <c r="V217" s="475"/>
      <c r="W217" s="475"/>
      <c r="X217" s="475"/>
      <c r="Y217" s="475"/>
    </row>
    <row r="218" ht="13.5" customHeight="1">
      <c r="A218" s="475"/>
      <c r="B218" s="475"/>
      <c r="C218" s="475"/>
      <c r="D218" s="475"/>
      <c r="E218" s="475"/>
      <c r="F218" s="475"/>
      <c r="G218" s="475"/>
      <c r="H218" s="475"/>
      <c r="I218" s="475"/>
      <c r="J218" s="475"/>
      <c r="K218" s="475"/>
      <c r="L218" s="475"/>
      <c r="M218" s="475"/>
      <c r="N218" s="475"/>
      <c r="O218" s="475"/>
      <c r="P218" s="475"/>
      <c r="Q218" s="475"/>
      <c r="R218" s="475"/>
      <c r="S218" s="475"/>
      <c r="T218" s="475"/>
      <c r="U218" s="475"/>
      <c r="V218" s="475"/>
      <c r="W218" s="475"/>
      <c r="X218" s="475"/>
      <c r="Y218" s="475"/>
    </row>
    <row r="219" ht="13.5" customHeight="1">
      <c r="A219" s="475"/>
      <c r="B219" s="475"/>
      <c r="C219" s="475"/>
      <c r="D219" s="475"/>
      <c r="E219" s="475"/>
      <c r="F219" s="475"/>
      <c r="G219" s="475"/>
      <c r="H219" s="475"/>
      <c r="I219" s="475"/>
      <c r="J219" s="475"/>
      <c r="K219" s="475"/>
      <c r="L219" s="475"/>
      <c r="M219" s="475"/>
      <c r="N219" s="475"/>
      <c r="O219" s="475"/>
      <c r="P219" s="475"/>
      <c r="Q219" s="475"/>
      <c r="R219" s="475"/>
      <c r="S219" s="475"/>
      <c r="T219" s="475"/>
      <c r="U219" s="475"/>
      <c r="V219" s="475"/>
      <c r="W219" s="475"/>
      <c r="X219" s="475"/>
      <c r="Y219" s="475"/>
    </row>
    <row r="220" ht="13.5" customHeight="1">
      <c r="A220" s="475"/>
      <c r="B220" s="475"/>
      <c r="C220" s="475"/>
      <c r="D220" s="475"/>
      <c r="E220" s="475"/>
      <c r="F220" s="475"/>
      <c r="G220" s="475"/>
      <c r="H220" s="475"/>
      <c r="I220" s="475"/>
      <c r="J220" s="475"/>
      <c r="K220" s="475"/>
      <c r="L220" s="475"/>
      <c r="M220" s="475"/>
      <c r="N220" s="475"/>
      <c r="O220" s="475"/>
      <c r="P220" s="475"/>
      <c r="Q220" s="475"/>
      <c r="R220" s="475"/>
      <c r="S220" s="475"/>
      <c r="T220" s="475"/>
      <c r="U220" s="475"/>
      <c r="V220" s="475"/>
      <c r="W220" s="475"/>
      <c r="X220" s="475"/>
      <c r="Y220" s="475"/>
    </row>
    <row r="221" ht="13.5" customHeight="1">
      <c r="A221" s="475"/>
      <c r="B221" s="475"/>
      <c r="C221" s="475"/>
      <c r="D221" s="475"/>
      <c r="E221" s="475"/>
      <c r="F221" s="475"/>
      <c r="G221" s="475"/>
      <c r="H221" s="475"/>
      <c r="I221" s="475"/>
      <c r="J221" s="475"/>
      <c r="K221" s="475"/>
      <c r="L221" s="475"/>
      <c r="M221" s="475"/>
      <c r="N221" s="475"/>
      <c r="O221" s="475"/>
      <c r="P221" s="475"/>
      <c r="Q221" s="475"/>
      <c r="R221" s="475"/>
      <c r="S221" s="475"/>
      <c r="T221" s="475"/>
      <c r="U221" s="475"/>
      <c r="V221" s="475"/>
      <c r="W221" s="475"/>
      <c r="X221" s="475"/>
      <c r="Y221" s="475"/>
    </row>
    <row r="222" ht="13.5" customHeight="1">
      <c r="A222" s="475"/>
      <c r="B222" s="475"/>
      <c r="C222" s="475"/>
      <c r="D222" s="475"/>
      <c r="E222" s="475"/>
      <c r="F222" s="475"/>
      <c r="G222" s="475"/>
      <c r="H222" s="475"/>
      <c r="I222" s="475"/>
      <c r="J222" s="475"/>
      <c r="K222" s="475"/>
      <c r="L222" s="475"/>
      <c r="M222" s="475"/>
      <c r="N222" s="475"/>
      <c r="O222" s="475"/>
      <c r="P222" s="475"/>
      <c r="Q222" s="475"/>
      <c r="R222" s="475"/>
      <c r="S222" s="475"/>
      <c r="T222" s="475"/>
      <c r="U222" s="475"/>
      <c r="V222" s="475"/>
      <c r="W222" s="475"/>
      <c r="X222" s="475"/>
      <c r="Y222" s="475"/>
    </row>
    <row r="223" ht="13.5" customHeight="1">
      <c r="A223" s="475"/>
      <c r="B223" s="475"/>
      <c r="C223" s="475"/>
      <c r="D223" s="475"/>
      <c r="E223" s="475"/>
      <c r="F223" s="475"/>
      <c r="G223" s="475"/>
      <c r="H223" s="475"/>
      <c r="I223" s="475"/>
      <c r="J223" s="475"/>
      <c r="K223" s="475"/>
      <c r="L223" s="475"/>
      <c r="M223" s="475"/>
      <c r="N223" s="475"/>
      <c r="O223" s="475"/>
      <c r="P223" s="475"/>
      <c r="Q223" s="475"/>
      <c r="R223" s="475"/>
      <c r="S223" s="475"/>
      <c r="T223" s="475"/>
      <c r="U223" s="475"/>
      <c r="V223" s="475"/>
      <c r="W223" s="475"/>
      <c r="X223" s="475"/>
      <c r="Y223" s="475"/>
    </row>
    <row r="224" ht="13.5" customHeight="1">
      <c r="A224" s="475"/>
      <c r="B224" s="475"/>
      <c r="C224" s="475"/>
      <c r="D224" s="475"/>
      <c r="E224" s="475"/>
      <c r="F224" s="475"/>
      <c r="G224" s="475"/>
      <c r="H224" s="475"/>
      <c r="I224" s="475"/>
      <c r="J224" s="475"/>
      <c r="K224" s="475"/>
      <c r="L224" s="475"/>
      <c r="M224" s="475"/>
      <c r="N224" s="475"/>
      <c r="O224" s="475"/>
      <c r="P224" s="475"/>
      <c r="Q224" s="475"/>
      <c r="R224" s="475"/>
      <c r="S224" s="475"/>
      <c r="T224" s="475"/>
      <c r="U224" s="475"/>
      <c r="V224" s="475"/>
      <c r="W224" s="475"/>
      <c r="X224" s="475"/>
      <c r="Y224" s="475"/>
    </row>
    <row r="225" ht="13.5" customHeight="1">
      <c r="A225" s="475"/>
      <c r="B225" s="475"/>
      <c r="C225" s="475"/>
      <c r="D225" s="475"/>
      <c r="E225" s="475"/>
      <c r="F225" s="475"/>
      <c r="G225" s="475"/>
      <c r="H225" s="475"/>
      <c r="I225" s="475"/>
      <c r="J225" s="475"/>
      <c r="K225" s="475"/>
      <c r="L225" s="475"/>
      <c r="M225" s="475"/>
      <c r="N225" s="475"/>
      <c r="O225" s="475"/>
      <c r="P225" s="475"/>
      <c r="Q225" s="475"/>
      <c r="R225" s="475"/>
      <c r="S225" s="475"/>
      <c r="T225" s="475"/>
      <c r="U225" s="475"/>
      <c r="V225" s="475"/>
      <c r="W225" s="475"/>
      <c r="X225" s="475"/>
      <c r="Y225" s="475"/>
    </row>
    <row r="226" ht="13.5" customHeight="1">
      <c r="A226" s="475"/>
      <c r="B226" s="475"/>
      <c r="C226" s="475"/>
      <c r="D226" s="475"/>
      <c r="E226" s="475"/>
      <c r="F226" s="475"/>
      <c r="G226" s="475"/>
      <c r="H226" s="475"/>
      <c r="I226" s="475"/>
      <c r="J226" s="475"/>
      <c r="K226" s="475"/>
      <c r="L226" s="475"/>
      <c r="M226" s="475"/>
      <c r="N226" s="475"/>
      <c r="O226" s="475"/>
      <c r="P226" s="475"/>
      <c r="Q226" s="475"/>
      <c r="R226" s="475"/>
      <c r="S226" s="475"/>
      <c r="T226" s="475"/>
      <c r="U226" s="475"/>
      <c r="V226" s="475"/>
      <c r="W226" s="475"/>
      <c r="X226" s="475"/>
      <c r="Y226" s="475"/>
    </row>
    <row r="227" ht="13.5" customHeight="1">
      <c r="A227" s="475"/>
      <c r="B227" s="475"/>
      <c r="C227" s="475"/>
      <c r="D227" s="475"/>
      <c r="E227" s="475"/>
      <c r="F227" s="475"/>
      <c r="G227" s="475"/>
      <c r="H227" s="475"/>
      <c r="I227" s="475"/>
      <c r="J227" s="475"/>
      <c r="K227" s="475"/>
      <c r="L227" s="475"/>
      <c r="M227" s="475"/>
      <c r="N227" s="475"/>
      <c r="O227" s="475"/>
      <c r="P227" s="475"/>
      <c r="Q227" s="475"/>
      <c r="R227" s="475"/>
      <c r="S227" s="475"/>
      <c r="T227" s="475"/>
      <c r="U227" s="475"/>
      <c r="V227" s="475"/>
      <c r="W227" s="475"/>
      <c r="X227" s="475"/>
      <c r="Y227" s="475"/>
    </row>
    <row r="228" ht="13.5" customHeight="1">
      <c r="A228" s="475"/>
      <c r="B228" s="475"/>
      <c r="C228" s="475"/>
      <c r="D228" s="475"/>
      <c r="E228" s="475"/>
      <c r="F228" s="475"/>
      <c r="G228" s="475"/>
      <c r="H228" s="475"/>
      <c r="I228" s="475"/>
      <c r="J228" s="475"/>
      <c r="K228" s="475"/>
      <c r="L228" s="475"/>
      <c r="M228" s="475"/>
      <c r="N228" s="475"/>
      <c r="O228" s="475"/>
      <c r="P228" s="475"/>
      <c r="Q228" s="475"/>
      <c r="R228" s="475"/>
      <c r="S228" s="475"/>
      <c r="T228" s="475"/>
      <c r="U228" s="475"/>
      <c r="V228" s="475"/>
      <c r="W228" s="475"/>
      <c r="X228" s="475"/>
      <c r="Y228" s="475"/>
    </row>
    <row r="229" ht="13.5" customHeight="1">
      <c r="A229" s="475"/>
      <c r="B229" s="475"/>
      <c r="C229" s="475"/>
      <c r="D229" s="475"/>
      <c r="E229" s="475"/>
      <c r="F229" s="475"/>
      <c r="G229" s="475"/>
      <c r="H229" s="475"/>
      <c r="I229" s="475"/>
      <c r="J229" s="475"/>
      <c r="K229" s="475"/>
      <c r="L229" s="475"/>
      <c r="M229" s="475"/>
      <c r="N229" s="475"/>
      <c r="O229" s="475"/>
      <c r="P229" s="475"/>
      <c r="Q229" s="475"/>
      <c r="R229" s="475"/>
      <c r="S229" s="475"/>
      <c r="T229" s="475"/>
      <c r="U229" s="475"/>
      <c r="V229" s="475"/>
      <c r="W229" s="475"/>
      <c r="X229" s="475"/>
      <c r="Y229" s="475"/>
    </row>
    <row r="230" ht="13.5" customHeight="1">
      <c r="A230" s="475"/>
      <c r="B230" s="475"/>
      <c r="C230" s="475"/>
      <c r="D230" s="475"/>
      <c r="E230" s="475"/>
      <c r="F230" s="475"/>
      <c r="G230" s="475"/>
      <c r="H230" s="475"/>
      <c r="I230" s="475"/>
      <c r="J230" s="475"/>
      <c r="K230" s="475"/>
      <c r="L230" s="475"/>
      <c r="M230" s="475"/>
      <c r="N230" s="475"/>
      <c r="O230" s="475"/>
      <c r="P230" s="475"/>
      <c r="Q230" s="475"/>
      <c r="R230" s="475"/>
      <c r="S230" s="475"/>
      <c r="T230" s="475"/>
      <c r="U230" s="475"/>
      <c r="V230" s="475"/>
      <c r="W230" s="475"/>
      <c r="X230" s="475"/>
      <c r="Y230" s="475"/>
    </row>
    <row r="231" ht="13.5" customHeight="1">
      <c r="A231" s="475"/>
      <c r="B231" s="475"/>
      <c r="C231" s="475"/>
      <c r="D231" s="475"/>
      <c r="E231" s="475"/>
      <c r="F231" s="475"/>
      <c r="G231" s="475"/>
      <c r="H231" s="475"/>
      <c r="I231" s="475"/>
      <c r="J231" s="475"/>
      <c r="K231" s="475"/>
      <c r="L231" s="475"/>
      <c r="M231" s="475"/>
      <c r="N231" s="475"/>
      <c r="O231" s="475"/>
      <c r="P231" s="475"/>
      <c r="Q231" s="475"/>
      <c r="R231" s="475"/>
      <c r="S231" s="475"/>
      <c r="T231" s="475"/>
      <c r="U231" s="475"/>
      <c r="V231" s="475"/>
      <c r="W231" s="475"/>
      <c r="X231" s="475"/>
      <c r="Y231" s="475"/>
    </row>
    <row r="232" ht="13.5" customHeight="1">
      <c r="A232" s="475"/>
      <c r="B232" s="475"/>
      <c r="C232" s="475"/>
      <c r="D232" s="475"/>
      <c r="E232" s="475"/>
      <c r="F232" s="475"/>
      <c r="G232" s="475"/>
      <c r="H232" s="475"/>
      <c r="I232" s="475"/>
      <c r="J232" s="475"/>
      <c r="K232" s="475"/>
      <c r="L232" s="475"/>
      <c r="M232" s="475"/>
      <c r="N232" s="475"/>
      <c r="O232" s="475"/>
      <c r="P232" s="475"/>
      <c r="Q232" s="475"/>
      <c r="R232" s="475"/>
      <c r="S232" s="475"/>
      <c r="T232" s="475"/>
      <c r="U232" s="475"/>
      <c r="V232" s="475"/>
      <c r="W232" s="475"/>
      <c r="X232" s="475"/>
      <c r="Y232" s="475"/>
    </row>
    <row r="233" ht="13.5" customHeight="1">
      <c r="A233" s="475"/>
      <c r="B233" s="475"/>
      <c r="C233" s="475"/>
      <c r="D233" s="475"/>
      <c r="E233" s="475"/>
      <c r="F233" s="475"/>
      <c r="G233" s="475"/>
      <c r="H233" s="475"/>
      <c r="I233" s="475"/>
      <c r="J233" s="475"/>
      <c r="K233" s="475"/>
      <c r="L233" s="475"/>
      <c r="M233" s="475"/>
      <c r="N233" s="475"/>
      <c r="O233" s="475"/>
      <c r="P233" s="475"/>
      <c r="Q233" s="475"/>
      <c r="R233" s="475"/>
      <c r="S233" s="475"/>
      <c r="T233" s="475"/>
      <c r="U233" s="475"/>
      <c r="V233" s="475"/>
      <c r="W233" s="475"/>
      <c r="X233" s="475"/>
      <c r="Y233" s="475"/>
    </row>
    <row r="234" ht="13.5" customHeight="1">
      <c r="A234" s="475"/>
      <c r="B234" s="475"/>
      <c r="C234" s="475"/>
      <c r="D234" s="475"/>
      <c r="E234" s="475"/>
      <c r="F234" s="475"/>
      <c r="G234" s="475"/>
      <c r="H234" s="475"/>
      <c r="I234" s="475"/>
      <c r="J234" s="475"/>
      <c r="K234" s="475"/>
      <c r="L234" s="475"/>
      <c r="M234" s="475"/>
      <c r="N234" s="475"/>
      <c r="O234" s="475"/>
      <c r="P234" s="475"/>
      <c r="Q234" s="475"/>
      <c r="R234" s="475"/>
      <c r="S234" s="475"/>
      <c r="T234" s="475"/>
      <c r="U234" s="475"/>
      <c r="V234" s="475"/>
      <c r="W234" s="475"/>
      <c r="X234" s="475"/>
      <c r="Y234" s="475"/>
    </row>
    <row r="235" ht="13.5" customHeight="1">
      <c r="A235" s="475"/>
      <c r="B235" s="475"/>
      <c r="C235" s="475"/>
      <c r="D235" s="475"/>
      <c r="E235" s="475"/>
      <c r="F235" s="475"/>
      <c r="G235" s="475"/>
      <c r="H235" s="475"/>
      <c r="I235" s="475"/>
      <c r="J235" s="475"/>
      <c r="K235" s="475"/>
      <c r="L235" s="475"/>
      <c r="M235" s="475"/>
      <c r="N235" s="475"/>
      <c r="O235" s="475"/>
      <c r="P235" s="475"/>
      <c r="Q235" s="475"/>
      <c r="R235" s="475"/>
      <c r="S235" s="475"/>
      <c r="T235" s="475"/>
      <c r="U235" s="475"/>
      <c r="V235" s="475"/>
      <c r="W235" s="475"/>
      <c r="X235" s="475"/>
      <c r="Y235" s="475"/>
    </row>
    <row r="236" ht="13.5" customHeight="1">
      <c r="A236" s="475"/>
      <c r="B236" s="475"/>
      <c r="C236" s="475"/>
      <c r="D236" s="475"/>
      <c r="E236" s="475"/>
      <c r="F236" s="475"/>
      <c r="G236" s="475"/>
      <c r="H236" s="475"/>
      <c r="I236" s="475"/>
      <c r="J236" s="475"/>
      <c r="K236" s="475"/>
      <c r="L236" s="475"/>
      <c r="M236" s="475"/>
      <c r="N236" s="475"/>
      <c r="O236" s="475"/>
      <c r="P236" s="475"/>
      <c r="Q236" s="475"/>
      <c r="R236" s="475"/>
      <c r="S236" s="475"/>
      <c r="T236" s="475"/>
      <c r="U236" s="475"/>
      <c r="V236" s="475"/>
      <c r="W236" s="475"/>
      <c r="X236" s="475"/>
      <c r="Y236" s="475"/>
    </row>
    <row r="237" ht="13.5" customHeight="1">
      <c r="A237" s="475"/>
      <c r="B237" s="475"/>
      <c r="C237" s="475"/>
      <c r="D237" s="475"/>
      <c r="E237" s="475"/>
      <c r="F237" s="475"/>
      <c r="G237" s="475"/>
      <c r="H237" s="475"/>
      <c r="I237" s="475"/>
      <c r="J237" s="475"/>
      <c r="K237" s="475"/>
      <c r="L237" s="475"/>
      <c r="M237" s="475"/>
      <c r="N237" s="475"/>
      <c r="O237" s="475"/>
      <c r="P237" s="475"/>
      <c r="Q237" s="475"/>
      <c r="R237" s="475"/>
      <c r="S237" s="475"/>
      <c r="T237" s="475"/>
      <c r="U237" s="475"/>
      <c r="V237" s="475"/>
      <c r="W237" s="475"/>
      <c r="X237" s="475"/>
      <c r="Y237" s="475"/>
    </row>
    <row r="238" ht="13.5" customHeight="1">
      <c r="A238" s="475"/>
      <c r="B238" s="475"/>
      <c r="C238" s="475"/>
      <c r="D238" s="475"/>
      <c r="E238" s="475"/>
      <c r="F238" s="475"/>
      <c r="G238" s="475"/>
      <c r="H238" s="475"/>
      <c r="I238" s="475"/>
      <c r="J238" s="475"/>
      <c r="K238" s="475"/>
      <c r="L238" s="475"/>
      <c r="M238" s="475"/>
      <c r="N238" s="475"/>
      <c r="O238" s="475"/>
      <c r="P238" s="475"/>
      <c r="Q238" s="475"/>
      <c r="R238" s="475"/>
      <c r="S238" s="475"/>
      <c r="T238" s="475"/>
      <c r="U238" s="475"/>
      <c r="V238" s="475"/>
      <c r="W238" s="475"/>
      <c r="X238" s="475"/>
      <c r="Y238" s="475"/>
    </row>
    <row r="239" ht="13.5" customHeight="1">
      <c r="A239" s="475"/>
      <c r="B239" s="475"/>
      <c r="C239" s="475"/>
      <c r="D239" s="475"/>
      <c r="E239" s="475"/>
      <c r="F239" s="475"/>
      <c r="G239" s="475"/>
      <c r="H239" s="475"/>
      <c r="I239" s="475"/>
      <c r="J239" s="475"/>
      <c r="K239" s="475"/>
      <c r="L239" s="475"/>
      <c r="M239" s="475"/>
      <c r="N239" s="475"/>
      <c r="O239" s="475"/>
      <c r="P239" s="475"/>
      <c r="Q239" s="475"/>
      <c r="R239" s="475"/>
      <c r="S239" s="475"/>
      <c r="T239" s="475"/>
      <c r="U239" s="475"/>
      <c r="V239" s="475"/>
      <c r="W239" s="475"/>
      <c r="X239" s="475"/>
      <c r="Y239" s="475"/>
    </row>
    <row r="240" ht="13.5" customHeight="1">
      <c r="A240" s="475"/>
      <c r="B240" s="475"/>
      <c r="C240" s="475"/>
      <c r="D240" s="475"/>
      <c r="E240" s="475"/>
      <c r="F240" s="475"/>
      <c r="G240" s="475"/>
      <c r="H240" s="475"/>
      <c r="I240" s="475"/>
      <c r="J240" s="475"/>
      <c r="K240" s="475"/>
      <c r="L240" s="475"/>
      <c r="M240" s="475"/>
      <c r="N240" s="475"/>
      <c r="O240" s="475"/>
      <c r="P240" s="475"/>
      <c r="Q240" s="475"/>
      <c r="R240" s="475"/>
      <c r="S240" s="475"/>
      <c r="T240" s="475"/>
      <c r="U240" s="475"/>
      <c r="V240" s="475"/>
      <c r="W240" s="475"/>
      <c r="X240" s="475"/>
      <c r="Y240" s="475"/>
    </row>
    <row r="241" ht="13.5" customHeight="1">
      <c r="A241" s="475"/>
      <c r="B241" s="475"/>
      <c r="C241" s="475"/>
      <c r="D241" s="475"/>
      <c r="E241" s="475"/>
      <c r="F241" s="475"/>
      <c r="G241" s="475"/>
      <c r="H241" s="475"/>
      <c r="I241" s="475"/>
      <c r="J241" s="475"/>
      <c r="K241" s="475"/>
      <c r="L241" s="475"/>
      <c r="M241" s="475"/>
      <c r="N241" s="475"/>
      <c r="O241" s="475"/>
      <c r="P241" s="475"/>
      <c r="Q241" s="475"/>
      <c r="R241" s="475"/>
      <c r="S241" s="475"/>
      <c r="T241" s="475"/>
      <c r="U241" s="475"/>
      <c r="V241" s="475"/>
      <c r="W241" s="475"/>
      <c r="X241" s="475"/>
      <c r="Y241" s="475"/>
    </row>
    <row r="242" ht="13.5" customHeight="1">
      <c r="A242" s="475"/>
      <c r="B242" s="475"/>
      <c r="C242" s="475"/>
      <c r="D242" s="475"/>
      <c r="E242" s="475"/>
      <c r="F242" s="475"/>
      <c r="G242" s="475"/>
      <c r="H242" s="475"/>
      <c r="I242" s="475"/>
      <c r="J242" s="475"/>
      <c r="K242" s="475"/>
      <c r="L242" s="475"/>
      <c r="M242" s="475"/>
      <c r="N242" s="475"/>
      <c r="O242" s="475"/>
      <c r="P242" s="475"/>
      <c r="Q242" s="475"/>
      <c r="R242" s="475"/>
      <c r="S242" s="475"/>
      <c r="T242" s="475"/>
      <c r="U242" s="475"/>
      <c r="V242" s="475"/>
      <c r="W242" s="475"/>
      <c r="X242" s="475"/>
      <c r="Y242" s="475"/>
    </row>
    <row r="243" ht="13.5" customHeight="1">
      <c r="A243" s="475"/>
      <c r="B243" s="475"/>
      <c r="C243" s="475"/>
      <c r="D243" s="475"/>
      <c r="E243" s="475"/>
      <c r="F243" s="475"/>
      <c r="G243" s="475"/>
      <c r="H243" s="475"/>
      <c r="I243" s="475"/>
      <c r="J243" s="475"/>
      <c r="K243" s="475"/>
      <c r="L243" s="475"/>
      <c r="M243" s="475"/>
      <c r="N243" s="475"/>
      <c r="O243" s="475"/>
      <c r="P243" s="475"/>
      <c r="Q243" s="475"/>
      <c r="R243" s="475"/>
      <c r="S243" s="475"/>
      <c r="T243" s="475"/>
      <c r="U243" s="475"/>
      <c r="V243" s="475"/>
      <c r="W243" s="475"/>
      <c r="X243" s="475"/>
      <c r="Y243" s="475"/>
    </row>
    <row r="244" ht="13.5" customHeight="1">
      <c r="A244" s="475"/>
      <c r="B244" s="475"/>
      <c r="C244" s="475"/>
      <c r="D244" s="475"/>
      <c r="E244" s="475"/>
      <c r="F244" s="475"/>
      <c r="G244" s="475"/>
      <c r="H244" s="475"/>
      <c r="I244" s="475"/>
      <c r="J244" s="475"/>
      <c r="K244" s="475"/>
      <c r="L244" s="475"/>
      <c r="M244" s="475"/>
      <c r="N244" s="475"/>
      <c r="O244" s="475"/>
      <c r="P244" s="475"/>
      <c r="Q244" s="475"/>
      <c r="R244" s="475"/>
      <c r="S244" s="475"/>
      <c r="T244" s="475"/>
      <c r="U244" s="475"/>
      <c r="V244" s="475"/>
      <c r="W244" s="475"/>
      <c r="X244" s="475"/>
      <c r="Y244" s="475"/>
    </row>
    <row r="245" ht="13.5" customHeight="1">
      <c r="A245" s="475"/>
      <c r="B245" s="475"/>
      <c r="C245" s="475"/>
      <c r="D245" s="475"/>
      <c r="E245" s="475"/>
      <c r="F245" s="475"/>
      <c r="G245" s="475"/>
      <c r="H245" s="475"/>
      <c r="I245" s="475"/>
      <c r="J245" s="475"/>
      <c r="K245" s="475"/>
      <c r="L245" s="475"/>
      <c r="M245" s="475"/>
      <c r="N245" s="475"/>
      <c r="O245" s="475"/>
      <c r="P245" s="475"/>
      <c r="Q245" s="475"/>
      <c r="R245" s="475"/>
      <c r="S245" s="475"/>
      <c r="T245" s="475"/>
      <c r="U245" s="475"/>
      <c r="V245" s="475"/>
      <c r="W245" s="475"/>
      <c r="X245" s="475"/>
      <c r="Y245" s="475"/>
    </row>
    <row r="246" ht="13.5" customHeight="1">
      <c r="A246" s="475"/>
      <c r="B246" s="475"/>
      <c r="C246" s="475"/>
      <c r="D246" s="475"/>
      <c r="E246" s="475"/>
      <c r="F246" s="475"/>
      <c r="G246" s="475"/>
      <c r="H246" s="475"/>
      <c r="I246" s="475"/>
      <c r="J246" s="475"/>
      <c r="K246" s="475"/>
      <c r="L246" s="475"/>
      <c r="M246" s="475"/>
      <c r="N246" s="475"/>
      <c r="O246" s="475"/>
      <c r="P246" s="475"/>
      <c r="Q246" s="475"/>
      <c r="R246" s="475"/>
      <c r="S246" s="475"/>
      <c r="T246" s="475"/>
      <c r="U246" s="475"/>
      <c r="V246" s="475"/>
      <c r="W246" s="475"/>
      <c r="X246" s="475"/>
      <c r="Y246" s="475"/>
    </row>
    <row r="247" ht="13.5" customHeight="1">
      <c r="A247" s="475"/>
      <c r="B247" s="475"/>
      <c r="C247" s="475"/>
      <c r="D247" s="475"/>
      <c r="E247" s="475"/>
      <c r="F247" s="475"/>
      <c r="G247" s="475"/>
      <c r="H247" s="475"/>
      <c r="I247" s="475"/>
      <c r="J247" s="475"/>
      <c r="K247" s="475"/>
      <c r="L247" s="475"/>
      <c r="M247" s="475"/>
      <c r="N247" s="475"/>
      <c r="O247" s="475"/>
      <c r="P247" s="475"/>
      <c r="Q247" s="475"/>
      <c r="R247" s="475"/>
      <c r="S247" s="475"/>
      <c r="T247" s="475"/>
      <c r="U247" s="475"/>
      <c r="V247" s="475"/>
      <c r="W247" s="475"/>
      <c r="X247" s="475"/>
      <c r="Y247" s="475"/>
    </row>
    <row r="248" ht="13.5" customHeight="1">
      <c r="A248" s="475"/>
      <c r="B248" s="475"/>
      <c r="C248" s="475"/>
      <c r="D248" s="475"/>
      <c r="E248" s="475"/>
      <c r="F248" s="475"/>
      <c r="G248" s="475"/>
      <c r="H248" s="475"/>
      <c r="I248" s="475"/>
      <c r="J248" s="475"/>
      <c r="K248" s="475"/>
      <c r="L248" s="475"/>
      <c r="M248" s="475"/>
      <c r="N248" s="475"/>
      <c r="O248" s="475"/>
      <c r="P248" s="475"/>
      <c r="Q248" s="475"/>
      <c r="R248" s="475"/>
      <c r="S248" s="475"/>
      <c r="T248" s="475"/>
      <c r="U248" s="475"/>
      <c r="V248" s="475"/>
      <c r="W248" s="475"/>
      <c r="X248" s="475"/>
      <c r="Y248" s="475"/>
    </row>
    <row r="249" ht="13.5" customHeight="1">
      <c r="A249" s="475"/>
      <c r="B249" s="475"/>
      <c r="C249" s="475"/>
      <c r="D249" s="475"/>
      <c r="E249" s="475"/>
      <c r="F249" s="475"/>
      <c r="G249" s="475"/>
      <c r="H249" s="475"/>
      <c r="I249" s="475"/>
      <c r="J249" s="475"/>
      <c r="K249" s="475"/>
      <c r="L249" s="475"/>
      <c r="M249" s="475"/>
      <c r="N249" s="475"/>
      <c r="O249" s="475"/>
      <c r="P249" s="475"/>
      <c r="Q249" s="475"/>
      <c r="R249" s="475"/>
      <c r="S249" s="475"/>
      <c r="T249" s="475"/>
      <c r="U249" s="475"/>
      <c r="V249" s="475"/>
      <c r="W249" s="475"/>
      <c r="X249" s="475"/>
      <c r="Y249" s="475"/>
    </row>
    <row r="250" ht="13.5" customHeight="1">
      <c r="A250" s="475"/>
      <c r="B250" s="475"/>
      <c r="C250" s="475"/>
      <c r="D250" s="475"/>
      <c r="E250" s="475"/>
      <c r="F250" s="475"/>
      <c r="G250" s="475"/>
      <c r="H250" s="475"/>
      <c r="I250" s="475"/>
      <c r="J250" s="475"/>
      <c r="K250" s="475"/>
      <c r="L250" s="475"/>
      <c r="M250" s="475"/>
      <c r="N250" s="475"/>
      <c r="O250" s="475"/>
      <c r="P250" s="475"/>
      <c r="Q250" s="475"/>
      <c r="R250" s="475"/>
      <c r="S250" s="475"/>
      <c r="T250" s="475"/>
      <c r="U250" s="475"/>
      <c r="V250" s="475"/>
      <c r="W250" s="475"/>
      <c r="X250" s="475"/>
      <c r="Y250" s="475"/>
    </row>
    <row r="251" ht="13.5" customHeight="1">
      <c r="A251" s="475"/>
      <c r="B251" s="475"/>
      <c r="C251" s="475"/>
      <c r="D251" s="475"/>
      <c r="E251" s="475"/>
      <c r="F251" s="475"/>
      <c r="G251" s="475"/>
      <c r="H251" s="475"/>
      <c r="I251" s="475"/>
      <c r="J251" s="475"/>
      <c r="K251" s="475"/>
      <c r="L251" s="475"/>
      <c r="M251" s="475"/>
      <c r="N251" s="475"/>
      <c r="O251" s="475"/>
      <c r="P251" s="475"/>
      <c r="Q251" s="475"/>
      <c r="R251" s="475"/>
      <c r="S251" s="475"/>
      <c r="T251" s="475"/>
      <c r="U251" s="475"/>
      <c r="V251" s="475"/>
      <c r="W251" s="475"/>
      <c r="X251" s="475"/>
      <c r="Y251" s="475"/>
    </row>
    <row r="252" ht="13.5" customHeight="1">
      <c r="A252" s="475"/>
      <c r="B252" s="475"/>
      <c r="C252" s="475"/>
      <c r="D252" s="475"/>
      <c r="E252" s="475"/>
      <c r="F252" s="475"/>
      <c r="G252" s="475"/>
      <c r="H252" s="475"/>
      <c r="I252" s="475"/>
      <c r="J252" s="475"/>
      <c r="K252" s="475"/>
      <c r="L252" s="475"/>
      <c r="M252" s="475"/>
      <c r="N252" s="475"/>
      <c r="O252" s="475"/>
      <c r="P252" s="475"/>
      <c r="Q252" s="475"/>
      <c r="R252" s="475"/>
      <c r="S252" s="475"/>
      <c r="T252" s="475"/>
      <c r="U252" s="475"/>
      <c r="V252" s="475"/>
      <c r="W252" s="475"/>
      <c r="X252" s="475"/>
      <c r="Y252" s="475"/>
    </row>
    <row r="253" ht="13.5" customHeight="1">
      <c r="A253" s="475"/>
      <c r="B253" s="475"/>
      <c r="C253" s="475"/>
      <c r="D253" s="475"/>
      <c r="E253" s="475"/>
      <c r="F253" s="475"/>
      <c r="G253" s="475"/>
      <c r="H253" s="475"/>
      <c r="I253" s="475"/>
      <c r="J253" s="475"/>
      <c r="K253" s="475"/>
      <c r="L253" s="475"/>
      <c r="M253" s="475"/>
      <c r="N253" s="475"/>
      <c r="O253" s="475"/>
      <c r="P253" s="475"/>
      <c r="Q253" s="475"/>
      <c r="R253" s="475"/>
      <c r="S253" s="475"/>
      <c r="T253" s="475"/>
      <c r="U253" s="475"/>
      <c r="V253" s="475"/>
      <c r="W253" s="475"/>
      <c r="X253" s="475"/>
      <c r="Y253" s="475"/>
    </row>
    <row r="254" ht="13.5" customHeight="1">
      <c r="A254" s="475"/>
      <c r="B254" s="475"/>
      <c r="C254" s="475"/>
      <c r="D254" s="475"/>
      <c r="E254" s="475"/>
      <c r="F254" s="475"/>
      <c r="G254" s="475"/>
      <c r="H254" s="475"/>
      <c r="I254" s="475"/>
      <c r="J254" s="475"/>
      <c r="K254" s="475"/>
      <c r="L254" s="475"/>
      <c r="M254" s="475"/>
      <c r="N254" s="475"/>
      <c r="O254" s="475"/>
      <c r="P254" s="475"/>
      <c r="Q254" s="475"/>
      <c r="R254" s="475"/>
      <c r="S254" s="475"/>
      <c r="T254" s="475"/>
      <c r="U254" s="475"/>
      <c r="V254" s="475"/>
      <c r="W254" s="475"/>
      <c r="X254" s="475"/>
      <c r="Y254" s="475"/>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D2"/>
    <mergeCell ref="E2:J2"/>
    <mergeCell ref="K2:S2"/>
    <mergeCell ref="C3:D3"/>
    <mergeCell ref="E3:J3"/>
    <mergeCell ref="K3:S3"/>
    <mergeCell ref="A3:B3"/>
    <mergeCell ref="A4:B4"/>
    <mergeCell ref="C4:D4"/>
    <mergeCell ref="E4:J4"/>
    <mergeCell ref="K4:S4"/>
    <mergeCell ref="A5:B5"/>
    <mergeCell ref="C5:S5"/>
    <mergeCell ref="N6:S6"/>
    <mergeCell ref="N7:S7"/>
    <mergeCell ref="B51:D51"/>
    <mergeCell ref="B52:D52"/>
    <mergeCell ref="B53:D53"/>
    <mergeCell ref="B54:D54"/>
    <mergeCell ref="A6:B6"/>
    <mergeCell ref="C6:D6"/>
    <mergeCell ref="E6:J6"/>
    <mergeCell ref="K6:M6"/>
    <mergeCell ref="A7:B7"/>
    <mergeCell ref="C7:D7"/>
    <mergeCell ref="E7:J7"/>
  </mergeCells>
  <dataValidations>
    <dataValidation type="list" allowBlank="1" showInputMessage="1" showErrorMessage="1" prompt=" - " sqref="E52:S52">
      <formula1>"P,F"</formula1>
    </dataValidation>
    <dataValidation type="list" allowBlank="1" showInputMessage="1" showErrorMessage="1" prompt=" - " sqref="E10:S50">
      <formula1>"O"</formula1>
    </dataValidation>
    <dataValidation type="list" allowBlank="1" showInputMessage="1" showErrorMessage="1" prompt=" - " sqref="E51:S51">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5.5"/>
    <col customWidth="1" min="6" max="6" width="4.63"/>
    <col customWidth="1" min="7" max="7" width="4.38"/>
    <col customWidth="1" min="8" max="8" width="5.25"/>
    <col customWidth="1" min="9" max="9" width="5.0"/>
    <col customWidth="1" min="10" max="10" width="4.63"/>
    <col customWidth="1" min="11" max="12" width="5.5"/>
    <col customWidth="1" min="13" max="13" width="5.25"/>
    <col customWidth="1" min="14" max="14" width="6.63"/>
    <col customWidth="1" min="15" max="20" width="2.88"/>
    <col customWidth="1" min="21" max="22" width="9.0"/>
    <col customWidth="1" min="23" max="25" width="10.0"/>
  </cols>
  <sheetData>
    <row r="1" ht="13.5" customHeight="1">
      <c r="A1" s="474"/>
      <c r="B1" s="474"/>
      <c r="C1" s="475"/>
      <c r="D1" s="475"/>
      <c r="E1" s="475"/>
      <c r="F1" s="475"/>
      <c r="G1" s="475"/>
      <c r="H1" s="475"/>
      <c r="I1" s="475"/>
      <c r="J1" s="475"/>
      <c r="K1" s="475"/>
      <c r="L1" s="475"/>
      <c r="M1" s="475"/>
      <c r="N1" s="475"/>
      <c r="O1" s="475"/>
      <c r="P1" s="475"/>
      <c r="Q1" s="475"/>
      <c r="R1" s="475"/>
      <c r="S1" s="475"/>
      <c r="T1" s="475"/>
      <c r="U1" s="475"/>
      <c r="V1" s="475"/>
      <c r="W1" s="475"/>
      <c r="X1" s="475"/>
      <c r="Y1" s="475"/>
    </row>
    <row r="2" ht="13.5" customHeight="1">
      <c r="A2" s="342" t="s">
        <v>337</v>
      </c>
      <c r="B2" s="113"/>
      <c r="C2" s="343" t="str">
        <f>Functions!E44</f>
        <v>F-34</v>
      </c>
      <c r="D2" s="115"/>
      <c r="E2" s="344" t="s">
        <v>71</v>
      </c>
      <c r="F2" s="117"/>
      <c r="G2" s="117"/>
      <c r="H2" s="117"/>
      <c r="I2" s="117"/>
      <c r="J2" s="117"/>
      <c r="K2" s="118" t="str">
        <f>Functions!D44</f>
        <v>Manual offline Send, server revalidation, idempotency and technical retry</v>
      </c>
      <c r="L2" s="113"/>
      <c r="M2" s="113"/>
      <c r="N2" s="113"/>
      <c r="O2" s="113"/>
      <c r="P2" s="113"/>
      <c r="Q2" s="113"/>
      <c r="R2" s="113"/>
      <c r="S2" s="119"/>
      <c r="T2" s="475"/>
      <c r="U2" s="477"/>
      <c r="V2" s="475"/>
      <c r="W2" s="475"/>
      <c r="X2" s="475"/>
      <c r="Y2" s="475"/>
    </row>
    <row r="3" ht="13.5" customHeight="1">
      <c r="A3" s="345" t="s">
        <v>338</v>
      </c>
      <c r="B3" s="13"/>
      <c r="C3" s="321" t="s">
        <v>183</v>
      </c>
      <c r="D3" s="13"/>
      <c r="E3" s="346" t="s">
        <v>339</v>
      </c>
      <c r="F3" s="12"/>
      <c r="G3" s="12"/>
      <c r="H3" s="12"/>
      <c r="I3" s="12"/>
      <c r="J3" s="13"/>
      <c r="K3" s="478"/>
      <c r="L3" s="123"/>
      <c r="M3" s="123"/>
      <c r="N3" s="123"/>
      <c r="O3" s="123"/>
      <c r="P3" s="123"/>
      <c r="Q3" s="123"/>
      <c r="R3" s="123"/>
      <c r="S3" s="279"/>
      <c r="T3" s="475"/>
      <c r="U3" s="475"/>
      <c r="V3" s="475"/>
      <c r="W3" s="475"/>
      <c r="X3" s="475"/>
      <c r="Y3" s="475"/>
    </row>
    <row r="4" ht="13.5" customHeight="1">
      <c r="A4" s="345" t="s">
        <v>340</v>
      </c>
      <c r="B4" s="13"/>
      <c r="C4" s="128"/>
      <c r="D4" s="12"/>
      <c r="E4" s="346" t="s">
        <v>341</v>
      </c>
      <c r="F4" s="12"/>
      <c r="G4" s="12"/>
      <c r="H4" s="12"/>
      <c r="I4" s="12"/>
      <c r="J4" s="13"/>
      <c r="K4" s="130" t="str">
        <f>IF(OR(C4="",Functions!E6="N/A"),"N/A",C4*Functions!E6/1000-N7)</f>
        <v>N/A</v>
      </c>
      <c r="L4" s="12"/>
      <c r="M4" s="12"/>
      <c r="N4" s="12"/>
      <c r="O4" s="12"/>
      <c r="P4" s="12"/>
      <c r="Q4" s="12"/>
      <c r="R4" s="12"/>
      <c r="S4" s="131"/>
      <c r="T4" s="475"/>
      <c r="U4" s="477"/>
      <c r="V4" s="475"/>
      <c r="W4" s="475"/>
      <c r="X4" s="475"/>
      <c r="Y4" s="475"/>
    </row>
    <row r="5" ht="13.5" customHeight="1">
      <c r="A5" s="345" t="s">
        <v>342</v>
      </c>
      <c r="B5" s="13"/>
      <c r="C5" s="321" t="s">
        <v>312</v>
      </c>
      <c r="D5" s="12"/>
      <c r="E5" s="12"/>
      <c r="F5" s="12"/>
      <c r="G5" s="12"/>
      <c r="H5" s="12"/>
      <c r="I5" s="12"/>
      <c r="J5" s="12"/>
      <c r="K5" s="12"/>
      <c r="L5" s="12"/>
      <c r="M5" s="12"/>
      <c r="N5" s="12"/>
      <c r="O5" s="12"/>
      <c r="P5" s="12"/>
      <c r="Q5" s="12"/>
      <c r="R5" s="12"/>
      <c r="S5" s="131"/>
      <c r="T5" s="475"/>
      <c r="U5" s="475"/>
      <c r="V5" s="475"/>
      <c r="W5" s="475"/>
      <c r="X5" s="475"/>
      <c r="Y5" s="475"/>
    </row>
    <row r="6" ht="13.5" customHeight="1">
      <c r="A6" s="357" t="s">
        <v>217</v>
      </c>
      <c r="B6" s="13"/>
      <c r="C6" s="134" t="s">
        <v>218</v>
      </c>
      <c r="D6" s="13"/>
      <c r="E6" s="134" t="s">
        <v>219</v>
      </c>
      <c r="F6" s="12"/>
      <c r="G6" s="12"/>
      <c r="H6" s="12"/>
      <c r="I6" s="12"/>
      <c r="J6" s="13"/>
      <c r="K6" s="135" t="s">
        <v>343</v>
      </c>
      <c r="L6" s="12"/>
      <c r="M6" s="12"/>
      <c r="N6" s="134" t="s">
        <v>222</v>
      </c>
      <c r="O6" s="12"/>
      <c r="P6" s="12"/>
      <c r="Q6" s="12"/>
      <c r="R6" s="12"/>
      <c r="S6" s="131"/>
      <c r="T6" s="475"/>
      <c r="U6" s="477"/>
      <c r="V6" s="475"/>
      <c r="W6" s="475"/>
      <c r="X6" s="475"/>
      <c r="Y6" s="475"/>
    </row>
    <row r="7" ht="13.5" customHeight="1">
      <c r="A7" s="359">
        <f>COUNTIF(E57:N57,"P")</f>
        <v>0</v>
      </c>
      <c r="B7" s="138"/>
      <c r="C7" s="360">
        <f>COUNTIF(E57:N57,"F")</f>
        <v>0</v>
      </c>
      <c r="D7" s="138"/>
      <c r="E7" s="360">
        <f>SUM(N7,-A7,-C7)</f>
        <v>10</v>
      </c>
      <c r="F7" s="140"/>
      <c r="G7" s="140"/>
      <c r="H7" s="140"/>
      <c r="I7" s="140"/>
      <c r="J7" s="138"/>
      <c r="K7" s="361">
        <f>COUNTIF(E56:N56,"N")</f>
        <v>3</v>
      </c>
      <c r="L7" s="361">
        <f>COUNTIF(E56:N56,"A")</f>
        <v>6</v>
      </c>
      <c r="M7" s="361">
        <f>COUNTIF(E56:N56,"B")</f>
        <v>1</v>
      </c>
      <c r="N7" s="360">
        <f>COUNTA(E9:N9)</f>
        <v>10</v>
      </c>
      <c r="O7" s="140"/>
      <c r="P7" s="140"/>
      <c r="Q7" s="140"/>
      <c r="R7" s="140"/>
      <c r="S7" s="284"/>
      <c r="T7" s="480"/>
      <c r="U7" s="475"/>
      <c r="V7" s="475"/>
      <c r="W7" s="475"/>
      <c r="X7" s="475"/>
      <c r="Y7" s="475"/>
    </row>
    <row r="8" ht="12.0" customHeight="1">
      <c r="A8" s="475"/>
      <c r="B8" s="475"/>
      <c r="C8" s="475"/>
      <c r="D8" s="475"/>
      <c r="E8" s="475"/>
      <c r="F8" s="475"/>
      <c r="G8" s="475"/>
      <c r="H8" s="475"/>
      <c r="I8" s="475"/>
      <c r="J8" s="475"/>
      <c r="K8" s="475"/>
      <c r="L8" s="475"/>
      <c r="M8" s="475"/>
      <c r="N8" s="475"/>
      <c r="O8" s="475"/>
      <c r="P8" s="475"/>
      <c r="Q8" s="475"/>
      <c r="R8" s="475"/>
      <c r="S8" s="475"/>
      <c r="T8" s="475"/>
      <c r="U8" s="475"/>
      <c r="V8" s="475"/>
      <c r="W8" s="475"/>
      <c r="X8" s="475"/>
      <c r="Y8" s="475"/>
    </row>
    <row r="9" ht="45.0" customHeight="1">
      <c r="A9" s="481"/>
      <c r="B9" s="482"/>
      <c r="C9" s="482"/>
      <c r="D9" s="482"/>
      <c r="E9" s="369" t="s">
        <v>344</v>
      </c>
      <c r="F9" s="369" t="s">
        <v>345</v>
      </c>
      <c r="G9" s="369" t="s">
        <v>346</v>
      </c>
      <c r="H9" s="369" t="s">
        <v>347</v>
      </c>
      <c r="I9" s="369" t="s">
        <v>348</v>
      </c>
      <c r="J9" s="369" t="s">
        <v>349</v>
      </c>
      <c r="K9" s="369" t="s">
        <v>458</v>
      </c>
      <c r="L9" s="369" t="s">
        <v>654</v>
      </c>
      <c r="M9" s="369" t="s">
        <v>655</v>
      </c>
      <c r="N9" s="369" t="s">
        <v>707</v>
      </c>
      <c r="O9" s="483"/>
      <c r="P9" s="483"/>
      <c r="Q9" s="483"/>
      <c r="R9" s="483"/>
      <c r="S9" s="484"/>
      <c r="T9" s="475"/>
      <c r="U9" s="477"/>
      <c r="V9" s="475"/>
      <c r="W9" s="475"/>
      <c r="X9" s="475"/>
      <c r="Y9" s="475"/>
    </row>
    <row r="10" ht="13.5" customHeight="1">
      <c r="A10" s="485" t="s">
        <v>350</v>
      </c>
      <c r="B10" s="347" t="s">
        <v>351</v>
      </c>
      <c r="C10" s="349"/>
      <c r="D10" s="249"/>
      <c r="E10" s="355"/>
      <c r="F10" s="355"/>
      <c r="G10" s="355"/>
      <c r="H10" s="355"/>
      <c r="I10" s="355"/>
      <c r="J10" s="355"/>
      <c r="K10" s="355"/>
      <c r="L10" s="355"/>
      <c r="M10" s="355"/>
      <c r="N10" s="355"/>
      <c r="O10" s="355"/>
      <c r="P10" s="355"/>
      <c r="Q10" s="355"/>
      <c r="R10" s="355"/>
      <c r="S10" s="355"/>
      <c r="T10" s="475"/>
      <c r="U10" s="475"/>
      <c r="V10" s="475"/>
      <c r="W10" s="475"/>
      <c r="X10" s="475"/>
      <c r="Y10" s="475"/>
    </row>
    <row r="11" ht="13.5" customHeight="1">
      <c r="A11" s="486"/>
      <c r="B11" s="249"/>
      <c r="C11" s="349"/>
      <c r="D11" s="489" t="s">
        <v>708</v>
      </c>
      <c r="E11" s="356" t="s">
        <v>353</v>
      </c>
      <c r="F11" s="355"/>
      <c r="G11" s="355"/>
      <c r="H11" s="355"/>
      <c r="I11" s="355"/>
      <c r="J11" s="355"/>
      <c r="K11" s="355"/>
      <c r="L11" s="355"/>
      <c r="M11" s="355"/>
      <c r="N11" s="355"/>
      <c r="O11" s="355"/>
      <c r="P11" s="355"/>
      <c r="Q11" s="355"/>
      <c r="R11" s="355"/>
      <c r="S11" s="541"/>
      <c r="T11" s="475"/>
      <c r="U11" s="477"/>
      <c r="V11" s="475"/>
      <c r="W11" s="475"/>
      <c r="X11" s="475"/>
      <c r="Y11" s="475"/>
    </row>
    <row r="12" ht="13.5" customHeight="1">
      <c r="A12" s="486"/>
      <c r="B12" s="353"/>
      <c r="C12" s="349"/>
      <c r="D12" s="489" t="s">
        <v>709</v>
      </c>
      <c r="E12" s="355"/>
      <c r="F12" s="356" t="s">
        <v>353</v>
      </c>
      <c r="G12" s="355"/>
      <c r="H12" s="355"/>
      <c r="I12" s="355"/>
      <c r="J12" s="355"/>
      <c r="K12" s="355"/>
      <c r="L12" s="355"/>
      <c r="M12" s="356"/>
      <c r="N12" s="356"/>
      <c r="O12" s="355"/>
      <c r="P12" s="355"/>
      <c r="Q12" s="355"/>
      <c r="R12" s="355"/>
      <c r="S12" s="541"/>
      <c r="T12" s="475"/>
      <c r="U12" s="475"/>
      <c r="V12" s="475"/>
      <c r="W12" s="475"/>
      <c r="X12" s="475"/>
      <c r="Y12" s="475"/>
    </row>
    <row r="13" ht="13.5" customHeight="1">
      <c r="A13" s="486"/>
      <c r="B13" s="249"/>
      <c r="C13" s="349"/>
      <c r="D13" s="489" t="s">
        <v>710</v>
      </c>
      <c r="E13" s="355"/>
      <c r="F13" s="355"/>
      <c r="G13" s="356" t="s">
        <v>353</v>
      </c>
      <c r="H13" s="355"/>
      <c r="I13" s="355"/>
      <c r="J13" s="355"/>
      <c r="K13" s="355"/>
      <c r="L13" s="355"/>
      <c r="M13" s="355"/>
      <c r="N13" s="355"/>
      <c r="O13" s="355"/>
      <c r="P13" s="355"/>
      <c r="Q13" s="355"/>
      <c r="R13" s="355"/>
      <c r="S13" s="541"/>
      <c r="T13" s="475"/>
      <c r="U13" s="475"/>
      <c r="V13" s="475"/>
      <c r="W13" s="475"/>
      <c r="X13" s="475"/>
      <c r="Y13" s="475"/>
    </row>
    <row r="14" ht="13.5" customHeight="1">
      <c r="A14" s="486"/>
      <c r="B14" s="353"/>
      <c r="C14" s="349"/>
      <c r="D14" s="489" t="s">
        <v>711</v>
      </c>
      <c r="E14" s="355"/>
      <c r="F14" s="355"/>
      <c r="G14" s="355"/>
      <c r="H14" s="356" t="s">
        <v>353</v>
      </c>
      <c r="I14" s="355"/>
      <c r="J14" s="356"/>
      <c r="K14" s="356"/>
      <c r="L14" s="356"/>
      <c r="M14" s="355"/>
      <c r="N14" s="355"/>
      <c r="O14" s="355"/>
      <c r="P14" s="355"/>
      <c r="Q14" s="355"/>
      <c r="R14" s="355"/>
      <c r="S14" s="541"/>
      <c r="T14" s="475"/>
      <c r="U14" s="475"/>
      <c r="V14" s="475"/>
      <c r="W14" s="475"/>
      <c r="X14" s="475"/>
      <c r="Y14" s="475"/>
    </row>
    <row r="15" ht="13.5" customHeight="1">
      <c r="A15" s="486"/>
      <c r="B15" s="353"/>
      <c r="C15" s="349"/>
      <c r="D15" s="489" t="s">
        <v>712</v>
      </c>
      <c r="E15" s="355"/>
      <c r="F15" s="355"/>
      <c r="G15" s="355"/>
      <c r="H15" s="355"/>
      <c r="I15" s="356" t="s">
        <v>353</v>
      </c>
      <c r="J15" s="355"/>
      <c r="K15" s="355"/>
      <c r="L15" s="355"/>
      <c r="M15" s="355"/>
      <c r="N15" s="355"/>
      <c r="O15" s="355"/>
      <c r="P15" s="355"/>
      <c r="Q15" s="355"/>
      <c r="R15" s="355"/>
      <c r="S15" s="541"/>
      <c r="T15" s="475"/>
      <c r="U15" s="475"/>
      <c r="V15" s="475"/>
      <c r="W15" s="475"/>
      <c r="X15" s="475"/>
      <c r="Y15" s="475"/>
    </row>
    <row r="16" ht="13.5" customHeight="1">
      <c r="A16" s="486"/>
      <c r="B16" s="347"/>
      <c r="C16" s="349"/>
      <c r="D16" s="544"/>
      <c r="E16" s="355"/>
      <c r="F16" s="355"/>
      <c r="G16" s="355"/>
      <c r="H16" s="355"/>
      <c r="I16" s="355"/>
      <c r="J16" s="355"/>
      <c r="K16" s="355"/>
      <c r="L16" s="355"/>
      <c r="M16" s="355"/>
      <c r="N16" s="355"/>
      <c r="O16" s="355"/>
      <c r="P16" s="355"/>
      <c r="Q16" s="355"/>
      <c r="R16" s="355"/>
      <c r="S16" s="541"/>
      <c r="T16" s="475"/>
      <c r="U16" s="475"/>
      <c r="V16" s="475"/>
      <c r="W16" s="475"/>
      <c r="X16" s="475"/>
      <c r="Y16" s="475"/>
    </row>
    <row r="17" ht="13.5" customHeight="1">
      <c r="A17" s="486"/>
      <c r="B17" s="353"/>
      <c r="C17" s="349"/>
      <c r="D17" s="489" t="s">
        <v>713</v>
      </c>
      <c r="E17" s="356"/>
      <c r="F17" s="356"/>
      <c r="G17" s="356"/>
      <c r="H17" s="356"/>
      <c r="I17" s="356"/>
      <c r="J17" s="355" t="s">
        <v>353</v>
      </c>
      <c r="K17" s="356"/>
      <c r="L17" s="356"/>
      <c r="M17" s="356"/>
      <c r="N17" s="356"/>
      <c r="O17" s="355"/>
      <c r="P17" s="355"/>
      <c r="Q17" s="355"/>
      <c r="R17" s="355"/>
      <c r="S17" s="541"/>
      <c r="T17" s="475"/>
      <c r="U17" s="475"/>
      <c r="V17" s="475"/>
      <c r="W17" s="475"/>
      <c r="X17" s="475"/>
      <c r="Y17" s="475"/>
    </row>
    <row r="18" ht="13.5" customHeight="1">
      <c r="A18" s="486"/>
      <c r="B18" s="353"/>
      <c r="C18" s="349"/>
      <c r="D18" s="489" t="s">
        <v>714</v>
      </c>
      <c r="E18" s="355"/>
      <c r="F18" s="355"/>
      <c r="G18" s="355"/>
      <c r="H18" s="355"/>
      <c r="I18" s="355"/>
      <c r="J18" s="356"/>
      <c r="K18" s="355" t="s">
        <v>353</v>
      </c>
      <c r="L18" s="355"/>
      <c r="M18" s="355"/>
      <c r="N18" s="355"/>
      <c r="O18" s="355"/>
      <c r="P18" s="355"/>
      <c r="Q18" s="355"/>
      <c r="R18" s="355"/>
      <c r="S18" s="541"/>
      <c r="T18" s="475"/>
      <c r="U18" s="475"/>
      <c r="V18" s="475"/>
      <c r="W18" s="475"/>
      <c r="X18" s="475"/>
      <c r="Y18" s="475"/>
    </row>
    <row r="19" ht="13.5" customHeight="1">
      <c r="A19" s="486"/>
      <c r="B19" s="347"/>
      <c r="C19" s="349"/>
      <c r="D19" s="544"/>
      <c r="E19" s="355"/>
      <c r="F19" s="355"/>
      <c r="G19" s="355"/>
      <c r="H19" s="355"/>
      <c r="I19" s="355"/>
      <c r="J19" s="355"/>
      <c r="K19" s="355"/>
      <c r="L19" s="355"/>
      <c r="M19" s="355"/>
      <c r="N19" s="355"/>
      <c r="O19" s="355"/>
      <c r="P19" s="355"/>
      <c r="Q19" s="355"/>
      <c r="R19" s="355"/>
      <c r="S19" s="541"/>
      <c r="T19" s="475"/>
      <c r="U19" s="475"/>
      <c r="V19" s="475"/>
      <c r="W19" s="475"/>
      <c r="X19" s="475"/>
      <c r="Y19" s="475"/>
    </row>
    <row r="20" ht="13.5" customHeight="1">
      <c r="A20" s="486"/>
      <c r="B20" s="353"/>
      <c r="C20" s="349"/>
      <c r="D20" s="489" t="s">
        <v>715</v>
      </c>
      <c r="E20" s="356"/>
      <c r="F20" s="355"/>
      <c r="G20" s="355"/>
      <c r="H20" s="355"/>
      <c r="I20" s="356"/>
      <c r="J20" s="356"/>
      <c r="K20" s="356"/>
      <c r="L20" s="355" t="s">
        <v>353</v>
      </c>
      <c r="M20" s="356"/>
      <c r="N20" s="356"/>
      <c r="O20" s="355"/>
      <c r="P20" s="355"/>
      <c r="Q20" s="355"/>
      <c r="R20" s="355"/>
      <c r="S20" s="541"/>
      <c r="T20" s="475"/>
      <c r="U20" s="475"/>
      <c r="V20" s="475"/>
      <c r="W20" s="475"/>
      <c r="X20" s="475"/>
      <c r="Y20" s="475"/>
    </row>
    <row r="21" ht="13.5" customHeight="1">
      <c r="A21" s="486"/>
      <c r="B21" s="353"/>
      <c r="C21" s="349"/>
      <c r="D21" s="354" t="s">
        <v>716</v>
      </c>
      <c r="E21" s="355"/>
      <c r="F21" s="356"/>
      <c r="G21" s="355"/>
      <c r="H21" s="355"/>
      <c r="I21" s="355"/>
      <c r="J21" s="355"/>
      <c r="K21" s="355"/>
      <c r="L21" s="355"/>
      <c r="M21" s="355" t="s">
        <v>353</v>
      </c>
      <c r="N21" s="355"/>
      <c r="O21" s="355"/>
      <c r="P21" s="355"/>
      <c r="Q21" s="355"/>
      <c r="R21" s="355"/>
      <c r="S21" s="541"/>
      <c r="T21" s="475"/>
      <c r="U21" s="475"/>
      <c r="V21" s="475"/>
      <c r="W21" s="475"/>
      <c r="X21" s="475"/>
      <c r="Y21" s="475"/>
    </row>
    <row r="22" ht="13.5" customHeight="1">
      <c r="A22" s="486"/>
      <c r="B22" s="353"/>
      <c r="C22" s="349"/>
      <c r="D22" s="354" t="s">
        <v>717</v>
      </c>
      <c r="E22" s="355"/>
      <c r="F22" s="355"/>
      <c r="G22" s="355"/>
      <c r="H22" s="355"/>
      <c r="I22" s="355"/>
      <c r="J22" s="355"/>
      <c r="K22" s="355"/>
      <c r="L22" s="355"/>
      <c r="M22" s="355"/>
      <c r="N22" s="355" t="s">
        <v>353</v>
      </c>
      <c r="O22" s="355"/>
      <c r="P22" s="355"/>
      <c r="Q22" s="355"/>
      <c r="R22" s="355"/>
      <c r="S22" s="541"/>
      <c r="T22" s="475"/>
      <c r="U22" s="475"/>
      <c r="V22" s="475"/>
      <c r="W22" s="475"/>
      <c r="X22" s="475"/>
      <c r="Y22" s="475"/>
    </row>
    <row r="23" ht="13.5" customHeight="1">
      <c r="A23" s="486"/>
      <c r="B23" s="353"/>
      <c r="C23" s="349"/>
      <c r="D23" s="354"/>
      <c r="E23" s="355"/>
      <c r="F23" s="355"/>
      <c r="G23" s="355"/>
      <c r="H23" s="355"/>
      <c r="I23" s="355"/>
      <c r="J23" s="355"/>
      <c r="K23" s="355"/>
      <c r="L23" s="355"/>
      <c r="M23" s="355"/>
      <c r="N23" s="355"/>
      <c r="O23" s="355"/>
      <c r="P23" s="355"/>
      <c r="Q23" s="355"/>
      <c r="R23" s="355"/>
      <c r="S23" s="541"/>
      <c r="T23" s="475"/>
      <c r="U23" s="475"/>
      <c r="V23" s="475"/>
      <c r="W23" s="475"/>
      <c r="X23" s="475"/>
      <c r="Y23" s="475"/>
    </row>
    <row r="24" ht="13.5" customHeight="1">
      <c r="A24" s="486"/>
      <c r="B24" s="347"/>
      <c r="C24" s="349"/>
      <c r="D24" s="358"/>
      <c r="E24" s="355"/>
      <c r="F24" s="355"/>
      <c r="G24" s="355"/>
      <c r="H24" s="355"/>
      <c r="I24" s="355"/>
      <c r="J24" s="355"/>
      <c r="K24" s="355"/>
      <c r="L24" s="355"/>
      <c r="M24" s="355"/>
      <c r="N24" s="355"/>
      <c r="O24" s="355"/>
      <c r="P24" s="355"/>
      <c r="Q24" s="355"/>
      <c r="R24" s="355"/>
      <c r="S24" s="541"/>
      <c r="T24" s="475"/>
      <c r="U24" s="475"/>
      <c r="V24" s="475"/>
      <c r="W24" s="475"/>
      <c r="X24" s="475"/>
      <c r="Y24" s="475"/>
    </row>
    <row r="25" ht="13.5" customHeight="1">
      <c r="A25" s="486"/>
      <c r="B25" s="353"/>
      <c r="C25" s="349"/>
      <c r="D25" s="354"/>
      <c r="E25" s="355"/>
      <c r="F25" s="356"/>
      <c r="G25" s="356"/>
      <c r="H25" s="355"/>
      <c r="I25" s="356"/>
      <c r="J25" s="356"/>
      <c r="K25" s="355"/>
      <c r="L25" s="355"/>
      <c r="M25" s="356"/>
      <c r="N25" s="356"/>
      <c r="O25" s="355"/>
      <c r="P25" s="355"/>
      <c r="Q25" s="355"/>
      <c r="R25" s="355"/>
      <c r="S25" s="541"/>
      <c r="T25" s="475"/>
      <c r="U25" s="475"/>
      <c r="V25" s="475"/>
      <c r="W25" s="475"/>
      <c r="X25" s="475"/>
      <c r="Y25" s="475"/>
    </row>
    <row r="26" ht="13.5" customHeight="1">
      <c r="A26" s="486"/>
      <c r="B26" s="353"/>
      <c r="C26" s="349"/>
      <c r="D26" s="354"/>
      <c r="E26" s="355"/>
      <c r="F26" s="355"/>
      <c r="G26" s="355"/>
      <c r="H26" s="355"/>
      <c r="I26" s="355"/>
      <c r="J26" s="355"/>
      <c r="K26" s="356"/>
      <c r="L26" s="355"/>
      <c r="M26" s="355"/>
      <c r="N26" s="355"/>
      <c r="O26" s="355"/>
      <c r="P26" s="355"/>
      <c r="Q26" s="355"/>
      <c r="R26" s="355"/>
      <c r="S26" s="541"/>
      <c r="T26" s="475"/>
      <c r="U26" s="475"/>
      <c r="V26" s="475"/>
      <c r="W26" s="475"/>
      <c r="X26" s="475"/>
      <c r="Y26" s="475"/>
    </row>
    <row r="27" ht="13.5" customHeight="1">
      <c r="A27" s="486"/>
      <c r="B27" s="347"/>
      <c r="C27" s="349"/>
      <c r="D27" s="358"/>
      <c r="E27" s="355"/>
      <c r="F27" s="355"/>
      <c r="G27" s="355"/>
      <c r="H27" s="355"/>
      <c r="I27" s="355"/>
      <c r="J27" s="355"/>
      <c r="K27" s="355"/>
      <c r="L27" s="355"/>
      <c r="M27" s="355"/>
      <c r="N27" s="355"/>
      <c r="O27" s="355"/>
      <c r="P27" s="355"/>
      <c r="Q27" s="355"/>
      <c r="R27" s="355"/>
      <c r="S27" s="541"/>
      <c r="T27" s="475"/>
      <c r="U27" s="475"/>
      <c r="V27" s="475"/>
      <c r="W27" s="475"/>
      <c r="X27" s="475"/>
      <c r="Y27" s="475"/>
    </row>
    <row r="28" ht="13.5" customHeight="1">
      <c r="A28" s="486"/>
      <c r="B28" s="353"/>
      <c r="C28" s="349"/>
      <c r="D28" s="354"/>
      <c r="E28" s="355"/>
      <c r="F28" s="355"/>
      <c r="G28" s="355"/>
      <c r="H28" s="355"/>
      <c r="I28" s="356"/>
      <c r="J28" s="356"/>
      <c r="K28" s="356"/>
      <c r="L28" s="356"/>
      <c r="M28" s="355"/>
      <c r="N28" s="356"/>
      <c r="O28" s="355"/>
      <c r="P28" s="355"/>
      <c r="Q28" s="355"/>
      <c r="R28" s="355"/>
      <c r="S28" s="541"/>
      <c r="T28" s="475"/>
      <c r="U28" s="475"/>
      <c r="V28" s="475"/>
      <c r="W28" s="475"/>
      <c r="X28" s="475"/>
      <c r="Y28" s="475"/>
    </row>
    <row r="29" ht="13.5" customHeight="1">
      <c r="A29" s="486"/>
      <c r="B29" s="353"/>
      <c r="C29" s="349"/>
      <c r="D29" s="354"/>
      <c r="E29" s="355"/>
      <c r="F29" s="356"/>
      <c r="G29" s="356"/>
      <c r="H29" s="355"/>
      <c r="I29" s="355"/>
      <c r="J29" s="355"/>
      <c r="K29" s="355"/>
      <c r="L29" s="355"/>
      <c r="M29" s="356"/>
      <c r="N29" s="355"/>
      <c r="O29" s="355"/>
      <c r="P29" s="355"/>
      <c r="Q29" s="355"/>
      <c r="R29" s="355"/>
      <c r="S29" s="541"/>
      <c r="T29" s="475"/>
      <c r="U29" s="475"/>
      <c r="V29" s="475"/>
      <c r="W29" s="475"/>
      <c r="X29" s="475"/>
      <c r="Y29" s="475"/>
    </row>
    <row r="30" ht="13.5" customHeight="1">
      <c r="A30" s="486"/>
      <c r="B30" s="353"/>
      <c r="C30" s="349"/>
      <c r="D30" s="354"/>
      <c r="E30" s="355"/>
      <c r="F30" s="355"/>
      <c r="G30" s="355"/>
      <c r="H30" s="356"/>
      <c r="I30" s="355"/>
      <c r="J30" s="355"/>
      <c r="K30" s="355"/>
      <c r="L30" s="355"/>
      <c r="M30" s="355"/>
      <c r="N30" s="355"/>
      <c r="O30" s="355"/>
      <c r="P30" s="355"/>
      <c r="Q30" s="355"/>
      <c r="R30" s="355"/>
      <c r="S30" s="541"/>
      <c r="T30" s="475"/>
      <c r="U30" s="475"/>
      <c r="V30" s="475"/>
      <c r="W30" s="475"/>
      <c r="X30" s="475"/>
      <c r="Y30" s="475"/>
    </row>
    <row r="31" ht="13.5" customHeight="1">
      <c r="A31" s="486"/>
      <c r="B31" s="347"/>
      <c r="C31" s="349"/>
      <c r="D31" s="249"/>
      <c r="E31" s="355"/>
      <c r="F31" s="355"/>
      <c r="G31" s="355"/>
      <c r="H31" s="355"/>
      <c r="I31" s="355"/>
      <c r="J31" s="355"/>
      <c r="K31" s="355"/>
      <c r="L31" s="355"/>
      <c r="M31" s="355"/>
      <c r="N31" s="355"/>
      <c r="O31" s="355"/>
      <c r="P31" s="355"/>
      <c r="Q31" s="355"/>
      <c r="R31" s="355"/>
      <c r="S31" s="541"/>
      <c r="T31" s="475"/>
      <c r="U31" s="475"/>
      <c r="V31" s="475"/>
      <c r="W31" s="475"/>
      <c r="X31" s="475"/>
      <c r="Y31" s="475"/>
    </row>
    <row r="32" ht="13.5" customHeight="1">
      <c r="A32" s="486"/>
      <c r="B32" s="353"/>
      <c r="C32" s="349"/>
      <c r="D32" s="489"/>
      <c r="E32" s="367"/>
      <c r="F32" s="367"/>
      <c r="G32" s="367"/>
      <c r="H32" s="367"/>
      <c r="I32" s="367"/>
      <c r="J32" s="367"/>
      <c r="K32" s="367"/>
      <c r="L32" s="355"/>
      <c r="M32" s="356"/>
      <c r="N32" s="356"/>
      <c r="O32" s="355"/>
      <c r="P32" s="355"/>
      <c r="Q32" s="355"/>
      <c r="R32" s="355"/>
      <c r="S32" s="541"/>
      <c r="T32" s="475"/>
      <c r="U32" s="475"/>
      <c r="V32" s="475"/>
      <c r="W32" s="475"/>
      <c r="X32" s="475"/>
      <c r="Y32" s="475"/>
    </row>
    <row r="33" ht="13.5" customHeight="1">
      <c r="A33" s="515"/>
      <c r="B33" s="516"/>
      <c r="C33" s="517"/>
      <c r="D33" s="489"/>
      <c r="E33" s="355"/>
      <c r="F33" s="355"/>
      <c r="G33" s="355"/>
      <c r="H33" s="355"/>
      <c r="I33" s="355"/>
      <c r="J33" s="355"/>
      <c r="K33" s="355"/>
      <c r="L33" s="356"/>
      <c r="M33" s="355"/>
      <c r="N33" s="355"/>
      <c r="O33" s="355"/>
      <c r="P33" s="355"/>
      <c r="Q33" s="355"/>
      <c r="R33" s="355"/>
      <c r="S33" s="541"/>
      <c r="T33" s="475"/>
      <c r="U33" s="475"/>
      <c r="V33" s="475"/>
      <c r="W33" s="475"/>
      <c r="X33" s="475"/>
      <c r="Y33" s="475"/>
    </row>
    <row r="34" ht="13.5" customHeight="1">
      <c r="A34" s="515"/>
      <c r="B34" s="522"/>
      <c r="C34" s="442"/>
      <c r="D34" s="545"/>
      <c r="E34" s="355"/>
      <c r="F34" s="355"/>
      <c r="G34" s="355"/>
      <c r="H34" s="355"/>
      <c r="I34" s="355"/>
      <c r="J34" s="355"/>
      <c r="K34" s="355"/>
      <c r="L34" s="355"/>
      <c r="M34" s="355"/>
      <c r="N34" s="355"/>
      <c r="O34" s="355"/>
      <c r="P34" s="355"/>
      <c r="Q34" s="355"/>
      <c r="R34" s="355"/>
      <c r="S34" s="541"/>
      <c r="T34" s="475"/>
      <c r="U34" s="475"/>
      <c r="V34" s="475"/>
      <c r="W34" s="475"/>
      <c r="X34" s="475"/>
      <c r="Y34" s="475"/>
    </row>
    <row r="35" ht="13.5" customHeight="1">
      <c r="A35" s="515"/>
      <c r="B35" s="519"/>
      <c r="C35" s="442"/>
      <c r="D35" s="443"/>
      <c r="E35" s="356"/>
      <c r="F35" s="356"/>
      <c r="G35" s="356"/>
      <c r="H35" s="356"/>
      <c r="I35" s="356"/>
      <c r="J35" s="356"/>
      <c r="K35" s="356"/>
      <c r="L35" s="356"/>
      <c r="M35" s="356"/>
      <c r="N35" s="355"/>
      <c r="O35" s="355"/>
      <c r="P35" s="355"/>
      <c r="Q35" s="355"/>
      <c r="R35" s="355"/>
      <c r="S35" s="541"/>
      <c r="T35" s="475"/>
      <c r="U35" s="475"/>
      <c r="V35" s="475"/>
      <c r="W35" s="475"/>
      <c r="X35" s="475"/>
      <c r="Y35" s="475"/>
    </row>
    <row r="36" ht="13.5" customHeight="1">
      <c r="A36" s="515"/>
      <c r="B36" s="519"/>
      <c r="C36" s="442"/>
      <c r="D36" s="443"/>
      <c r="E36" s="355"/>
      <c r="F36" s="355"/>
      <c r="G36" s="355"/>
      <c r="H36" s="355"/>
      <c r="I36" s="355"/>
      <c r="J36" s="355"/>
      <c r="K36" s="355"/>
      <c r="L36" s="355"/>
      <c r="M36" s="355"/>
      <c r="N36" s="356"/>
      <c r="O36" s="355"/>
      <c r="P36" s="355"/>
      <c r="Q36" s="355"/>
      <c r="R36" s="355"/>
      <c r="S36" s="541"/>
      <c r="T36" s="475"/>
      <c r="U36" s="475"/>
      <c r="V36" s="475"/>
      <c r="W36" s="475"/>
      <c r="X36" s="475"/>
      <c r="Y36" s="475"/>
    </row>
    <row r="37" ht="13.5" customHeight="1">
      <c r="A37" s="515"/>
      <c r="B37" s="522"/>
      <c r="C37" s="442"/>
      <c r="D37" s="545"/>
      <c r="E37" s="355"/>
      <c r="F37" s="355"/>
      <c r="G37" s="355"/>
      <c r="H37" s="355"/>
      <c r="I37" s="355"/>
      <c r="J37" s="355"/>
      <c r="K37" s="355"/>
      <c r="L37" s="355"/>
      <c r="M37" s="355"/>
      <c r="N37" s="355"/>
      <c r="O37" s="355"/>
      <c r="P37" s="355"/>
      <c r="Q37" s="355"/>
      <c r="R37" s="355"/>
      <c r="S37" s="541"/>
      <c r="T37" s="475"/>
      <c r="U37" s="475"/>
      <c r="V37" s="475"/>
      <c r="W37" s="475"/>
      <c r="X37" s="475"/>
      <c r="Y37" s="475"/>
    </row>
    <row r="38" ht="13.5" customHeight="1">
      <c r="A38" s="515"/>
      <c r="B38" s="519"/>
      <c r="C38" s="442"/>
      <c r="D38" s="448"/>
      <c r="E38" s="356"/>
      <c r="F38" s="356"/>
      <c r="G38" s="356"/>
      <c r="H38" s="356"/>
      <c r="I38" s="356"/>
      <c r="J38" s="356"/>
      <c r="K38" s="356"/>
      <c r="L38" s="356"/>
      <c r="M38" s="356"/>
      <c r="N38" s="355"/>
      <c r="O38" s="355"/>
      <c r="P38" s="355"/>
      <c r="Q38" s="355"/>
      <c r="R38" s="355"/>
      <c r="S38" s="541"/>
      <c r="T38" s="475"/>
      <c r="U38" s="475"/>
      <c r="V38" s="475"/>
      <c r="W38" s="475"/>
      <c r="X38" s="475"/>
      <c r="Y38" s="475"/>
    </row>
    <row r="39" ht="13.5" customHeight="1">
      <c r="A39" s="515"/>
      <c r="B39" s="546"/>
      <c r="C39" s="453"/>
      <c r="D39" s="547"/>
      <c r="E39" s="509"/>
      <c r="F39" s="509"/>
      <c r="G39" s="509"/>
      <c r="H39" s="509"/>
      <c r="I39" s="509"/>
      <c r="J39" s="509"/>
      <c r="K39" s="509"/>
      <c r="L39" s="509"/>
      <c r="M39" s="509"/>
      <c r="N39" s="367"/>
      <c r="O39" s="548"/>
      <c r="P39" s="548"/>
      <c r="Q39" s="548"/>
      <c r="R39" s="548"/>
      <c r="S39" s="549"/>
      <c r="T39" s="475"/>
      <c r="U39" s="475"/>
      <c r="V39" s="475"/>
      <c r="W39" s="475"/>
      <c r="X39" s="475"/>
      <c r="Y39" s="475"/>
    </row>
    <row r="40" ht="13.5" customHeight="1">
      <c r="A40" s="550" t="s">
        <v>359</v>
      </c>
      <c r="B40" s="551" t="s">
        <v>360</v>
      </c>
      <c r="C40" s="433"/>
      <c r="D40" s="552"/>
      <c r="E40" s="514"/>
      <c r="F40" s="514"/>
      <c r="G40" s="514"/>
      <c r="H40" s="514"/>
      <c r="I40" s="514"/>
      <c r="J40" s="514"/>
      <c r="K40" s="514"/>
      <c r="L40" s="514"/>
      <c r="M40" s="514"/>
      <c r="N40" s="514"/>
      <c r="O40" s="514"/>
      <c r="P40" s="514"/>
      <c r="Q40" s="514"/>
      <c r="R40" s="514"/>
      <c r="S40" s="539"/>
      <c r="T40" s="475"/>
      <c r="U40" s="475"/>
      <c r="V40" s="475"/>
      <c r="W40" s="475"/>
      <c r="X40" s="475"/>
      <c r="Y40" s="475"/>
    </row>
    <row r="41" ht="13.5" customHeight="1">
      <c r="A41" s="507"/>
      <c r="B41" s="519"/>
      <c r="C41" s="442"/>
      <c r="D41" s="448" t="s">
        <v>718</v>
      </c>
      <c r="E41" s="356" t="s">
        <v>353</v>
      </c>
      <c r="F41" s="356"/>
      <c r="G41" s="356"/>
      <c r="H41" s="356"/>
      <c r="I41" s="355"/>
      <c r="J41" s="356"/>
      <c r="K41" s="356"/>
      <c r="L41" s="356"/>
      <c r="M41" s="355"/>
      <c r="N41" s="356"/>
      <c r="O41" s="355"/>
      <c r="P41" s="355"/>
      <c r="Q41" s="355"/>
      <c r="R41" s="355"/>
      <c r="S41" s="541"/>
      <c r="T41" s="475"/>
      <c r="U41" s="475"/>
      <c r="V41" s="475"/>
      <c r="W41" s="475"/>
      <c r="X41" s="475"/>
      <c r="Y41" s="475"/>
    </row>
    <row r="42" ht="13.5" customHeight="1">
      <c r="A42" s="507"/>
      <c r="B42" s="519"/>
      <c r="C42" s="442"/>
      <c r="D42" s="443" t="s">
        <v>719</v>
      </c>
      <c r="E42" s="355"/>
      <c r="F42" s="355" t="s">
        <v>353</v>
      </c>
      <c r="G42" s="355"/>
      <c r="H42" s="355"/>
      <c r="I42" s="355"/>
      <c r="J42" s="355"/>
      <c r="K42" s="355"/>
      <c r="L42" s="355"/>
      <c r="M42" s="356"/>
      <c r="N42" s="355"/>
      <c r="O42" s="355"/>
      <c r="P42" s="355"/>
      <c r="Q42" s="355"/>
      <c r="R42" s="355"/>
      <c r="S42" s="541"/>
      <c r="T42" s="475"/>
      <c r="U42" s="475"/>
      <c r="V42" s="475"/>
      <c r="W42" s="475"/>
      <c r="X42" s="475"/>
      <c r="Y42" s="475"/>
    </row>
    <row r="43" ht="13.5" customHeight="1">
      <c r="A43" s="507"/>
      <c r="B43" s="522"/>
      <c r="C43" s="442"/>
      <c r="D43" s="545"/>
      <c r="E43" s="355"/>
      <c r="F43" s="355"/>
      <c r="G43" s="355"/>
      <c r="H43" s="355"/>
      <c r="I43" s="355"/>
      <c r="J43" s="355"/>
      <c r="K43" s="355"/>
      <c r="L43" s="355"/>
      <c r="M43" s="355"/>
      <c r="N43" s="355"/>
      <c r="O43" s="355"/>
      <c r="P43" s="355"/>
      <c r="Q43" s="355"/>
      <c r="R43" s="355"/>
      <c r="S43" s="541"/>
      <c r="T43" s="475"/>
      <c r="U43" s="475"/>
      <c r="V43" s="475"/>
      <c r="W43" s="475"/>
      <c r="X43" s="475"/>
      <c r="Y43" s="475"/>
    </row>
    <row r="44" ht="13.5" customHeight="1">
      <c r="A44" s="507"/>
      <c r="B44" s="519"/>
      <c r="C44" s="442"/>
      <c r="D44" s="443" t="s">
        <v>720</v>
      </c>
      <c r="E44" s="356"/>
      <c r="F44" s="356"/>
      <c r="G44" s="356" t="s">
        <v>353</v>
      </c>
      <c r="H44" s="356"/>
      <c r="I44" s="355"/>
      <c r="J44" s="356"/>
      <c r="K44" s="356"/>
      <c r="L44" s="356"/>
      <c r="M44" s="356"/>
      <c r="N44" s="356"/>
      <c r="O44" s="355"/>
      <c r="P44" s="355"/>
      <c r="Q44" s="355"/>
      <c r="R44" s="355"/>
      <c r="S44" s="541"/>
      <c r="T44" s="475"/>
      <c r="U44" s="475"/>
      <c r="V44" s="475"/>
      <c r="W44" s="475"/>
      <c r="X44" s="475"/>
      <c r="Y44" s="475"/>
    </row>
    <row r="45" ht="13.5" customHeight="1">
      <c r="A45" s="507"/>
      <c r="B45" s="519"/>
      <c r="C45" s="442"/>
      <c r="D45" s="443" t="s">
        <v>721</v>
      </c>
      <c r="E45" s="355"/>
      <c r="F45" s="355"/>
      <c r="G45" s="355"/>
      <c r="H45" s="355" t="s">
        <v>353</v>
      </c>
      <c r="I45" s="356"/>
      <c r="J45" s="355"/>
      <c r="K45" s="355"/>
      <c r="L45" s="355"/>
      <c r="M45" s="355"/>
      <c r="N45" s="355"/>
      <c r="O45" s="355"/>
      <c r="P45" s="355"/>
      <c r="Q45" s="355"/>
      <c r="R45" s="355"/>
      <c r="S45" s="541"/>
      <c r="T45" s="475"/>
      <c r="U45" s="475"/>
      <c r="V45" s="475"/>
      <c r="W45" s="475"/>
      <c r="X45" s="475"/>
      <c r="Y45" s="475"/>
    </row>
    <row r="46" ht="13.5" customHeight="1">
      <c r="A46" s="507"/>
      <c r="B46" s="522"/>
      <c r="C46" s="442"/>
      <c r="D46" s="545"/>
      <c r="E46" s="355"/>
      <c r="F46" s="355"/>
      <c r="G46" s="355"/>
      <c r="H46" s="355"/>
      <c r="I46" s="355"/>
      <c r="J46" s="355"/>
      <c r="K46" s="355"/>
      <c r="L46" s="355"/>
      <c r="M46" s="355"/>
      <c r="N46" s="355"/>
      <c r="O46" s="355"/>
      <c r="P46" s="355"/>
      <c r="Q46" s="355"/>
      <c r="R46" s="355"/>
      <c r="S46" s="541"/>
      <c r="T46" s="475"/>
      <c r="U46" s="475"/>
      <c r="V46" s="475"/>
      <c r="W46" s="475"/>
      <c r="X46" s="475"/>
      <c r="Y46" s="475"/>
    </row>
    <row r="47" ht="13.5" customHeight="1">
      <c r="A47" s="507"/>
      <c r="B47" s="249"/>
      <c r="C47" s="442"/>
      <c r="D47" s="443" t="s">
        <v>722</v>
      </c>
      <c r="E47" s="356"/>
      <c r="F47" s="356"/>
      <c r="G47" s="355"/>
      <c r="H47" s="355"/>
      <c r="I47" s="355" t="s">
        <v>353</v>
      </c>
      <c r="J47" s="356"/>
      <c r="K47" s="356"/>
      <c r="L47" s="356"/>
      <c r="M47" s="356"/>
      <c r="N47" s="356"/>
      <c r="O47" s="355"/>
      <c r="P47" s="355"/>
      <c r="Q47" s="355"/>
      <c r="R47" s="355"/>
      <c r="S47" s="541"/>
      <c r="T47" s="475"/>
      <c r="U47" s="475"/>
      <c r="V47" s="475"/>
      <c r="W47" s="475"/>
      <c r="X47" s="475"/>
      <c r="Y47" s="475"/>
    </row>
    <row r="48" ht="13.5" customHeight="1">
      <c r="A48" s="507"/>
      <c r="B48" s="519"/>
      <c r="C48" s="442"/>
      <c r="D48" s="443" t="s">
        <v>723</v>
      </c>
      <c r="E48" s="525"/>
      <c r="F48" s="525"/>
      <c r="G48" s="524"/>
      <c r="H48" s="524"/>
      <c r="I48" s="525"/>
      <c r="J48" s="525" t="s">
        <v>353</v>
      </c>
      <c r="K48" s="355"/>
      <c r="L48" s="525"/>
      <c r="M48" s="525"/>
      <c r="N48" s="525"/>
      <c r="O48" s="525"/>
      <c r="P48" s="525"/>
      <c r="Q48" s="525"/>
      <c r="R48" s="525"/>
      <c r="S48" s="553"/>
      <c r="T48" s="475"/>
      <c r="U48" s="475"/>
      <c r="V48" s="475"/>
      <c r="W48" s="475"/>
      <c r="X48" s="475"/>
      <c r="Y48" s="475"/>
    </row>
    <row r="49" ht="12.0" customHeight="1">
      <c r="A49" s="507"/>
      <c r="B49" s="522"/>
      <c r="C49" s="442"/>
      <c r="D49" s="545"/>
      <c r="E49" s="355"/>
      <c r="F49" s="355"/>
      <c r="G49" s="355"/>
      <c r="H49" s="355"/>
      <c r="I49" s="355"/>
      <c r="J49" s="355"/>
      <c r="K49" s="355"/>
      <c r="L49" s="355"/>
      <c r="M49" s="355"/>
      <c r="N49" s="355"/>
      <c r="O49" s="355"/>
      <c r="P49" s="355"/>
      <c r="Q49" s="355"/>
      <c r="R49" s="355"/>
      <c r="S49" s="541"/>
      <c r="T49" s="475"/>
      <c r="U49" s="475"/>
      <c r="V49" s="475"/>
      <c r="W49" s="475"/>
      <c r="X49" s="475"/>
      <c r="Y49" s="475"/>
    </row>
    <row r="50" ht="12.0" customHeight="1">
      <c r="A50" s="507"/>
      <c r="B50" s="526"/>
      <c r="C50" s="442"/>
      <c r="D50" s="443" t="s">
        <v>724</v>
      </c>
      <c r="E50" s="356"/>
      <c r="F50" s="356"/>
      <c r="G50" s="356"/>
      <c r="H50" s="356"/>
      <c r="I50" s="355"/>
      <c r="J50" s="356"/>
      <c r="K50" s="356" t="s">
        <v>353</v>
      </c>
      <c r="L50" s="356"/>
      <c r="M50" s="356"/>
      <c r="N50" s="356"/>
      <c r="O50" s="355"/>
      <c r="P50" s="355"/>
      <c r="Q50" s="355"/>
      <c r="R50" s="355"/>
      <c r="S50" s="541"/>
      <c r="T50" s="475"/>
      <c r="U50" s="475"/>
      <c r="V50" s="475"/>
      <c r="W50" s="475"/>
      <c r="X50" s="475"/>
      <c r="Y50" s="475"/>
    </row>
    <row r="51" ht="13.5" customHeight="1">
      <c r="A51" s="507"/>
      <c r="B51" s="554"/>
      <c r="C51" s="442"/>
      <c r="D51" s="545"/>
      <c r="E51" s="355"/>
      <c r="F51" s="355"/>
      <c r="G51" s="355"/>
      <c r="H51" s="355"/>
      <c r="I51" s="355"/>
      <c r="J51" s="355"/>
      <c r="K51" s="355"/>
      <c r="L51" s="355"/>
      <c r="M51" s="355"/>
      <c r="N51" s="355"/>
      <c r="O51" s="355"/>
      <c r="P51" s="355"/>
      <c r="Q51" s="355"/>
      <c r="R51" s="355"/>
      <c r="S51" s="541"/>
      <c r="T51" s="475"/>
      <c r="U51" s="475"/>
      <c r="V51" s="475"/>
      <c r="W51" s="475"/>
      <c r="X51" s="475"/>
      <c r="Y51" s="475"/>
    </row>
    <row r="52" ht="13.5" customHeight="1">
      <c r="A52" s="507"/>
      <c r="B52" s="519"/>
      <c r="C52" s="442"/>
      <c r="D52" s="443" t="s">
        <v>725</v>
      </c>
      <c r="E52" s="356"/>
      <c r="F52" s="356"/>
      <c r="G52" s="356"/>
      <c r="H52" s="356"/>
      <c r="I52" s="356"/>
      <c r="J52" s="356"/>
      <c r="K52" s="356"/>
      <c r="L52" s="356" t="s">
        <v>353</v>
      </c>
      <c r="M52" s="356"/>
      <c r="N52" s="355"/>
      <c r="O52" s="355"/>
      <c r="P52" s="355"/>
      <c r="Q52" s="355"/>
      <c r="R52" s="355"/>
      <c r="S52" s="541"/>
      <c r="T52" s="475"/>
      <c r="U52" s="475"/>
      <c r="V52" s="475"/>
      <c r="W52" s="475"/>
      <c r="X52" s="475"/>
      <c r="Y52" s="475"/>
    </row>
    <row r="53" ht="13.5" customHeight="1">
      <c r="A53" s="555"/>
      <c r="B53" s="556"/>
      <c r="C53" s="557"/>
      <c r="D53" s="558" t="s">
        <v>726</v>
      </c>
      <c r="E53" s="355"/>
      <c r="F53" s="355"/>
      <c r="G53" s="355"/>
      <c r="H53" s="355"/>
      <c r="I53" s="355"/>
      <c r="J53" s="355"/>
      <c r="K53" s="355"/>
      <c r="L53" s="355"/>
      <c r="M53" s="355" t="s">
        <v>353</v>
      </c>
      <c r="N53" s="356"/>
      <c r="O53" s="355"/>
      <c r="P53" s="355"/>
      <c r="Q53" s="355"/>
      <c r="R53" s="355"/>
      <c r="S53" s="541"/>
      <c r="T53" s="475"/>
      <c r="U53" s="475"/>
      <c r="V53" s="475"/>
      <c r="W53" s="475"/>
      <c r="X53" s="475"/>
      <c r="Y53" s="475"/>
    </row>
    <row r="54" ht="13.5" customHeight="1">
      <c r="A54" s="507"/>
      <c r="B54" s="559"/>
      <c r="C54" s="442"/>
      <c r="D54" s="545"/>
      <c r="E54" s="355"/>
      <c r="F54" s="355"/>
      <c r="G54" s="355"/>
      <c r="H54" s="355"/>
      <c r="I54" s="355"/>
      <c r="J54" s="355"/>
      <c r="K54" s="355"/>
      <c r="L54" s="355"/>
      <c r="M54" s="355"/>
      <c r="N54" s="355"/>
      <c r="O54" s="355"/>
      <c r="P54" s="355"/>
      <c r="Q54" s="355"/>
      <c r="R54" s="355"/>
      <c r="S54" s="541"/>
      <c r="T54" s="475"/>
      <c r="U54" s="475"/>
      <c r="V54" s="475"/>
      <c r="W54" s="475"/>
      <c r="X54" s="475"/>
      <c r="Y54" s="475"/>
    </row>
    <row r="55" ht="13.5" customHeight="1">
      <c r="A55" s="555"/>
      <c r="B55" s="560"/>
      <c r="C55" s="560"/>
      <c r="D55" s="561" t="s">
        <v>727</v>
      </c>
      <c r="E55" s="540"/>
      <c r="F55" s="540"/>
      <c r="G55" s="540"/>
      <c r="H55" s="540"/>
      <c r="I55" s="540"/>
      <c r="J55" s="540"/>
      <c r="K55" s="540"/>
      <c r="L55" s="540"/>
      <c r="M55" s="540"/>
      <c r="N55" s="562" t="s">
        <v>353</v>
      </c>
      <c r="O55" s="540"/>
      <c r="P55" s="540"/>
      <c r="Q55" s="540"/>
      <c r="R55" s="540"/>
      <c r="S55" s="543"/>
      <c r="T55" s="475"/>
      <c r="U55" s="475"/>
      <c r="V55" s="475"/>
      <c r="W55" s="475"/>
      <c r="X55" s="475"/>
      <c r="Y55" s="475"/>
    </row>
    <row r="56" ht="13.5" customHeight="1">
      <c r="A56" s="550" t="s">
        <v>367</v>
      </c>
      <c r="B56" s="563" t="s">
        <v>704</v>
      </c>
      <c r="C56" s="225"/>
      <c r="D56" s="241"/>
      <c r="E56" s="564" t="s">
        <v>38</v>
      </c>
      <c r="F56" s="564" t="s">
        <v>220</v>
      </c>
      <c r="G56" s="564" t="s">
        <v>38</v>
      </c>
      <c r="H56" s="564" t="s">
        <v>38</v>
      </c>
      <c r="I56" s="564" t="s">
        <v>38</v>
      </c>
      <c r="J56" s="564" t="s">
        <v>38</v>
      </c>
      <c r="K56" s="564" t="s">
        <v>220</v>
      </c>
      <c r="L56" s="564" t="s">
        <v>221</v>
      </c>
      <c r="M56" s="564" t="s">
        <v>38</v>
      </c>
      <c r="N56" s="564" t="s">
        <v>220</v>
      </c>
      <c r="O56" s="565"/>
      <c r="P56" s="565"/>
      <c r="Q56" s="565"/>
      <c r="R56" s="565"/>
      <c r="S56" s="566"/>
      <c r="T56" s="475"/>
      <c r="U56" s="475"/>
      <c r="V56" s="475"/>
      <c r="W56" s="475"/>
      <c r="X56" s="475"/>
      <c r="Y56" s="475"/>
    </row>
    <row r="57" ht="13.5" customHeight="1">
      <c r="A57" s="532"/>
      <c r="B57" s="463" t="s">
        <v>705</v>
      </c>
      <c r="C57" s="12"/>
      <c r="D57" s="13"/>
      <c r="E57" s="533"/>
      <c r="F57" s="533"/>
      <c r="G57" s="533"/>
      <c r="H57" s="533"/>
      <c r="I57" s="533"/>
      <c r="J57" s="533"/>
      <c r="K57" s="533"/>
      <c r="L57" s="533"/>
      <c r="M57" s="533"/>
      <c r="N57" s="533"/>
      <c r="O57" s="355"/>
      <c r="P57" s="355"/>
      <c r="Q57" s="355"/>
      <c r="R57" s="355"/>
      <c r="S57" s="541"/>
      <c r="T57" s="475"/>
      <c r="U57" s="475"/>
      <c r="V57" s="475"/>
      <c r="W57" s="475"/>
      <c r="X57" s="475"/>
      <c r="Y57" s="475"/>
    </row>
    <row r="58" ht="13.5" customHeight="1">
      <c r="A58" s="532"/>
      <c r="B58" s="465" t="s">
        <v>706</v>
      </c>
      <c r="C58" s="12"/>
      <c r="D58" s="13"/>
      <c r="E58" s="448"/>
      <c r="F58" s="448"/>
      <c r="G58" s="448"/>
      <c r="H58" s="448"/>
      <c r="I58" s="448"/>
      <c r="J58" s="448"/>
      <c r="K58" s="448"/>
      <c r="L58" s="448"/>
      <c r="M58" s="448"/>
      <c r="N58" s="448"/>
      <c r="O58" s="537"/>
      <c r="P58" s="537"/>
      <c r="Q58" s="537"/>
      <c r="R58" s="537"/>
      <c r="S58" s="542"/>
      <c r="T58" s="475"/>
      <c r="U58" s="475"/>
      <c r="V58" s="475"/>
      <c r="W58" s="475"/>
      <c r="X58" s="475"/>
      <c r="Y58" s="475"/>
    </row>
    <row r="59" ht="13.5" customHeight="1">
      <c r="A59" s="538"/>
      <c r="B59" s="470" t="s">
        <v>372</v>
      </c>
      <c r="C59" s="216"/>
      <c r="D59" s="217"/>
      <c r="E59" s="540"/>
      <c r="F59" s="540"/>
      <c r="G59" s="540"/>
      <c r="H59" s="540"/>
      <c r="I59" s="540"/>
      <c r="J59" s="540"/>
      <c r="K59" s="540"/>
      <c r="L59" s="540"/>
      <c r="M59" s="540"/>
      <c r="N59" s="540"/>
      <c r="O59" s="540"/>
      <c r="P59" s="540"/>
      <c r="Q59" s="540"/>
      <c r="R59" s="540"/>
      <c r="S59" s="543"/>
      <c r="T59" s="475"/>
      <c r="U59" s="475"/>
      <c r="V59" s="475"/>
      <c r="W59" s="475"/>
      <c r="X59" s="475"/>
      <c r="Y59" s="475"/>
    </row>
    <row r="60" ht="13.5" customHeight="1">
      <c r="A60" s="475"/>
      <c r="B60" s="475"/>
      <c r="C60" s="475"/>
      <c r="D60" s="475"/>
      <c r="E60" s="475"/>
      <c r="F60" s="475"/>
      <c r="G60" s="475"/>
      <c r="H60" s="475"/>
      <c r="I60" s="475"/>
      <c r="J60" s="475"/>
      <c r="K60" s="475"/>
      <c r="L60" s="475"/>
      <c r="M60" s="475"/>
      <c r="N60" s="475"/>
      <c r="O60" s="475"/>
      <c r="P60" s="475"/>
      <c r="Q60" s="475"/>
      <c r="R60" s="475"/>
      <c r="S60" s="475"/>
      <c r="T60" s="475"/>
      <c r="U60" s="475"/>
      <c r="V60" s="475"/>
      <c r="W60" s="475"/>
      <c r="X60" s="475"/>
      <c r="Y60" s="475"/>
    </row>
    <row r="61" ht="13.5" customHeight="1">
      <c r="A61" s="475"/>
      <c r="B61" s="475"/>
      <c r="C61" s="475"/>
      <c r="D61" s="475"/>
      <c r="E61" s="475"/>
      <c r="F61" s="475"/>
      <c r="G61" s="475"/>
      <c r="H61" s="475"/>
      <c r="I61" s="475"/>
      <c r="J61" s="475"/>
      <c r="K61" s="475"/>
      <c r="L61" s="475"/>
      <c r="M61" s="475"/>
      <c r="N61" s="475"/>
      <c r="O61" s="475"/>
      <c r="P61" s="475"/>
      <c r="Q61" s="475"/>
      <c r="R61" s="475"/>
      <c r="S61" s="475"/>
      <c r="T61" s="475"/>
      <c r="U61" s="475"/>
      <c r="V61" s="475"/>
      <c r="W61" s="475"/>
      <c r="X61" s="475"/>
      <c r="Y61" s="475"/>
    </row>
    <row r="62" ht="13.5" customHeight="1">
      <c r="A62" s="475"/>
      <c r="B62" s="475"/>
      <c r="C62" s="475"/>
      <c r="D62" s="475"/>
      <c r="E62" s="475"/>
      <c r="F62" s="475"/>
      <c r="G62" s="475"/>
      <c r="H62" s="475"/>
      <c r="I62" s="475"/>
      <c r="J62" s="475"/>
      <c r="K62" s="475"/>
      <c r="L62" s="475"/>
      <c r="M62" s="475"/>
      <c r="N62" s="475"/>
      <c r="O62" s="475"/>
      <c r="P62" s="475"/>
      <c r="Q62" s="475"/>
      <c r="R62" s="475"/>
      <c r="S62" s="475"/>
      <c r="T62" s="475"/>
      <c r="U62" s="475"/>
      <c r="V62" s="475"/>
      <c r="W62" s="475"/>
      <c r="X62" s="475"/>
      <c r="Y62" s="475"/>
    </row>
    <row r="63" ht="13.5" customHeight="1">
      <c r="A63" s="475"/>
      <c r="B63" s="475"/>
      <c r="C63" s="475"/>
      <c r="D63" s="475"/>
      <c r="E63" s="475"/>
      <c r="F63" s="475"/>
      <c r="G63" s="475"/>
      <c r="H63" s="475"/>
      <c r="I63" s="475"/>
      <c r="J63" s="475"/>
      <c r="K63" s="475"/>
      <c r="L63" s="475"/>
      <c r="M63" s="475"/>
      <c r="N63" s="475"/>
      <c r="O63" s="475"/>
      <c r="P63" s="475"/>
      <c r="Q63" s="475"/>
      <c r="R63" s="475"/>
      <c r="S63" s="475"/>
      <c r="T63" s="475"/>
      <c r="U63" s="475"/>
      <c r="V63" s="475"/>
      <c r="W63" s="475"/>
      <c r="X63" s="475"/>
      <c r="Y63" s="475"/>
    </row>
    <row r="64" ht="13.5" customHeight="1">
      <c r="A64" s="475"/>
      <c r="B64" s="475"/>
      <c r="C64" s="475"/>
      <c r="D64" s="475"/>
      <c r="E64" s="475"/>
      <c r="F64" s="475"/>
      <c r="G64" s="475"/>
      <c r="H64" s="475"/>
      <c r="I64" s="475"/>
      <c r="J64" s="475"/>
      <c r="K64" s="475"/>
      <c r="L64" s="475"/>
      <c r="M64" s="475"/>
      <c r="N64" s="475"/>
      <c r="O64" s="475"/>
      <c r="P64" s="475"/>
      <c r="Q64" s="475"/>
      <c r="R64" s="475"/>
      <c r="S64" s="475"/>
      <c r="T64" s="475"/>
      <c r="U64" s="475"/>
      <c r="V64" s="475"/>
      <c r="W64" s="475"/>
      <c r="X64" s="475"/>
      <c r="Y64" s="475"/>
    </row>
    <row r="65" ht="13.5" customHeight="1">
      <c r="A65" s="475"/>
      <c r="B65" s="475"/>
      <c r="C65" s="475"/>
      <c r="D65" s="475"/>
      <c r="E65" s="475"/>
      <c r="F65" s="475"/>
      <c r="G65" s="475"/>
      <c r="H65" s="475"/>
      <c r="I65" s="475"/>
      <c r="J65" s="475"/>
      <c r="K65" s="475"/>
      <c r="L65" s="475"/>
      <c r="M65" s="475"/>
      <c r="N65" s="475"/>
      <c r="O65" s="475"/>
      <c r="P65" s="475"/>
      <c r="Q65" s="475"/>
      <c r="R65" s="475"/>
      <c r="S65" s="475"/>
      <c r="T65" s="475"/>
      <c r="U65" s="475"/>
      <c r="V65" s="475"/>
      <c r="W65" s="475"/>
      <c r="X65" s="475"/>
      <c r="Y65" s="475"/>
    </row>
    <row r="66" ht="13.5" customHeight="1">
      <c r="A66" s="475"/>
      <c r="B66" s="475"/>
      <c r="C66" s="475"/>
      <c r="D66" s="475"/>
      <c r="E66" s="475"/>
      <c r="F66" s="475"/>
      <c r="G66" s="475"/>
      <c r="H66" s="475"/>
      <c r="I66" s="475"/>
      <c r="J66" s="475"/>
      <c r="K66" s="475"/>
      <c r="L66" s="475"/>
      <c r="M66" s="475"/>
      <c r="N66" s="475"/>
      <c r="O66" s="475"/>
      <c r="P66" s="475"/>
      <c r="Q66" s="475"/>
      <c r="R66" s="475"/>
      <c r="S66" s="475"/>
      <c r="T66" s="475"/>
      <c r="U66" s="475"/>
      <c r="V66" s="475"/>
      <c r="W66" s="475"/>
      <c r="X66" s="475"/>
      <c r="Y66" s="475"/>
    </row>
    <row r="67" ht="13.5" customHeight="1">
      <c r="A67" s="475"/>
      <c r="B67" s="475"/>
      <c r="C67" s="475"/>
      <c r="D67" s="475"/>
      <c r="E67" s="475"/>
      <c r="F67" s="475"/>
      <c r="G67" s="475"/>
      <c r="H67" s="475"/>
      <c r="I67" s="475"/>
      <c r="J67" s="475"/>
      <c r="K67" s="475"/>
      <c r="L67" s="475"/>
      <c r="M67" s="475"/>
      <c r="N67" s="475"/>
      <c r="O67" s="475"/>
      <c r="P67" s="475"/>
      <c r="Q67" s="475"/>
      <c r="R67" s="475"/>
      <c r="S67" s="475"/>
      <c r="T67" s="475"/>
      <c r="U67" s="475"/>
      <c r="V67" s="475"/>
      <c r="W67" s="475"/>
      <c r="X67" s="475"/>
      <c r="Y67" s="475"/>
    </row>
    <row r="68" ht="13.5" customHeight="1">
      <c r="A68" s="475"/>
      <c r="B68" s="475"/>
      <c r="C68" s="475"/>
      <c r="D68" s="475"/>
      <c r="E68" s="475"/>
      <c r="F68" s="475"/>
      <c r="G68" s="475"/>
      <c r="H68" s="475"/>
      <c r="I68" s="475"/>
      <c r="J68" s="475"/>
      <c r="K68" s="475"/>
      <c r="L68" s="475"/>
      <c r="M68" s="475"/>
      <c r="N68" s="475"/>
      <c r="O68" s="475"/>
      <c r="P68" s="475"/>
      <c r="Q68" s="475"/>
      <c r="R68" s="475"/>
      <c r="S68" s="475"/>
      <c r="T68" s="475"/>
      <c r="U68" s="475"/>
      <c r="V68" s="475"/>
      <c r="W68" s="475"/>
      <c r="X68" s="475"/>
      <c r="Y68" s="475"/>
    </row>
    <row r="69" ht="13.5" customHeight="1">
      <c r="A69" s="475"/>
      <c r="B69" s="475"/>
      <c r="C69" s="475"/>
      <c r="D69" s="475"/>
      <c r="E69" s="475"/>
      <c r="F69" s="475"/>
      <c r="G69" s="475"/>
      <c r="H69" s="475"/>
      <c r="I69" s="475"/>
      <c r="J69" s="475"/>
      <c r="K69" s="475"/>
      <c r="L69" s="475"/>
      <c r="M69" s="475"/>
      <c r="N69" s="475"/>
      <c r="O69" s="475"/>
      <c r="P69" s="475"/>
      <c r="Q69" s="475"/>
      <c r="R69" s="475"/>
      <c r="S69" s="475"/>
      <c r="T69" s="475"/>
      <c r="U69" s="475"/>
      <c r="V69" s="475"/>
      <c r="W69" s="475"/>
      <c r="X69" s="475"/>
      <c r="Y69" s="475"/>
    </row>
    <row r="70" ht="13.5" customHeight="1">
      <c r="A70" s="475"/>
      <c r="B70" s="475"/>
      <c r="C70" s="475"/>
      <c r="D70" s="475"/>
      <c r="E70" s="475"/>
      <c r="F70" s="475"/>
      <c r="G70" s="475"/>
      <c r="H70" s="475"/>
      <c r="I70" s="475"/>
      <c r="J70" s="475"/>
      <c r="K70" s="475"/>
      <c r="L70" s="475"/>
      <c r="M70" s="475"/>
      <c r="N70" s="475"/>
      <c r="O70" s="475"/>
      <c r="P70" s="475"/>
      <c r="Q70" s="475"/>
      <c r="R70" s="475"/>
      <c r="S70" s="475"/>
      <c r="T70" s="475"/>
      <c r="U70" s="475"/>
      <c r="V70" s="475"/>
      <c r="W70" s="475"/>
      <c r="X70" s="475"/>
      <c r="Y70" s="475"/>
    </row>
    <row r="71" ht="13.5" customHeight="1">
      <c r="A71" s="475"/>
      <c r="B71" s="475"/>
      <c r="C71" s="475"/>
      <c r="D71" s="475"/>
      <c r="E71" s="475"/>
      <c r="F71" s="475"/>
      <c r="G71" s="475"/>
      <c r="H71" s="475"/>
      <c r="I71" s="475"/>
      <c r="J71" s="475"/>
      <c r="K71" s="475"/>
      <c r="L71" s="475"/>
      <c r="M71" s="475"/>
      <c r="N71" s="475"/>
      <c r="O71" s="475"/>
      <c r="P71" s="475"/>
      <c r="Q71" s="475"/>
      <c r="R71" s="475"/>
      <c r="S71" s="475"/>
      <c r="T71" s="475"/>
      <c r="U71" s="475"/>
      <c r="V71" s="475"/>
      <c r="W71" s="475"/>
      <c r="X71" s="475"/>
      <c r="Y71" s="475"/>
    </row>
    <row r="72" ht="13.5" customHeight="1">
      <c r="A72" s="475"/>
      <c r="B72" s="475"/>
      <c r="C72" s="475"/>
      <c r="D72" s="475"/>
      <c r="E72" s="475"/>
      <c r="F72" s="475"/>
      <c r="G72" s="475"/>
      <c r="H72" s="475"/>
      <c r="I72" s="475"/>
      <c r="J72" s="475"/>
      <c r="K72" s="475"/>
      <c r="L72" s="475"/>
      <c r="M72" s="475"/>
      <c r="N72" s="475"/>
      <c r="O72" s="475"/>
      <c r="P72" s="475"/>
      <c r="Q72" s="475"/>
      <c r="R72" s="475"/>
      <c r="S72" s="475"/>
      <c r="T72" s="475"/>
      <c r="U72" s="475"/>
      <c r="V72" s="475"/>
      <c r="W72" s="475"/>
      <c r="X72" s="475"/>
      <c r="Y72" s="475"/>
    </row>
    <row r="73" ht="13.5" customHeight="1">
      <c r="A73" s="475"/>
      <c r="B73" s="475"/>
      <c r="C73" s="475"/>
      <c r="D73" s="475"/>
      <c r="E73" s="475"/>
      <c r="F73" s="475"/>
      <c r="G73" s="475"/>
      <c r="H73" s="475"/>
      <c r="I73" s="475"/>
      <c r="J73" s="475"/>
      <c r="K73" s="475"/>
      <c r="L73" s="475"/>
      <c r="M73" s="475"/>
      <c r="N73" s="475"/>
      <c r="O73" s="475"/>
      <c r="P73" s="475"/>
      <c r="Q73" s="475"/>
      <c r="R73" s="475"/>
      <c r="S73" s="475"/>
      <c r="T73" s="475"/>
      <c r="U73" s="475"/>
      <c r="V73" s="475"/>
      <c r="W73" s="475"/>
      <c r="X73" s="475"/>
      <c r="Y73" s="475"/>
    </row>
    <row r="74" ht="13.5" customHeight="1">
      <c r="A74" s="475"/>
      <c r="B74" s="475"/>
      <c r="C74" s="475"/>
      <c r="D74" s="475"/>
      <c r="E74" s="475"/>
      <c r="F74" s="475"/>
      <c r="G74" s="475"/>
      <c r="H74" s="475"/>
      <c r="I74" s="475"/>
      <c r="J74" s="475"/>
      <c r="K74" s="475"/>
      <c r="L74" s="475"/>
      <c r="M74" s="475"/>
      <c r="N74" s="475"/>
      <c r="O74" s="475"/>
      <c r="P74" s="475"/>
      <c r="Q74" s="475"/>
      <c r="R74" s="475"/>
      <c r="S74" s="475"/>
      <c r="T74" s="475"/>
      <c r="U74" s="475"/>
      <c r="V74" s="475"/>
      <c r="W74" s="475"/>
      <c r="X74" s="475"/>
      <c r="Y74" s="475"/>
    </row>
    <row r="75" ht="13.5" customHeight="1">
      <c r="A75" s="475"/>
      <c r="B75" s="475"/>
      <c r="C75" s="475"/>
      <c r="D75" s="475"/>
      <c r="E75" s="475"/>
      <c r="F75" s="475"/>
      <c r="G75" s="475"/>
      <c r="H75" s="475"/>
      <c r="I75" s="475"/>
      <c r="J75" s="475"/>
      <c r="K75" s="475"/>
      <c r="L75" s="475"/>
      <c r="M75" s="475"/>
      <c r="N75" s="475"/>
      <c r="O75" s="475"/>
      <c r="P75" s="475"/>
      <c r="Q75" s="475"/>
      <c r="R75" s="475"/>
      <c r="S75" s="475"/>
      <c r="T75" s="475"/>
      <c r="U75" s="475"/>
      <c r="V75" s="475"/>
      <c r="W75" s="475"/>
      <c r="X75" s="475"/>
      <c r="Y75" s="475"/>
    </row>
    <row r="76" ht="13.5" customHeight="1">
      <c r="A76" s="475"/>
      <c r="B76" s="475"/>
      <c r="C76" s="475"/>
      <c r="D76" s="475"/>
      <c r="E76" s="475"/>
      <c r="F76" s="475"/>
      <c r="G76" s="475"/>
      <c r="H76" s="475"/>
      <c r="I76" s="475"/>
      <c r="J76" s="475"/>
      <c r="K76" s="475"/>
      <c r="L76" s="475"/>
      <c r="M76" s="475"/>
      <c r="N76" s="475"/>
      <c r="O76" s="475"/>
      <c r="P76" s="475"/>
      <c r="Q76" s="475"/>
      <c r="R76" s="475"/>
      <c r="S76" s="475"/>
      <c r="T76" s="475"/>
      <c r="U76" s="475"/>
      <c r="V76" s="475"/>
      <c r="W76" s="475"/>
      <c r="X76" s="475"/>
      <c r="Y76" s="475"/>
    </row>
    <row r="77" ht="13.5" customHeight="1">
      <c r="A77" s="475"/>
      <c r="B77" s="475"/>
      <c r="C77" s="475"/>
      <c r="D77" s="475"/>
      <c r="E77" s="475"/>
      <c r="F77" s="475"/>
      <c r="G77" s="475"/>
      <c r="H77" s="475"/>
      <c r="I77" s="475"/>
      <c r="J77" s="475"/>
      <c r="K77" s="475"/>
      <c r="L77" s="475"/>
      <c r="M77" s="475"/>
      <c r="N77" s="475"/>
      <c r="O77" s="475"/>
      <c r="P77" s="475"/>
      <c r="Q77" s="475"/>
      <c r="R77" s="475"/>
      <c r="S77" s="475"/>
      <c r="T77" s="475"/>
      <c r="U77" s="475"/>
      <c r="V77" s="475"/>
      <c r="W77" s="475"/>
      <c r="X77" s="475"/>
      <c r="Y77" s="475"/>
    </row>
    <row r="78" ht="13.5" customHeight="1">
      <c r="A78" s="475"/>
      <c r="B78" s="475"/>
      <c r="C78" s="475"/>
      <c r="D78" s="475"/>
      <c r="E78" s="475"/>
      <c r="F78" s="475"/>
      <c r="G78" s="475"/>
      <c r="H78" s="475"/>
      <c r="I78" s="475"/>
      <c r="J78" s="475"/>
      <c r="K78" s="475"/>
      <c r="L78" s="475"/>
      <c r="M78" s="475"/>
      <c r="N78" s="475"/>
      <c r="O78" s="475"/>
      <c r="P78" s="475"/>
      <c r="Q78" s="475"/>
      <c r="R78" s="475"/>
      <c r="S78" s="475"/>
      <c r="T78" s="475"/>
      <c r="U78" s="475"/>
      <c r="V78" s="475"/>
      <c r="W78" s="475"/>
      <c r="X78" s="475"/>
      <c r="Y78" s="475"/>
    </row>
    <row r="79" ht="13.5" customHeight="1">
      <c r="A79" s="475"/>
      <c r="B79" s="475"/>
      <c r="C79" s="475"/>
      <c r="D79" s="475"/>
      <c r="E79" s="475"/>
      <c r="F79" s="475"/>
      <c r="G79" s="475"/>
      <c r="H79" s="475"/>
      <c r="I79" s="475"/>
      <c r="J79" s="475"/>
      <c r="K79" s="475"/>
      <c r="L79" s="475"/>
      <c r="M79" s="475"/>
      <c r="N79" s="475"/>
      <c r="O79" s="475"/>
      <c r="P79" s="475"/>
      <c r="Q79" s="475"/>
      <c r="R79" s="475"/>
      <c r="S79" s="475"/>
      <c r="T79" s="475"/>
      <c r="U79" s="475"/>
      <c r="V79" s="475"/>
      <c r="W79" s="475"/>
      <c r="X79" s="475"/>
      <c r="Y79" s="475"/>
    </row>
    <row r="80" ht="13.5" customHeight="1">
      <c r="A80" s="475"/>
      <c r="B80" s="475"/>
      <c r="C80" s="475"/>
      <c r="D80" s="475"/>
      <c r="E80" s="475"/>
      <c r="F80" s="475"/>
      <c r="G80" s="475"/>
      <c r="H80" s="475"/>
      <c r="I80" s="475"/>
      <c r="J80" s="475"/>
      <c r="K80" s="475"/>
      <c r="L80" s="475"/>
      <c r="M80" s="475"/>
      <c r="N80" s="475"/>
      <c r="O80" s="475"/>
      <c r="P80" s="475"/>
      <c r="Q80" s="475"/>
      <c r="R80" s="475"/>
      <c r="S80" s="475"/>
      <c r="T80" s="475"/>
      <c r="U80" s="475"/>
      <c r="V80" s="475"/>
      <c r="W80" s="475"/>
      <c r="X80" s="475"/>
      <c r="Y80" s="475"/>
    </row>
    <row r="81" ht="13.5" customHeight="1">
      <c r="A81" s="475"/>
      <c r="B81" s="475"/>
      <c r="C81" s="475"/>
      <c r="D81" s="475"/>
      <c r="E81" s="475"/>
      <c r="F81" s="475"/>
      <c r="G81" s="475"/>
      <c r="H81" s="475"/>
      <c r="I81" s="475"/>
      <c r="J81" s="475"/>
      <c r="K81" s="475"/>
      <c r="L81" s="475"/>
      <c r="M81" s="475"/>
      <c r="N81" s="475"/>
      <c r="O81" s="475"/>
      <c r="P81" s="475"/>
      <c r="Q81" s="475"/>
      <c r="R81" s="475"/>
      <c r="S81" s="475"/>
      <c r="T81" s="475"/>
      <c r="U81" s="475"/>
      <c r="V81" s="475"/>
      <c r="W81" s="475"/>
      <c r="X81" s="475"/>
      <c r="Y81" s="475"/>
    </row>
    <row r="82" ht="13.5" customHeight="1">
      <c r="A82" s="475"/>
      <c r="B82" s="475"/>
      <c r="C82" s="475"/>
      <c r="D82" s="475"/>
      <c r="E82" s="475"/>
      <c r="F82" s="475"/>
      <c r="G82" s="475"/>
      <c r="H82" s="475"/>
      <c r="I82" s="475"/>
      <c r="J82" s="475"/>
      <c r="K82" s="475"/>
      <c r="L82" s="475"/>
      <c r="M82" s="475"/>
      <c r="N82" s="475"/>
      <c r="O82" s="475"/>
      <c r="P82" s="475"/>
      <c r="Q82" s="475"/>
      <c r="R82" s="475"/>
      <c r="S82" s="475"/>
      <c r="T82" s="475"/>
      <c r="U82" s="475"/>
      <c r="V82" s="475"/>
      <c r="W82" s="475"/>
      <c r="X82" s="475"/>
      <c r="Y82" s="475"/>
    </row>
    <row r="83" ht="13.5" customHeight="1">
      <c r="A83" s="475"/>
      <c r="B83" s="475"/>
      <c r="C83" s="475"/>
      <c r="D83" s="475"/>
      <c r="E83" s="475"/>
      <c r="F83" s="475"/>
      <c r="G83" s="475"/>
      <c r="H83" s="475"/>
      <c r="I83" s="475"/>
      <c r="J83" s="475"/>
      <c r="K83" s="475"/>
      <c r="L83" s="475"/>
      <c r="M83" s="475"/>
      <c r="N83" s="475"/>
      <c r="O83" s="475"/>
      <c r="P83" s="475"/>
      <c r="Q83" s="475"/>
      <c r="R83" s="475"/>
      <c r="S83" s="475"/>
      <c r="T83" s="475"/>
      <c r="U83" s="475"/>
      <c r="V83" s="475"/>
      <c r="W83" s="475"/>
      <c r="X83" s="475"/>
      <c r="Y83" s="475"/>
    </row>
    <row r="84" ht="13.5" customHeight="1">
      <c r="A84" s="475"/>
      <c r="B84" s="475"/>
      <c r="C84" s="475"/>
      <c r="D84" s="475"/>
      <c r="E84" s="475"/>
      <c r="F84" s="475"/>
      <c r="G84" s="475"/>
      <c r="H84" s="475"/>
      <c r="I84" s="475"/>
      <c r="J84" s="475"/>
      <c r="K84" s="475"/>
      <c r="L84" s="475"/>
      <c r="M84" s="475"/>
      <c r="N84" s="475"/>
      <c r="O84" s="475"/>
      <c r="P84" s="475"/>
      <c r="Q84" s="475"/>
      <c r="R84" s="475"/>
      <c r="S84" s="475"/>
      <c r="T84" s="475"/>
      <c r="U84" s="475"/>
      <c r="V84" s="475"/>
      <c r="W84" s="475"/>
      <c r="X84" s="475"/>
      <c r="Y84" s="475"/>
    </row>
    <row r="85" ht="13.5" customHeight="1">
      <c r="A85" s="475"/>
      <c r="B85" s="475"/>
      <c r="C85" s="475"/>
      <c r="D85" s="475"/>
      <c r="E85" s="475"/>
      <c r="F85" s="475"/>
      <c r="G85" s="475"/>
      <c r="H85" s="475"/>
      <c r="I85" s="475"/>
      <c r="J85" s="475"/>
      <c r="K85" s="475"/>
      <c r="L85" s="475"/>
      <c r="M85" s="475"/>
      <c r="N85" s="475"/>
      <c r="O85" s="475"/>
      <c r="P85" s="475"/>
      <c r="Q85" s="475"/>
      <c r="R85" s="475"/>
      <c r="S85" s="475"/>
      <c r="T85" s="475"/>
      <c r="U85" s="475"/>
      <c r="V85" s="475"/>
      <c r="W85" s="475"/>
      <c r="X85" s="475"/>
      <c r="Y85" s="475"/>
    </row>
    <row r="86" ht="13.5" customHeight="1">
      <c r="A86" s="475"/>
      <c r="B86" s="475"/>
      <c r="C86" s="475"/>
      <c r="D86" s="475"/>
      <c r="E86" s="475"/>
      <c r="F86" s="475"/>
      <c r="G86" s="475"/>
      <c r="H86" s="475"/>
      <c r="I86" s="475"/>
      <c r="J86" s="475"/>
      <c r="K86" s="475"/>
      <c r="L86" s="475"/>
      <c r="M86" s="475"/>
      <c r="N86" s="475"/>
      <c r="O86" s="475"/>
      <c r="P86" s="475"/>
      <c r="Q86" s="475"/>
      <c r="R86" s="475"/>
      <c r="S86" s="475"/>
      <c r="T86" s="475"/>
      <c r="U86" s="475"/>
      <c r="V86" s="475"/>
      <c r="W86" s="475"/>
      <c r="X86" s="475"/>
      <c r="Y86" s="475"/>
    </row>
    <row r="87" ht="13.5" customHeight="1">
      <c r="A87" s="475"/>
      <c r="B87" s="475"/>
      <c r="C87" s="475"/>
      <c r="D87" s="475"/>
      <c r="E87" s="475"/>
      <c r="F87" s="475"/>
      <c r="G87" s="475"/>
      <c r="H87" s="475"/>
      <c r="I87" s="475"/>
      <c r="J87" s="475"/>
      <c r="K87" s="475"/>
      <c r="L87" s="475"/>
      <c r="M87" s="475"/>
      <c r="N87" s="475"/>
      <c r="O87" s="475"/>
      <c r="P87" s="475"/>
      <c r="Q87" s="475"/>
      <c r="R87" s="475"/>
      <c r="S87" s="475"/>
      <c r="T87" s="475"/>
      <c r="U87" s="475"/>
      <c r="V87" s="475"/>
      <c r="W87" s="475"/>
      <c r="X87" s="475"/>
      <c r="Y87" s="475"/>
    </row>
    <row r="88" ht="13.5" customHeight="1">
      <c r="A88" s="475"/>
      <c r="B88" s="475"/>
      <c r="C88" s="475"/>
      <c r="D88" s="475"/>
      <c r="E88" s="475"/>
      <c r="F88" s="475"/>
      <c r="G88" s="475"/>
      <c r="H88" s="475"/>
      <c r="I88" s="475"/>
      <c r="J88" s="475"/>
      <c r="K88" s="475"/>
      <c r="L88" s="475"/>
      <c r="M88" s="475"/>
      <c r="N88" s="475"/>
      <c r="O88" s="475"/>
      <c r="P88" s="475"/>
      <c r="Q88" s="475"/>
      <c r="R88" s="475"/>
      <c r="S88" s="475"/>
      <c r="T88" s="475"/>
      <c r="U88" s="475"/>
      <c r="V88" s="475"/>
      <c r="W88" s="475"/>
      <c r="X88" s="475"/>
      <c r="Y88" s="475"/>
    </row>
    <row r="89" ht="13.5" customHeight="1">
      <c r="A89" s="475"/>
      <c r="B89" s="475"/>
      <c r="C89" s="475"/>
      <c r="D89" s="475"/>
      <c r="E89" s="475"/>
      <c r="F89" s="475"/>
      <c r="G89" s="475"/>
      <c r="H89" s="475"/>
      <c r="I89" s="475"/>
      <c r="J89" s="475"/>
      <c r="K89" s="475"/>
      <c r="L89" s="475"/>
      <c r="M89" s="475"/>
      <c r="N89" s="475"/>
      <c r="O89" s="475"/>
      <c r="P89" s="475"/>
      <c r="Q89" s="475"/>
      <c r="R89" s="475"/>
      <c r="S89" s="475"/>
      <c r="T89" s="475"/>
      <c r="U89" s="475"/>
      <c r="V89" s="475"/>
      <c r="W89" s="475"/>
      <c r="X89" s="475"/>
      <c r="Y89" s="475"/>
    </row>
    <row r="90" ht="13.5" customHeight="1">
      <c r="A90" s="475"/>
      <c r="B90" s="475"/>
      <c r="C90" s="475"/>
      <c r="D90" s="475"/>
      <c r="E90" s="475"/>
      <c r="F90" s="475"/>
      <c r="G90" s="475"/>
      <c r="H90" s="475"/>
      <c r="I90" s="475"/>
      <c r="J90" s="475"/>
      <c r="K90" s="475"/>
      <c r="L90" s="475"/>
      <c r="M90" s="475"/>
      <c r="N90" s="475"/>
      <c r="O90" s="475"/>
      <c r="P90" s="475"/>
      <c r="Q90" s="475"/>
      <c r="R90" s="475"/>
      <c r="S90" s="475"/>
      <c r="T90" s="475"/>
      <c r="U90" s="475"/>
      <c r="V90" s="475"/>
      <c r="W90" s="475"/>
      <c r="X90" s="475"/>
      <c r="Y90" s="475"/>
    </row>
    <row r="91" ht="13.5" customHeight="1">
      <c r="A91" s="475"/>
      <c r="B91" s="475"/>
      <c r="C91" s="475"/>
      <c r="D91" s="475"/>
      <c r="E91" s="475"/>
      <c r="F91" s="475"/>
      <c r="G91" s="475"/>
      <c r="H91" s="475"/>
      <c r="I91" s="475"/>
      <c r="J91" s="475"/>
      <c r="K91" s="475"/>
      <c r="L91" s="475"/>
      <c r="M91" s="475"/>
      <c r="N91" s="475"/>
      <c r="O91" s="475"/>
      <c r="P91" s="475"/>
      <c r="Q91" s="475"/>
      <c r="R91" s="475"/>
      <c r="S91" s="475"/>
      <c r="T91" s="475"/>
      <c r="U91" s="475"/>
      <c r="V91" s="475"/>
      <c r="W91" s="475"/>
      <c r="X91" s="475"/>
      <c r="Y91" s="475"/>
    </row>
    <row r="92" ht="13.5" customHeight="1">
      <c r="A92" s="475"/>
      <c r="B92" s="475"/>
      <c r="C92" s="475"/>
      <c r="D92" s="475"/>
      <c r="E92" s="475"/>
      <c r="F92" s="475"/>
      <c r="G92" s="475"/>
      <c r="H92" s="475"/>
      <c r="I92" s="475"/>
      <c r="J92" s="475"/>
      <c r="K92" s="475"/>
      <c r="L92" s="475"/>
      <c r="M92" s="475"/>
      <c r="N92" s="475"/>
      <c r="O92" s="475"/>
      <c r="P92" s="475"/>
      <c r="Q92" s="475"/>
      <c r="R92" s="475"/>
      <c r="S92" s="475"/>
      <c r="T92" s="475"/>
      <c r="U92" s="475"/>
      <c r="V92" s="475"/>
      <c r="W92" s="475"/>
      <c r="X92" s="475"/>
      <c r="Y92" s="475"/>
    </row>
    <row r="93" ht="13.5" customHeight="1">
      <c r="A93" s="475"/>
      <c r="B93" s="475"/>
      <c r="C93" s="475"/>
      <c r="D93" s="475"/>
      <c r="E93" s="475"/>
      <c r="F93" s="475"/>
      <c r="G93" s="475"/>
      <c r="H93" s="475"/>
      <c r="I93" s="475"/>
      <c r="J93" s="475"/>
      <c r="K93" s="475"/>
      <c r="L93" s="475"/>
      <c r="M93" s="475"/>
      <c r="N93" s="475"/>
      <c r="O93" s="475"/>
      <c r="P93" s="475"/>
      <c r="Q93" s="475"/>
      <c r="R93" s="475"/>
      <c r="S93" s="475"/>
      <c r="T93" s="475"/>
      <c r="U93" s="475"/>
      <c r="V93" s="475"/>
      <c r="W93" s="475"/>
      <c r="X93" s="475"/>
      <c r="Y93" s="475"/>
    </row>
    <row r="94" ht="13.5" customHeight="1">
      <c r="A94" s="475"/>
      <c r="B94" s="475"/>
      <c r="C94" s="475"/>
      <c r="D94" s="475"/>
      <c r="E94" s="475"/>
      <c r="F94" s="475"/>
      <c r="G94" s="475"/>
      <c r="H94" s="475"/>
      <c r="I94" s="475"/>
      <c r="J94" s="475"/>
      <c r="K94" s="475"/>
      <c r="L94" s="475"/>
      <c r="M94" s="475"/>
      <c r="N94" s="475"/>
      <c r="O94" s="475"/>
      <c r="P94" s="475"/>
      <c r="Q94" s="475"/>
      <c r="R94" s="475"/>
      <c r="S94" s="475"/>
      <c r="T94" s="475"/>
      <c r="U94" s="475"/>
      <c r="V94" s="475"/>
      <c r="W94" s="475"/>
      <c r="X94" s="475"/>
      <c r="Y94" s="475"/>
    </row>
    <row r="95" ht="13.5" customHeight="1">
      <c r="A95" s="475"/>
      <c r="B95" s="475"/>
      <c r="C95" s="475"/>
      <c r="D95" s="475"/>
      <c r="E95" s="475"/>
      <c r="F95" s="475"/>
      <c r="G95" s="475"/>
      <c r="H95" s="475"/>
      <c r="I95" s="475"/>
      <c r="J95" s="475"/>
      <c r="K95" s="475"/>
      <c r="L95" s="475"/>
      <c r="M95" s="475"/>
      <c r="N95" s="475"/>
      <c r="O95" s="475"/>
      <c r="P95" s="475"/>
      <c r="Q95" s="475"/>
      <c r="R95" s="475"/>
      <c r="S95" s="475"/>
      <c r="T95" s="475"/>
      <c r="U95" s="475"/>
      <c r="V95" s="475"/>
      <c r="W95" s="475"/>
      <c r="X95" s="475"/>
      <c r="Y95" s="475"/>
    </row>
    <row r="96" ht="13.5" customHeight="1">
      <c r="A96" s="475"/>
      <c r="B96" s="475"/>
      <c r="C96" s="475"/>
      <c r="D96" s="475"/>
      <c r="E96" s="475"/>
      <c r="F96" s="475"/>
      <c r="G96" s="475"/>
      <c r="H96" s="475"/>
      <c r="I96" s="475"/>
      <c r="J96" s="475"/>
      <c r="K96" s="475"/>
      <c r="L96" s="475"/>
      <c r="M96" s="475"/>
      <c r="N96" s="475"/>
      <c r="O96" s="475"/>
      <c r="P96" s="475"/>
      <c r="Q96" s="475"/>
      <c r="R96" s="475"/>
      <c r="S96" s="475"/>
      <c r="T96" s="475"/>
      <c r="U96" s="475"/>
      <c r="V96" s="475"/>
      <c r="W96" s="475"/>
      <c r="X96" s="475"/>
      <c r="Y96" s="475"/>
    </row>
    <row r="97" ht="13.5" customHeight="1">
      <c r="A97" s="475"/>
      <c r="B97" s="475"/>
      <c r="C97" s="475"/>
      <c r="D97" s="475"/>
      <c r="E97" s="475"/>
      <c r="F97" s="475"/>
      <c r="G97" s="475"/>
      <c r="H97" s="475"/>
      <c r="I97" s="475"/>
      <c r="J97" s="475"/>
      <c r="K97" s="475"/>
      <c r="L97" s="475"/>
      <c r="M97" s="475"/>
      <c r="N97" s="475"/>
      <c r="O97" s="475"/>
      <c r="P97" s="475"/>
      <c r="Q97" s="475"/>
      <c r="R97" s="475"/>
      <c r="S97" s="475"/>
      <c r="T97" s="475"/>
      <c r="U97" s="475"/>
      <c r="V97" s="475"/>
      <c r="W97" s="475"/>
      <c r="X97" s="475"/>
      <c r="Y97" s="475"/>
    </row>
    <row r="98" ht="13.5" customHeight="1">
      <c r="A98" s="475"/>
      <c r="B98" s="475"/>
      <c r="C98" s="475"/>
      <c r="D98" s="475"/>
      <c r="E98" s="475"/>
      <c r="F98" s="475"/>
      <c r="G98" s="475"/>
      <c r="H98" s="475"/>
      <c r="I98" s="475"/>
      <c r="J98" s="475"/>
      <c r="K98" s="475"/>
      <c r="L98" s="475"/>
      <c r="M98" s="475"/>
      <c r="N98" s="475"/>
      <c r="O98" s="475"/>
      <c r="P98" s="475"/>
      <c r="Q98" s="475"/>
      <c r="R98" s="475"/>
      <c r="S98" s="475"/>
      <c r="T98" s="475"/>
      <c r="U98" s="475"/>
      <c r="V98" s="475"/>
      <c r="W98" s="475"/>
      <c r="X98" s="475"/>
      <c r="Y98" s="475"/>
    </row>
    <row r="99" ht="13.5" customHeight="1">
      <c r="A99" s="475"/>
      <c r="B99" s="475"/>
      <c r="C99" s="475"/>
      <c r="D99" s="475"/>
      <c r="E99" s="475"/>
      <c r="F99" s="475"/>
      <c r="G99" s="475"/>
      <c r="H99" s="475"/>
      <c r="I99" s="475"/>
      <c r="J99" s="475"/>
      <c r="K99" s="475"/>
      <c r="L99" s="475"/>
      <c r="M99" s="475"/>
      <c r="N99" s="475"/>
      <c r="O99" s="475"/>
      <c r="P99" s="475"/>
      <c r="Q99" s="475"/>
      <c r="R99" s="475"/>
      <c r="S99" s="475"/>
      <c r="T99" s="475"/>
      <c r="U99" s="475"/>
      <c r="V99" s="475"/>
      <c r="W99" s="475"/>
      <c r="X99" s="475"/>
      <c r="Y99" s="475"/>
    </row>
    <row r="100" ht="13.5" customHeight="1">
      <c r="A100" s="475"/>
      <c r="B100" s="475"/>
      <c r="C100" s="475"/>
      <c r="D100" s="475"/>
      <c r="E100" s="475"/>
      <c r="F100" s="475"/>
      <c r="G100" s="475"/>
      <c r="H100" s="475"/>
      <c r="I100" s="475"/>
      <c r="J100" s="475"/>
      <c r="K100" s="475"/>
      <c r="L100" s="475"/>
      <c r="M100" s="475"/>
      <c r="N100" s="475"/>
      <c r="O100" s="475"/>
      <c r="P100" s="475"/>
      <c r="Q100" s="475"/>
      <c r="R100" s="475"/>
      <c r="S100" s="475"/>
      <c r="T100" s="475"/>
      <c r="U100" s="475"/>
      <c r="V100" s="475"/>
      <c r="W100" s="475"/>
      <c r="X100" s="475"/>
      <c r="Y100" s="475"/>
    </row>
    <row r="101" ht="13.5" customHeight="1">
      <c r="A101" s="475"/>
      <c r="B101" s="475"/>
      <c r="C101" s="475"/>
      <c r="D101" s="475"/>
      <c r="E101" s="475"/>
      <c r="F101" s="475"/>
      <c r="G101" s="475"/>
      <c r="H101" s="475"/>
      <c r="I101" s="475"/>
      <c r="J101" s="475"/>
      <c r="K101" s="475"/>
      <c r="L101" s="475"/>
      <c r="M101" s="475"/>
      <c r="N101" s="475"/>
      <c r="O101" s="475"/>
      <c r="P101" s="475"/>
      <c r="Q101" s="475"/>
      <c r="R101" s="475"/>
      <c r="S101" s="475"/>
      <c r="T101" s="475"/>
      <c r="U101" s="475"/>
      <c r="V101" s="475"/>
      <c r="W101" s="475"/>
      <c r="X101" s="475"/>
      <c r="Y101" s="475"/>
    </row>
    <row r="102" ht="13.5" customHeight="1">
      <c r="A102" s="475"/>
      <c r="B102" s="475"/>
      <c r="C102" s="475"/>
      <c r="D102" s="475"/>
      <c r="E102" s="475"/>
      <c r="F102" s="475"/>
      <c r="G102" s="475"/>
      <c r="H102" s="475"/>
      <c r="I102" s="475"/>
      <c r="J102" s="475"/>
      <c r="K102" s="475"/>
      <c r="L102" s="475"/>
      <c r="M102" s="475"/>
      <c r="N102" s="475"/>
      <c r="O102" s="475"/>
      <c r="P102" s="475"/>
      <c r="Q102" s="475"/>
      <c r="R102" s="475"/>
      <c r="S102" s="475"/>
      <c r="T102" s="475"/>
      <c r="U102" s="475"/>
      <c r="V102" s="475"/>
      <c r="W102" s="475"/>
      <c r="X102" s="475"/>
      <c r="Y102" s="475"/>
    </row>
    <row r="103" ht="13.5" customHeight="1">
      <c r="A103" s="475"/>
      <c r="B103" s="475"/>
      <c r="C103" s="475"/>
      <c r="D103" s="475"/>
      <c r="E103" s="475"/>
      <c r="F103" s="475"/>
      <c r="G103" s="475"/>
      <c r="H103" s="475"/>
      <c r="I103" s="475"/>
      <c r="J103" s="475"/>
      <c r="K103" s="475"/>
      <c r="L103" s="475"/>
      <c r="M103" s="475"/>
      <c r="N103" s="475"/>
      <c r="O103" s="475"/>
      <c r="P103" s="475"/>
      <c r="Q103" s="475"/>
      <c r="R103" s="475"/>
      <c r="S103" s="475"/>
      <c r="T103" s="475"/>
      <c r="U103" s="475"/>
      <c r="V103" s="475"/>
      <c r="W103" s="475"/>
      <c r="X103" s="475"/>
      <c r="Y103" s="475"/>
    </row>
    <row r="104" ht="13.5" customHeight="1">
      <c r="A104" s="475"/>
      <c r="B104" s="475"/>
      <c r="C104" s="475"/>
      <c r="D104" s="475"/>
      <c r="E104" s="475"/>
      <c r="F104" s="475"/>
      <c r="G104" s="475"/>
      <c r="H104" s="475"/>
      <c r="I104" s="475"/>
      <c r="J104" s="475"/>
      <c r="K104" s="475"/>
      <c r="L104" s="475"/>
      <c r="M104" s="475"/>
      <c r="N104" s="475"/>
      <c r="O104" s="475"/>
      <c r="P104" s="475"/>
      <c r="Q104" s="475"/>
      <c r="R104" s="475"/>
      <c r="S104" s="475"/>
      <c r="T104" s="475"/>
      <c r="U104" s="475"/>
      <c r="V104" s="475"/>
      <c r="W104" s="475"/>
      <c r="X104" s="475"/>
      <c r="Y104" s="475"/>
    </row>
    <row r="105" ht="13.5" customHeight="1">
      <c r="A105" s="475"/>
      <c r="B105" s="475"/>
      <c r="C105" s="475"/>
      <c r="D105" s="475"/>
      <c r="E105" s="475"/>
      <c r="F105" s="475"/>
      <c r="G105" s="475"/>
      <c r="H105" s="475"/>
      <c r="I105" s="475"/>
      <c r="J105" s="475"/>
      <c r="K105" s="475"/>
      <c r="L105" s="475"/>
      <c r="M105" s="475"/>
      <c r="N105" s="475"/>
      <c r="O105" s="475"/>
      <c r="P105" s="475"/>
      <c r="Q105" s="475"/>
      <c r="R105" s="475"/>
      <c r="S105" s="475"/>
      <c r="T105" s="475"/>
      <c r="U105" s="475"/>
      <c r="V105" s="475"/>
      <c r="W105" s="475"/>
      <c r="X105" s="475"/>
      <c r="Y105" s="475"/>
    </row>
    <row r="106" ht="13.5" customHeight="1">
      <c r="A106" s="475"/>
      <c r="B106" s="475"/>
      <c r="C106" s="475"/>
      <c r="D106" s="475"/>
      <c r="E106" s="475"/>
      <c r="F106" s="475"/>
      <c r="G106" s="475"/>
      <c r="H106" s="475"/>
      <c r="I106" s="475"/>
      <c r="J106" s="475"/>
      <c r="K106" s="475"/>
      <c r="L106" s="475"/>
      <c r="M106" s="475"/>
      <c r="N106" s="475"/>
      <c r="O106" s="475"/>
      <c r="P106" s="475"/>
      <c r="Q106" s="475"/>
      <c r="R106" s="475"/>
      <c r="S106" s="475"/>
      <c r="T106" s="475"/>
      <c r="U106" s="475"/>
      <c r="V106" s="475"/>
      <c r="W106" s="475"/>
      <c r="X106" s="475"/>
      <c r="Y106" s="475"/>
    </row>
    <row r="107" ht="13.5" customHeight="1">
      <c r="A107" s="475"/>
      <c r="B107" s="475"/>
      <c r="C107" s="475"/>
      <c r="D107" s="475"/>
      <c r="E107" s="475"/>
      <c r="F107" s="475"/>
      <c r="G107" s="475"/>
      <c r="H107" s="475"/>
      <c r="I107" s="475"/>
      <c r="J107" s="475"/>
      <c r="K107" s="475"/>
      <c r="L107" s="475"/>
      <c r="M107" s="475"/>
      <c r="N107" s="475"/>
      <c r="O107" s="475"/>
      <c r="P107" s="475"/>
      <c r="Q107" s="475"/>
      <c r="R107" s="475"/>
      <c r="S107" s="475"/>
      <c r="T107" s="475"/>
      <c r="U107" s="475"/>
      <c r="V107" s="475"/>
      <c r="W107" s="475"/>
      <c r="X107" s="475"/>
      <c r="Y107" s="475"/>
    </row>
    <row r="108" ht="13.5" customHeight="1">
      <c r="A108" s="475"/>
      <c r="B108" s="475"/>
      <c r="C108" s="475"/>
      <c r="D108" s="475"/>
      <c r="E108" s="475"/>
      <c r="F108" s="475"/>
      <c r="G108" s="475"/>
      <c r="H108" s="475"/>
      <c r="I108" s="475"/>
      <c r="J108" s="475"/>
      <c r="K108" s="475"/>
      <c r="L108" s="475"/>
      <c r="M108" s="475"/>
      <c r="N108" s="475"/>
      <c r="O108" s="475"/>
      <c r="P108" s="475"/>
      <c r="Q108" s="475"/>
      <c r="R108" s="475"/>
      <c r="S108" s="475"/>
      <c r="T108" s="475"/>
      <c r="U108" s="475"/>
      <c r="V108" s="475"/>
      <c r="W108" s="475"/>
      <c r="X108" s="475"/>
      <c r="Y108" s="475"/>
    </row>
    <row r="109" ht="13.5" customHeight="1">
      <c r="A109" s="475"/>
      <c r="B109" s="475"/>
      <c r="C109" s="475"/>
      <c r="D109" s="475"/>
      <c r="E109" s="475"/>
      <c r="F109" s="475"/>
      <c r="G109" s="475"/>
      <c r="H109" s="475"/>
      <c r="I109" s="475"/>
      <c r="J109" s="475"/>
      <c r="K109" s="475"/>
      <c r="L109" s="475"/>
      <c r="M109" s="475"/>
      <c r="N109" s="475"/>
      <c r="O109" s="475"/>
      <c r="P109" s="475"/>
      <c r="Q109" s="475"/>
      <c r="R109" s="475"/>
      <c r="S109" s="475"/>
      <c r="T109" s="475"/>
      <c r="U109" s="475"/>
      <c r="V109" s="475"/>
      <c r="W109" s="475"/>
      <c r="X109" s="475"/>
      <c r="Y109" s="475"/>
    </row>
    <row r="110" ht="13.5" customHeight="1">
      <c r="A110" s="475"/>
      <c r="B110" s="475"/>
      <c r="C110" s="475"/>
      <c r="D110" s="475"/>
      <c r="E110" s="475"/>
      <c r="F110" s="475"/>
      <c r="G110" s="475"/>
      <c r="H110" s="475"/>
      <c r="I110" s="475"/>
      <c r="J110" s="475"/>
      <c r="K110" s="475"/>
      <c r="L110" s="475"/>
      <c r="M110" s="475"/>
      <c r="N110" s="475"/>
      <c r="O110" s="475"/>
      <c r="P110" s="475"/>
      <c r="Q110" s="475"/>
      <c r="R110" s="475"/>
      <c r="S110" s="475"/>
      <c r="T110" s="475"/>
      <c r="U110" s="475"/>
      <c r="V110" s="475"/>
      <c r="W110" s="475"/>
      <c r="X110" s="475"/>
      <c r="Y110" s="475"/>
    </row>
    <row r="111" ht="13.5" customHeight="1">
      <c r="A111" s="475"/>
      <c r="B111" s="475"/>
      <c r="C111" s="475"/>
      <c r="D111" s="475"/>
      <c r="E111" s="475"/>
      <c r="F111" s="475"/>
      <c r="G111" s="475"/>
      <c r="H111" s="475"/>
      <c r="I111" s="475"/>
      <c r="J111" s="475"/>
      <c r="K111" s="475"/>
      <c r="L111" s="475"/>
      <c r="M111" s="475"/>
      <c r="N111" s="475"/>
      <c r="O111" s="475"/>
      <c r="P111" s="475"/>
      <c r="Q111" s="475"/>
      <c r="R111" s="475"/>
      <c r="S111" s="475"/>
      <c r="T111" s="475"/>
      <c r="U111" s="475"/>
      <c r="V111" s="475"/>
      <c r="W111" s="475"/>
      <c r="X111" s="475"/>
      <c r="Y111" s="475"/>
    </row>
    <row r="112" ht="13.5" customHeight="1">
      <c r="A112" s="47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row>
    <row r="113" ht="13.5" customHeight="1">
      <c r="A113" s="475"/>
      <c r="B113" s="475"/>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row>
    <row r="114" ht="13.5" customHeight="1">
      <c r="A114" s="475"/>
      <c r="B114" s="475"/>
      <c r="C114" s="475"/>
      <c r="D114" s="475"/>
      <c r="E114" s="475"/>
      <c r="F114" s="475"/>
      <c r="G114" s="475"/>
      <c r="H114" s="475"/>
      <c r="I114" s="475"/>
      <c r="J114" s="475"/>
      <c r="K114" s="475"/>
      <c r="L114" s="475"/>
      <c r="M114" s="475"/>
      <c r="N114" s="475"/>
      <c r="O114" s="475"/>
      <c r="P114" s="475"/>
      <c r="Q114" s="475"/>
      <c r="R114" s="475"/>
      <c r="S114" s="475"/>
      <c r="T114" s="475"/>
      <c r="U114" s="475"/>
      <c r="V114" s="475"/>
      <c r="W114" s="475"/>
      <c r="X114" s="475"/>
      <c r="Y114" s="475"/>
    </row>
    <row r="115" ht="13.5" customHeight="1">
      <c r="A115" s="475"/>
      <c r="B115" s="475"/>
      <c r="C115" s="475"/>
      <c r="D115" s="475"/>
      <c r="E115" s="475"/>
      <c r="F115" s="475"/>
      <c r="G115" s="475"/>
      <c r="H115" s="475"/>
      <c r="I115" s="475"/>
      <c r="J115" s="475"/>
      <c r="K115" s="475"/>
      <c r="L115" s="475"/>
      <c r="M115" s="475"/>
      <c r="N115" s="475"/>
      <c r="O115" s="475"/>
      <c r="P115" s="475"/>
      <c r="Q115" s="475"/>
      <c r="R115" s="475"/>
      <c r="S115" s="475"/>
      <c r="T115" s="475"/>
      <c r="U115" s="475"/>
      <c r="V115" s="475"/>
      <c r="W115" s="475"/>
      <c r="X115" s="475"/>
      <c r="Y115" s="475"/>
    </row>
    <row r="116" ht="13.5" customHeight="1">
      <c r="A116" s="475"/>
      <c r="B116" s="475"/>
      <c r="C116" s="475"/>
      <c r="D116" s="475"/>
      <c r="E116" s="475"/>
      <c r="F116" s="475"/>
      <c r="G116" s="475"/>
      <c r="H116" s="475"/>
      <c r="I116" s="475"/>
      <c r="J116" s="475"/>
      <c r="K116" s="475"/>
      <c r="L116" s="475"/>
      <c r="M116" s="475"/>
      <c r="N116" s="475"/>
      <c r="O116" s="475"/>
      <c r="P116" s="475"/>
      <c r="Q116" s="475"/>
      <c r="R116" s="475"/>
      <c r="S116" s="475"/>
      <c r="T116" s="475"/>
      <c r="U116" s="475"/>
      <c r="V116" s="475"/>
      <c r="W116" s="475"/>
      <c r="X116" s="475"/>
      <c r="Y116" s="475"/>
    </row>
    <row r="117" ht="13.5" customHeight="1">
      <c r="A117" s="475"/>
      <c r="B117" s="475"/>
      <c r="C117" s="475"/>
      <c r="D117" s="475"/>
      <c r="E117" s="475"/>
      <c r="F117" s="475"/>
      <c r="G117" s="475"/>
      <c r="H117" s="475"/>
      <c r="I117" s="475"/>
      <c r="J117" s="475"/>
      <c r="K117" s="475"/>
      <c r="L117" s="475"/>
      <c r="M117" s="475"/>
      <c r="N117" s="475"/>
      <c r="O117" s="475"/>
      <c r="P117" s="475"/>
      <c r="Q117" s="475"/>
      <c r="R117" s="475"/>
      <c r="S117" s="475"/>
      <c r="T117" s="475"/>
      <c r="U117" s="475"/>
      <c r="V117" s="475"/>
      <c r="W117" s="475"/>
      <c r="X117" s="475"/>
      <c r="Y117" s="475"/>
    </row>
    <row r="118" ht="13.5" customHeight="1">
      <c r="A118" s="475"/>
      <c r="B118" s="475"/>
      <c r="C118" s="475"/>
      <c r="D118" s="475"/>
      <c r="E118" s="475"/>
      <c r="F118" s="475"/>
      <c r="G118" s="475"/>
      <c r="H118" s="475"/>
      <c r="I118" s="475"/>
      <c r="J118" s="475"/>
      <c r="K118" s="475"/>
      <c r="L118" s="475"/>
      <c r="M118" s="475"/>
      <c r="N118" s="475"/>
      <c r="O118" s="475"/>
      <c r="P118" s="475"/>
      <c r="Q118" s="475"/>
      <c r="R118" s="475"/>
      <c r="S118" s="475"/>
      <c r="T118" s="475"/>
      <c r="U118" s="475"/>
      <c r="V118" s="475"/>
      <c r="W118" s="475"/>
      <c r="X118" s="475"/>
      <c r="Y118" s="475"/>
    </row>
    <row r="119" ht="13.5" customHeight="1">
      <c r="A119" s="475"/>
      <c r="B119" s="475"/>
      <c r="C119" s="475"/>
      <c r="D119" s="475"/>
      <c r="E119" s="475"/>
      <c r="F119" s="475"/>
      <c r="G119" s="475"/>
      <c r="H119" s="475"/>
      <c r="I119" s="475"/>
      <c r="J119" s="475"/>
      <c r="K119" s="475"/>
      <c r="L119" s="475"/>
      <c r="M119" s="475"/>
      <c r="N119" s="475"/>
      <c r="O119" s="475"/>
      <c r="P119" s="475"/>
      <c r="Q119" s="475"/>
      <c r="R119" s="475"/>
      <c r="S119" s="475"/>
      <c r="T119" s="475"/>
      <c r="U119" s="475"/>
      <c r="V119" s="475"/>
      <c r="W119" s="475"/>
      <c r="X119" s="475"/>
      <c r="Y119" s="475"/>
    </row>
    <row r="120" ht="13.5" customHeight="1">
      <c r="A120" s="475"/>
      <c r="B120" s="475"/>
      <c r="C120" s="475"/>
      <c r="D120" s="475"/>
      <c r="E120" s="475"/>
      <c r="F120" s="475"/>
      <c r="G120" s="475"/>
      <c r="H120" s="475"/>
      <c r="I120" s="475"/>
      <c r="J120" s="475"/>
      <c r="K120" s="475"/>
      <c r="L120" s="475"/>
      <c r="M120" s="475"/>
      <c r="N120" s="475"/>
      <c r="O120" s="475"/>
      <c r="P120" s="475"/>
      <c r="Q120" s="475"/>
      <c r="R120" s="475"/>
      <c r="S120" s="475"/>
      <c r="T120" s="475"/>
      <c r="U120" s="475"/>
      <c r="V120" s="475"/>
      <c r="W120" s="475"/>
      <c r="X120" s="475"/>
      <c r="Y120" s="475"/>
    </row>
    <row r="121" ht="13.5" customHeight="1">
      <c r="A121" s="475"/>
      <c r="B121" s="475"/>
      <c r="C121" s="475"/>
      <c r="D121" s="475"/>
      <c r="E121" s="475"/>
      <c r="F121" s="475"/>
      <c r="G121" s="475"/>
      <c r="H121" s="475"/>
      <c r="I121" s="475"/>
      <c r="J121" s="475"/>
      <c r="K121" s="475"/>
      <c r="L121" s="475"/>
      <c r="M121" s="475"/>
      <c r="N121" s="475"/>
      <c r="O121" s="475"/>
      <c r="P121" s="475"/>
      <c r="Q121" s="475"/>
      <c r="R121" s="475"/>
      <c r="S121" s="475"/>
      <c r="T121" s="475"/>
      <c r="U121" s="475"/>
      <c r="V121" s="475"/>
      <c r="W121" s="475"/>
      <c r="X121" s="475"/>
      <c r="Y121" s="475"/>
    </row>
    <row r="122" ht="13.5" customHeight="1">
      <c r="A122" s="475"/>
      <c r="B122" s="475"/>
      <c r="C122" s="475"/>
      <c r="D122" s="475"/>
      <c r="E122" s="475"/>
      <c r="F122" s="475"/>
      <c r="G122" s="475"/>
      <c r="H122" s="475"/>
      <c r="I122" s="475"/>
      <c r="J122" s="475"/>
      <c r="K122" s="475"/>
      <c r="L122" s="475"/>
      <c r="M122" s="475"/>
      <c r="N122" s="475"/>
      <c r="O122" s="475"/>
      <c r="P122" s="475"/>
      <c r="Q122" s="475"/>
      <c r="R122" s="475"/>
      <c r="S122" s="475"/>
      <c r="T122" s="475"/>
      <c r="U122" s="475"/>
      <c r="V122" s="475"/>
      <c r="W122" s="475"/>
      <c r="X122" s="475"/>
      <c r="Y122" s="475"/>
    </row>
    <row r="123" ht="13.5" customHeight="1">
      <c r="A123" s="475"/>
      <c r="B123" s="475"/>
      <c r="C123" s="475"/>
      <c r="D123" s="475"/>
      <c r="E123" s="475"/>
      <c r="F123" s="475"/>
      <c r="G123" s="475"/>
      <c r="H123" s="475"/>
      <c r="I123" s="475"/>
      <c r="J123" s="475"/>
      <c r="K123" s="475"/>
      <c r="L123" s="475"/>
      <c r="M123" s="475"/>
      <c r="N123" s="475"/>
      <c r="O123" s="475"/>
      <c r="P123" s="475"/>
      <c r="Q123" s="475"/>
      <c r="R123" s="475"/>
      <c r="S123" s="475"/>
      <c r="T123" s="475"/>
      <c r="U123" s="475"/>
      <c r="V123" s="475"/>
      <c r="W123" s="475"/>
      <c r="X123" s="475"/>
      <c r="Y123" s="475"/>
    </row>
    <row r="124" ht="13.5" customHeight="1">
      <c r="A124" s="475"/>
      <c r="B124" s="475"/>
      <c r="C124" s="475"/>
      <c r="D124" s="475"/>
      <c r="E124" s="475"/>
      <c r="F124" s="475"/>
      <c r="G124" s="475"/>
      <c r="H124" s="475"/>
      <c r="I124" s="475"/>
      <c r="J124" s="475"/>
      <c r="K124" s="475"/>
      <c r="L124" s="475"/>
      <c r="M124" s="475"/>
      <c r="N124" s="475"/>
      <c r="O124" s="475"/>
      <c r="P124" s="475"/>
      <c r="Q124" s="475"/>
      <c r="R124" s="475"/>
      <c r="S124" s="475"/>
      <c r="T124" s="475"/>
      <c r="U124" s="475"/>
      <c r="V124" s="475"/>
      <c r="W124" s="475"/>
      <c r="X124" s="475"/>
      <c r="Y124" s="475"/>
    </row>
    <row r="125" ht="13.5" customHeight="1">
      <c r="A125" s="475"/>
      <c r="B125" s="475"/>
      <c r="C125" s="475"/>
      <c r="D125" s="475"/>
      <c r="E125" s="475"/>
      <c r="F125" s="475"/>
      <c r="G125" s="475"/>
      <c r="H125" s="475"/>
      <c r="I125" s="475"/>
      <c r="J125" s="475"/>
      <c r="K125" s="475"/>
      <c r="L125" s="475"/>
      <c r="M125" s="475"/>
      <c r="N125" s="475"/>
      <c r="O125" s="475"/>
      <c r="P125" s="475"/>
      <c r="Q125" s="475"/>
      <c r="R125" s="475"/>
      <c r="S125" s="475"/>
      <c r="T125" s="475"/>
      <c r="U125" s="475"/>
      <c r="V125" s="475"/>
      <c r="W125" s="475"/>
      <c r="X125" s="475"/>
      <c r="Y125" s="475"/>
    </row>
    <row r="126" ht="13.5" customHeight="1">
      <c r="A126" s="475"/>
      <c r="B126" s="475"/>
      <c r="C126" s="475"/>
      <c r="D126" s="475"/>
      <c r="E126" s="475"/>
      <c r="F126" s="475"/>
      <c r="G126" s="475"/>
      <c r="H126" s="475"/>
      <c r="I126" s="475"/>
      <c r="J126" s="475"/>
      <c r="K126" s="475"/>
      <c r="L126" s="475"/>
      <c r="M126" s="475"/>
      <c r="N126" s="475"/>
      <c r="O126" s="475"/>
      <c r="P126" s="475"/>
      <c r="Q126" s="475"/>
      <c r="R126" s="475"/>
      <c r="S126" s="475"/>
      <c r="T126" s="475"/>
      <c r="U126" s="475"/>
      <c r="V126" s="475"/>
      <c r="W126" s="475"/>
      <c r="X126" s="475"/>
      <c r="Y126" s="475"/>
    </row>
    <row r="127" ht="13.5" customHeight="1">
      <c r="A127" s="475"/>
      <c r="B127" s="475"/>
      <c r="C127" s="475"/>
      <c r="D127" s="475"/>
      <c r="E127" s="475"/>
      <c r="F127" s="475"/>
      <c r="G127" s="475"/>
      <c r="H127" s="475"/>
      <c r="I127" s="475"/>
      <c r="J127" s="475"/>
      <c r="K127" s="475"/>
      <c r="L127" s="475"/>
      <c r="M127" s="475"/>
      <c r="N127" s="475"/>
      <c r="O127" s="475"/>
      <c r="P127" s="475"/>
      <c r="Q127" s="475"/>
      <c r="R127" s="475"/>
      <c r="S127" s="475"/>
      <c r="T127" s="475"/>
      <c r="U127" s="475"/>
      <c r="V127" s="475"/>
      <c r="W127" s="475"/>
      <c r="X127" s="475"/>
      <c r="Y127" s="475"/>
    </row>
    <row r="128" ht="13.5" customHeight="1">
      <c r="A128" s="475"/>
      <c r="B128" s="475"/>
      <c r="C128" s="475"/>
      <c r="D128" s="475"/>
      <c r="E128" s="475"/>
      <c r="F128" s="475"/>
      <c r="G128" s="475"/>
      <c r="H128" s="475"/>
      <c r="I128" s="475"/>
      <c r="J128" s="475"/>
      <c r="K128" s="475"/>
      <c r="L128" s="475"/>
      <c r="M128" s="475"/>
      <c r="N128" s="475"/>
      <c r="O128" s="475"/>
      <c r="P128" s="475"/>
      <c r="Q128" s="475"/>
      <c r="R128" s="475"/>
      <c r="S128" s="475"/>
      <c r="T128" s="475"/>
      <c r="U128" s="475"/>
      <c r="V128" s="475"/>
      <c r="W128" s="475"/>
      <c r="X128" s="475"/>
      <c r="Y128" s="475"/>
    </row>
    <row r="129" ht="13.5" customHeight="1">
      <c r="A129" s="475"/>
      <c r="B129" s="475"/>
      <c r="C129" s="475"/>
      <c r="D129" s="475"/>
      <c r="E129" s="475"/>
      <c r="F129" s="475"/>
      <c r="G129" s="475"/>
      <c r="H129" s="475"/>
      <c r="I129" s="475"/>
      <c r="J129" s="475"/>
      <c r="K129" s="475"/>
      <c r="L129" s="475"/>
      <c r="M129" s="475"/>
      <c r="N129" s="475"/>
      <c r="O129" s="475"/>
      <c r="P129" s="475"/>
      <c r="Q129" s="475"/>
      <c r="R129" s="475"/>
      <c r="S129" s="475"/>
      <c r="T129" s="475"/>
      <c r="U129" s="475"/>
      <c r="V129" s="475"/>
      <c r="W129" s="475"/>
      <c r="X129" s="475"/>
      <c r="Y129" s="475"/>
    </row>
    <row r="130" ht="13.5" customHeight="1">
      <c r="A130" s="475"/>
      <c r="B130" s="475"/>
      <c r="C130" s="475"/>
      <c r="D130" s="475"/>
      <c r="E130" s="475"/>
      <c r="F130" s="475"/>
      <c r="G130" s="475"/>
      <c r="H130" s="475"/>
      <c r="I130" s="475"/>
      <c r="J130" s="475"/>
      <c r="K130" s="475"/>
      <c r="L130" s="475"/>
      <c r="M130" s="475"/>
      <c r="N130" s="475"/>
      <c r="O130" s="475"/>
      <c r="P130" s="475"/>
      <c r="Q130" s="475"/>
      <c r="R130" s="475"/>
      <c r="S130" s="475"/>
      <c r="T130" s="475"/>
      <c r="U130" s="475"/>
      <c r="V130" s="475"/>
      <c r="W130" s="475"/>
      <c r="X130" s="475"/>
      <c r="Y130" s="475"/>
    </row>
    <row r="131" ht="13.5" customHeight="1">
      <c r="A131" s="475"/>
      <c r="B131" s="475"/>
      <c r="C131" s="475"/>
      <c r="D131" s="475"/>
      <c r="E131" s="475"/>
      <c r="F131" s="475"/>
      <c r="G131" s="475"/>
      <c r="H131" s="475"/>
      <c r="I131" s="475"/>
      <c r="J131" s="475"/>
      <c r="K131" s="475"/>
      <c r="L131" s="475"/>
      <c r="M131" s="475"/>
      <c r="N131" s="475"/>
      <c r="O131" s="475"/>
      <c r="P131" s="475"/>
      <c r="Q131" s="475"/>
      <c r="R131" s="475"/>
      <c r="S131" s="475"/>
      <c r="T131" s="475"/>
      <c r="U131" s="475"/>
      <c r="V131" s="475"/>
      <c r="W131" s="475"/>
      <c r="X131" s="475"/>
      <c r="Y131" s="475"/>
    </row>
    <row r="132" ht="13.5" customHeight="1">
      <c r="A132" s="475"/>
      <c r="B132" s="475"/>
      <c r="C132" s="475"/>
      <c r="D132" s="475"/>
      <c r="E132" s="475"/>
      <c r="F132" s="475"/>
      <c r="G132" s="475"/>
      <c r="H132" s="475"/>
      <c r="I132" s="475"/>
      <c r="J132" s="475"/>
      <c r="K132" s="475"/>
      <c r="L132" s="475"/>
      <c r="M132" s="475"/>
      <c r="N132" s="475"/>
      <c r="O132" s="475"/>
      <c r="P132" s="475"/>
      <c r="Q132" s="475"/>
      <c r="R132" s="475"/>
      <c r="S132" s="475"/>
      <c r="T132" s="475"/>
      <c r="U132" s="475"/>
      <c r="V132" s="475"/>
      <c r="W132" s="475"/>
      <c r="X132" s="475"/>
      <c r="Y132" s="475"/>
    </row>
    <row r="133" ht="13.5" customHeight="1">
      <c r="A133" s="475"/>
      <c r="B133" s="475"/>
      <c r="C133" s="475"/>
      <c r="D133" s="475"/>
      <c r="E133" s="475"/>
      <c r="F133" s="475"/>
      <c r="G133" s="475"/>
      <c r="H133" s="475"/>
      <c r="I133" s="475"/>
      <c r="J133" s="475"/>
      <c r="K133" s="475"/>
      <c r="L133" s="475"/>
      <c r="M133" s="475"/>
      <c r="N133" s="475"/>
      <c r="O133" s="475"/>
      <c r="P133" s="475"/>
      <c r="Q133" s="475"/>
      <c r="R133" s="475"/>
      <c r="S133" s="475"/>
      <c r="T133" s="475"/>
      <c r="U133" s="475"/>
      <c r="V133" s="475"/>
      <c r="W133" s="475"/>
      <c r="X133" s="475"/>
      <c r="Y133" s="475"/>
    </row>
    <row r="134" ht="13.5" customHeight="1">
      <c r="A134" s="475"/>
      <c r="B134" s="475"/>
      <c r="C134" s="475"/>
      <c r="D134" s="475"/>
      <c r="E134" s="475"/>
      <c r="F134" s="475"/>
      <c r="G134" s="475"/>
      <c r="H134" s="475"/>
      <c r="I134" s="475"/>
      <c r="J134" s="475"/>
      <c r="K134" s="475"/>
      <c r="L134" s="475"/>
      <c r="M134" s="475"/>
      <c r="N134" s="475"/>
      <c r="O134" s="475"/>
      <c r="P134" s="475"/>
      <c r="Q134" s="475"/>
      <c r="R134" s="475"/>
      <c r="S134" s="475"/>
      <c r="T134" s="475"/>
      <c r="U134" s="475"/>
      <c r="V134" s="475"/>
      <c r="W134" s="475"/>
      <c r="X134" s="475"/>
      <c r="Y134" s="475"/>
    </row>
    <row r="135" ht="13.5" customHeight="1">
      <c r="A135" s="475"/>
      <c r="B135" s="475"/>
      <c r="C135" s="475"/>
      <c r="D135" s="475"/>
      <c r="E135" s="475"/>
      <c r="F135" s="475"/>
      <c r="G135" s="475"/>
      <c r="H135" s="475"/>
      <c r="I135" s="475"/>
      <c r="J135" s="475"/>
      <c r="K135" s="475"/>
      <c r="L135" s="475"/>
      <c r="M135" s="475"/>
      <c r="N135" s="475"/>
      <c r="O135" s="475"/>
      <c r="P135" s="475"/>
      <c r="Q135" s="475"/>
      <c r="R135" s="475"/>
      <c r="S135" s="475"/>
      <c r="T135" s="475"/>
      <c r="U135" s="475"/>
      <c r="V135" s="475"/>
      <c r="W135" s="475"/>
      <c r="X135" s="475"/>
      <c r="Y135" s="475"/>
    </row>
    <row r="136" ht="13.5" customHeight="1">
      <c r="A136" s="475"/>
      <c r="B136" s="475"/>
      <c r="C136" s="475"/>
      <c r="D136" s="475"/>
      <c r="E136" s="475"/>
      <c r="F136" s="475"/>
      <c r="G136" s="475"/>
      <c r="H136" s="475"/>
      <c r="I136" s="475"/>
      <c r="J136" s="475"/>
      <c r="K136" s="475"/>
      <c r="L136" s="475"/>
      <c r="M136" s="475"/>
      <c r="N136" s="475"/>
      <c r="O136" s="475"/>
      <c r="P136" s="475"/>
      <c r="Q136" s="475"/>
      <c r="R136" s="475"/>
      <c r="S136" s="475"/>
      <c r="T136" s="475"/>
      <c r="U136" s="475"/>
      <c r="V136" s="475"/>
      <c r="W136" s="475"/>
      <c r="X136" s="475"/>
      <c r="Y136" s="475"/>
    </row>
    <row r="137" ht="13.5" customHeight="1">
      <c r="A137" s="475"/>
      <c r="B137" s="475"/>
      <c r="C137" s="475"/>
      <c r="D137" s="475"/>
      <c r="E137" s="475"/>
      <c r="F137" s="475"/>
      <c r="G137" s="475"/>
      <c r="H137" s="475"/>
      <c r="I137" s="475"/>
      <c r="J137" s="475"/>
      <c r="K137" s="475"/>
      <c r="L137" s="475"/>
      <c r="M137" s="475"/>
      <c r="N137" s="475"/>
      <c r="O137" s="475"/>
      <c r="P137" s="475"/>
      <c r="Q137" s="475"/>
      <c r="R137" s="475"/>
      <c r="S137" s="475"/>
      <c r="T137" s="475"/>
      <c r="U137" s="475"/>
      <c r="V137" s="475"/>
      <c r="W137" s="475"/>
      <c r="X137" s="475"/>
      <c r="Y137" s="475"/>
    </row>
    <row r="138" ht="13.5" customHeight="1">
      <c r="A138" s="475"/>
      <c r="B138" s="475"/>
      <c r="C138" s="475"/>
      <c r="D138" s="475"/>
      <c r="E138" s="475"/>
      <c r="F138" s="475"/>
      <c r="G138" s="475"/>
      <c r="H138" s="475"/>
      <c r="I138" s="475"/>
      <c r="J138" s="475"/>
      <c r="K138" s="475"/>
      <c r="L138" s="475"/>
      <c r="M138" s="475"/>
      <c r="N138" s="475"/>
      <c r="O138" s="475"/>
      <c r="P138" s="475"/>
      <c r="Q138" s="475"/>
      <c r="R138" s="475"/>
      <c r="S138" s="475"/>
      <c r="T138" s="475"/>
      <c r="U138" s="475"/>
      <c r="V138" s="475"/>
      <c r="W138" s="475"/>
      <c r="X138" s="475"/>
      <c r="Y138" s="475"/>
    </row>
    <row r="139" ht="13.5" customHeight="1">
      <c r="A139" s="475"/>
      <c r="B139" s="475"/>
      <c r="C139" s="475"/>
      <c r="D139" s="475"/>
      <c r="E139" s="475"/>
      <c r="F139" s="475"/>
      <c r="G139" s="475"/>
      <c r="H139" s="475"/>
      <c r="I139" s="475"/>
      <c r="J139" s="475"/>
      <c r="K139" s="475"/>
      <c r="L139" s="475"/>
      <c r="M139" s="475"/>
      <c r="N139" s="475"/>
      <c r="O139" s="475"/>
      <c r="P139" s="475"/>
      <c r="Q139" s="475"/>
      <c r="R139" s="475"/>
      <c r="S139" s="475"/>
      <c r="T139" s="475"/>
      <c r="U139" s="475"/>
      <c r="V139" s="475"/>
      <c r="W139" s="475"/>
      <c r="X139" s="475"/>
      <c r="Y139" s="475"/>
    </row>
    <row r="140" ht="13.5" customHeight="1">
      <c r="A140" s="475"/>
      <c r="B140" s="475"/>
      <c r="C140" s="475"/>
      <c r="D140" s="475"/>
      <c r="E140" s="475"/>
      <c r="F140" s="475"/>
      <c r="G140" s="475"/>
      <c r="H140" s="475"/>
      <c r="I140" s="475"/>
      <c r="J140" s="475"/>
      <c r="K140" s="475"/>
      <c r="L140" s="475"/>
      <c r="M140" s="475"/>
      <c r="N140" s="475"/>
      <c r="O140" s="475"/>
      <c r="P140" s="475"/>
      <c r="Q140" s="475"/>
      <c r="R140" s="475"/>
      <c r="S140" s="475"/>
      <c r="T140" s="475"/>
      <c r="U140" s="475"/>
      <c r="V140" s="475"/>
      <c r="W140" s="475"/>
      <c r="X140" s="475"/>
      <c r="Y140" s="475"/>
    </row>
    <row r="141" ht="13.5" customHeight="1">
      <c r="A141" s="475"/>
      <c r="B141" s="475"/>
      <c r="C141" s="475"/>
      <c r="D141" s="475"/>
      <c r="E141" s="475"/>
      <c r="F141" s="475"/>
      <c r="G141" s="475"/>
      <c r="H141" s="475"/>
      <c r="I141" s="475"/>
      <c r="J141" s="475"/>
      <c r="K141" s="475"/>
      <c r="L141" s="475"/>
      <c r="M141" s="475"/>
      <c r="N141" s="475"/>
      <c r="O141" s="475"/>
      <c r="P141" s="475"/>
      <c r="Q141" s="475"/>
      <c r="R141" s="475"/>
      <c r="S141" s="475"/>
      <c r="T141" s="475"/>
      <c r="U141" s="475"/>
      <c r="V141" s="475"/>
      <c r="W141" s="475"/>
      <c r="X141" s="475"/>
      <c r="Y141" s="475"/>
    </row>
    <row r="142" ht="13.5" customHeight="1">
      <c r="A142" s="475"/>
      <c r="B142" s="475"/>
      <c r="C142" s="475"/>
      <c r="D142" s="475"/>
      <c r="E142" s="475"/>
      <c r="F142" s="475"/>
      <c r="G142" s="475"/>
      <c r="H142" s="475"/>
      <c r="I142" s="475"/>
      <c r="J142" s="475"/>
      <c r="K142" s="475"/>
      <c r="L142" s="475"/>
      <c r="M142" s="475"/>
      <c r="N142" s="475"/>
      <c r="O142" s="475"/>
      <c r="P142" s="475"/>
      <c r="Q142" s="475"/>
      <c r="R142" s="475"/>
      <c r="S142" s="475"/>
      <c r="T142" s="475"/>
      <c r="U142" s="475"/>
      <c r="V142" s="475"/>
      <c r="W142" s="475"/>
      <c r="X142" s="475"/>
      <c r="Y142" s="475"/>
    </row>
    <row r="143" ht="13.5" customHeight="1">
      <c r="A143" s="475"/>
      <c r="B143" s="475"/>
      <c r="C143" s="475"/>
      <c r="D143" s="475"/>
      <c r="E143" s="475"/>
      <c r="F143" s="475"/>
      <c r="G143" s="475"/>
      <c r="H143" s="475"/>
      <c r="I143" s="475"/>
      <c r="J143" s="475"/>
      <c r="K143" s="475"/>
      <c r="L143" s="475"/>
      <c r="M143" s="475"/>
      <c r="N143" s="475"/>
      <c r="O143" s="475"/>
      <c r="P143" s="475"/>
      <c r="Q143" s="475"/>
      <c r="R143" s="475"/>
      <c r="S143" s="475"/>
      <c r="T143" s="475"/>
      <c r="U143" s="475"/>
      <c r="V143" s="475"/>
      <c r="W143" s="475"/>
      <c r="X143" s="475"/>
      <c r="Y143" s="475"/>
    </row>
    <row r="144" ht="13.5" customHeight="1">
      <c r="A144" s="475"/>
      <c r="B144" s="475"/>
      <c r="C144" s="475"/>
      <c r="D144" s="475"/>
      <c r="E144" s="475"/>
      <c r="F144" s="475"/>
      <c r="G144" s="475"/>
      <c r="H144" s="475"/>
      <c r="I144" s="475"/>
      <c r="J144" s="475"/>
      <c r="K144" s="475"/>
      <c r="L144" s="475"/>
      <c r="M144" s="475"/>
      <c r="N144" s="475"/>
      <c r="O144" s="475"/>
      <c r="P144" s="475"/>
      <c r="Q144" s="475"/>
      <c r="R144" s="475"/>
      <c r="S144" s="475"/>
      <c r="T144" s="475"/>
      <c r="U144" s="475"/>
      <c r="V144" s="475"/>
      <c r="W144" s="475"/>
      <c r="X144" s="475"/>
      <c r="Y144" s="475"/>
    </row>
    <row r="145" ht="13.5" customHeight="1">
      <c r="A145" s="475"/>
      <c r="B145" s="475"/>
      <c r="C145" s="475"/>
      <c r="D145" s="475"/>
      <c r="E145" s="475"/>
      <c r="F145" s="475"/>
      <c r="G145" s="475"/>
      <c r="H145" s="475"/>
      <c r="I145" s="475"/>
      <c r="J145" s="475"/>
      <c r="K145" s="475"/>
      <c r="L145" s="475"/>
      <c r="M145" s="475"/>
      <c r="N145" s="475"/>
      <c r="O145" s="475"/>
      <c r="P145" s="475"/>
      <c r="Q145" s="475"/>
      <c r="R145" s="475"/>
      <c r="S145" s="475"/>
      <c r="T145" s="475"/>
      <c r="U145" s="475"/>
      <c r="V145" s="475"/>
      <c r="W145" s="475"/>
      <c r="X145" s="475"/>
      <c r="Y145" s="475"/>
    </row>
    <row r="146" ht="13.5" customHeight="1">
      <c r="A146" s="475"/>
      <c r="B146" s="475"/>
      <c r="C146" s="475"/>
      <c r="D146" s="475"/>
      <c r="E146" s="475"/>
      <c r="F146" s="475"/>
      <c r="G146" s="475"/>
      <c r="H146" s="475"/>
      <c r="I146" s="475"/>
      <c r="J146" s="475"/>
      <c r="K146" s="475"/>
      <c r="L146" s="475"/>
      <c r="M146" s="475"/>
      <c r="N146" s="475"/>
      <c r="O146" s="475"/>
      <c r="P146" s="475"/>
      <c r="Q146" s="475"/>
      <c r="R146" s="475"/>
      <c r="S146" s="475"/>
      <c r="T146" s="475"/>
      <c r="U146" s="475"/>
      <c r="V146" s="475"/>
      <c r="W146" s="475"/>
      <c r="X146" s="475"/>
      <c r="Y146" s="475"/>
    </row>
    <row r="147" ht="13.5" customHeight="1">
      <c r="A147" s="475"/>
      <c r="B147" s="475"/>
      <c r="C147" s="475"/>
      <c r="D147" s="475"/>
      <c r="E147" s="475"/>
      <c r="F147" s="475"/>
      <c r="G147" s="475"/>
      <c r="H147" s="475"/>
      <c r="I147" s="475"/>
      <c r="J147" s="475"/>
      <c r="K147" s="475"/>
      <c r="L147" s="475"/>
      <c r="M147" s="475"/>
      <c r="N147" s="475"/>
      <c r="O147" s="475"/>
      <c r="P147" s="475"/>
      <c r="Q147" s="475"/>
      <c r="R147" s="475"/>
      <c r="S147" s="475"/>
      <c r="T147" s="475"/>
      <c r="U147" s="475"/>
      <c r="V147" s="475"/>
      <c r="W147" s="475"/>
      <c r="X147" s="475"/>
      <c r="Y147" s="475"/>
    </row>
    <row r="148" ht="13.5" customHeight="1">
      <c r="A148" s="475"/>
      <c r="B148" s="475"/>
      <c r="C148" s="475"/>
      <c r="D148" s="475"/>
      <c r="E148" s="475"/>
      <c r="F148" s="475"/>
      <c r="G148" s="475"/>
      <c r="H148" s="475"/>
      <c r="I148" s="475"/>
      <c r="J148" s="475"/>
      <c r="K148" s="475"/>
      <c r="L148" s="475"/>
      <c r="M148" s="475"/>
      <c r="N148" s="475"/>
      <c r="O148" s="475"/>
      <c r="P148" s="475"/>
      <c r="Q148" s="475"/>
      <c r="R148" s="475"/>
      <c r="S148" s="475"/>
      <c r="T148" s="475"/>
      <c r="U148" s="475"/>
      <c r="V148" s="475"/>
      <c r="W148" s="475"/>
      <c r="X148" s="475"/>
      <c r="Y148" s="475"/>
    </row>
    <row r="149" ht="13.5" customHeight="1">
      <c r="A149" s="475"/>
      <c r="B149" s="475"/>
      <c r="C149" s="475"/>
      <c r="D149" s="475"/>
      <c r="E149" s="475"/>
      <c r="F149" s="475"/>
      <c r="G149" s="475"/>
      <c r="H149" s="475"/>
      <c r="I149" s="475"/>
      <c r="J149" s="475"/>
      <c r="K149" s="475"/>
      <c r="L149" s="475"/>
      <c r="M149" s="475"/>
      <c r="N149" s="475"/>
      <c r="O149" s="475"/>
      <c r="P149" s="475"/>
      <c r="Q149" s="475"/>
      <c r="R149" s="475"/>
      <c r="S149" s="475"/>
      <c r="T149" s="475"/>
      <c r="U149" s="475"/>
      <c r="V149" s="475"/>
      <c r="W149" s="475"/>
      <c r="X149" s="475"/>
      <c r="Y149" s="475"/>
    </row>
    <row r="150" ht="13.5" customHeight="1">
      <c r="A150" s="475"/>
      <c r="B150" s="475"/>
      <c r="C150" s="475"/>
      <c r="D150" s="475"/>
      <c r="E150" s="475"/>
      <c r="F150" s="475"/>
      <c r="G150" s="475"/>
      <c r="H150" s="475"/>
      <c r="I150" s="475"/>
      <c r="J150" s="475"/>
      <c r="K150" s="475"/>
      <c r="L150" s="475"/>
      <c r="M150" s="475"/>
      <c r="N150" s="475"/>
      <c r="O150" s="475"/>
      <c r="P150" s="475"/>
      <c r="Q150" s="475"/>
      <c r="R150" s="475"/>
      <c r="S150" s="475"/>
      <c r="T150" s="475"/>
      <c r="U150" s="475"/>
      <c r="V150" s="475"/>
      <c r="W150" s="475"/>
      <c r="X150" s="475"/>
      <c r="Y150" s="475"/>
    </row>
    <row r="151" ht="13.5" customHeight="1">
      <c r="A151" s="475"/>
      <c r="B151" s="475"/>
      <c r="C151" s="475"/>
      <c r="D151" s="475"/>
      <c r="E151" s="475"/>
      <c r="F151" s="475"/>
      <c r="G151" s="475"/>
      <c r="H151" s="475"/>
      <c r="I151" s="475"/>
      <c r="J151" s="475"/>
      <c r="K151" s="475"/>
      <c r="L151" s="475"/>
      <c r="M151" s="475"/>
      <c r="N151" s="475"/>
      <c r="O151" s="475"/>
      <c r="P151" s="475"/>
      <c r="Q151" s="475"/>
      <c r="R151" s="475"/>
      <c r="S151" s="475"/>
      <c r="T151" s="475"/>
      <c r="U151" s="475"/>
      <c r="V151" s="475"/>
      <c r="W151" s="475"/>
      <c r="X151" s="475"/>
      <c r="Y151" s="475"/>
    </row>
    <row r="152" ht="13.5" customHeight="1">
      <c r="A152" s="475"/>
      <c r="B152" s="475"/>
      <c r="C152" s="475"/>
      <c r="D152" s="475"/>
      <c r="E152" s="475"/>
      <c r="F152" s="475"/>
      <c r="G152" s="475"/>
      <c r="H152" s="475"/>
      <c r="I152" s="475"/>
      <c r="J152" s="475"/>
      <c r="K152" s="475"/>
      <c r="L152" s="475"/>
      <c r="M152" s="475"/>
      <c r="N152" s="475"/>
      <c r="O152" s="475"/>
      <c r="P152" s="475"/>
      <c r="Q152" s="475"/>
      <c r="R152" s="475"/>
      <c r="S152" s="475"/>
      <c r="T152" s="475"/>
      <c r="U152" s="475"/>
      <c r="V152" s="475"/>
      <c r="W152" s="475"/>
      <c r="X152" s="475"/>
      <c r="Y152" s="475"/>
    </row>
    <row r="153" ht="13.5" customHeight="1">
      <c r="A153" s="475"/>
      <c r="B153" s="475"/>
      <c r="C153" s="475"/>
      <c r="D153" s="475"/>
      <c r="E153" s="475"/>
      <c r="F153" s="475"/>
      <c r="G153" s="475"/>
      <c r="H153" s="475"/>
      <c r="I153" s="475"/>
      <c r="J153" s="475"/>
      <c r="K153" s="475"/>
      <c r="L153" s="475"/>
      <c r="M153" s="475"/>
      <c r="N153" s="475"/>
      <c r="O153" s="475"/>
      <c r="P153" s="475"/>
      <c r="Q153" s="475"/>
      <c r="R153" s="475"/>
      <c r="S153" s="475"/>
      <c r="T153" s="475"/>
      <c r="U153" s="475"/>
      <c r="V153" s="475"/>
      <c r="W153" s="475"/>
      <c r="X153" s="475"/>
      <c r="Y153" s="475"/>
    </row>
    <row r="154" ht="13.5" customHeight="1">
      <c r="A154" s="475"/>
      <c r="B154" s="475"/>
      <c r="C154" s="475"/>
      <c r="D154" s="475"/>
      <c r="E154" s="475"/>
      <c r="F154" s="475"/>
      <c r="G154" s="475"/>
      <c r="H154" s="475"/>
      <c r="I154" s="475"/>
      <c r="J154" s="475"/>
      <c r="K154" s="475"/>
      <c r="L154" s="475"/>
      <c r="M154" s="475"/>
      <c r="N154" s="475"/>
      <c r="O154" s="475"/>
      <c r="P154" s="475"/>
      <c r="Q154" s="475"/>
      <c r="R154" s="475"/>
      <c r="S154" s="475"/>
      <c r="T154" s="475"/>
      <c r="U154" s="475"/>
      <c r="V154" s="475"/>
      <c r="W154" s="475"/>
      <c r="X154" s="475"/>
      <c r="Y154" s="475"/>
    </row>
    <row r="155" ht="13.5" customHeight="1">
      <c r="A155" s="475"/>
      <c r="B155" s="475"/>
      <c r="C155" s="475"/>
      <c r="D155" s="475"/>
      <c r="E155" s="475"/>
      <c r="F155" s="475"/>
      <c r="G155" s="475"/>
      <c r="H155" s="475"/>
      <c r="I155" s="475"/>
      <c r="J155" s="475"/>
      <c r="K155" s="475"/>
      <c r="L155" s="475"/>
      <c r="M155" s="475"/>
      <c r="N155" s="475"/>
      <c r="O155" s="475"/>
      <c r="P155" s="475"/>
      <c r="Q155" s="475"/>
      <c r="R155" s="475"/>
      <c r="S155" s="475"/>
      <c r="T155" s="475"/>
      <c r="U155" s="475"/>
      <c r="V155" s="475"/>
      <c r="W155" s="475"/>
      <c r="X155" s="475"/>
      <c r="Y155" s="475"/>
    </row>
    <row r="156" ht="13.5" customHeight="1">
      <c r="A156" s="475"/>
      <c r="B156" s="475"/>
      <c r="C156" s="475"/>
      <c r="D156" s="475"/>
      <c r="E156" s="475"/>
      <c r="F156" s="475"/>
      <c r="G156" s="475"/>
      <c r="H156" s="475"/>
      <c r="I156" s="475"/>
      <c r="J156" s="475"/>
      <c r="K156" s="475"/>
      <c r="L156" s="475"/>
      <c r="M156" s="475"/>
      <c r="N156" s="475"/>
      <c r="O156" s="475"/>
      <c r="P156" s="475"/>
      <c r="Q156" s="475"/>
      <c r="R156" s="475"/>
      <c r="S156" s="475"/>
      <c r="T156" s="475"/>
      <c r="U156" s="475"/>
      <c r="V156" s="475"/>
      <c r="W156" s="475"/>
      <c r="X156" s="475"/>
      <c r="Y156" s="475"/>
    </row>
    <row r="157" ht="13.5" customHeight="1">
      <c r="A157" s="475"/>
      <c r="B157" s="475"/>
      <c r="C157" s="475"/>
      <c r="D157" s="475"/>
      <c r="E157" s="475"/>
      <c r="F157" s="475"/>
      <c r="G157" s="475"/>
      <c r="H157" s="475"/>
      <c r="I157" s="475"/>
      <c r="J157" s="475"/>
      <c r="K157" s="475"/>
      <c r="L157" s="475"/>
      <c r="M157" s="475"/>
      <c r="N157" s="475"/>
      <c r="O157" s="475"/>
      <c r="P157" s="475"/>
      <c r="Q157" s="475"/>
      <c r="R157" s="475"/>
      <c r="S157" s="475"/>
      <c r="T157" s="475"/>
      <c r="U157" s="475"/>
      <c r="V157" s="475"/>
      <c r="W157" s="475"/>
      <c r="X157" s="475"/>
      <c r="Y157" s="475"/>
    </row>
    <row r="158" ht="13.5" customHeight="1">
      <c r="A158" s="475"/>
      <c r="B158" s="475"/>
      <c r="C158" s="475"/>
      <c r="D158" s="475"/>
      <c r="E158" s="475"/>
      <c r="F158" s="475"/>
      <c r="G158" s="475"/>
      <c r="H158" s="475"/>
      <c r="I158" s="475"/>
      <c r="J158" s="475"/>
      <c r="K158" s="475"/>
      <c r="L158" s="475"/>
      <c r="M158" s="475"/>
      <c r="N158" s="475"/>
      <c r="O158" s="475"/>
      <c r="P158" s="475"/>
      <c r="Q158" s="475"/>
      <c r="R158" s="475"/>
      <c r="S158" s="475"/>
      <c r="T158" s="475"/>
      <c r="U158" s="475"/>
      <c r="V158" s="475"/>
      <c r="W158" s="475"/>
      <c r="X158" s="475"/>
      <c r="Y158" s="475"/>
    </row>
    <row r="159" ht="13.5" customHeight="1">
      <c r="A159" s="475"/>
      <c r="B159" s="475"/>
      <c r="C159" s="475"/>
      <c r="D159" s="475"/>
      <c r="E159" s="475"/>
      <c r="F159" s="475"/>
      <c r="G159" s="475"/>
      <c r="H159" s="475"/>
      <c r="I159" s="475"/>
      <c r="J159" s="475"/>
      <c r="K159" s="475"/>
      <c r="L159" s="475"/>
      <c r="M159" s="475"/>
      <c r="N159" s="475"/>
      <c r="O159" s="475"/>
      <c r="P159" s="475"/>
      <c r="Q159" s="475"/>
      <c r="R159" s="475"/>
      <c r="S159" s="475"/>
      <c r="T159" s="475"/>
      <c r="U159" s="475"/>
      <c r="V159" s="475"/>
      <c r="W159" s="475"/>
      <c r="X159" s="475"/>
      <c r="Y159" s="475"/>
    </row>
    <row r="160" ht="13.5" customHeight="1">
      <c r="A160" s="475"/>
      <c r="B160" s="475"/>
      <c r="C160" s="475"/>
      <c r="D160" s="475"/>
      <c r="E160" s="475"/>
      <c r="F160" s="475"/>
      <c r="G160" s="475"/>
      <c r="H160" s="475"/>
      <c r="I160" s="475"/>
      <c r="J160" s="475"/>
      <c r="K160" s="475"/>
      <c r="L160" s="475"/>
      <c r="M160" s="475"/>
      <c r="N160" s="475"/>
      <c r="O160" s="475"/>
      <c r="P160" s="475"/>
      <c r="Q160" s="475"/>
      <c r="R160" s="475"/>
      <c r="S160" s="475"/>
      <c r="T160" s="475"/>
      <c r="U160" s="475"/>
      <c r="V160" s="475"/>
      <c r="W160" s="475"/>
      <c r="X160" s="475"/>
      <c r="Y160" s="475"/>
    </row>
    <row r="161" ht="13.5" customHeight="1">
      <c r="A161" s="475"/>
      <c r="B161" s="475"/>
      <c r="C161" s="475"/>
      <c r="D161" s="475"/>
      <c r="E161" s="475"/>
      <c r="F161" s="475"/>
      <c r="G161" s="475"/>
      <c r="H161" s="475"/>
      <c r="I161" s="475"/>
      <c r="J161" s="475"/>
      <c r="K161" s="475"/>
      <c r="L161" s="475"/>
      <c r="M161" s="475"/>
      <c r="N161" s="475"/>
      <c r="O161" s="475"/>
      <c r="P161" s="475"/>
      <c r="Q161" s="475"/>
      <c r="R161" s="475"/>
      <c r="S161" s="475"/>
      <c r="T161" s="475"/>
      <c r="U161" s="475"/>
      <c r="V161" s="475"/>
      <c r="W161" s="475"/>
      <c r="X161" s="475"/>
      <c r="Y161" s="475"/>
    </row>
    <row r="162" ht="13.5" customHeight="1">
      <c r="A162" s="475"/>
      <c r="B162" s="475"/>
      <c r="C162" s="475"/>
      <c r="D162" s="475"/>
      <c r="E162" s="475"/>
      <c r="F162" s="475"/>
      <c r="G162" s="475"/>
      <c r="H162" s="475"/>
      <c r="I162" s="475"/>
      <c r="J162" s="475"/>
      <c r="K162" s="475"/>
      <c r="L162" s="475"/>
      <c r="M162" s="475"/>
      <c r="N162" s="475"/>
      <c r="O162" s="475"/>
      <c r="P162" s="475"/>
      <c r="Q162" s="475"/>
      <c r="R162" s="475"/>
      <c r="S162" s="475"/>
      <c r="T162" s="475"/>
      <c r="U162" s="475"/>
      <c r="V162" s="475"/>
      <c r="W162" s="475"/>
      <c r="X162" s="475"/>
      <c r="Y162" s="475"/>
    </row>
    <row r="163" ht="13.5" customHeight="1">
      <c r="A163" s="475"/>
      <c r="B163" s="475"/>
      <c r="C163" s="475"/>
      <c r="D163" s="475"/>
      <c r="E163" s="475"/>
      <c r="F163" s="475"/>
      <c r="G163" s="475"/>
      <c r="H163" s="475"/>
      <c r="I163" s="475"/>
      <c r="J163" s="475"/>
      <c r="K163" s="475"/>
      <c r="L163" s="475"/>
      <c r="M163" s="475"/>
      <c r="N163" s="475"/>
      <c r="O163" s="475"/>
      <c r="P163" s="475"/>
      <c r="Q163" s="475"/>
      <c r="R163" s="475"/>
      <c r="S163" s="475"/>
      <c r="T163" s="475"/>
      <c r="U163" s="475"/>
      <c r="V163" s="475"/>
      <c r="W163" s="475"/>
      <c r="X163" s="475"/>
      <c r="Y163" s="475"/>
    </row>
    <row r="164" ht="13.5" customHeight="1">
      <c r="A164" s="475"/>
      <c r="B164" s="475"/>
      <c r="C164" s="475"/>
      <c r="D164" s="475"/>
      <c r="E164" s="475"/>
      <c r="F164" s="475"/>
      <c r="G164" s="475"/>
      <c r="H164" s="475"/>
      <c r="I164" s="475"/>
      <c r="J164" s="475"/>
      <c r="K164" s="475"/>
      <c r="L164" s="475"/>
      <c r="M164" s="475"/>
      <c r="N164" s="475"/>
      <c r="O164" s="475"/>
      <c r="P164" s="475"/>
      <c r="Q164" s="475"/>
      <c r="R164" s="475"/>
      <c r="S164" s="475"/>
      <c r="T164" s="475"/>
      <c r="U164" s="475"/>
      <c r="V164" s="475"/>
      <c r="W164" s="475"/>
      <c r="X164" s="475"/>
      <c r="Y164" s="475"/>
    </row>
    <row r="165" ht="13.5" customHeight="1">
      <c r="A165" s="475"/>
      <c r="B165" s="475"/>
      <c r="C165" s="475"/>
      <c r="D165" s="475"/>
      <c r="E165" s="475"/>
      <c r="F165" s="475"/>
      <c r="G165" s="475"/>
      <c r="H165" s="475"/>
      <c r="I165" s="475"/>
      <c r="J165" s="475"/>
      <c r="K165" s="475"/>
      <c r="L165" s="475"/>
      <c r="M165" s="475"/>
      <c r="N165" s="475"/>
      <c r="O165" s="475"/>
      <c r="P165" s="475"/>
      <c r="Q165" s="475"/>
      <c r="R165" s="475"/>
      <c r="S165" s="475"/>
      <c r="T165" s="475"/>
      <c r="U165" s="475"/>
      <c r="V165" s="475"/>
      <c r="W165" s="475"/>
      <c r="X165" s="475"/>
      <c r="Y165" s="475"/>
    </row>
    <row r="166" ht="13.5" customHeight="1">
      <c r="A166" s="475"/>
      <c r="B166" s="475"/>
      <c r="C166" s="475"/>
      <c r="D166" s="475"/>
      <c r="E166" s="475"/>
      <c r="F166" s="475"/>
      <c r="G166" s="475"/>
      <c r="H166" s="475"/>
      <c r="I166" s="475"/>
      <c r="J166" s="475"/>
      <c r="K166" s="475"/>
      <c r="L166" s="475"/>
      <c r="M166" s="475"/>
      <c r="N166" s="475"/>
      <c r="O166" s="475"/>
      <c r="P166" s="475"/>
      <c r="Q166" s="475"/>
      <c r="R166" s="475"/>
      <c r="S166" s="475"/>
      <c r="T166" s="475"/>
      <c r="U166" s="475"/>
      <c r="V166" s="475"/>
      <c r="W166" s="475"/>
      <c r="X166" s="475"/>
      <c r="Y166" s="475"/>
    </row>
    <row r="167" ht="13.5" customHeight="1">
      <c r="A167" s="475"/>
      <c r="B167" s="475"/>
      <c r="C167" s="475"/>
      <c r="D167" s="475"/>
      <c r="E167" s="475"/>
      <c r="F167" s="475"/>
      <c r="G167" s="475"/>
      <c r="H167" s="475"/>
      <c r="I167" s="475"/>
      <c r="J167" s="475"/>
      <c r="K167" s="475"/>
      <c r="L167" s="475"/>
      <c r="M167" s="475"/>
      <c r="N167" s="475"/>
      <c r="O167" s="475"/>
      <c r="P167" s="475"/>
      <c r="Q167" s="475"/>
      <c r="R167" s="475"/>
      <c r="S167" s="475"/>
      <c r="T167" s="475"/>
      <c r="U167" s="475"/>
      <c r="V167" s="475"/>
      <c r="W167" s="475"/>
      <c r="X167" s="475"/>
      <c r="Y167" s="475"/>
    </row>
    <row r="168" ht="13.5" customHeight="1">
      <c r="A168" s="475"/>
      <c r="B168" s="475"/>
      <c r="C168" s="475"/>
      <c r="D168" s="475"/>
      <c r="E168" s="475"/>
      <c r="F168" s="475"/>
      <c r="G168" s="475"/>
      <c r="H168" s="475"/>
      <c r="I168" s="475"/>
      <c r="J168" s="475"/>
      <c r="K168" s="475"/>
      <c r="L168" s="475"/>
      <c r="M168" s="475"/>
      <c r="N168" s="475"/>
      <c r="O168" s="475"/>
      <c r="P168" s="475"/>
      <c r="Q168" s="475"/>
      <c r="R168" s="475"/>
      <c r="S168" s="475"/>
      <c r="T168" s="475"/>
      <c r="U168" s="475"/>
      <c r="V168" s="475"/>
      <c r="W168" s="475"/>
      <c r="X168" s="475"/>
      <c r="Y168" s="475"/>
    </row>
    <row r="169" ht="13.5" customHeight="1">
      <c r="A169" s="475"/>
      <c r="B169" s="475"/>
      <c r="C169" s="475"/>
      <c r="D169" s="475"/>
      <c r="E169" s="475"/>
      <c r="F169" s="475"/>
      <c r="G169" s="475"/>
      <c r="H169" s="475"/>
      <c r="I169" s="475"/>
      <c r="J169" s="475"/>
      <c r="K169" s="475"/>
      <c r="L169" s="475"/>
      <c r="M169" s="475"/>
      <c r="N169" s="475"/>
      <c r="O169" s="475"/>
      <c r="P169" s="475"/>
      <c r="Q169" s="475"/>
      <c r="R169" s="475"/>
      <c r="S169" s="475"/>
      <c r="T169" s="475"/>
      <c r="U169" s="475"/>
      <c r="V169" s="475"/>
      <c r="W169" s="475"/>
      <c r="X169" s="475"/>
      <c r="Y169" s="475"/>
    </row>
    <row r="170" ht="13.5" customHeight="1">
      <c r="A170" s="475"/>
      <c r="B170" s="475"/>
      <c r="C170" s="475"/>
      <c r="D170" s="475"/>
      <c r="E170" s="475"/>
      <c r="F170" s="475"/>
      <c r="G170" s="475"/>
      <c r="H170" s="475"/>
      <c r="I170" s="475"/>
      <c r="J170" s="475"/>
      <c r="K170" s="475"/>
      <c r="L170" s="475"/>
      <c r="M170" s="475"/>
      <c r="N170" s="475"/>
      <c r="O170" s="475"/>
      <c r="P170" s="475"/>
      <c r="Q170" s="475"/>
      <c r="R170" s="475"/>
      <c r="S170" s="475"/>
      <c r="T170" s="475"/>
      <c r="U170" s="475"/>
      <c r="V170" s="475"/>
      <c r="W170" s="475"/>
      <c r="X170" s="475"/>
      <c r="Y170" s="475"/>
    </row>
    <row r="171" ht="13.5" customHeight="1">
      <c r="A171" s="475"/>
      <c r="B171" s="475"/>
      <c r="C171" s="475"/>
      <c r="D171" s="475"/>
      <c r="E171" s="475"/>
      <c r="F171" s="475"/>
      <c r="G171" s="475"/>
      <c r="H171" s="475"/>
      <c r="I171" s="475"/>
      <c r="J171" s="475"/>
      <c r="K171" s="475"/>
      <c r="L171" s="475"/>
      <c r="M171" s="475"/>
      <c r="N171" s="475"/>
      <c r="O171" s="475"/>
      <c r="P171" s="475"/>
      <c r="Q171" s="475"/>
      <c r="R171" s="475"/>
      <c r="S171" s="475"/>
      <c r="T171" s="475"/>
      <c r="U171" s="475"/>
      <c r="V171" s="475"/>
      <c r="W171" s="475"/>
      <c r="X171" s="475"/>
      <c r="Y171" s="475"/>
    </row>
    <row r="172" ht="13.5" customHeight="1">
      <c r="A172" s="475"/>
      <c r="B172" s="475"/>
      <c r="C172" s="475"/>
      <c r="D172" s="475"/>
      <c r="E172" s="475"/>
      <c r="F172" s="475"/>
      <c r="G172" s="475"/>
      <c r="H172" s="475"/>
      <c r="I172" s="475"/>
      <c r="J172" s="475"/>
      <c r="K172" s="475"/>
      <c r="L172" s="475"/>
      <c r="M172" s="475"/>
      <c r="N172" s="475"/>
      <c r="O172" s="475"/>
      <c r="P172" s="475"/>
      <c r="Q172" s="475"/>
      <c r="R172" s="475"/>
      <c r="S172" s="475"/>
      <c r="T172" s="475"/>
      <c r="U172" s="475"/>
      <c r="V172" s="475"/>
      <c r="W172" s="475"/>
      <c r="X172" s="475"/>
      <c r="Y172" s="475"/>
    </row>
    <row r="173" ht="13.5" customHeight="1">
      <c r="A173" s="475"/>
      <c r="B173" s="475"/>
      <c r="C173" s="475"/>
      <c r="D173" s="475"/>
      <c r="E173" s="475"/>
      <c r="F173" s="475"/>
      <c r="G173" s="475"/>
      <c r="H173" s="475"/>
      <c r="I173" s="475"/>
      <c r="J173" s="475"/>
      <c r="K173" s="475"/>
      <c r="L173" s="475"/>
      <c r="M173" s="475"/>
      <c r="N173" s="475"/>
      <c r="O173" s="475"/>
      <c r="P173" s="475"/>
      <c r="Q173" s="475"/>
      <c r="R173" s="475"/>
      <c r="S173" s="475"/>
      <c r="T173" s="475"/>
      <c r="U173" s="475"/>
      <c r="V173" s="475"/>
      <c r="W173" s="475"/>
      <c r="X173" s="475"/>
      <c r="Y173" s="475"/>
    </row>
    <row r="174" ht="13.5" customHeight="1">
      <c r="A174" s="475"/>
      <c r="B174" s="475"/>
      <c r="C174" s="475"/>
      <c r="D174" s="475"/>
      <c r="E174" s="475"/>
      <c r="F174" s="475"/>
      <c r="G174" s="475"/>
      <c r="H174" s="475"/>
      <c r="I174" s="475"/>
      <c r="J174" s="475"/>
      <c r="K174" s="475"/>
      <c r="L174" s="475"/>
      <c r="M174" s="475"/>
      <c r="N174" s="475"/>
      <c r="O174" s="475"/>
      <c r="P174" s="475"/>
      <c r="Q174" s="475"/>
      <c r="R174" s="475"/>
      <c r="S174" s="475"/>
      <c r="T174" s="475"/>
      <c r="U174" s="475"/>
      <c r="V174" s="475"/>
      <c r="W174" s="475"/>
      <c r="X174" s="475"/>
      <c r="Y174" s="475"/>
    </row>
    <row r="175" ht="13.5" customHeight="1">
      <c r="A175" s="475"/>
      <c r="B175" s="475"/>
      <c r="C175" s="475"/>
      <c r="D175" s="475"/>
      <c r="E175" s="475"/>
      <c r="F175" s="475"/>
      <c r="G175" s="475"/>
      <c r="H175" s="475"/>
      <c r="I175" s="475"/>
      <c r="J175" s="475"/>
      <c r="K175" s="475"/>
      <c r="L175" s="475"/>
      <c r="M175" s="475"/>
      <c r="N175" s="475"/>
      <c r="O175" s="475"/>
      <c r="P175" s="475"/>
      <c r="Q175" s="475"/>
      <c r="R175" s="475"/>
      <c r="S175" s="475"/>
      <c r="T175" s="475"/>
      <c r="U175" s="475"/>
      <c r="V175" s="475"/>
      <c r="W175" s="475"/>
      <c r="X175" s="475"/>
      <c r="Y175" s="475"/>
    </row>
    <row r="176" ht="13.5" customHeight="1">
      <c r="A176" s="475"/>
      <c r="B176" s="475"/>
      <c r="C176" s="475"/>
      <c r="D176" s="475"/>
      <c r="E176" s="475"/>
      <c r="F176" s="475"/>
      <c r="G176" s="475"/>
      <c r="H176" s="475"/>
      <c r="I176" s="475"/>
      <c r="J176" s="475"/>
      <c r="K176" s="475"/>
      <c r="L176" s="475"/>
      <c r="M176" s="475"/>
      <c r="N176" s="475"/>
      <c r="O176" s="475"/>
      <c r="P176" s="475"/>
      <c r="Q176" s="475"/>
      <c r="R176" s="475"/>
      <c r="S176" s="475"/>
      <c r="T176" s="475"/>
      <c r="U176" s="475"/>
      <c r="V176" s="475"/>
      <c r="W176" s="475"/>
      <c r="X176" s="475"/>
      <c r="Y176" s="475"/>
    </row>
    <row r="177" ht="13.5" customHeight="1">
      <c r="A177" s="475"/>
      <c r="B177" s="475"/>
      <c r="C177" s="475"/>
      <c r="D177" s="475"/>
      <c r="E177" s="475"/>
      <c r="F177" s="475"/>
      <c r="G177" s="475"/>
      <c r="H177" s="475"/>
      <c r="I177" s="475"/>
      <c r="J177" s="475"/>
      <c r="K177" s="475"/>
      <c r="L177" s="475"/>
      <c r="M177" s="475"/>
      <c r="N177" s="475"/>
      <c r="O177" s="475"/>
      <c r="P177" s="475"/>
      <c r="Q177" s="475"/>
      <c r="R177" s="475"/>
      <c r="S177" s="475"/>
      <c r="T177" s="475"/>
      <c r="U177" s="475"/>
      <c r="V177" s="475"/>
      <c r="W177" s="475"/>
      <c r="X177" s="475"/>
      <c r="Y177" s="475"/>
    </row>
    <row r="178" ht="13.5" customHeight="1">
      <c r="A178" s="475"/>
      <c r="B178" s="475"/>
      <c r="C178" s="475"/>
      <c r="D178" s="475"/>
      <c r="E178" s="475"/>
      <c r="F178" s="475"/>
      <c r="G178" s="475"/>
      <c r="H178" s="475"/>
      <c r="I178" s="475"/>
      <c r="J178" s="475"/>
      <c r="K178" s="475"/>
      <c r="L178" s="475"/>
      <c r="M178" s="475"/>
      <c r="N178" s="475"/>
      <c r="O178" s="475"/>
      <c r="P178" s="475"/>
      <c r="Q178" s="475"/>
      <c r="R178" s="475"/>
      <c r="S178" s="475"/>
      <c r="T178" s="475"/>
      <c r="U178" s="475"/>
      <c r="V178" s="475"/>
      <c r="W178" s="475"/>
      <c r="X178" s="475"/>
      <c r="Y178" s="475"/>
    </row>
    <row r="179" ht="13.5" customHeight="1">
      <c r="A179" s="475"/>
      <c r="B179" s="475"/>
      <c r="C179" s="475"/>
      <c r="D179" s="475"/>
      <c r="E179" s="475"/>
      <c r="F179" s="475"/>
      <c r="G179" s="475"/>
      <c r="H179" s="475"/>
      <c r="I179" s="475"/>
      <c r="J179" s="475"/>
      <c r="K179" s="475"/>
      <c r="L179" s="475"/>
      <c r="M179" s="475"/>
      <c r="N179" s="475"/>
      <c r="O179" s="475"/>
      <c r="P179" s="475"/>
      <c r="Q179" s="475"/>
      <c r="R179" s="475"/>
      <c r="S179" s="475"/>
      <c r="T179" s="475"/>
      <c r="U179" s="475"/>
      <c r="V179" s="475"/>
      <c r="W179" s="475"/>
      <c r="X179" s="475"/>
      <c r="Y179" s="475"/>
    </row>
    <row r="180" ht="13.5" customHeight="1">
      <c r="A180" s="475"/>
      <c r="B180" s="475"/>
      <c r="C180" s="475"/>
      <c r="D180" s="475"/>
      <c r="E180" s="475"/>
      <c r="F180" s="475"/>
      <c r="G180" s="475"/>
      <c r="H180" s="475"/>
      <c r="I180" s="475"/>
      <c r="J180" s="475"/>
      <c r="K180" s="475"/>
      <c r="L180" s="475"/>
      <c r="M180" s="475"/>
      <c r="N180" s="475"/>
      <c r="O180" s="475"/>
      <c r="P180" s="475"/>
      <c r="Q180" s="475"/>
      <c r="R180" s="475"/>
      <c r="S180" s="475"/>
      <c r="T180" s="475"/>
      <c r="U180" s="475"/>
      <c r="V180" s="475"/>
      <c r="W180" s="475"/>
      <c r="X180" s="475"/>
      <c r="Y180" s="475"/>
    </row>
    <row r="181" ht="13.5" customHeight="1">
      <c r="A181" s="475"/>
      <c r="B181" s="475"/>
      <c r="C181" s="475"/>
      <c r="D181" s="475"/>
      <c r="E181" s="475"/>
      <c r="F181" s="475"/>
      <c r="G181" s="475"/>
      <c r="H181" s="475"/>
      <c r="I181" s="475"/>
      <c r="J181" s="475"/>
      <c r="K181" s="475"/>
      <c r="L181" s="475"/>
      <c r="M181" s="475"/>
      <c r="N181" s="475"/>
      <c r="O181" s="475"/>
      <c r="P181" s="475"/>
      <c r="Q181" s="475"/>
      <c r="R181" s="475"/>
      <c r="S181" s="475"/>
      <c r="T181" s="475"/>
      <c r="U181" s="475"/>
      <c r="V181" s="475"/>
      <c r="W181" s="475"/>
      <c r="X181" s="475"/>
      <c r="Y181" s="475"/>
    </row>
    <row r="182" ht="13.5" customHeight="1">
      <c r="A182" s="475"/>
      <c r="B182" s="475"/>
      <c r="C182" s="475"/>
      <c r="D182" s="475"/>
      <c r="E182" s="475"/>
      <c r="F182" s="475"/>
      <c r="G182" s="475"/>
      <c r="H182" s="475"/>
      <c r="I182" s="475"/>
      <c r="J182" s="475"/>
      <c r="K182" s="475"/>
      <c r="L182" s="475"/>
      <c r="M182" s="475"/>
      <c r="N182" s="475"/>
      <c r="O182" s="475"/>
      <c r="P182" s="475"/>
      <c r="Q182" s="475"/>
      <c r="R182" s="475"/>
      <c r="S182" s="475"/>
      <c r="T182" s="475"/>
      <c r="U182" s="475"/>
      <c r="V182" s="475"/>
      <c r="W182" s="475"/>
      <c r="X182" s="475"/>
      <c r="Y182" s="475"/>
    </row>
    <row r="183" ht="13.5" customHeight="1">
      <c r="A183" s="475"/>
      <c r="B183" s="475"/>
      <c r="C183" s="475"/>
      <c r="D183" s="475"/>
      <c r="E183" s="475"/>
      <c r="F183" s="475"/>
      <c r="G183" s="475"/>
      <c r="H183" s="475"/>
      <c r="I183" s="475"/>
      <c r="J183" s="475"/>
      <c r="K183" s="475"/>
      <c r="L183" s="475"/>
      <c r="M183" s="475"/>
      <c r="N183" s="475"/>
      <c r="O183" s="475"/>
      <c r="P183" s="475"/>
      <c r="Q183" s="475"/>
      <c r="R183" s="475"/>
      <c r="S183" s="475"/>
      <c r="T183" s="475"/>
      <c r="U183" s="475"/>
      <c r="V183" s="475"/>
      <c r="W183" s="475"/>
      <c r="X183" s="475"/>
      <c r="Y183" s="475"/>
    </row>
    <row r="184" ht="13.5" customHeight="1">
      <c r="A184" s="475"/>
      <c r="B184" s="475"/>
      <c r="C184" s="475"/>
      <c r="D184" s="475"/>
      <c r="E184" s="475"/>
      <c r="F184" s="475"/>
      <c r="G184" s="475"/>
      <c r="H184" s="475"/>
      <c r="I184" s="475"/>
      <c r="J184" s="475"/>
      <c r="K184" s="475"/>
      <c r="L184" s="475"/>
      <c r="M184" s="475"/>
      <c r="N184" s="475"/>
      <c r="O184" s="475"/>
      <c r="P184" s="475"/>
      <c r="Q184" s="475"/>
      <c r="R184" s="475"/>
      <c r="S184" s="475"/>
      <c r="T184" s="475"/>
      <c r="U184" s="475"/>
      <c r="V184" s="475"/>
      <c r="W184" s="475"/>
      <c r="X184" s="475"/>
      <c r="Y184" s="475"/>
    </row>
    <row r="185" ht="13.5" customHeight="1">
      <c r="A185" s="475"/>
      <c r="B185" s="475"/>
      <c r="C185" s="475"/>
      <c r="D185" s="475"/>
      <c r="E185" s="475"/>
      <c r="F185" s="475"/>
      <c r="G185" s="475"/>
      <c r="H185" s="475"/>
      <c r="I185" s="475"/>
      <c r="J185" s="475"/>
      <c r="K185" s="475"/>
      <c r="L185" s="475"/>
      <c r="M185" s="475"/>
      <c r="N185" s="475"/>
      <c r="O185" s="475"/>
      <c r="P185" s="475"/>
      <c r="Q185" s="475"/>
      <c r="R185" s="475"/>
      <c r="S185" s="475"/>
      <c r="T185" s="475"/>
      <c r="U185" s="475"/>
      <c r="V185" s="475"/>
      <c r="W185" s="475"/>
      <c r="X185" s="475"/>
      <c r="Y185" s="475"/>
    </row>
    <row r="186" ht="13.5" customHeight="1">
      <c r="A186" s="475"/>
      <c r="B186" s="475"/>
      <c r="C186" s="475"/>
      <c r="D186" s="475"/>
      <c r="E186" s="475"/>
      <c r="F186" s="475"/>
      <c r="G186" s="475"/>
      <c r="H186" s="475"/>
      <c r="I186" s="475"/>
      <c r="J186" s="475"/>
      <c r="K186" s="475"/>
      <c r="L186" s="475"/>
      <c r="M186" s="475"/>
      <c r="N186" s="475"/>
      <c r="O186" s="475"/>
      <c r="P186" s="475"/>
      <c r="Q186" s="475"/>
      <c r="R186" s="475"/>
      <c r="S186" s="475"/>
      <c r="T186" s="475"/>
      <c r="U186" s="475"/>
      <c r="V186" s="475"/>
      <c r="W186" s="475"/>
      <c r="X186" s="475"/>
      <c r="Y186" s="475"/>
    </row>
    <row r="187" ht="13.5" customHeight="1">
      <c r="A187" s="475"/>
      <c r="B187" s="475"/>
      <c r="C187" s="475"/>
      <c r="D187" s="475"/>
      <c r="E187" s="475"/>
      <c r="F187" s="475"/>
      <c r="G187" s="475"/>
      <c r="H187" s="475"/>
      <c r="I187" s="475"/>
      <c r="J187" s="475"/>
      <c r="K187" s="475"/>
      <c r="L187" s="475"/>
      <c r="M187" s="475"/>
      <c r="N187" s="475"/>
      <c r="O187" s="475"/>
      <c r="P187" s="475"/>
      <c r="Q187" s="475"/>
      <c r="R187" s="475"/>
      <c r="S187" s="475"/>
      <c r="T187" s="475"/>
      <c r="U187" s="475"/>
      <c r="V187" s="475"/>
      <c r="W187" s="475"/>
      <c r="X187" s="475"/>
      <c r="Y187" s="475"/>
    </row>
    <row r="188" ht="13.5" customHeight="1">
      <c r="A188" s="475"/>
      <c r="B188" s="475"/>
      <c r="C188" s="475"/>
      <c r="D188" s="475"/>
      <c r="E188" s="475"/>
      <c r="F188" s="475"/>
      <c r="G188" s="475"/>
      <c r="H188" s="475"/>
      <c r="I188" s="475"/>
      <c r="J188" s="475"/>
      <c r="K188" s="475"/>
      <c r="L188" s="475"/>
      <c r="M188" s="475"/>
      <c r="N188" s="475"/>
      <c r="O188" s="475"/>
      <c r="P188" s="475"/>
      <c r="Q188" s="475"/>
      <c r="R188" s="475"/>
      <c r="S188" s="475"/>
      <c r="T188" s="475"/>
      <c r="U188" s="475"/>
      <c r="V188" s="475"/>
      <c r="W188" s="475"/>
      <c r="X188" s="475"/>
      <c r="Y188" s="475"/>
    </row>
    <row r="189" ht="13.5" customHeight="1">
      <c r="A189" s="475"/>
      <c r="B189" s="475"/>
      <c r="C189" s="475"/>
      <c r="D189" s="475"/>
      <c r="E189" s="475"/>
      <c r="F189" s="475"/>
      <c r="G189" s="475"/>
      <c r="H189" s="475"/>
      <c r="I189" s="475"/>
      <c r="J189" s="475"/>
      <c r="K189" s="475"/>
      <c r="L189" s="475"/>
      <c r="M189" s="475"/>
      <c r="N189" s="475"/>
      <c r="O189" s="475"/>
      <c r="P189" s="475"/>
      <c r="Q189" s="475"/>
      <c r="R189" s="475"/>
      <c r="S189" s="475"/>
      <c r="T189" s="475"/>
      <c r="U189" s="475"/>
      <c r="V189" s="475"/>
      <c r="W189" s="475"/>
      <c r="X189" s="475"/>
      <c r="Y189" s="475"/>
    </row>
    <row r="190" ht="13.5" customHeight="1">
      <c r="A190" s="475"/>
      <c r="B190" s="475"/>
      <c r="C190" s="475"/>
      <c r="D190" s="475"/>
      <c r="E190" s="475"/>
      <c r="F190" s="475"/>
      <c r="G190" s="475"/>
      <c r="H190" s="475"/>
      <c r="I190" s="475"/>
      <c r="J190" s="475"/>
      <c r="K190" s="475"/>
      <c r="L190" s="475"/>
      <c r="M190" s="475"/>
      <c r="N190" s="475"/>
      <c r="O190" s="475"/>
      <c r="P190" s="475"/>
      <c r="Q190" s="475"/>
      <c r="R190" s="475"/>
      <c r="S190" s="475"/>
      <c r="T190" s="475"/>
      <c r="U190" s="475"/>
      <c r="V190" s="475"/>
      <c r="W190" s="475"/>
      <c r="X190" s="475"/>
      <c r="Y190" s="475"/>
    </row>
    <row r="191" ht="13.5" customHeight="1">
      <c r="A191" s="475"/>
      <c r="B191" s="475"/>
      <c r="C191" s="475"/>
      <c r="D191" s="475"/>
      <c r="E191" s="475"/>
      <c r="F191" s="475"/>
      <c r="G191" s="475"/>
      <c r="H191" s="475"/>
      <c r="I191" s="475"/>
      <c r="J191" s="475"/>
      <c r="K191" s="475"/>
      <c r="L191" s="475"/>
      <c r="M191" s="475"/>
      <c r="N191" s="475"/>
      <c r="O191" s="475"/>
      <c r="P191" s="475"/>
      <c r="Q191" s="475"/>
      <c r="R191" s="475"/>
      <c r="S191" s="475"/>
      <c r="T191" s="475"/>
      <c r="U191" s="475"/>
      <c r="V191" s="475"/>
      <c r="W191" s="475"/>
      <c r="X191" s="475"/>
      <c r="Y191" s="475"/>
    </row>
    <row r="192" ht="13.5" customHeight="1">
      <c r="A192" s="475"/>
      <c r="B192" s="475"/>
      <c r="C192" s="475"/>
      <c r="D192" s="475"/>
      <c r="E192" s="475"/>
      <c r="F192" s="475"/>
      <c r="G192" s="475"/>
      <c r="H192" s="475"/>
      <c r="I192" s="475"/>
      <c r="J192" s="475"/>
      <c r="K192" s="475"/>
      <c r="L192" s="475"/>
      <c r="M192" s="475"/>
      <c r="N192" s="475"/>
      <c r="O192" s="475"/>
      <c r="P192" s="475"/>
      <c r="Q192" s="475"/>
      <c r="R192" s="475"/>
      <c r="S192" s="475"/>
      <c r="T192" s="475"/>
      <c r="U192" s="475"/>
      <c r="V192" s="475"/>
      <c r="W192" s="475"/>
      <c r="X192" s="475"/>
      <c r="Y192" s="475"/>
    </row>
    <row r="193" ht="13.5" customHeight="1">
      <c r="A193" s="475"/>
      <c r="B193" s="475"/>
      <c r="C193" s="475"/>
      <c r="D193" s="475"/>
      <c r="E193" s="475"/>
      <c r="F193" s="475"/>
      <c r="G193" s="475"/>
      <c r="H193" s="475"/>
      <c r="I193" s="475"/>
      <c r="J193" s="475"/>
      <c r="K193" s="475"/>
      <c r="L193" s="475"/>
      <c r="M193" s="475"/>
      <c r="N193" s="475"/>
      <c r="O193" s="475"/>
      <c r="P193" s="475"/>
      <c r="Q193" s="475"/>
      <c r="R193" s="475"/>
      <c r="S193" s="475"/>
      <c r="T193" s="475"/>
      <c r="U193" s="475"/>
      <c r="V193" s="475"/>
      <c r="W193" s="475"/>
      <c r="X193" s="475"/>
      <c r="Y193" s="475"/>
    </row>
    <row r="194" ht="13.5" customHeight="1">
      <c r="A194" s="475"/>
      <c r="B194" s="475"/>
      <c r="C194" s="475"/>
      <c r="D194" s="475"/>
      <c r="E194" s="475"/>
      <c r="F194" s="475"/>
      <c r="G194" s="475"/>
      <c r="H194" s="475"/>
      <c r="I194" s="475"/>
      <c r="J194" s="475"/>
      <c r="K194" s="475"/>
      <c r="L194" s="475"/>
      <c r="M194" s="475"/>
      <c r="N194" s="475"/>
      <c r="O194" s="475"/>
      <c r="P194" s="475"/>
      <c r="Q194" s="475"/>
      <c r="R194" s="475"/>
      <c r="S194" s="475"/>
      <c r="T194" s="475"/>
      <c r="U194" s="475"/>
      <c r="V194" s="475"/>
      <c r="W194" s="475"/>
      <c r="X194" s="475"/>
      <c r="Y194" s="475"/>
    </row>
    <row r="195" ht="13.5" customHeight="1">
      <c r="A195" s="475"/>
      <c r="B195" s="475"/>
      <c r="C195" s="475"/>
      <c r="D195" s="475"/>
      <c r="E195" s="475"/>
      <c r="F195" s="475"/>
      <c r="G195" s="475"/>
      <c r="H195" s="475"/>
      <c r="I195" s="475"/>
      <c r="J195" s="475"/>
      <c r="K195" s="475"/>
      <c r="L195" s="475"/>
      <c r="M195" s="475"/>
      <c r="N195" s="475"/>
      <c r="O195" s="475"/>
      <c r="P195" s="475"/>
      <c r="Q195" s="475"/>
      <c r="R195" s="475"/>
      <c r="S195" s="475"/>
      <c r="T195" s="475"/>
      <c r="U195" s="475"/>
      <c r="V195" s="475"/>
      <c r="W195" s="475"/>
      <c r="X195" s="475"/>
      <c r="Y195" s="475"/>
    </row>
    <row r="196" ht="13.5" customHeight="1">
      <c r="A196" s="475"/>
      <c r="B196" s="475"/>
      <c r="C196" s="475"/>
      <c r="D196" s="475"/>
      <c r="E196" s="475"/>
      <c r="F196" s="475"/>
      <c r="G196" s="475"/>
      <c r="H196" s="475"/>
      <c r="I196" s="475"/>
      <c r="J196" s="475"/>
      <c r="K196" s="475"/>
      <c r="L196" s="475"/>
      <c r="M196" s="475"/>
      <c r="N196" s="475"/>
      <c r="O196" s="475"/>
      <c r="P196" s="475"/>
      <c r="Q196" s="475"/>
      <c r="R196" s="475"/>
      <c r="S196" s="475"/>
      <c r="T196" s="475"/>
      <c r="U196" s="475"/>
      <c r="V196" s="475"/>
      <c r="W196" s="475"/>
      <c r="X196" s="475"/>
      <c r="Y196" s="475"/>
    </row>
    <row r="197" ht="13.5" customHeight="1">
      <c r="A197" s="475"/>
      <c r="B197" s="475"/>
      <c r="C197" s="475"/>
      <c r="D197" s="475"/>
      <c r="E197" s="475"/>
      <c r="F197" s="475"/>
      <c r="G197" s="475"/>
      <c r="H197" s="475"/>
      <c r="I197" s="475"/>
      <c r="J197" s="475"/>
      <c r="K197" s="475"/>
      <c r="L197" s="475"/>
      <c r="M197" s="475"/>
      <c r="N197" s="475"/>
      <c r="O197" s="475"/>
      <c r="P197" s="475"/>
      <c r="Q197" s="475"/>
      <c r="R197" s="475"/>
      <c r="S197" s="475"/>
      <c r="T197" s="475"/>
      <c r="U197" s="475"/>
      <c r="V197" s="475"/>
      <c r="W197" s="475"/>
      <c r="X197" s="475"/>
      <c r="Y197" s="475"/>
    </row>
    <row r="198" ht="13.5" customHeight="1">
      <c r="A198" s="475"/>
      <c r="B198" s="475"/>
      <c r="C198" s="475"/>
      <c r="D198" s="475"/>
      <c r="E198" s="475"/>
      <c r="F198" s="475"/>
      <c r="G198" s="475"/>
      <c r="H198" s="475"/>
      <c r="I198" s="475"/>
      <c r="J198" s="475"/>
      <c r="K198" s="475"/>
      <c r="L198" s="475"/>
      <c r="M198" s="475"/>
      <c r="N198" s="475"/>
      <c r="O198" s="475"/>
      <c r="P198" s="475"/>
      <c r="Q198" s="475"/>
      <c r="R198" s="475"/>
      <c r="S198" s="475"/>
      <c r="T198" s="475"/>
      <c r="U198" s="475"/>
      <c r="V198" s="475"/>
      <c r="W198" s="475"/>
      <c r="X198" s="475"/>
      <c r="Y198" s="475"/>
    </row>
    <row r="199" ht="13.5" customHeight="1">
      <c r="A199" s="475"/>
      <c r="B199" s="475"/>
      <c r="C199" s="475"/>
      <c r="D199" s="475"/>
      <c r="E199" s="475"/>
      <c r="F199" s="475"/>
      <c r="G199" s="475"/>
      <c r="H199" s="475"/>
      <c r="I199" s="475"/>
      <c r="J199" s="475"/>
      <c r="K199" s="475"/>
      <c r="L199" s="475"/>
      <c r="M199" s="475"/>
      <c r="N199" s="475"/>
      <c r="O199" s="475"/>
      <c r="P199" s="475"/>
      <c r="Q199" s="475"/>
      <c r="R199" s="475"/>
      <c r="S199" s="475"/>
      <c r="T199" s="475"/>
      <c r="U199" s="475"/>
      <c r="V199" s="475"/>
      <c r="W199" s="475"/>
      <c r="X199" s="475"/>
      <c r="Y199" s="475"/>
    </row>
    <row r="200" ht="13.5" customHeight="1">
      <c r="A200" s="475"/>
      <c r="B200" s="475"/>
      <c r="C200" s="475"/>
      <c r="D200" s="475"/>
      <c r="E200" s="475"/>
      <c r="F200" s="475"/>
      <c r="G200" s="475"/>
      <c r="H200" s="475"/>
      <c r="I200" s="475"/>
      <c r="J200" s="475"/>
      <c r="K200" s="475"/>
      <c r="L200" s="475"/>
      <c r="M200" s="475"/>
      <c r="N200" s="475"/>
      <c r="O200" s="475"/>
      <c r="P200" s="475"/>
      <c r="Q200" s="475"/>
      <c r="R200" s="475"/>
      <c r="S200" s="475"/>
      <c r="T200" s="475"/>
      <c r="U200" s="475"/>
      <c r="V200" s="475"/>
      <c r="W200" s="475"/>
      <c r="X200" s="475"/>
      <c r="Y200" s="475"/>
    </row>
    <row r="201" ht="13.5" customHeight="1">
      <c r="A201" s="475"/>
      <c r="B201" s="475"/>
      <c r="C201" s="475"/>
      <c r="D201" s="475"/>
      <c r="E201" s="475"/>
      <c r="F201" s="475"/>
      <c r="G201" s="475"/>
      <c r="H201" s="475"/>
      <c r="I201" s="475"/>
      <c r="J201" s="475"/>
      <c r="K201" s="475"/>
      <c r="L201" s="475"/>
      <c r="M201" s="475"/>
      <c r="N201" s="475"/>
      <c r="O201" s="475"/>
      <c r="P201" s="475"/>
      <c r="Q201" s="475"/>
      <c r="R201" s="475"/>
      <c r="S201" s="475"/>
      <c r="T201" s="475"/>
      <c r="U201" s="475"/>
      <c r="V201" s="475"/>
      <c r="W201" s="475"/>
      <c r="X201" s="475"/>
      <c r="Y201" s="475"/>
    </row>
    <row r="202" ht="13.5" customHeight="1">
      <c r="A202" s="475"/>
      <c r="B202" s="475"/>
      <c r="C202" s="475"/>
      <c r="D202" s="475"/>
      <c r="E202" s="475"/>
      <c r="F202" s="475"/>
      <c r="G202" s="475"/>
      <c r="H202" s="475"/>
      <c r="I202" s="475"/>
      <c r="J202" s="475"/>
      <c r="K202" s="475"/>
      <c r="L202" s="475"/>
      <c r="M202" s="475"/>
      <c r="N202" s="475"/>
      <c r="O202" s="475"/>
      <c r="P202" s="475"/>
      <c r="Q202" s="475"/>
      <c r="R202" s="475"/>
      <c r="S202" s="475"/>
      <c r="T202" s="475"/>
      <c r="U202" s="475"/>
      <c r="V202" s="475"/>
      <c r="W202" s="475"/>
      <c r="X202" s="475"/>
      <c r="Y202" s="475"/>
    </row>
    <row r="203" ht="13.5" customHeight="1">
      <c r="A203" s="475"/>
      <c r="B203" s="475"/>
      <c r="C203" s="475"/>
      <c r="D203" s="475"/>
      <c r="E203" s="475"/>
      <c r="F203" s="475"/>
      <c r="G203" s="475"/>
      <c r="H203" s="475"/>
      <c r="I203" s="475"/>
      <c r="J203" s="475"/>
      <c r="K203" s="475"/>
      <c r="L203" s="475"/>
      <c r="M203" s="475"/>
      <c r="N203" s="475"/>
      <c r="O203" s="475"/>
      <c r="P203" s="475"/>
      <c r="Q203" s="475"/>
      <c r="R203" s="475"/>
      <c r="S203" s="475"/>
      <c r="T203" s="475"/>
      <c r="U203" s="475"/>
      <c r="V203" s="475"/>
      <c r="W203" s="475"/>
      <c r="X203" s="475"/>
      <c r="Y203" s="475"/>
    </row>
    <row r="204" ht="13.5" customHeight="1">
      <c r="A204" s="475"/>
      <c r="B204" s="475"/>
      <c r="C204" s="475"/>
      <c r="D204" s="475"/>
      <c r="E204" s="475"/>
      <c r="F204" s="475"/>
      <c r="G204" s="475"/>
      <c r="H204" s="475"/>
      <c r="I204" s="475"/>
      <c r="J204" s="475"/>
      <c r="K204" s="475"/>
      <c r="L204" s="475"/>
      <c r="M204" s="475"/>
      <c r="N204" s="475"/>
      <c r="O204" s="475"/>
      <c r="P204" s="475"/>
      <c r="Q204" s="475"/>
      <c r="R204" s="475"/>
      <c r="S204" s="475"/>
      <c r="T204" s="475"/>
      <c r="U204" s="475"/>
      <c r="V204" s="475"/>
      <c r="W204" s="475"/>
      <c r="X204" s="475"/>
      <c r="Y204" s="475"/>
    </row>
    <row r="205" ht="13.5" customHeight="1">
      <c r="A205" s="475"/>
      <c r="B205" s="475"/>
      <c r="C205" s="475"/>
      <c r="D205" s="475"/>
      <c r="E205" s="475"/>
      <c r="F205" s="475"/>
      <c r="G205" s="475"/>
      <c r="H205" s="475"/>
      <c r="I205" s="475"/>
      <c r="J205" s="475"/>
      <c r="K205" s="475"/>
      <c r="L205" s="475"/>
      <c r="M205" s="475"/>
      <c r="N205" s="475"/>
      <c r="O205" s="475"/>
      <c r="P205" s="475"/>
      <c r="Q205" s="475"/>
      <c r="R205" s="475"/>
      <c r="S205" s="475"/>
      <c r="T205" s="475"/>
      <c r="U205" s="475"/>
      <c r="V205" s="475"/>
      <c r="W205" s="475"/>
      <c r="X205" s="475"/>
      <c r="Y205" s="475"/>
    </row>
    <row r="206" ht="13.5" customHeight="1">
      <c r="A206" s="475"/>
      <c r="B206" s="475"/>
      <c r="C206" s="475"/>
      <c r="D206" s="475"/>
      <c r="E206" s="475"/>
      <c r="F206" s="475"/>
      <c r="G206" s="475"/>
      <c r="H206" s="475"/>
      <c r="I206" s="475"/>
      <c r="J206" s="475"/>
      <c r="K206" s="475"/>
      <c r="L206" s="475"/>
      <c r="M206" s="475"/>
      <c r="N206" s="475"/>
      <c r="O206" s="475"/>
      <c r="P206" s="475"/>
      <c r="Q206" s="475"/>
      <c r="R206" s="475"/>
      <c r="S206" s="475"/>
      <c r="T206" s="475"/>
      <c r="U206" s="475"/>
      <c r="V206" s="475"/>
      <c r="W206" s="475"/>
      <c r="X206" s="475"/>
      <c r="Y206" s="475"/>
    </row>
    <row r="207" ht="13.5" customHeight="1">
      <c r="A207" s="475"/>
      <c r="B207" s="475"/>
      <c r="C207" s="475"/>
      <c r="D207" s="475"/>
      <c r="E207" s="475"/>
      <c r="F207" s="475"/>
      <c r="G207" s="475"/>
      <c r="H207" s="475"/>
      <c r="I207" s="475"/>
      <c r="J207" s="475"/>
      <c r="K207" s="475"/>
      <c r="L207" s="475"/>
      <c r="M207" s="475"/>
      <c r="N207" s="475"/>
      <c r="O207" s="475"/>
      <c r="P207" s="475"/>
      <c r="Q207" s="475"/>
      <c r="R207" s="475"/>
      <c r="S207" s="475"/>
      <c r="T207" s="475"/>
      <c r="U207" s="475"/>
      <c r="V207" s="475"/>
      <c r="W207" s="475"/>
      <c r="X207" s="475"/>
      <c r="Y207" s="475"/>
    </row>
    <row r="208" ht="13.5" customHeight="1">
      <c r="A208" s="475"/>
      <c r="B208" s="475"/>
      <c r="C208" s="475"/>
      <c r="D208" s="475"/>
      <c r="E208" s="475"/>
      <c r="F208" s="475"/>
      <c r="G208" s="475"/>
      <c r="H208" s="475"/>
      <c r="I208" s="475"/>
      <c r="J208" s="475"/>
      <c r="K208" s="475"/>
      <c r="L208" s="475"/>
      <c r="M208" s="475"/>
      <c r="N208" s="475"/>
      <c r="O208" s="475"/>
      <c r="P208" s="475"/>
      <c r="Q208" s="475"/>
      <c r="R208" s="475"/>
      <c r="S208" s="475"/>
      <c r="T208" s="475"/>
      <c r="U208" s="475"/>
      <c r="V208" s="475"/>
      <c r="W208" s="475"/>
      <c r="X208" s="475"/>
      <c r="Y208" s="475"/>
    </row>
    <row r="209" ht="13.5" customHeight="1">
      <c r="A209" s="475"/>
      <c r="B209" s="475"/>
      <c r="C209" s="475"/>
      <c r="D209" s="475"/>
      <c r="E209" s="475"/>
      <c r="F209" s="475"/>
      <c r="G209" s="475"/>
      <c r="H209" s="475"/>
      <c r="I209" s="475"/>
      <c r="J209" s="475"/>
      <c r="K209" s="475"/>
      <c r="L209" s="475"/>
      <c r="M209" s="475"/>
      <c r="N209" s="475"/>
      <c r="O209" s="475"/>
      <c r="P209" s="475"/>
      <c r="Q209" s="475"/>
      <c r="R209" s="475"/>
      <c r="S209" s="475"/>
      <c r="T209" s="475"/>
      <c r="U209" s="475"/>
      <c r="V209" s="475"/>
      <c r="W209" s="475"/>
      <c r="X209" s="475"/>
      <c r="Y209" s="475"/>
    </row>
    <row r="210" ht="13.5" customHeight="1">
      <c r="A210" s="475"/>
      <c r="B210" s="475"/>
      <c r="C210" s="475"/>
      <c r="D210" s="475"/>
      <c r="E210" s="475"/>
      <c r="F210" s="475"/>
      <c r="G210" s="475"/>
      <c r="H210" s="475"/>
      <c r="I210" s="475"/>
      <c r="J210" s="475"/>
      <c r="K210" s="475"/>
      <c r="L210" s="475"/>
      <c r="M210" s="475"/>
      <c r="N210" s="475"/>
      <c r="O210" s="475"/>
      <c r="P210" s="475"/>
      <c r="Q210" s="475"/>
      <c r="R210" s="475"/>
      <c r="S210" s="475"/>
      <c r="T210" s="475"/>
      <c r="U210" s="475"/>
      <c r="V210" s="475"/>
      <c r="W210" s="475"/>
      <c r="X210" s="475"/>
      <c r="Y210" s="475"/>
    </row>
    <row r="211" ht="13.5" customHeight="1">
      <c r="A211" s="475"/>
      <c r="B211" s="475"/>
      <c r="C211" s="475"/>
      <c r="D211" s="475"/>
      <c r="E211" s="475"/>
      <c r="F211" s="475"/>
      <c r="G211" s="475"/>
      <c r="H211" s="475"/>
      <c r="I211" s="475"/>
      <c r="J211" s="475"/>
      <c r="K211" s="475"/>
      <c r="L211" s="475"/>
      <c r="M211" s="475"/>
      <c r="N211" s="475"/>
      <c r="O211" s="475"/>
      <c r="P211" s="475"/>
      <c r="Q211" s="475"/>
      <c r="R211" s="475"/>
      <c r="S211" s="475"/>
      <c r="T211" s="475"/>
      <c r="U211" s="475"/>
      <c r="V211" s="475"/>
      <c r="W211" s="475"/>
      <c r="X211" s="475"/>
      <c r="Y211" s="475"/>
    </row>
    <row r="212" ht="13.5" customHeight="1">
      <c r="A212" s="475"/>
      <c r="B212" s="475"/>
      <c r="C212" s="475"/>
      <c r="D212" s="475"/>
      <c r="E212" s="475"/>
      <c r="F212" s="475"/>
      <c r="G212" s="475"/>
      <c r="H212" s="475"/>
      <c r="I212" s="475"/>
      <c r="J212" s="475"/>
      <c r="K212" s="475"/>
      <c r="L212" s="475"/>
      <c r="M212" s="475"/>
      <c r="N212" s="475"/>
      <c r="O212" s="475"/>
      <c r="P212" s="475"/>
      <c r="Q212" s="475"/>
      <c r="R212" s="475"/>
      <c r="S212" s="475"/>
      <c r="T212" s="475"/>
      <c r="U212" s="475"/>
      <c r="V212" s="475"/>
      <c r="W212" s="475"/>
      <c r="X212" s="475"/>
      <c r="Y212" s="475"/>
    </row>
    <row r="213" ht="13.5" customHeight="1">
      <c r="A213" s="475"/>
      <c r="B213" s="475"/>
      <c r="C213" s="475"/>
      <c r="D213" s="475"/>
      <c r="E213" s="475"/>
      <c r="F213" s="475"/>
      <c r="G213" s="475"/>
      <c r="H213" s="475"/>
      <c r="I213" s="475"/>
      <c r="J213" s="475"/>
      <c r="K213" s="475"/>
      <c r="L213" s="475"/>
      <c r="M213" s="475"/>
      <c r="N213" s="475"/>
      <c r="O213" s="475"/>
      <c r="P213" s="475"/>
      <c r="Q213" s="475"/>
      <c r="R213" s="475"/>
      <c r="S213" s="475"/>
      <c r="T213" s="475"/>
      <c r="U213" s="475"/>
      <c r="V213" s="475"/>
      <c r="W213" s="475"/>
      <c r="X213" s="475"/>
      <c r="Y213" s="475"/>
    </row>
    <row r="214" ht="13.5" customHeight="1">
      <c r="A214" s="475"/>
      <c r="B214" s="475"/>
      <c r="C214" s="475"/>
      <c r="D214" s="475"/>
      <c r="E214" s="475"/>
      <c r="F214" s="475"/>
      <c r="G214" s="475"/>
      <c r="H214" s="475"/>
      <c r="I214" s="475"/>
      <c r="J214" s="475"/>
      <c r="K214" s="475"/>
      <c r="L214" s="475"/>
      <c r="M214" s="475"/>
      <c r="N214" s="475"/>
      <c r="O214" s="475"/>
      <c r="P214" s="475"/>
      <c r="Q214" s="475"/>
      <c r="R214" s="475"/>
      <c r="S214" s="475"/>
      <c r="T214" s="475"/>
      <c r="U214" s="475"/>
      <c r="V214" s="475"/>
      <c r="W214" s="475"/>
      <c r="X214" s="475"/>
      <c r="Y214" s="475"/>
    </row>
    <row r="215" ht="13.5" customHeight="1">
      <c r="A215" s="475"/>
      <c r="B215" s="475"/>
      <c r="C215" s="475"/>
      <c r="D215" s="475"/>
      <c r="E215" s="475"/>
      <c r="F215" s="475"/>
      <c r="G215" s="475"/>
      <c r="H215" s="475"/>
      <c r="I215" s="475"/>
      <c r="J215" s="475"/>
      <c r="K215" s="475"/>
      <c r="L215" s="475"/>
      <c r="M215" s="475"/>
      <c r="N215" s="475"/>
      <c r="O215" s="475"/>
      <c r="P215" s="475"/>
      <c r="Q215" s="475"/>
      <c r="R215" s="475"/>
      <c r="S215" s="475"/>
      <c r="T215" s="475"/>
      <c r="U215" s="475"/>
      <c r="V215" s="475"/>
      <c r="W215" s="475"/>
      <c r="X215" s="475"/>
      <c r="Y215" s="475"/>
    </row>
    <row r="216" ht="13.5" customHeight="1">
      <c r="A216" s="475"/>
      <c r="B216" s="475"/>
      <c r="C216" s="475"/>
      <c r="D216" s="475"/>
      <c r="E216" s="475"/>
      <c r="F216" s="475"/>
      <c r="G216" s="475"/>
      <c r="H216" s="475"/>
      <c r="I216" s="475"/>
      <c r="J216" s="475"/>
      <c r="K216" s="475"/>
      <c r="L216" s="475"/>
      <c r="M216" s="475"/>
      <c r="N216" s="475"/>
      <c r="O216" s="475"/>
      <c r="P216" s="475"/>
      <c r="Q216" s="475"/>
      <c r="R216" s="475"/>
      <c r="S216" s="475"/>
      <c r="T216" s="475"/>
      <c r="U216" s="475"/>
      <c r="V216" s="475"/>
      <c r="W216" s="475"/>
      <c r="X216" s="475"/>
      <c r="Y216" s="475"/>
    </row>
    <row r="217" ht="13.5" customHeight="1">
      <c r="A217" s="475"/>
      <c r="B217" s="475"/>
      <c r="C217" s="475"/>
      <c r="D217" s="475"/>
      <c r="E217" s="475"/>
      <c r="F217" s="475"/>
      <c r="G217" s="475"/>
      <c r="H217" s="475"/>
      <c r="I217" s="475"/>
      <c r="J217" s="475"/>
      <c r="K217" s="475"/>
      <c r="L217" s="475"/>
      <c r="M217" s="475"/>
      <c r="N217" s="475"/>
      <c r="O217" s="475"/>
      <c r="P217" s="475"/>
      <c r="Q217" s="475"/>
      <c r="R217" s="475"/>
      <c r="S217" s="475"/>
      <c r="T217" s="475"/>
      <c r="U217" s="475"/>
      <c r="V217" s="475"/>
      <c r="W217" s="475"/>
      <c r="X217" s="475"/>
      <c r="Y217" s="475"/>
    </row>
    <row r="218" ht="13.5" customHeight="1">
      <c r="A218" s="475"/>
      <c r="B218" s="475"/>
      <c r="C218" s="475"/>
      <c r="D218" s="475"/>
      <c r="E218" s="475"/>
      <c r="F218" s="475"/>
      <c r="G218" s="475"/>
      <c r="H218" s="475"/>
      <c r="I218" s="475"/>
      <c r="J218" s="475"/>
      <c r="K218" s="475"/>
      <c r="L218" s="475"/>
      <c r="M218" s="475"/>
      <c r="N218" s="475"/>
      <c r="O218" s="475"/>
      <c r="P218" s="475"/>
      <c r="Q218" s="475"/>
      <c r="R218" s="475"/>
      <c r="S218" s="475"/>
      <c r="T218" s="475"/>
      <c r="U218" s="475"/>
      <c r="V218" s="475"/>
      <c r="W218" s="475"/>
      <c r="X218" s="475"/>
      <c r="Y218" s="475"/>
    </row>
    <row r="219" ht="13.5" customHeight="1">
      <c r="A219" s="475"/>
      <c r="B219" s="475"/>
      <c r="C219" s="475"/>
      <c r="D219" s="475"/>
      <c r="E219" s="475"/>
      <c r="F219" s="475"/>
      <c r="G219" s="475"/>
      <c r="H219" s="475"/>
      <c r="I219" s="475"/>
      <c r="J219" s="475"/>
      <c r="K219" s="475"/>
      <c r="L219" s="475"/>
      <c r="M219" s="475"/>
      <c r="N219" s="475"/>
      <c r="O219" s="475"/>
      <c r="P219" s="475"/>
      <c r="Q219" s="475"/>
      <c r="R219" s="475"/>
      <c r="S219" s="475"/>
      <c r="T219" s="475"/>
      <c r="U219" s="475"/>
      <c r="V219" s="475"/>
      <c r="W219" s="475"/>
      <c r="X219" s="475"/>
      <c r="Y219" s="475"/>
    </row>
    <row r="220" ht="13.5" customHeight="1">
      <c r="A220" s="475"/>
      <c r="B220" s="475"/>
      <c r="C220" s="475"/>
      <c r="D220" s="475"/>
      <c r="E220" s="475"/>
      <c r="F220" s="475"/>
      <c r="G220" s="475"/>
      <c r="H220" s="475"/>
      <c r="I220" s="475"/>
      <c r="J220" s="475"/>
      <c r="K220" s="475"/>
      <c r="L220" s="475"/>
      <c r="M220" s="475"/>
      <c r="N220" s="475"/>
      <c r="O220" s="475"/>
      <c r="P220" s="475"/>
      <c r="Q220" s="475"/>
      <c r="R220" s="475"/>
      <c r="S220" s="475"/>
      <c r="T220" s="475"/>
      <c r="U220" s="475"/>
      <c r="V220" s="475"/>
      <c r="W220" s="475"/>
      <c r="X220" s="475"/>
      <c r="Y220" s="475"/>
    </row>
    <row r="221" ht="13.5" customHeight="1">
      <c r="A221" s="475"/>
      <c r="B221" s="475"/>
      <c r="C221" s="475"/>
      <c r="D221" s="475"/>
      <c r="E221" s="475"/>
      <c r="F221" s="475"/>
      <c r="G221" s="475"/>
      <c r="H221" s="475"/>
      <c r="I221" s="475"/>
      <c r="J221" s="475"/>
      <c r="K221" s="475"/>
      <c r="L221" s="475"/>
      <c r="M221" s="475"/>
      <c r="N221" s="475"/>
      <c r="O221" s="475"/>
      <c r="P221" s="475"/>
      <c r="Q221" s="475"/>
      <c r="R221" s="475"/>
      <c r="S221" s="475"/>
      <c r="T221" s="475"/>
      <c r="U221" s="475"/>
      <c r="V221" s="475"/>
      <c r="W221" s="475"/>
      <c r="X221" s="475"/>
      <c r="Y221" s="475"/>
    </row>
    <row r="222" ht="13.5" customHeight="1">
      <c r="A222" s="475"/>
      <c r="B222" s="475"/>
      <c r="C222" s="475"/>
      <c r="D222" s="475"/>
      <c r="E222" s="475"/>
      <c r="F222" s="475"/>
      <c r="G222" s="475"/>
      <c r="H222" s="475"/>
      <c r="I222" s="475"/>
      <c r="J222" s="475"/>
      <c r="K222" s="475"/>
      <c r="L222" s="475"/>
      <c r="M222" s="475"/>
      <c r="N222" s="475"/>
      <c r="O222" s="475"/>
      <c r="P222" s="475"/>
      <c r="Q222" s="475"/>
      <c r="R222" s="475"/>
      <c r="S222" s="475"/>
      <c r="T222" s="475"/>
      <c r="U222" s="475"/>
      <c r="V222" s="475"/>
      <c r="W222" s="475"/>
      <c r="X222" s="475"/>
      <c r="Y222" s="475"/>
    </row>
    <row r="223" ht="13.5" customHeight="1">
      <c r="A223" s="475"/>
      <c r="B223" s="475"/>
      <c r="C223" s="475"/>
      <c r="D223" s="475"/>
      <c r="E223" s="475"/>
      <c r="F223" s="475"/>
      <c r="G223" s="475"/>
      <c r="H223" s="475"/>
      <c r="I223" s="475"/>
      <c r="J223" s="475"/>
      <c r="K223" s="475"/>
      <c r="L223" s="475"/>
      <c r="M223" s="475"/>
      <c r="N223" s="475"/>
      <c r="O223" s="475"/>
      <c r="P223" s="475"/>
      <c r="Q223" s="475"/>
      <c r="R223" s="475"/>
      <c r="S223" s="475"/>
      <c r="T223" s="475"/>
      <c r="U223" s="475"/>
      <c r="V223" s="475"/>
      <c r="W223" s="475"/>
      <c r="X223" s="475"/>
      <c r="Y223" s="475"/>
    </row>
    <row r="224" ht="13.5" customHeight="1">
      <c r="A224" s="475"/>
      <c r="B224" s="475"/>
      <c r="C224" s="475"/>
      <c r="D224" s="475"/>
      <c r="E224" s="475"/>
      <c r="F224" s="475"/>
      <c r="G224" s="475"/>
      <c r="H224" s="475"/>
      <c r="I224" s="475"/>
      <c r="J224" s="475"/>
      <c r="K224" s="475"/>
      <c r="L224" s="475"/>
      <c r="M224" s="475"/>
      <c r="N224" s="475"/>
      <c r="O224" s="475"/>
      <c r="P224" s="475"/>
      <c r="Q224" s="475"/>
      <c r="R224" s="475"/>
      <c r="S224" s="475"/>
      <c r="T224" s="475"/>
      <c r="U224" s="475"/>
      <c r="V224" s="475"/>
      <c r="W224" s="475"/>
      <c r="X224" s="475"/>
      <c r="Y224" s="475"/>
    </row>
    <row r="225" ht="13.5" customHeight="1">
      <c r="A225" s="475"/>
      <c r="B225" s="475"/>
      <c r="C225" s="475"/>
      <c r="D225" s="475"/>
      <c r="E225" s="475"/>
      <c r="F225" s="475"/>
      <c r="G225" s="475"/>
      <c r="H225" s="475"/>
      <c r="I225" s="475"/>
      <c r="J225" s="475"/>
      <c r="K225" s="475"/>
      <c r="L225" s="475"/>
      <c r="M225" s="475"/>
      <c r="N225" s="475"/>
      <c r="O225" s="475"/>
      <c r="P225" s="475"/>
      <c r="Q225" s="475"/>
      <c r="R225" s="475"/>
      <c r="S225" s="475"/>
      <c r="T225" s="475"/>
      <c r="U225" s="475"/>
      <c r="V225" s="475"/>
      <c r="W225" s="475"/>
      <c r="X225" s="475"/>
      <c r="Y225" s="475"/>
    </row>
    <row r="226" ht="13.5" customHeight="1">
      <c r="A226" s="475"/>
      <c r="B226" s="475"/>
      <c r="C226" s="475"/>
      <c r="D226" s="475"/>
      <c r="E226" s="475"/>
      <c r="F226" s="475"/>
      <c r="G226" s="475"/>
      <c r="H226" s="475"/>
      <c r="I226" s="475"/>
      <c r="J226" s="475"/>
      <c r="K226" s="475"/>
      <c r="L226" s="475"/>
      <c r="M226" s="475"/>
      <c r="N226" s="475"/>
      <c r="O226" s="475"/>
      <c r="P226" s="475"/>
      <c r="Q226" s="475"/>
      <c r="R226" s="475"/>
      <c r="S226" s="475"/>
      <c r="T226" s="475"/>
      <c r="U226" s="475"/>
      <c r="V226" s="475"/>
      <c r="W226" s="475"/>
      <c r="X226" s="475"/>
      <c r="Y226" s="475"/>
    </row>
    <row r="227" ht="13.5" customHeight="1">
      <c r="A227" s="475"/>
      <c r="B227" s="475"/>
      <c r="C227" s="475"/>
      <c r="D227" s="475"/>
      <c r="E227" s="475"/>
      <c r="F227" s="475"/>
      <c r="G227" s="475"/>
      <c r="H227" s="475"/>
      <c r="I227" s="475"/>
      <c r="J227" s="475"/>
      <c r="K227" s="475"/>
      <c r="L227" s="475"/>
      <c r="M227" s="475"/>
      <c r="N227" s="475"/>
      <c r="O227" s="475"/>
      <c r="P227" s="475"/>
      <c r="Q227" s="475"/>
      <c r="R227" s="475"/>
      <c r="S227" s="475"/>
      <c r="T227" s="475"/>
      <c r="U227" s="475"/>
      <c r="V227" s="475"/>
      <c r="W227" s="475"/>
      <c r="X227" s="475"/>
      <c r="Y227" s="475"/>
    </row>
    <row r="228" ht="13.5" customHeight="1">
      <c r="A228" s="475"/>
      <c r="B228" s="475"/>
      <c r="C228" s="475"/>
      <c r="D228" s="475"/>
      <c r="E228" s="475"/>
      <c r="F228" s="475"/>
      <c r="G228" s="475"/>
      <c r="H228" s="475"/>
      <c r="I228" s="475"/>
      <c r="J228" s="475"/>
      <c r="K228" s="475"/>
      <c r="L228" s="475"/>
      <c r="M228" s="475"/>
      <c r="N228" s="475"/>
      <c r="O228" s="475"/>
      <c r="P228" s="475"/>
      <c r="Q228" s="475"/>
      <c r="R228" s="475"/>
      <c r="S228" s="475"/>
      <c r="T228" s="475"/>
      <c r="U228" s="475"/>
      <c r="V228" s="475"/>
      <c r="W228" s="475"/>
      <c r="X228" s="475"/>
      <c r="Y228" s="475"/>
    </row>
    <row r="229" ht="13.5" customHeight="1">
      <c r="A229" s="475"/>
      <c r="B229" s="475"/>
      <c r="C229" s="475"/>
      <c r="D229" s="475"/>
      <c r="E229" s="475"/>
      <c r="F229" s="475"/>
      <c r="G229" s="475"/>
      <c r="H229" s="475"/>
      <c r="I229" s="475"/>
      <c r="J229" s="475"/>
      <c r="K229" s="475"/>
      <c r="L229" s="475"/>
      <c r="M229" s="475"/>
      <c r="N229" s="475"/>
      <c r="O229" s="475"/>
      <c r="P229" s="475"/>
      <c r="Q229" s="475"/>
      <c r="R229" s="475"/>
      <c r="S229" s="475"/>
      <c r="T229" s="475"/>
      <c r="U229" s="475"/>
      <c r="V229" s="475"/>
      <c r="W229" s="475"/>
      <c r="X229" s="475"/>
      <c r="Y229" s="475"/>
    </row>
    <row r="230" ht="13.5" customHeight="1">
      <c r="A230" s="475"/>
      <c r="B230" s="475"/>
      <c r="C230" s="475"/>
      <c r="D230" s="475"/>
      <c r="E230" s="475"/>
      <c r="F230" s="475"/>
      <c r="G230" s="475"/>
      <c r="H230" s="475"/>
      <c r="I230" s="475"/>
      <c r="J230" s="475"/>
      <c r="K230" s="475"/>
      <c r="L230" s="475"/>
      <c r="M230" s="475"/>
      <c r="N230" s="475"/>
      <c r="O230" s="475"/>
      <c r="P230" s="475"/>
      <c r="Q230" s="475"/>
      <c r="R230" s="475"/>
      <c r="S230" s="475"/>
      <c r="T230" s="475"/>
      <c r="U230" s="475"/>
      <c r="V230" s="475"/>
      <c r="W230" s="475"/>
      <c r="X230" s="475"/>
      <c r="Y230" s="475"/>
    </row>
    <row r="231" ht="13.5" customHeight="1">
      <c r="A231" s="475"/>
      <c r="B231" s="475"/>
      <c r="C231" s="475"/>
      <c r="D231" s="475"/>
      <c r="E231" s="475"/>
      <c r="F231" s="475"/>
      <c r="G231" s="475"/>
      <c r="H231" s="475"/>
      <c r="I231" s="475"/>
      <c r="J231" s="475"/>
      <c r="K231" s="475"/>
      <c r="L231" s="475"/>
      <c r="M231" s="475"/>
      <c r="N231" s="475"/>
      <c r="O231" s="475"/>
      <c r="P231" s="475"/>
      <c r="Q231" s="475"/>
      <c r="R231" s="475"/>
      <c r="S231" s="475"/>
      <c r="T231" s="475"/>
      <c r="U231" s="475"/>
      <c r="V231" s="475"/>
      <c r="W231" s="475"/>
      <c r="X231" s="475"/>
      <c r="Y231" s="475"/>
    </row>
    <row r="232" ht="13.5" customHeight="1">
      <c r="A232" s="475"/>
      <c r="B232" s="475"/>
      <c r="C232" s="475"/>
      <c r="D232" s="475"/>
      <c r="E232" s="475"/>
      <c r="F232" s="475"/>
      <c r="G232" s="475"/>
      <c r="H232" s="475"/>
      <c r="I232" s="475"/>
      <c r="J232" s="475"/>
      <c r="K232" s="475"/>
      <c r="L232" s="475"/>
      <c r="M232" s="475"/>
      <c r="N232" s="475"/>
      <c r="O232" s="475"/>
      <c r="P232" s="475"/>
      <c r="Q232" s="475"/>
      <c r="R232" s="475"/>
      <c r="S232" s="475"/>
      <c r="T232" s="475"/>
      <c r="U232" s="475"/>
      <c r="V232" s="475"/>
      <c r="W232" s="475"/>
      <c r="X232" s="475"/>
      <c r="Y232" s="475"/>
    </row>
    <row r="233" ht="13.5" customHeight="1">
      <c r="A233" s="475"/>
      <c r="B233" s="475"/>
      <c r="C233" s="475"/>
      <c r="D233" s="475"/>
      <c r="E233" s="475"/>
      <c r="F233" s="475"/>
      <c r="G233" s="475"/>
      <c r="H233" s="475"/>
      <c r="I233" s="475"/>
      <c r="J233" s="475"/>
      <c r="K233" s="475"/>
      <c r="L233" s="475"/>
      <c r="M233" s="475"/>
      <c r="N233" s="475"/>
      <c r="O233" s="475"/>
      <c r="P233" s="475"/>
      <c r="Q233" s="475"/>
      <c r="R233" s="475"/>
      <c r="S233" s="475"/>
      <c r="T233" s="475"/>
      <c r="U233" s="475"/>
      <c r="V233" s="475"/>
      <c r="W233" s="475"/>
      <c r="X233" s="475"/>
      <c r="Y233" s="475"/>
    </row>
    <row r="234" ht="13.5" customHeight="1">
      <c r="A234" s="475"/>
      <c r="B234" s="475"/>
      <c r="C234" s="475"/>
      <c r="D234" s="475"/>
      <c r="E234" s="475"/>
      <c r="F234" s="475"/>
      <c r="G234" s="475"/>
      <c r="H234" s="475"/>
      <c r="I234" s="475"/>
      <c r="J234" s="475"/>
      <c r="K234" s="475"/>
      <c r="L234" s="475"/>
      <c r="M234" s="475"/>
      <c r="N234" s="475"/>
      <c r="O234" s="475"/>
      <c r="P234" s="475"/>
      <c r="Q234" s="475"/>
      <c r="R234" s="475"/>
      <c r="S234" s="475"/>
      <c r="T234" s="475"/>
      <c r="U234" s="475"/>
      <c r="V234" s="475"/>
      <c r="W234" s="475"/>
      <c r="X234" s="475"/>
      <c r="Y234" s="475"/>
    </row>
    <row r="235" ht="13.5" customHeight="1">
      <c r="A235" s="475"/>
      <c r="B235" s="475"/>
      <c r="C235" s="475"/>
      <c r="D235" s="475"/>
      <c r="E235" s="475"/>
      <c r="F235" s="475"/>
      <c r="G235" s="475"/>
      <c r="H235" s="475"/>
      <c r="I235" s="475"/>
      <c r="J235" s="475"/>
      <c r="K235" s="475"/>
      <c r="L235" s="475"/>
      <c r="M235" s="475"/>
      <c r="N235" s="475"/>
      <c r="O235" s="475"/>
      <c r="P235" s="475"/>
      <c r="Q235" s="475"/>
      <c r="R235" s="475"/>
      <c r="S235" s="475"/>
      <c r="T235" s="475"/>
      <c r="U235" s="475"/>
      <c r="V235" s="475"/>
      <c r="W235" s="475"/>
      <c r="X235" s="475"/>
      <c r="Y235" s="475"/>
    </row>
    <row r="236" ht="13.5" customHeight="1">
      <c r="A236" s="475"/>
      <c r="B236" s="475"/>
      <c r="C236" s="475"/>
      <c r="D236" s="475"/>
      <c r="E236" s="475"/>
      <c r="F236" s="475"/>
      <c r="G236" s="475"/>
      <c r="H236" s="475"/>
      <c r="I236" s="475"/>
      <c r="J236" s="475"/>
      <c r="K236" s="475"/>
      <c r="L236" s="475"/>
      <c r="M236" s="475"/>
      <c r="N236" s="475"/>
      <c r="O236" s="475"/>
      <c r="P236" s="475"/>
      <c r="Q236" s="475"/>
      <c r="R236" s="475"/>
      <c r="S236" s="475"/>
      <c r="T236" s="475"/>
      <c r="U236" s="475"/>
      <c r="V236" s="475"/>
      <c r="W236" s="475"/>
      <c r="X236" s="475"/>
      <c r="Y236" s="475"/>
    </row>
    <row r="237" ht="13.5" customHeight="1">
      <c r="A237" s="475"/>
      <c r="B237" s="475"/>
      <c r="C237" s="475"/>
      <c r="D237" s="475"/>
      <c r="E237" s="475"/>
      <c r="F237" s="475"/>
      <c r="G237" s="475"/>
      <c r="H237" s="475"/>
      <c r="I237" s="475"/>
      <c r="J237" s="475"/>
      <c r="K237" s="475"/>
      <c r="L237" s="475"/>
      <c r="M237" s="475"/>
      <c r="N237" s="475"/>
      <c r="O237" s="475"/>
      <c r="P237" s="475"/>
      <c r="Q237" s="475"/>
      <c r="R237" s="475"/>
      <c r="S237" s="475"/>
      <c r="T237" s="475"/>
      <c r="U237" s="475"/>
      <c r="V237" s="475"/>
      <c r="W237" s="475"/>
      <c r="X237" s="475"/>
      <c r="Y237" s="475"/>
    </row>
    <row r="238" ht="13.5" customHeight="1">
      <c r="A238" s="475"/>
      <c r="B238" s="475"/>
      <c r="C238" s="475"/>
      <c r="D238" s="475"/>
      <c r="E238" s="475"/>
      <c r="F238" s="475"/>
      <c r="G238" s="475"/>
      <c r="H238" s="475"/>
      <c r="I238" s="475"/>
      <c r="J238" s="475"/>
      <c r="K238" s="475"/>
      <c r="L238" s="475"/>
      <c r="M238" s="475"/>
      <c r="N238" s="475"/>
      <c r="O238" s="475"/>
      <c r="P238" s="475"/>
      <c r="Q238" s="475"/>
      <c r="R238" s="475"/>
      <c r="S238" s="475"/>
      <c r="T238" s="475"/>
      <c r="U238" s="475"/>
      <c r="V238" s="475"/>
      <c r="W238" s="475"/>
      <c r="X238" s="475"/>
      <c r="Y238" s="475"/>
    </row>
    <row r="239" ht="13.5" customHeight="1">
      <c r="A239" s="475"/>
      <c r="B239" s="475"/>
      <c r="C239" s="475"/>
      <c r="D239" s="475"/>
      <c r="E239" s="475"/>
      <c r="F239" s="475"/>
      <c r="G239" s="475"/>
      <c r="H239" s="475"/>
      <c r="I239" s="475"/>
      <c r="J239" s="475"/>
      <c r="K239" s="475"/>
      <c r="L239" s="475"/>
      <c r="M239" s="475"/>
      <c r="N239" s="475"/>
      <c r="O239" s="475"/>
      <c r="P239" s="475"/>
      <c r="Q239" s="475"/>
      <c r="R239" s="475"/>
      <c r="S239" s="475"/>
      <c r="T239" s="475"/>
      <c r="U239" s="475"/>
      <c r="V239" s="475"/>
      <c r="W239" s="475"/>
      <c r="X239" s="475"/>
      <c r="Y239" s="475"/>
    </row>
    <row r="240" ht="13.5" customHeight="1">
      <c r="A240" s="475"/>
      <c r="B240" s="475"/>
      <c r="C240" s="475"/>
      <c r="D240" s="475"/>
      <c r="E240" s="475"/>
      <c r="F240" s="475"/>
      <c r="G240" s="475"/>
      <c r="H240" s="475"/>
      <c r="I240" s="475"/>
      <c r="J240" s="475"/>
      <c r="K240" s="475"/>
      <c r="L240" s="475"/>
      <c r="M240" s="475"/>
      <c r="N240" s="475"/>
      <c r="O240" s="475"/>
      <c r="P240" s="475"/>
      <c r="Q240" s="475"/>
      <c r="R240" s="475"/>
      <c r="S240" s="475"/>
      <c r="T240" s="475"/>
      <c r="U240" s="475"/>
      <c r="V240" s="475"/>
      <c r="W240" s="475"/>
      <c r="X240" s="475"/>
      <c r="Y240" s="475"/>
    </row>
    <row r="241" ht="13.5" customHeight="1">
      <c r="A241" s="475"/>
      <c r="B241" s="475"/>
      <c r="C241" s="475"/>
      <c r="D241" s="475"/>
      <c r="E241" s="475"/>
      <c r="F241" s="475"/>
      <c r="G241" s="475"/>
      <c r="H241" s="475"/>
      <c r="I241" s="475"/>
      <c r="J241" s="475"/>
      <c r="K241" s="475"/>
      <c r="L241" s="475"/>
      <c r="M241" s="475"/>
      <c r="N241" s="475"/>
      <c r="O241" s="475"/>
      <c r="P241" s="475"/>
      <c r="Q241" s="475"/>
      <c r="R241" s="475"/>
      <c r="S241" s="475"/>
      <c r="T241" s="475"/>
      <c r="U241" s="475"/>
      <c r="V241" s="475"/>
      <c r="W241" s="475"/>
      <c r="X241" s="475"/>
      <c r="Y241" s="475"/>
    </row>
    <row r="242" ht="13.5" customHeight="1">
      <c r="A242" s="475"/>
      <c r="B242" s="475"/>
      <c r="C242" s="475"/>
      <c r="D242" s="475"/>
      <c r="E242" s="475"/>
      <c r="F242" s="475"/>
      <c r="G242" s="475"/>
      <c r="H242" s="475"/>
      <c r="I242" s="475"/>
      <c r="J242" s="475"/>
      <c r="K242" s="475"/>
      <c r="L242" s="475"/>
      <c r="M242" s="475"/>
      <c r="N242" s="475"/>
      <c r="O242" s="475"/>
      <c r="P242" s="475"/>
      <c r="Q242" s="475"/>
      <c r="R242" s="475"/>
      <c r="S242" s="475"/>
      <c r="T242" s="475"/>
      <c r="U242" s="475"/>
      <c r="V242" s="475"/>
      <c r="W242" s="475"/>
      <c r="X242" s="475"/>
      <c r="Y242" s="475"/>
    </row>
    <row r="243" ht="13.5" customHeight="1">
      <c r="A243" s="475"/>
      <c r="B243" s="475"/>
      <c r="C243" s="475"/>
      <c r="D243" s="475"/>
      <c r="E243" s="475"/>
      <c r="F243" s="475"/>
      <c r="G243" s="475"/>
      <c r="H243" s="475"/>
      <c r="I243" s="475"/>
      <c r="J243" s="475"/>
      <c r="K243" s="475"/>
      <c r="L243" s="475"/>
      <c r="M243" s="475"/>
      <c r="N243" s="475"/>
      <c r="O243" s="475"/>
      <c r="P243" s="475"/>
      <c r="Q243" s="475"/>
      <c r="R243" s="475"/>
      <c r="S243" s="475"/>
      <c r="T243" s="475"/>
      <c r="U243" s="475"/>
      <c r="V243" s="475"/>
      <c r="W243" s="475"/>
      <c r="X243" s="475"/>
      <c r="Y243" s="475"/>
    </row>
    <row r="244" ht="13.5" customHeight="1">
      <c r="A244" s="475"/>
      <c r="B244" s="475"/>
      <c r="C244" s="475"/>
      <c r="D244" s="475"/>
      <c r="E244" s="475"/>
      <c r="F244" s="475"/>
      <c r="G244" s="475"/>
      <c r="H244" s="475"/>
      <c r="I244" s="475"/>
      <c r="J244" s="475"/>
      <c r="K244" s="475"/>
      <c r="L244" s="475"/>
      <c r="M244" s="475"/>
      <c r="N244" s="475"/>
      <c r="O244" s="475"/>
      <c r="P244" s="475"/>
      <c r="Q244" s="475"/>
      <c r="R244" s="475"/>
      <c r="S244" s="475"/>
      <c r="T244" s="475"/>
      <c r="U244" s="475"/>
      <c r="V244" s="475"/>
      <c r="W244" s="475"/>
      <c r="X244" s="475"/>
      <c r="Y244" s="475"/>
    </row>
    <row r="245" ht="13.5" customHeight="1">
      <c r="A245" s="475"/>
      <c r="B245" s="475"/>
      <c r="C245" s="475"/>
      <c r="D245" s="475"/>
      <c r="E245" s="475"/>
      <c r="F245" s="475"/>
      <c r="G245" s="475"/>
      <c r="H245" s="475"/>
      <c r="I245" s="475"/>
      <c r="J245" s="475"/>
      <c r="K245" s="475"/>
      <c r="L245" s="475"/>
      <c r="M245" s="475"/>
      <c r="N245" s="475"/>
      <c r="O245" s="475"/>
      <c r="P245" s="475"/>
      <c r="Q245" s="475"/>
      <c r="R245" s="475"/>
      <c r="S245" s="475"/>
      <c r="T245" s="475"/>
      <c r="U245" s="475"/>
      <c r="V245" s="475"/>
      <c r="W245" s="475"/>
      <c r="X245" s="475"/>
      <c r="Y245" s="475"/>
    </row>
    <row r="246" ht="13.5" customHeight="1">
      <c r="A246" s="475"/>
      <c r="B246" s="475"/>
      <c r="C246" s="475"/>
      <c r="D246" s="475"/>
      <c r="E246" s="475"/>
      <c r="F246" s="475"/>
      <c r="G246" s="475"/>
      <c r="H246" s="475"/>
      <c r="I246" s="475"/>
      <c r="J246" s="475"/>
      <c r="K246" s="475"/>
      <c r="L246" s="475"/>
      <c r="M246" s="475"/>
      <c r="N246" s="475"/>
      <c r="O246" s="475"/>
      <c r="P246" s="475"/>
      <c r="Q246" s="475"/>
      <c r="R246" s="475"/>
      <c r="S246" s="475"/>
      <c r="T246" s="475"/>
      <c r="U246" s="475"/>
      <c r="V246" s="475"/>
      <c r="W246" s="475"/>
      <c r="X246" s="475"/>
      <c r="Y246" s="475"/>
    </row>
    <row r="247" ht="13.5" customHeight="1">
      <c r="A247" s="475"/>
      <c r="B247" s="475"/>
      <c r="C247" s="475"/>
      <c r="D247" s="475"/>
      <c r="E247" s="475"/>
      <c r="F247" s="475"/>
      <c r="G247" s="475"/>
      <c r="H247" s="475"/>
      <c r="I247" s="475"/>
      <c r="J247" s="475"/>
      <c r="K247" s="475"/>
      <c r="L247" s="475"/>
      <c r="M247" s="475"/>
      <c r="N247" s="475"/>
      <c r="O247" s="475"/>
      <c r="P247" s="475"/>
      <c r="Q247" s="475"/>
      <c r="R247" s="475"/>
      <c r="S247" s="475"/>
      <c r="T247" s="475"/>
      <c r="U247" s="475"/>
      <c r="V247" s="475"/>
      <c r="W247" s="475"/>
      <c r="X247" s="475"/>
      <c r="Y247" s="475"/>
    </row>
    <row r="248" ht="13.5" customHeight="1">
      <c r="A248" s="475"/>
      <c r="B248" s="475"/>
      <c r="C248" s="475"/>
      <c r="D248" s="475"/>
      <c r="E248" s="475"/>
      <c r="F248" s="475"/>
      <c r="G248" s="475"/>
      <c r="H248" s="475"/>
      <c r="I248" s="475"/>
      <c r="J248" s="475"/>
      <c r="K248" s="475"/>
      <c r="L248" s="475"/>
      <c r="M248" s="475"/>
      <c r="N248" s="475"/>
      <c r="O248" s="475"/>
      <c r="P248" s="475"/>
      <c r="Q248" s="475"/>
      <c r="R248" s="475"/>
      <c r="S248" s="475"/>
      <c r="T248" s="475"/>
      <c r="U248" s="475"/>
      <c r="V248" s="475"/>
      <c r="W248" s="475"/>
      <c r="X248" s="475"/>
      <c r="Y248" s="475"/>
    </row>
    <row r="249" ht="13.5" customHeight="1">
      <c r="A249" s="475"/>
      <c r="B249" s="475"/>
      <c r="C249" s="475"/>
      <c r="D249" s="475"/>
      <c r="E249" s="475"/>
      <c r="F249" s="475"/>
      <c r="G249" s="475"/>
      <c r="H249" s="475"/>
      <c r="I249" s="475"/>
      <c r="J249" s="475"/>
      <c r="K249" s="475"/>
      <c r="L249" s="475"/>
      <c r="M249" s="475"/>
      <c r="N249" s="475"/>
      <c r="O249" s="475"/>
      <c r="P249" s="475"/>
      <c r="Q249" s="475"/>
      <c r="R249" s="475"/>
      <c r="S249" s="475"/>
      <c r="T249" s="475"/>
      <c r="U249" s="475"/>
      <c r="V249" s="475"/>
      <c r="W249" s="475"/>
      <c r="X249" s="475"/>
      <c r="Y249" s="475"/>
    </row>
    <row r="250" ht="13.5" customHeight="1">
      <c r="A250" s="475"/>
      <c r="B250" s="475"/>
      <c r="C250" s="475"/>
      <c r="D250" s="475"/>
      <c r="E250" s="475"/>
      <c r="F250" s="475"/>
      <c r="G250" s="475"/>
      <c r="H250" s="475"/>
      <c r="I250" s="475"/>
      <c r="J250" s="475"/>
      <c r="K250" s="475"/>
      <c r="L250" s="475"/>
      <c r="M250" s="475"/>
      <c r="N250" s="475"/>
      <c r="O250" s="475"/>
      <c r="P250" s="475"/>
      <c r="Q250" s="475"/>
      <c r="R250" s="475"/>
      <c r="S250" s="475"/>
      <c r="T250" s="475"/>
      <c r="U250" s="475"/>
      <c r="V250" s="475"/>
      <c r="W250" s="475"/>
      <c r="X250" s="475"/>
      <c r="Y250" s="475"/>
    </row>
    <row r="251" ht="13.5" customHeight="1">
      <c r="A251" s="475"/>
      <c r="B251" s="475"/>
      <c r="C251" s="475"/>
      <c r="D251" s="475"/>
      <c r="E251" s="475"/>
      <c r="F251" s="475"/>
      <c r="G251" s="475"/>
      <c r="H251" s="475"/>
      <c r="I251" s="475"/>
      <c r="J251" s="475"/>
      <c r="K251" s="475"/>
      <c r="L251" s="475"/>
      <c r="M251" s="475"/>
      <c r="N251" s="475"/>
      <c r="O251" s="475"/>
      <c r="P251" s="475"/>
      <c r="Q251" s="475"/>
      <c r="R251" s="475"/>
      <c r="S251" s="475"/>
      <c r="T251" s="475"/>
      <c r="U251" s="475"/>
      <c r="V251" s="475"/>
      <c r="W251" s="475"/>
      <c r="X251" s="475"/>
      <c r="Y251" s="475"/>
    </row>
    <row r="252" ht="13.5" customHeight="1">
      <c r="A252" s="475"/>
      <c r="B252" s="475"/>
      <c r="C252" s="475"/>
      <c r="D252" s="475"/>
      <c r="E252" s="475"/>
      <c r="F252" s="475"/>
      <c r="G252" s="475"/>
      <c r="H252" s="475"/>
      <c r="I252" s="475"/>
      <c r="J252" s="475"/>
      <c r="K252" s="475"/>
      <c r="L252" s="475"/>
      <c r="M252" s="475"/>
      <c r="N252" s="475"/>
      <c r="O252" s="475"/>
      <c r="P252" s="475"/>
      <c r="Q252" s="475"/>
      <c r="R252" s="475"/>
      <c r="S252" s="475"/>
      <c r="T252" s="475"/>
      <c r="U252" s="475"/>
      <c r="V252" s="475"/>
      <c r="W252" s="475"/>
      <c r="X252" s="475"/>
      <c r="Y252" s="475"/>
    </row>
    <row r="253" ht="13.5" customHeight="1">
      <c r="A253" s="475"/>
      <c r="B253" s="475"/>
      <c r="C253" s="475"/>
      <c r="D253" s="475"/>
      <c r="E253" s="475"/>
      <c r="F253" s="475"/>
      <c r="G253" s="475"/>
      <c r="H253" s="475"/>
      <c r="I253" s="475"/>
      <c r="J253" s="475"/>
      <c r="K253" s="475"/>
      <c r="L253" s="475"/>
      <c r="M253" s="475"/>
      <c r="N253" s="475"/>
      <c r="O253" s="475"/>
      <c r="P253" s="475"/>
      <c r="Q253" s="475"/>
      <c r="R253" s="475"/>
      <c r="S253" s="475"/>
      <c r="T253" s="475"/>
      <c r="U253" s="475"/>
      <c r="V253" s="475"/>
      <c r="W253" s="475"/>
      <c r="X253" s="475"/>
      <c r="Y253" s="475"/>
    </row>
    <row r="254" ht="13.5" customHeight="1">
      <c r="A254" s="475"/>
      <c r="B254" s="475"/>
      <c r="C254" s="475"/>
      <c r="D254" s="475"/>
      <c r="E254" s="475"/>
      <c r="F254" s="475"/>
      <c r="G254" s="475"/>
      <c r="H254" s="475"/>
      <c r="I254" s="475"/>
      <c r="J254" s="475"/>
      <c r="K254" s="475"/>
      <c r="L254" s="475"/>
      <c r="M254" s="475"/>
      <c r="N254" s="475"/>
      <c r="O254" s="475"/>
      <c r="P254" s="475"/>
      <c r="Q254" s="475"/>
      <c r="R254" s="475"/>
      <c r="S254" s="475"/>
      <c r="T254" s="475"/>
      <c r="U254" s="475"/>
      <c r="V254" s="475"/>
      <c r="W254" s="475"/>
      <c r="X254" s="475"/>
      <c r="Y254" s="475"/>
    </row>
    <row r="255" ht="13.5" customHeight="1">
      <c r="A255" s="475"/>
      <c r="B255" s="475"/>
      <c r="C255" s="475"/>
      <c r="D255" s="475"/>
      <c r="E255" s="475"/>
      <c r="F255" s="475"/>
      <c r="G255" s="475"/>
      <c r="H255" s="475"/>
      <c r="I255" s="475"/>
      <c r="J255" s="475"/>
      <c r="K255" s="475"/>
      <c r="L255" s="475"/>
      <c r="M255" s="475"/>
      <c r="N255" s="475"/>
      <c r="O255" s="475"/>
      <c r="P255" s="475"/>
      <c r="Q255" s="475"/>
      <c r="R255" s="475"/>
      <c r="S255" s="475"/>
      <c r="T255" s="475"/>
      <c r="U255" s="475"/>
      <c r="V255" s="475"/>
      <c r="W255" s="475"/>
      <c r="X255" s="475"/>
      <c r="Y255" s="475"/>
    </row>
    <row r="256" ht="13.5" customHeight="1">
      <c r="A256" s="475"/>
      <c r="B256" s="475"/>
      <c r="C256" s="475"/>
      <c r="D256" s="475"/>
      <c r="E256" s="475"/>
      <c r="F256" s="475"/>
      <c r="G256" s="475"/>
      <c r="H256" s="475"/>
      <c r="I256" s="475"/>
      <c r="J256" s="475"/>
      <c r="K256" s="475"/>
      <c r="L256" s="475"/>
      <c r="M256" s="475"/>
      <c r="N256" s="475"/>
      <c r="O256" s="475"/>
      <c r="P256" s="475"/>
      <c r="Q256" s="475"/>
      <c r="R256" s="475"/>
      <c r="S256" s="475"/>
      <c r="T256" s="475"/>
      <c r="U256" s="475"/>
      <c r="V256" s="475"/>
      <c r="W256" s="475"/>
      <c r="X256" s="475"/>
      <c r="Y256" s="475"/>
    </row>
    <row r="257" ht="13.5" customHeight="1">
      <c r="A257" s="475"/>
      <c r="B257" s="475"/>
      <c r="C257" s="475"/>
      <c r="D257" s="475"/>
      <c r="E257" s="475"/>
      <c r="F257" s="475"/>
      <c r="G257" s="475"/>
      <c r="H257" s="475"/>
      <c r="I257" s="475"/>
      <c r="J257" s="475"/>
      <c r="K257" s="475"/>
      <c r="L257" s="475"/>
      <c r="M257" s="475"/>
      <c r="N257" s="475"/>
      <c r="O257" s="475"/>
      <c r="P257" s="475"/>
      <c r="Q257" s="475"/>
      <c r="R257" s="475"/>
      <c r="S257" s="475"/>
      <c r="T257" s="475"/>
      <c r="U257" s="475"/>
      <c r="V257" s="475"/>
      <c r="W257" s="475"/>
      <c r="X257" s="475"/>
      <c r="Y257" s="475"/>
    </row>
    <row r="258" ht="13.5" customHeight="1">
      <c r="A258" s="475"/>
      <c r="B258" s="475"/>
      <c r="C258" s="475"/>
      <c r="D258" s="475"/>
      <c r="E258" s="475"/>
      <c r="F258" s="475"/>
      <c r="G258" s="475"/>
      <c r="H258" s="475"/>
      <c r="I258" s="475"/>
      <c r="J258" s="475"/>
      <c r="K258" s="475"/>
      <c r="L258" s="475"/>
      <c r="M258" s="475"/>
      <c r="N258" s="475"/>
      <c r="O258" s="475"/>
      <c r="P258" s="475"/>
      <c r="Q258" s="475"/>
      <c r="R258" s="475"/>
      <c r="S258" s="475"/>
      <c r="T258" s="475"/>
      <c r="U258" s="475"/>
      <c r="V258" s="475"/>
      <c r="W258" s="475"/>
      <c r="X258" s="475"/>
      <c r="Y258" s="475"/>
    </row>
    <row r="259" ht="13.5" customHeight="1">
      <c r="A259" s="475"/>
      <c r="B259" s="475"/>
      <c r="C259" s="475"/>
      <c r="D259" s="475"/>
      <c r="E259" s="475"/>
      <c r="F259" s="475"/>
      <c r="G259" s="475"/>
      <c r="H259" s="475"/>
      <c r="I259" s="475"/>
      <c r="J259" s="475"/>
      <c r="K259" s="475"/>
      <c r="L259" s="475"/>
      <c r="M259" s="475"/>
      <c r="N259" s="475"/>
      <c r="O259" s="475"/>
      <c r="P259" s="475"/>
      <c r="Q259" s="475"/>
      <c r="R259" s="475"/>
      <c r="S259" s="475"/>
      <c r="T259" s="475"/>
      <c r="U259" s="475"/>
      <c r="V259" s="475"/>
      <c r="W259" s="475"/>
      <c r="X259" s="475"/>
      <c r="Y259" s="475"/>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D2"/>
    <mergeCell ref="E2:J2"/>
    <mergeCell ref="K2:S2"/>
    <mergeCell ref="C3:D3"/>
    <mergeCell ref="E3:J3"/>
    <mergeCell ref="K3:S3"/>
    <mergeCell ref="A3:B3"/>
    <mergeCell ref="A4:B4"/>
    <mergeCell ref="C4:D4"/>
    <mergeCell ref="E4:J4"/>
    <mergeCell ref="K4:S4"/>
    <mergeCell ref="A5:B5"/>
    <mergeCell ref="C5:S5"/>
    <mergeCell ref="N6:S6"/>
    <mergeCell ref="N7:S7"/>
    <mergeCell ref="B56:D56"/>
    <mergeCell ref="B57:D57"/>
    <mergeCell ref="B58:D58"/>
    <mergeCell ref="B59:D59"/>
    <mergeCell ref="A6:B6"/>
    <mergeCell ref="C6:D6"/>
    <mergeCell ref="E6:J6"/>
    <mergeCell ref="K6:M6"/>
    <mergeCell ref="A7:B7"/>
    <mergeCell ref="C7:D7"/>
    <mergeCell ref="E7:J7"/>
  </mergeCells>
  <dataValidations>
    <dataValidation type="list" allowBlank="1" showInputMessage="1" showErrorMessage="1" prompt=" - " sqref="E57:S57">
      <formula1>"P,F"</formula1>
    </dataValidation>
    <dataValidation type="list" allowBlank="1" showInputMessage="1" showErrorMessage="1" prompt=" - " sqref="E10:S55">
      <formula1>"O"</formula1>
    </dataValidation>
    <dataValidation type="list" allowBlank="1" showInputMessage="1" showErrorMessage="1" prompt=" - " sqref="E56:S56">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5.5"/>
    <col customWidth="1" min="6" max="6" width="4.63"/>
    <col customWidth="1" min="7" max="7" width="4.38"/>
    <col customWidth="1" min="8" max="8" width="4.0"/>
    <col customWidth="1" min="9" max="9" width="3.75"/>
    <col customWidth="1" min="10" max="10" width="4.63"/>
    <col customWidth="1" min="11" max="11" width="5.5"/>
    <col customWidth="1" min="12" max="12" width="5.88"/>
    <col customWidth="1" min="13" max="13" width="4.5"/>
    <col customWidth="1" min="14" max="14" width="4.38"/>
    <col customWidth="1" min="15" max="20" width="2.88"/>
    <col customWidth="1" min="21" max="22" width="9.0"/>
    <col customWidth="1" min="23" max="25" width="10.0"/>
  </cols>
  <sheetData>
    <row r="1" ht="13.5" customHeight="1">
      <c r="A1" s="474"/>
      <c r="B1" s="474"/>
      <c r="C1" s="475"/>
      <c r="D1" s="475"/>
      <c r="E1" s="475"/>
      <c r="F1" s="475"/>
      <c r="G1" s="475"/>
      <c r="H1" s="475"/>
      <c r="I1" s="475"/>
      <c r="J1" s="475"/>
      <c r="K1" s="475"/>
      <c r="L1" s="475"/>
      <c r="M1" s="475"/>
      <c r="N1" s="475"/>
      <c r="O1" s="475"/>
      <c r="P1" s="475"/>
      <c r="Q1" s="475"/>
      <c r="R1" s="475"/>
      <c r="S1" s="475"/>
      <c r="T1" s="475"/>
      <c r="U1" s="475"/>
      <c r="V1" s="110"/>
      <c r="W1" s="110"/>
      <c r="X1" s="110"/>
      <c r="Y1" s="110"/>
    </row>
    <row r="2" ht="13.5" customHeight="1">
      <c r="A2" s="342" t="s">
        <v>337</v>
      </c>
      <c r="B2" s="113"/>
      <c r="C2" s="343" t="str">
        <f>Functions!E45</f>
        <v>F-35</v>
      </c>
      <c r="D2" s="115"/>
      <c r="E2" s="344" t="s">
        <v>71</v>
      </c>
      <c r="F2" s="117"/>
      <c r="G2" s="117"/>
      <c r="H2" s="117"/>
      <c r="I2" s="117"/>
      <c r="J2" s="117"/>
      <c r="K2" s="118" t="str">
        <f>Functions!D45</f>
        <v>Sales-group assignment and data-scope authorization</v>
      </c>
      <c r="L2" s="113"/>
      <c r="M2" s="113"/>
      <c r="N2" s="113"/>
      <c r="O2" s="113"/>
      <c r="P2" s="113"/>
      <c r="Q2" s="113"/>
      <c r="R2" s="113"/>
      <c r="S2" s="119"/>
      <c r="T2" s="475"/>
      <c r="U2" s="477"/>
      <c r="V2" s="110"/>
      <c r="W2" s="110"/>
      <c r="X2" s="110"/>
      <c r="Y2" s="110"/>
    </row>
    <row r="3" ht="13.5" customHeight="1">
      <c r="A3" s="345" t="s">
        <v>338</v>
      </c>
      <c r="B3" s="13"/>
      <c r="C3" s="321" t="s">
        <v>183</v>
      </c>
      <c r="D3" s="13"/>
      <c r="E3" s="346" t="s">
        <v>339</v>
      </c>
      <c r="F3" s="12"/>
      <c r="G3" s="12"/>
      <c r="H3" s="12"/>
      <c r="I3" s="12"/>
      <c r="J3" s="13"/>
      <c r="K3" s="478"/>
      <c r="L3" s="123"/>
      <c r="M3" s="123"/>
      <c r="N3" s="123"/>
      <c r="O3" s="123"/>
      <c r="P3" s="123"/>
      <c r="Q3" s="123"/>
      <c r="R3" s="123"/>
      <c r="S3" s="279"/>
      <c r="T3" s="475"/>
      <c r="U3" s="475"/>
      <c r="V3" s="110"/>
      <c r="W3" s="110"/>
      <c r="X3" s="110"/>
      <c r="Y3" s="110"/>
    </row>
    <row r="4" ht="13.5" customHeight="1">
      <c r="A4" s="345" t="s">
        <v>340</v>
      </c>
      <c r="B4" s="13"/>
      <c r="C4" s="128"/>
      <c r="D4" s="12"/>
      <c r="E4" s="346" t="s">
        <v>341</v>
      </c>
      <c r="F4" s="12"/>
      <c r="G4" s="12"/>
      <c r="H4" s="12"/>
      <c r="I4" s="12"/>
      <c r="J4" s="13"/>
      <c r="K4" s="130" t="str">
        <f>IF(OR(C4="",Functions!E6="N/A"),"N/A",C4*Functions!E6/1000-N7)</f>
        <v>N/A</v>
      </c>
      <c r="L4" s="12"/>
      <c r="M4" s="12"/>
      <c r="N4" s="12"/>
      <c r="O4" s="12"/>
      <c r="P4" s="12"/>
      <c r="Q4" s="12"/>
      <c r="R4" s="12"/>
      <c r="S4" s="131"/>
      <c r="T4" s="475"/>
      <c r="U4" s="477"/>
      <c r="V4" s="110"/>
      <c r="W4" s="110"/>
      <c r="X4" s="110"/>
      <c r="Y4" s="110"/>
    </row>
    <row r="5" ht="13.5" customHeight="1">
      <c r="A5" s="345" t="s">
        <v>342</v>
      </c>
      <c r="B5" s="13"/>
      <c r="C5" s="321" t="s">
        <v>318</v>
      </c>
      <c r="D5" s="12"/>
      <c r="E5" s="12"/>
      <c r="F5" s="12"/>
      <c r="G5" s="12"/>
      <c r="H5" s="12"/>
      <c r="I5" s="12"/>
      <c r="J5" s="12"/>
      <c r="K5" s="12"/>
      <c r="L5" s="12"/>
      <c r="M5" s="12"/>
      <c r="N5" s="12"/>
      <c r="O5" s="12"/>
      <c r="P5" s="12"/>
      <c r="Q5" s="12"/>
      <c r="R5" s="12"/>
      <c r="S5" s="131"/>
      <c r="T5" s="475"/>
      <c r="U5" s="475"/>
      <c r="V5" s="110"/>
      <c r="W5" s="110"/>
      <c r="X5" s="110"/>
      <c r="Y5" s="110"/>
    </row>
    <row r="6" ht="13.5" customHeight="1">
      <c r="A6" s="357" t="s">
        <v>217</v>
      </c>
      <c r="B6" s="13"/>
      <c r="C6" s="134" t="s">
        <v>218</v>
      </c>
      <c r="D6" s="13"/>
      <c r="E6" s="134" t="s">
        <v>219</v>
      </c>
      <c r="F6" s="12"/>
      <c r="G6" s="12"/>
      <c r="H6" s="12"/>
      <c r="I6" s="12"/>
      <c r="J6" s="13"/>
      <c r="K6" s="135" t="s">
        <v>343</v>
      </c>
      <c r="L6" s="12"/>
      <c r="M6" s="12"/>
      <c r="N6" s="134" t="s">
        <v>222</v>
      </c>
      <c r="O6" s="12"/>
      <c r="P6" s="12"/>
      <c r="Q6" s="12"/>
      <c r="R6" s="12"/>
      <c r="S6" s="131"/>
      <c r="T6" s="475"/>
      <c r="U6" s="477"/>
      <c r="V6" s="110"/>
      <c r="W6" s="110"/>
      <c r="X6" s="110"/>
      <c r="Y6" s="110"/>
    </row>
    <row r="7" ht="13.5" customHeight="1">
      <c r="A7" s="359">
        <f>COUNTIF(E57:N57,"P")</f>
        <v>0</v>
      </c>
      <c r="B7" s="138"/>
      <c r="C7" s="360">
        <f>COUNTIF(E57:N57,"F")</f>
        <v>0</v>
      </c>
      <c r="D7" s="138"/>
      <c r="E7" s="360">
        <f>SUM(N7,-A7,-C7)</f>
        <v>4</v>
      </c>
      <c r="F7" s="140"/>
      <c r="G7" s="140"/>
      <c r="H7" s="140"/>
      <c r="I7" s="140"/>
      <c r="J7" s="138"/>
      <c r="K7" s="361">
        <f>COUNTIF(E56:N56,"N")</f>
        <v>1</v>
      </c>
      <c r="L7" s="361">
        <f>COUNTIF(E56:N56,"A")</f>
        <v>2</v>
      </c>
      <c r="M7" s="361">
        <f>COUNTIF(E56:N56,"B")</f>
        <v>1</v>
      </c>
      <c r="N7" s="360">
        <f>COUNTA(E9:N9)</f>
        <v>4</v>
      </c>
      <c r="O7" s="140"/>
      <c r="P7" s="140"/>
      <c r="Q7" s="140"/>
      <c r="R7" s="140"/>
      <c r="S7" s="284"/>
      <c r="T7" s="480"/>
      <c r="U7" s="475"/>
      <c r="V7" s="110"/>
      <c r="W7" s="110"/>
      <c r="X7" s="110"/>
      <c r="Y7" s="110"/>
    </row>
    <row r="8" ht="12.0" customHeight="1">
      <c r="A8" s="475"/>
      <c r="B8" s="475"/>
      <c r="C8" s="475"/>
      <c r="D8" s="475"/>
      <c r="E8" s="475"/>
      <c r="F8" s="475"/>
      <c r="G8" s="475"/>
      <c r="H8" s="475"/>
      <c r="I8" s="475"/>
      <c r="J8" s="475"/>
      <c r="K8" s="475"/>
      <c r="L8" s="475"/>
      <c r="M8" s="475"/>
      <c r="N8" s="475"/>
      <c r="O8" s="475"/>
      <c r="P8" s="475"/>
      <c r="Q8" s="475"/>
      <c r="R8" s="475"/>
      <c r="S8" s="475"/>
      <c r="T8" s="475"/>
      <c r="U8" s="475"/>
      <c r="V8" s="110"/>
      <c r="W8" s="110"/>
      <c r="X8" s="110"/>
      <c r="Y8" s="110"/>
    </row>
    <row r="9" ht="45.0" customHeight="1">
      <c r="A9" s="481"/>
      <c r="B9" s="482"/>
      <c r="C9" s="482"/>
      <c r="D9" s="482"/>
      <c r="E9" s="369" t="s">
        <v>344</v>
      </c>
      <c r="F9" s="369" t="s">
        <v>345</v>
      </c>
      <c r="G9" s="369" t="s">
        <v>346</v>
      </c>
      <c r="H9" s="369" t="s">
        <v>347</v>
      </c>
      <c r="I9" s="369"/>
      <c r="J9" s="369"/>
      <c r="K9" s="369"/>
      <c r="L9" s="369"/>
      <c r="M9" s="369"/>
      <c r="N9" s="369"/>
      <c r="O9" s="483"/>
      <c r="P9" s="483"/>
      <c r="Q9" s="483"/>
      <c r="R9" s="483"/>
      <c r="S9" s="484"/>
      <c r="T9" s="475"/>
      <c r="U9" s="477"/>
      <c r="V9" s="110"/>
      <c r="W9" s="110"/>
      <c r="X9" s="110"/>
      <c r="Y9" s="110"/>
    </row>
    <row r="10" ht="13.5" customHeight="1">
      <c r="A10" s="485" t="s">
        <v>350</v>
      </c>
      <c r="B10" s="347" t="s">
        <v>351</v>
      </c>
      <c r="C10" s="349"/>
      <c r="D10" s="420"/>
      <c r="E10" s="355"/>
      <c r="F10" s="355"/>
      <c r="G10" s="355"/>
      <c r="H10" s="355"/>
      <c r="I10" s="355"/>
      <c r="J10" s="355"/>
      <c r="K10" s="355"/>
      <c r="L10" s="355"/>
      <c r="M10" s="355"/>
      <c r="N10" s="355"/>
      <c r="O10" s="355"/>
      <c r="P10" s="355"/>
      <c r="Q10" s="355"/>
      <c r="R10" s="355"/>
      <c r="S10" s="355"/>
      <c r="T10" s="475"/>
      <c r="U10" s="475"/>
      <c r="V10" s="110"/>
      <c r="W10" s="110"/>
      <c r="X10" s="110"/>
      <c r="Y10" s="110"/>
    </row>
    <row r="11" ht="13.5" customHeight="1">
      <c r="A11" s="486"/>
      <c r="B11" s="249"/>
      <c r="C11" s="349"/>
      <c r="D11" s="489" t="s">
        <v>728</v>
      </c>
      <c r="E11" s="356" t="s">
        <v>353</v>
      </c>
      <c r="F11" s="355"/>
      <c r="G11" s="356"/>
      <c r="H11" s="356"/>
      <c r="I11" s="356"/>
      <c r="J11" s="356"/>
      <c r="K11" s="356"/>
      <c r="L11" s="356"/>
      <c r="M11" s="356"/>
      <c r="N11" s="356"/>
      <c r="O11" s="355"/>
      <c r="P11" s="355"/>
      <c r="Q11" s="355"/>
      <c r="R11" s="355"/>
      <c r="S11" s="541"/>
      <c r="T11" s="475"/>
      <c r="U11" s="477"/>
      <c r="V11" s="110"/>
      <c r="W11" s="110"/>
      <c r="X11" s="110"/>
      <c r="Y11" s="110"/>
    </row>
    <row r="12" ht="13.5" customHeight="1">
      <c r="A12" s="486"/>
      <c r="B12" s="353"/>
      <c r="C12" s="249"/>
      <c r="D12" s="489" t="s">
        <v>729</v>
      </c>
      <c r="E12" s="355"/>
      <c r="F12" s="356" t="s">
        <v>353</v>
      </c>
      <c r="G12" s="355"/>
      <c r="H12" s="355"/>
      <c r="I12" s="355"/>
      <c r="J12" s="355"/>
      <c r="K12" s="355"/>
      <c r="L12" s="355"/>
      <c r="M12" s="355"/>
      <c r="N12" s="355"/>
      <c r="O12" s="355"/>
      <c r="P12" s="355"/>
      <c r="Q12" s="355"/>
      <c r="R12" s="355"/>
      <c r="S12" s="541"/>
      <c r="T12" s="475"/>
      <c r="U12" s="475"/>
      <c r="V12" s="110"/>
      <c r="W12" s="110"/>
      <c r="X12" s="110"/>
      <c r="Y12" s="110"/>
    </row>
    <row r="13" ht="13.5" customHeight="1">
      <c r="A13" s="486"/>
      <c r="B13" s="347"/>
      <c r="C13" s="349"/>
      <c r="D13" s="489"/>
      <c r="E13" s="355"/>
      <c r="F13" s="355"/>
      <c r="G13" s="355"/>
      <c r="H13" s="355"/>
      <c r="I13" s="355"/>
      <c r="J13" s="355"/>
      <c r="K13" s="355"/>
      <c r="L13" s="355"/>
      <c r="M13" s="355"/>
      <c r="N13" s="355"/>
      <c r="O13" s="355"/>
      <c r="P13" s="355"/>
      <c r="Q13" s="355"/>
      <c r="R13" s="355"/>
      <c r="S13" s="541"/>
      <c r="T13" s="475"/>
      <c r="U13" s="475"/>
      <c r="V13" s="110"/>
      <c r="W13" s="110"/>
      <c r="X13" s="110"/>
      <c r="Y13" s="110"/>
    </row>
    <row r="14" ht="13.5" customHeight="1">
      <c r="A14" s="486"/>
      <c r="B14" s="353"/>
      <c r="C14" s="349"/>
      <c r="D14" s="489" t="s">
        <v>730</v>
      </c>
      <c r="E14" s="356"/>
      <c r="F14" s="355"/>
      <c r="G14" s="355" t="s">
        <v>353</v>
      </c>
      <c r="H14" s="355"/>
      <c r="I14" s="355"/>
      <c r="J14" s="355"/>
      <c r="K14" s="355"/>
      <c r="L14" s="355"/>
      <c r="M14" s="355"/>
      <c r="N14" s="355"/>
      <c r="O14" s="355"/>
      <c r="P14" s="355"/>
      <c r="Q14" s="355"/>
      <c r="R14" s="355"/>
      <c r="S14" s="541"/>
      <c r="T14" s="475"/>
      <c r="U14" s="475"/>
      <c r="V14" s="110"/>
      <c r="W14" s="110"/>
      <c r="X14" s="110"/>
      <c r="Y14" s="110"/>
    </row>
    <row r="15" ht="13.5" customHeight="1">
      <c r="A15" s="486"/>
      <c r="B15" s="353"/>
      <c r="C15" s="349"/>
      <c r="D15" s="489" t="s">
        <v>731</v>
      </c>
      <c r="E15" s="355"/>
      <c r="F15" s="356"/>
      <c r="G15" s="355"/>
      <c r="H15" s="355" t="s">
        <v>353</v>
      </c>
      <c r="I15" s="355"/>
      <c r="J15" s="355"/>
      <c r="K15" s="355"/>
      <c r="L15" s="355"/>
      <c r="M15" s="355"/>
      <c r="N15" s="355"/>
      <c r="O15" s="355"/>
      <c r="P15" s="355"/>
      <c r="Q15" s="355"/>
      <c r="R15" s="355"/>
      <c r="S15" s="541"/>
      <c r="T15" s="475"/>
      <c r="U15" s="475"/>
      <c r="V15" s="110"/>
      <c r="W15" s="110"/>
      <c r="X15" s="110"/>
      <c r="Y15" s="110"/>
    </row>
    <row r="16" ht="13.5" customHeight="1">
      <c r="A16" s="486"/>
      <c r="B16" s="353"/>
      <c r="C16" s="349"/>
      <c r="D16" s="489"/>
      <c r="E16" s="355"/>
      <c r="F16" s="355"/>
      <c r="G16" s="356"/>
      <c r="H16" s="355"/>
      <c r="I16" s="355"/>
      <c r="J16" s="355"/>
      <c r="K16" s="355"/>
      <c r="L16" s="355"/>
      <c r="M16" s="355"/>
      <c r="N16" s="355"/>
      <c r="O16" s="355"/>
      <c r="P16" s="355"/>
      <c r="Q16" s="355"/>
      <c r="R16" s="355"/>
      <c r="S16" s="541"/>
      <c r="T16" s="475"/>
      <c r="U16" s="475"/>
      <c r="V16" s="110"/>
      <c r="W16" s="110"/>
      <c r="X16" s="110"/>
      <c r="Y16" s="110"/>
    </row>
    <row r="17" ht="13.5" customHeight="1">
      <c r="A17" s="486"/>
      <c r="B17" s="353"/>
      <c r="C17" s="349"/>
      <c r="D17" s="489"/>
      <c r="E17" s="355"/>
      <c r="F17" s="355"/>
      <c r="G17" s="355"/>
      <c r="H17" s="356"/>
      <c r="I17" s="355"/>
      <c r="J17" s="355"/>
      <c r="K17" s="355"/>
      <c r="L17" s="355"/>
      <c r="M17" s="355"/>
      <c r="N17" s="355"/>
      <c r="O17" s="355"/>
      <c r="P17" s="355"/>
      <c r="Q17" s="355"/>
      <c r="R17" s="355"/>
      <c r="S17" s="541"/>
      <c r="T17" s="475"/>
      <c r="U17" s="475"/>
      <c r="V17" s="110"/>
      <c r="W17" s="110"/>
      <c r="X17" s="110"/>
      <c r="Y17" s="110"/>
    </row>
    <row r="18" ht="13.5" customHeight="1">
      <c r="A18" s="486"/>
      <c r="B18" s="353"/>
      <c r="C18" s="349"/>
      <c r="D18" s="489"/>
      <c r="E18" s="355"/>
      <c r="F18" s="355"/>
      <c r="G18" s="355"/>
      <c r="H18" s="355"/>
      <c r="I18" s="356"/>
      <c r="J18" s="355"/>
      <c r="K18" s="355"/>
      <c r="L18" s="355"/>
      <c r="M18" s="355"/>
      <c r="N18" s="355"/>
      <c r="O18" s="355"/>
      <c r="P18" s="355"/>
      <c r="Q18" s="355"/>
      <c r="R18" s="355"/>
      <c r="S18" s="541"/>
      <c r="T18" s="475"/>
      <c r="U18" s="475"/>
      <c r="V18" s="110"/>
      <c r="W18" s="110"/>
      <c r="X18" s="110"/>
      <c r="Y18" s="110"/>
    </row>
    <row r="19" ht="13.5" customHeight="1">
      <c r="A19" s="486"/>
      <c r="B19" s="353"/>
      <c r="C19" s="349"/>
      <c r="D19" s="489"/>
      <c r="E19" s="355"/>
      <c r="F19" s="355"/>
      <c r="G19" s="355"/>
      <c r="H19" s="355"/>
      <c r="I19" s="355"/>
      <c r="J19" s="356"/>
      <c r="K19" s="355"/>
      <c r="L19" s="355"/>
      <c r="M19" s="355"/>
      <c r="N19" s="355"/>
      <c r="O19" s="355"/>
      <c r="P19" s="355"/>
      <c r="Q19" s="355"/>
      <c r="R19" s="355"/>
      <c r="S19" s="541"/>
      <c r="T19" s="475"/>
      <c r="U19" s="475"/>
      <c r="V19" s="110"/>
      <c r="W19" s="110"/>
      <c r="X19" s="110"/>
      <c r="Y19" s="110"/>
    </row>
    <row r="20" ht="13.5" customHeight="1">
      <c r="A20" s="486"/>
      <c r="B20" s="353"/>
      <c r="C20" s="349"/>
      <c r="D20" s="489"/>
      <c r="E20" s="355"/>
      <c r="F20" s="355"/>
      <c r="G20" s="355"/>
      <c r="H20" s="355"/>
      <c r="I20" s="355"/>
      <c r="J20" s="355"/>
      <c r="K20" s="356"/>
      <c r="L20" s="355"/>
      <c r="M20" s="355"/>
      <c r="N20" s="355"/>
      <c r="O20" s="355"/>
      <c r="P20" s="355"/>
      <c r="Q20" s="355"/>
      <c r="R20" s="355"/>
      <c r="S20" s="541"/>
      <c r="T20" s="475"/>
      <c r="U20" s="475"/>
      <c r="V20" s="110"/>
      <c r="W20" s="110"/>
      <c r="X20" s="110"/>
      <c r="Y20" s="110"/>
    </row>
    <row r="21" ht="13.5" customHeight="1">
      <c r="A21" s="486"/>
      <c r="B21" s="353"/>
      <c r="C21" s="349"/>
      <c r="D21" s="354"/>
      <c r="E21" s="355"/>
      <c r="F21" s="355"/>
      <c r="G21" s="355"/>
      <c r="H21" s="355"/>
      <c r="I21" s="355"/>
      <c r="J21" s="355"/>
      <c r="K21" s="355"/>
      <c r="L21" s="356"/>
      <c r="M21" s="355"/>
      <c r="N21" s="355"/>
      <c r="O21" s="355"/>
      <c r="P21" s="355"/>
      <c r="Q21" s="355"/>
      <c r="R21" s="355"/>
      <c r="S21" s="541"/>
      <c r="T21" s="475"/>
      <c r="U21" s="475"/>
      <c r="V21" s="110"/>
      <c r="W21" s="110"/>
      <c r="X21" s="110"/>
      <c r="Y21" s="110"/>
    </row>
    <row r="22" ht="13.5" customHeight="1">
      <c r="A22" s="486"/>
      <c r="B22" s="353"/>
      <c r="C22" s="349"/>
      <c r="D22" s="354"/>
      <c r="E22" s="355"/>
      <c r="F22" s="355"/>
      <c r="G22" s="355"/>
      <c r="H22" s="355"/>
      <c r="I22" s="355"/>
      <c r="J22" s="355"/>
      <c r="K22" s="355"/>
      <c r="L22" s="355"/>
      <c r="M22" s="356"/>
      <c r="N22" s="355"/>
      <c r="O22" s="355"/>
      <c r="P22" s="355"/>
      <c r="Q22" s="355"/>
      <c r="R22" s="355"/>
      <c r="S22" s="541"/>
      <c r="T22" s="475"/>
      <c r="U22" s="475"/>
      <c r="V22" s="110"/>
      <c r="W22" s="110"/>
      <c r="X22" s="110"/>
      <c r="Y22" s="110"/>
    </row>
    <row r="23" ht="13.5" customHeight="1">
      <c r="A23" s="486"/>
      <c r="B23" s="353"/>
      <c r="C23" s="349"/>
      <c r="D23" s="354"/>
      <c r="E23" s="355"/>
      <c r="F23" s="355"/>
      <c r="G23" s="355"/>
      <c r="H23" s="355"/>
      <c r="I23" s="355"/>
      <c r="J23" s="355"/>
      <c r="K23" s="355"/>
      <c r="L23" s="355"/>
      <c r="M23" s="355"/>
      <c r="N23" s="356"/>
      <c r="O23" s="355"/>
      <c r="P23" s="355"/>
      <c r="Q23" s="355"/>
      <c r="R23" s="355"/>
      <c r="S23" s="541"/>
      <c r="T23" s="475"/>
      <c r="U23" s="475"/>
      <c r="V23" s="110"/>
      <c r="W23" s="110"/>
      <c r="X23" s="110"/>
      <c r="Y23" s="110"/>
    </row>
    <row r="24" ht="13.5" customHeight="1">
      <c r="A24" s="486"/>
      <c r="B24" s="347"/>
      <c r="C24" s="349"/>
      <c r="D24" s="354"/>
      <c r="E24" s="355"/>
      <c r="F24" s="355"/>
      <c r="G24" s="355"/>
      <c r="H24" s="355"/>
      <c r="I24" s="355"/>
      <c r="J24" s="355"/>
      <c r="K24" s="356"/>
      <c r="L24" s="355"/>
      <c r="M24" s="355"/>
      <c r="N24" s="355"/>
      <c r="O24" s="355"/>
      <c r="P24" s="355"/>
      <c r="Q24" s="355"/>
      <c r="R24" s="355"/>
      <c r="S24" s="541"/>
      <c r="T24" s="475"/>
      <c r="U24" s="475"/>
      <c r="V24" s="110"/>
      <c r="W24" s="110"/>
      <c r="X24" s="110"/>
      <c r="Y24" s="110"/>
    </row>
    <row r="25" ht="13.5" customHeight="1">
      <c r="A25" s="486"/>
      <c r="B25" s="353"/>
      <c r="C25" s="349"/>
      <c r="D25" s="354"/>
      <c r="E25" s="355"/>
      <c r="F25" s="355"/>
      <c r="G25" s="355"/>
      <c r="H25" s="355"/>
      <c r="I25" s="355"/>
      <c r="J25" s="355"/>
      <c r="K25" s="355"/>
      <c r="L25" s="355"/>
      <c r="M25" s="355"/>
      <c r="N25" s="355"/>
      <c r="O25" s="355"/>
      <c r="P25" s="355"/>
      <c r="Q25" s="355"/>
      <c r="R25" s="355"/>
      <c r="S25" s="541"/>
      <c r="T25" s="475"/>
      <c r="U25" s="475"/>
      <c r="V25" s="110"/>
      <c r="W25" s="110"/>
      <c r="X25" s="110"/>
      <c r="Y25" s="110"/>
    </row>
    <row r="26" ht="13.5" customHeight="1">
      <c r="A26" s="515"/>
      <c r="B26" s="567"/>
      <c r="C26" s="568"/>
      <c r="D26" s="354"/>
      <c r="E26" s="565"/>
      <c r="F26" s="565"/>
      <c r="G26" s="565"/>
      <c r="H26" s="565"/>
      <c r="I26" s="565"/>
      <c r="J26" s="565"/>
      <c r="K26" s="355"/>
      <c r="L26" s="565"/>
      <c r="M26" s="565"/>
      <c r="N26" s="565"/>
      <c r="O26" s="565"/>
      <c r="P26" s="565"/>
      <c r="Q26" s="565"/>
      <c r="R26" s="565"/>
      <c r="S26" s="566"/>
      <c r="T26" s="475"/>
      <c r="U26" s="475"/>
      <c r="V26" s="110"/>
      <c r="W26" s="110"/>
      <c r="X26" s="110"/>
      <c r="Y26" s="110"/>
    </row>
    <row r="27" ht="13.5" customHeight="1">
      <c r="A27" s="515"/>
      <c r="B27" s="567"/>
      <c r="C27" s="568"/>
      <c r="D27" s="569"/>
      <c r="E27" s="565"/>
      <c r="F27" s="565"/>
      <c r="G27" s="565"/>
      <c r="H27" s="570"/>
      <c r="I27" s="565"/>
      <c r="J27" s="565"/>
      <c r="K27" s="355"/>
      <c r="L27" s="565"/>
      <c r="M27" s="565"/>
      <c r="N27" s="565"/>
      <c r="O27" s="565"/>
      <c r="P27" s="565"/>
      <c r="Q27" s="565"/>
      <c r="R27" s="565"/>
      <c r="S27" s="566"/>
      <c r="T27" s="475"/>
      <c r="U27" s="475"/>
      <c r="V27" s="110"/>
      <c r="W27" s="110"/>
      <c r="X27" s="110"/>
      <c r="Y27" s="110"/>
    </row>
    <row r="28" ht="13.5" customHeight="1">
      <c r="A28" s="515"/>
      <c r="B28" s="567"/>
      <c r="C28" s="568"/>
      <c r="D28" s="569"/>
      <c r="E28" s="565"/>
      <c r="F28" s="565"/>
      <c r="G28" s="565"/>
      <c r="H28" s="565"/>
      <c r="I28" s="570"/>
      <c r="J28" s="565"/>
      <c r="K28" s="355"/>
      <c r="L28" s="565"/>
      <c r="M28" s="565"/>
      <c r="N28" s="565"/>
      <c r="O28" s="565"/>
      <c r="P28" s="565"/>
      <c r="Q28" s="565"/>
      <c r="R28" s="565"/>
      <c r="S28" s="566"/>
      <c r="T28" s="475"/>
      <c r="U28" s="475"/>
      <c r="V28" s="110"/>
      <c r="W28" s="110"/>
      <c r="X28" s="110"/>
      <c r="Y28" s="110"/>
    </row>
    <row r="29" ht="13.5" customHeight="1">
      <c r="A29" s="515"/>
      <c r="B29" s="567"/>
      <c r="C29" s="568"/>
      <c r="D29" s="569"/>
      <c r="E29" s="565"/>
      <c r="F29" s="565"/>
      <c r="G29" s="565"/>
      <c r="H29" s="565"/>
      <c r="I29" s="565"/>
      <c r="J29" s="565"/>
      <c r="K29" s="356"/>
      <c r="L29" s="570"/>
      <c r="M29" s="570"/>
      <c r="N29" s="570"/>
      <c r="O29" s="565"/>
      <c r="P29" s="565"/>
      <c r="Q29" s="565"/>
      <c r="R29" s="565"/>
      <c r="S29" s="566"/>
      <c r="T29" s="475"/>
      <c r="U29" s="475"/>
      <c r="V29" s="110"/>
      <c r="W29" s="110"/>
      <c r="X29" s="110"/>
      <c r="Y29" s="110"/>
    </row>
    <row r="30" ht="13.5" customHeight="1">
      <c r="A30" s="515"/>
      <c r="B30" s="571"/>
      <c r="C30" s="568"/>
      <c r="D30" s="569"/>
      <c r="E30" s="565"/>
      <c r="F30" s="565"/>
      <c r="G30" s="565"/>
      <c r="H30" s="565"/>
      <c r="I30" s="565"/>
      <c r="J30" s="565"/>
      <c r="K30" s="355"/>
      <c r="L30" s="565"/>
      <c r="M30" s="565"/>
      <c r="N30" s="565"/>
      <c r="O30" s="565"/>
      <c r="P30" s="565"/>
      <c r="Q30" s="565"/>
      <c r="R30" s="565"/>
      <c r="S30" s="566"/>
      <c r="T30" s="475"/>
      <c r="U30" s="475"/>
      <c r="V30" s="110"/>
      <c r="W30" s="110"/>
      <c r="X30" s="110"/>
      <c r="Y30" s="110"/>
    </row>
    <row r="31" ht="13.5" customHeight="1">
      <c r="A31" s="515"/>
      <c r="B31" s="567"/>
      <c r="C31" s="568"/>
      <c r="D31" s="489"/>
      <c r="E31" s="565"/>
      <c r="F31" s="565"/>
      <c r="G31" s="565"/>
      <c r="H31" s="565"/>
      <c r="I31" s="565"/>
      <c r="J31" s="565"/>
      <c r="K31" s="355"/>
      <c r="L31" s="565"/>
      <c r="M31" s="565"/>
      <c r="N31" s="565"/>
      <c r="O31" s="565"/>
      <c r="P31" s="565"/>
      <c r="Q31" s="565"/>
      <c r="R31" s="565"/>
      <c r="S31" s="566"/>
      <c r="T31" s="475"/>
      <c r="U31" s="475"/>
      <c r="V31" s="110"/>
      <c r="W31" s="110"/>
      <c r="X31" s="110"/>
      <c r="Y31" s="110"/>
    </row>
    <row r="32" ht="13.5" customHeight="1">
      <c r="A32" s="515"/>
      <c r="B32" s="567"/>
      <c r="C32" s="568"/>
      <c r="D32" s="489"/>
      <c r="E32" s="565"/>
      <c r="F32" s="565"/>
      <c r="G32" s="565"/>
      <c r="H32" s="565"/>
      <c r="I32" s="565"/>
      <c r="J32" s="565"/>
      <c r="K32" s="356"/>
      <c r="L32" s="565"/>
      <c r="M32" s="570"/>
      <c r="N32" s="570"/>
      <c r="O32" s="565"/>
      <c r="P32" s="565"/>
      <c r="Q32" s="565"/>
      <c r="R32" s="565"/>
      <c r="S32" s="566"/>
      <c r="T32" s="475"/>
      <c r="U32" s="475"/>
      <c r="V32" s="110"/>
      <c r="W32" s="110"/>
      <c r="X32" s="110"/>
      <c r="Y32" s="110"/>
    </row>
    <row r="33" ht="13.5" customHeight="1">
      <c r="A33" s="515"/>
      <c r="B33" s="567"/>
      <c r="C33" s="568"/>
      <c r="D33" s="489"/>
      <c r="E33" s="565"/>
      <c r="F33" s="565"/>
      <c r="G33" s="565"/>
      <c r="H33" s="565"/>
      <c r="I33" s="565"/>
      <c r="J33" s="565"/>
      <c r="K33" s="355"/>
      <c r="L33" s="570"/>
      <c r="M33" s="565"/>
      <c r="N33" s="565"/>
      <c r="O33" s="565"/>
      <c r="P33" s="565"/>
      <c r="Q33" s="565"/>
      <c r="R33" s="565"/>
      <c r="S33" s="566"/>
      <c r="T33" s="475"/>
      <c r="U33" s="475"/>
      <c r="V33" s="110"/>
      <c r="W33" s="110"/>
      <c r="X33" s="110"/>
      <c r="Y33" s="110"/>
    </row>
    <row r="34" ht="13.5" customHeight="1">
      <c r="A34" s="515"/>
      <c r="B34" s="571"/>
      <c r="C34" s="568"/>
      <c r="D34" s="572"/>
      <c r="E34" s="565"/>
      <c r="F34" s="565"/>
      <c r="G34" s="565"/>
      <c r="H34" s="565"/>
      <c r="I34" s="565"/>
      <c r="J34" s="565"/>
      <c r="K34" s="355"/>
      <c r="L34" s="565"/>
      <c r="M34" s="565"/>
      <c r="N34" s="565"/>
      <c r="O34" s="565"/>
      <c r="P34" s="565"/>
      <c r="Q34" s="565"/>
      <c r="R34" s="565"/>
      <c r="S34" s="566"/>
      <c r="T34" s="475"/>
      <c r="U34" s="475"/>
      <c r="V34" s="110"/>
      <c r="W34" s="110"/>
      <c r="X34" s="110"/>
      <c r="Y34" s="110"/>
    </row>
    <row r="35" ht="13.5" customHeight="1">
      <c r="A35" s="515"/>
      <c r="B35" s="567"/>
      <c r="C35" s="568"/>
      <c r="D35" s="489"/>
      <c r="E35" s="565"/>
      <c r="F35" s="565"/>
      <c r="G35" s="565"/>
      <c r="H35" s="565"/>
      <c r="I35" s="565"/>
      <c r="J35" s="565"/>
      <c r="K35" s="356"/>
      <c r="L35" s="565"/>
      <c r="M35" s="570"/>
      <c r="N35" s="570"/>
      <c r="O35" s="565"/>
      <c r="P35" s="565"/>
      <c r="Q35" s="565"/>
      <c r="R35" s="565"/>
      <c r="S35" s="566"/>
      <c r="T35" s="475"/>
      <c r="U35" s="475"/>
      <c r="V35" s="110"/>
      <c r="W35" s="110"/>
      <c r="X35" s="110"/>
      <c r="Y35" s="110"/>
    </row>
    <row r="36" ht="13.5" customHeight="1">
      <c r="A36" s="515"/>
      <c r="B36" s="567"/>
      <c r="C36" s="568"/>
      <c r="D36" s="489"/>
      <c r="E36" s="565"/>
      <c r="F36" s="565"/>
      <c r="G36" s="565"/>
      <c r="H36" s="565"/>
      <c r="I36" s="565"/>
      <c r="J36" s="565"/>
      <c r="K36" s="355"/>
      <c r="L36" s="570"/>
      <c r="M36" s="565"/>
      <c r="N36" s="565"/>
      <c r="O36" s="565"/>
      <c r="P36" s="565"/>
      <c r="Q36" s="565"/>
      <c r="R36" s="565"/>
      <c r="S36" s="566"/>
      <c r="T36" s="475"/>
      <c r="U36" s="475"/>
      <c r="V36" s="110"/>
      <c r="W36" s="110"/>
      <c r="X36" s="110"/>
      <c r="Y36" s="110"/>
    </row>
    <row r="37" ht="13.5" customHeight="1">
      <c r="A37" s="515"/>
      <c r="B37" s="573"/>
      <c r="C37" s="574"/>
      <c r="D37" s="365"/>
      <c r="E37" s="548"/>
      <c r="F37" s="548"/>
      <c r="G37" s="548"/>
      <c r="H37" s="548"/>
      <c r="I37" s="548"/>
      <c r="J37" s="548"/>
      <c r="K37" s="509"/>
      <c r="L37" s="548"/>
      <c r="M37" s="548"/>
      <c r="N37" s="575"/>
      <c r="O37" s="548"/>
      <c r="P37" s="548"/>
      <c r="Q37" s="548"/>
      <c r="R37" s="548"/>
      <c r="S37" s="549"/>
      <c r="T37" s="475"/>
      <c r="U37" s="475"/>
      <c r="V37" s="110"/>
      <c r="W37" s="110"/>
      <c r="X37" s="110"/>
      <c r="Y37" s="110"/>
    </row>
    <row r="38" ht="13.5" customHeight="1">
      <c r="A38" s="550" t="s">
        <v>359</v>
      </c>
      <c r="B38" s="551" t="s">
        <v>360</v>
      </c>
      <c r="C38" s="433"/>
      <c r="D38" s="576"/>
      <c r="E38" s="514"/>
      <c r="F38" s="514"/>
      <c r="G38" s="514"/>
      <c r="H38" s="514"/>
      <c r="I38" s="514"/>
      <c r="J38" s="514"/>
      <c r="K38" s="514"/>
      <c r="L38" s="514"/>
      <c r="M38" s="514"/>
      <c r="N38" s="514"/>
      <c r="O38" s="514"/>
      <c r="P38" s="514"/>
      <c r="Q38" s="514"/>
      <c r="R38" s="514"/>
      <c r="S38" s="539"/>
      <c r="T38" s="475"/>
      <c r="U38" s="475"/>
      <c r="V38" s="110"/>
      <c r="W38" s="110"/>
      <c r="X38" s="110"/>
      <c r="Y38" s="110"/>
    </row>
    <row r="39" ht="13.5" customHeight="1">
      <c r="A39" s="507"/>
      <c r="B39" s="519"/>
      <c r="C39" s="442"/>
      <c r="D39" s="448" t="s">
        <v>732</v>
      </c>
      <c r="E39" s="356" t="s">
        <v>353</v>
      </c>
      <c r="F39" s="355"/>
      <c r="G39" s="356"/>
      <c r="H39" s="356"/>
      <c r="I39" s="356"/>
      <c r="J39" s="356"/>
      <c r="K39" s="356"/>
      <c r="L39" s="356"/>
      <c r="M39" s="356"/>
      <c r="N39" s="356"/>
      <c r="O39" s="355"/>
      <c r="P39" s="355"/>
      <c r="Q39" s="355"/>
      <c r="R39" s="355"/>
      <c r="S39" s="541"/>
      <c r="T39" s="475"/>
      <c r="U39" s="475"/>
      <c r="V39" s="110"/>
      <c r="W39" s="110"/>
      <c r="X39" s="110"/>
      <c r="Y39" s="110"/>
    </row>
    <row r="40" ht="13.5" customHeight="1">
      <c r="A40" s="507"/>
      <c r="B40" s="519"/>
      <c r="C40" s="442"/>
      <c r="D40" s="448" t="s">
        <v>733</v>
      </c>
      <c r="E40" s="355"/>
      <c r="F40" s="356" t="s">
        <v>353</v>
      </c>
      <c r="G40" s="355"/>
      <c r="H40" s="355"/>
      <c r="I40" s="355"/>
      <c r="J40" s="355"/>
      <c r="K40" s="355"/>
      <c r="L40" s="355"/>
      <c r="M40" s="355"/>
      <c r="N40" s="355"/>
      <c r="O40" s="355"/>
      <c r="P40" s="355"/>
      <c r="Q40" s="355"/>
      <c r="R40" s="355"/>
      <c r="S40" s="541"/>
      <c r="T40" s="475"/>
      <c r="U40" s="475"/>
      <c r="V40" s="110"/>
      <c r="W40" s="110"/>
      <c r="X40" s="110"/>
      <c r="Y40" s="110"/>
    </row>
    <row r="41" ht="13.5" customHeight="1">
      <c r="A41" s="507"/>
      <c r="B41" s="522"/>
      <c r="C41" s="442"/>
      <c r="D41" s="448"/>
      <c r="E41" s="355"/>
      <c r="F41" s="355"/>
      <c r="G41" s="355"/>
      <c r="H41" s="355"/>
      <c r="I41" s="355"/>
      <c r="J41" s="355"/>
      <c r="K41" s="355"/>
      <c r="L41" s="355"/>
      <c r="M41" s="355"/>
      <c r="N41" s="355"/>
      <c r="O41" s="355"/>
      <c r="P41" s="355"/>
      <c r="Q41" s="355"/>
      <c r="R41" s="355"/>
      <c r="S41" s="541"/>
      <c r="T41" s="475"/>
      <c r="U41" s="475"/>
      <c r="V41" s="110"/>
      <c r="W41" s="110"/>
      <c r="X41" s="110"/>
      <c r="Y41" s="110"/>
    </row>
    <row r="42" ht="13.5" customHeight="1">
      <c r="A42" s="507"/>
      <c r="B42" s="519"/>
      <c r="C42" s="442"/>
      <c r="D42" s="443" t="s">
        <v>734</v>
      </c>
      <c r="E42" s="356"/>
      <c r="F42" s="355"/>
      <c r="G42" s="356" t="s">
        <v>353</v>
      </c>
      <c r="H42" s="356"/>
      <c r="I42" s="356"/>
      <c r="J42" s="356"/>
      <c r="K42" s="356"/>
      <c r="L42" s="356"/>
      <c r="M42" s="356"/>
      <c r="N42" s="356"/>
      <c r="O42" s="355"/>
      <c r="P42" s="355"/>
      <c r="Q42" s="355"/>
      <c r="R42" s="355"/>
      <c r="S42" s="541"/>
      <c r="T42" s="475"/>
      <c r="U42" s="475"/>
      <c r="V42" s="110"/>
      <c r="W42" s="110"/>
      <c r="X42" s="110"/>
      <c r="Y42" s="110"/>
    </row>
    <row r="43" ht="13.5" customHeight="1">
      <c r="A43" s="507"/>
      <c r="B43" s="522"/>
      <c r="C43" s="442"/>
      <c r="D43" s="448"/>
      <c r="E43" s="355"/>
      <c r="F43" s="355"/>
      <c r="G43" s="355"/>
      <c r="H43" s="355"/>
      <c r="I43" s="355"/>
      <c r="J43" s="355"/>
      <c r="K43" s="355"/>
      <c r="L43" s="355"/>
      <c r="M43" s="355"/>
      <c r="N43" s="355"/>
      <c r="O43" s="355"/>
      <c r="P43" s="355"/>
      <c r="Q43" s="355"/>
      <c r="R43" s="355"/>
      <c r="S43" s="541"/>
      <c r="T43" s="475"/>
      <c r="U43" s="475"/>
      <c r="V43" s="110"/>
      <c r="W43" s="110"/>
      <c r="X43" s="110"/>
      <c r="Y43" s="110"/>
    </row>
    <row r="44" ht="13.5" customHeight="1">
      <c r="A44" s="507"/>
      <c r="B44" s="519"/>
      <c r="C44" s="442"/>
      <c r="D44" s="443" t="s">
        <v>735</v>
      </c>
      <c r="E44" s="356"/>
      <c r="F44" s="355"/>
      <c r="G44" s="355"/>
      <c r="H44" s="355" t="s">
        <v>353</v>
      </c>
      <c r="I44" s="355"/>
      <c r="J44" s="355"/>
      <c r="K44" s="355"/>
      <c r="L44" s="355"/>
      <c r="M44" s="355"/>
      <c r="N44" s="355"/>
      <c r="O44" s="355"/>
      <c r="P44" s="355"/>
      <c r="Q44" s="355"/>
      <c r="R44" s="355"/>
      <c r="S44" s="541"/>
      <c r="T44" s="475"/>
      <c r="U44" s="475"/>
      <c r="V44" s="110"/>
      <c r="W44" s="110"/>
      <c r="X44" s="110"/>
      <c r="Y44" s="110"/>
    </row>
    <row r="45" ht="13.5" customHeight="1">
      <c r="A45" s="507"/>
      <c r="B45" s="249"/>
      <c r="C45" s="442"/>
      <c r="D45" s="443"/>
      <c r="E45" s="355"/>
      <c r="F45" s="355"/>
      <c r="G45" s="356"/>
      <c r="H45" s="356"/>
      <c r="I45" s="355"/>
      <c r="J45" s="356"/>
      <c r="K45" s="356"/>
      <c r="L45" s="356"/>
      <c r="M45" s="356"/>
      <c r="N45" s="356"/>
      <c r="O45" s="355"/>
      <c r="P45" s="355"/>
      <c r="Q45" s="355"/>
      <c r="R45" s="355"/>
      <c r="S45" s="541"/>
      <c r="T45" s="475"/>
      <c r="U45" s="475"/>
      <c r="V45" s="110"/>
      <c r="W45" s="110"/>
      <c r="X45" s="110"/>
      <c r="Y45" s="110"/>
    </row>
    <row r="46" ht="13.5" customHeight="1">
      <c r="A46" s="507"/>
      <c r="B46" s="519"/>
      <c r="C46" s="442"/>
      <c r="D46" s="443"/>
      <c r="E46" s="355"/>
      <c r="F46" s="355"/>
      <c r="G46" s="355"/>
      <c r="H46" s="355"/>
      <c r="I46" s="356"/>
      <c r="J46" s="355"/>
      <c r="K46" s="355"/>
      <c r="L46" s="355"/>
      <c r="M46" s="355"/>
      <c r="N46" s="355"/>
      <c r="O46" s="355"/>
      <c r="P46" s="355"/>
      <c r="Q46" s="355"/>
      <c r="R46" s="355"/>
      <c r="S46" s="541"/>
      <c r="T46" s="475"/>
      <c r="U46" s="475"/>
      <c r="V46" s="110"/>
      <c r="W46" s="110"/>
      <c r="X46" s="110"/>
      <c r="Y46" s="110"/>
    </row>
    <row r="47" ht="13.5" customHeight="1">
      <c r="A47" s="507"/>
      <c r="B47" s="522"/>
      <c r="C47" s="442"/>
      <c r="D47" s="443"/>
      <c r="E47" s="355"/>
      <c r="F47" s="355"/>
      <c r="G47" s="355"/>
      <c r="H47" s="355"/>
      <c r="I47" s="355"/>
      <c r="J47" s="355"/>
      <c r="K47" s="355"/>
      <c r="L47" s="355"/>
      <c r="M47" s="355"/>
      <c r="N47" s="355"/>
      <c r="O47" s="355"/>
      <c r="P47" s="355"/>
      <c r="Q47" s="355"/>
      <c r="R47" s="355"/>
      <c r="S47" s="541"/>
      <c r="T47" s="475"/>
      <c r="U47" s="475"/>
      <c r="V47" s="110"/>
      <c r="W47" s="110"/>
      <c r="X47" s="110"/>
      <c r="Y47" s="110"/>
    </row>
    <row r="48" ht="13.5" customHeight="1">
      <c r="A48" s="507"/>
      <c r="B48" s="519"/>
      <c r="C48" s="453"/>
      <c r="D48" s="489"/>
      <c r="E48" s="524"/>
      <c r="F48" s="525"/>
      <c r="G48" s="525"/>
      <c r="H48" s="525"/>
      <c r="I48" s="525"/>
      <c r="J48" s="524"/>
      <c r="K48" s="355"/>
      <c r="L48" s="577"/>
      <c r="M48" s="577"/>
      <c r="N48" s="577"/>
      <c r="O48" s="577"/>
      <c r="P48" s="577"/>
      <c r="Q48" s="577"/>
      <c r="R48" s="577"/>
      <c r="S48" s="578"/>
      <c r="T48" s="475"/>
      <c r="U48" s="475"/>
      <c r="V48" s="110"/>
      <c r="W48" s="110"/>
      <c r="X48" s="110"/>
      <c r="Y48" s="110"/>
    </row>
    <row r="49" ht="12.0" customHeight="1">
      <c r="A49" s="507"/>
      <c r="B49" s="526"/>
      <c r="C49" s="442"/>
      <c r="D49" s="489"/>
      <c r="E49" s="355"/>
      <c r="F49" s="355"/>
      <c r="G49" s="356"/>
      <c r="H49" s="356"/>
      <c r="I49" s="356"/>
      <c r="J49" s="355"/>
      <c r="K49" s="356"/>
      <c r="L49" s="356"/>
      <c r="M49" s="356"/>
      <c r="N49" s="356"/>
      <c r="O49" s="355"/>
      <c r="P49" s="355"/>
      <c r="Q49" s="355"/>
      <c r="R49" s="355"/>
      <c r="S49" s="541"/>
      <c r="T49" s="475"/>
      <c r="U49" s="475"/>
      <c r="V49" s="110"/>
      <c r="W49" s="110"/>
      <c r="X49" s="110"/>
      <c r="Y49" s="110"/>
    </row>
    <row r="50" ht="12.0" customHeight="1">
      <c r="A50" s="507"/>
      <c r="B50" s="579"/>
      <c r="C50" s="453"/>
      <c r="D50" s="572"/>
      <c r="E50" s="355"/>
      <c r="F50" s="355"/>
      <c r="G50" s="355"/>
      <c r="H50" s="355"/>
      <c r="I50" s="355"/>
      <c r="J50" s="355"/>
      <c r="K50" s="355"/>
      <c r="L50" s="509"/>
      <c r="M50" s="509"/>
      <c r="N50" s="509"/>
      <c r="O50" s="509"/>
      <c r="P50" s="509"/>
      <c r="Q50" s="509"/>
      <c r="R50" s="509"/>
      <c r="S50" s="580"/>
      <c r="T50" s="475"/>
      <c r="U50" s="475"/>
      <c r="V50" s="110"/>
      <c r="W50" s="110"/>
      <c r="X50" s="110"/>
      <c r="Y50" s="110"/>
    </row>
    <row r="51" ht="13.5" customHeight="1">
      <c r="A51" s="507"/>
      <c r="B51" s="526"/>
      <c r="C51" s="453"/>
      <c r="D51" s="489"/>
      <c r="E51" s="355"/>
      <c r="F51" s="355"/>
      <c r="G51" s="355"/>
      <c r="H51" s="355"/>
      <c r="I51" s="355"/>
      <c r="J51" s="355"/>
      <c r="K51" s="355"/>
      <c r="L51" s="367"/>
      <c r="M51" s="509"/>
      <c r="N51" s="509"/>
      <c r="O51" s="509"/>
      <c r="P51" s="509"/>
      <c r="Q51" s="509"/>
      <c r="R51" s="509"/>
      <c r="S51" s="580"/>
      <c r="T51" s="475"/>
      <c r="U51" s="475"/>
      <c r="V51" s="110"/>
      <c r="W51" s="110"/>
      <c r="X51" s="110"/>
      <c r="Y51" s="110"/>
    </row>
    <row r="52" ht="13.5" customHeight="1">
      <c r="A52" s="507"/>
      <c r="B52" s="526"/>
      <c r="C52" s="453"/>
      <c r="D52" s="489"/>
      <c r="E52" s="356"/>
      <c r="F52" s="355"/>
      <c r="G52" s="356"/>
      <c r="H52" s="356"/>
      <c r="I52" s="356"/>
      <c r="J52" s="356"/>
      <c r="K52" s="356"/>
      <c r="L52" s="509"/>
      <c r="M52" s="367"/>
      <c r="N52" s="367"/>
      <c r="O52" s="509"/>
      <c r="P52" s="509"/>
      <c r="Q52" s="509"/>
      <c r="R52" s="509"/>
      <c r="S52" s="580"/>
      <c r="T52" s="475"/>
      <c r="U52" s="475"/>
      <c r="V52" s="110"/>
      <c r="W52" s="110"/>
      <c r="X52" s="110"/>
      <c r="Y52" s="110"/>
    </row>
    <row r="53" ht="13.5" customHeight="1">
      <c r="A53" s="507"/>
      <c r="B53" s="579"/>
      <c r="C53" s="453"/>
      <c r="D53" s="572"/>
      <c r="E53" s="355"/>
      <c r="F53" s="355"/>
      <c r="G53" s="355"/>
      <c r="H53" s="355"/>
      <c r="I53" s="355"/>
      <c r="J53" s="355"/>
      <c r="K53" s="355"/>
      <c r="L53" s="509"/>
      <c r="M53" s="509"/>
      <c r="N53" s="509"/>
      <c r="O53" s="509"/>
      <c r="P53" s="509"/>
      <c r="Q53" s="509"/>
      <c r="R53" s="509"/>
      <c r="S53" s="580"/>
      <c r="T53" s="475"/>
      <c r="U53" s="475"/>
      <c r="V53" s="110"/>
      <c r="W53" s="110"/>
      <c r="X53" s="110"/>
      <c r="Y53" s="110"/>
    </row>
    <row r="54" ht="13.5" customHeight="1">
      <c r="A54" s="507"/>
      <c r="B54" s="526"/>
      <c r="C54" s="453"/>
      <c r="D54" s="572"/>
      <c r="E54" s="355"/>
      <c r="F54" s="355"/>
      <c r="G54" s="355"/>
      <c r="H54" s="355"/>
      <c r="I54" s="355"/>
      <c r="J54" s="355"/>
      <c r="K54" s="355"/>
      <c r="L54" s="367"/>
      <c r="M54" s="509"/>
      <c r="N54" s="509"/>
      <c r="O54" s="509"/>
      <c r="P54" s="509"/>
      <c r="Q54" s="509"/>
      <c r="R54" s="509"/>
      <c r="S54" s="580"/>
      <c r="T54" s="475"/>
      <c r="U54" s="475"/>
      <c r="V54" s="110"/>
      <c r="W54" s="110"/>
      <c r="X54" s="110"/>
      <c r="Y54" s="110"/>
    </row>
    <row r="55" ht="13.5" customHeight="1">
      <c r="A55" s="581"/>
      <c r="B55" s="249"/>
      <c r="C55" s="453"/>
      <c r="D55" s="582"/>
      <c r="E55" s="367"/>
      <c r="F55" s="509"/>
      <c r="G55" s="367"/>
      <c r="H55" s="367"/>
      <c r="I55" s="367"/>
      <c r="J55" s="367"/>
      <c r="K55" s="367"/>
      <c r="L55" s="509"/>
      <c r="M55" s="367"/>
      <c r="N55" s="367"/>
      <c r="O55" s="509"/>
      <c r="P55" s="509"/>
      <c r="Q55" s="509"/>
      <c r="R55" s="509"/>
      <c r="S55" s="580"/>
      <c r="T55" s="475"/>
      <c r="U55" s="475"/>
      <c r="V55" s="110"/>
      <c r="W55" s="110"/>
      <c r="X55" s="110"/>
      <c r="Y55" s="110"/>
    </row>
    <row r="56" ht="13.5" customHeight="1">
      <c r="A56" s="510" t="s">
        <v>367</v>
      </c>
      <c r="B56" s="459" t="s">
        <v>704</v>
      </c>
      <c r="C56" s="198"/>
      <c r="D56" s="199"/>
      <c r="E56" s="527" t="s">
        <v>220</v>
      </c>
      <c r="F56" s="527" t="s">
        <v>221</v>
      </c>
      <c r="G56" s="527" t="s">
        <v>38</v>
      </c>
      <c r="H56" s="527" t="s">
        <v>38</v>
      </c>
      <c r="I56" s="527"/>
      <c r="J56" s="527"/>
      <c r="K56" s="527"/>
      <c r="L56" s="527"/>
      <c r="M56" s="527"/>
      <c r="N56" s="527"/>
      <c r="O56" s="514"/>
      <c r="P56" s="514"/>
      <c r="Q56" s="514"/>
      <c r="R56" s="514"/>
      <c r="S56" s="539"/>
      <c r="T56" s="475"/>
      <c r="U56" s="475"/>
      <c r="V56" s="110"/>
      <c r="W56" s="110"/>
      <c r="X56" s="110"/>
      <c r="Y56" s="110"/>
    </row>
    <row r="57" ht="13.5" customHeight="1">
      <c r="A57" s="583"/>
      <c r="B57" s="463" t="s">
        <v>705</v>
      </c>
      <c r="C57" s="12"/>
      <c r="D57" s="13"/>
      <c r="E57" s="533"/>
      <c r="F57" s="533"/>
      <c r="G57" s="533"/>
      <c r="H57" s="533"/>
      <c r="I57" s="533"/>
      <c r="J57" s="533"/>
      <c r="K57" s="533"/>
      <c r="L57" s="533"/>
      <c r="M57" s="533"/>
      <c r="N57" s="533"/>
      <c r="O57" s="355"/>
      <c r="P57" s="355"/>
      <c r="Q57" s="355"/>
      <c r="R57" s="355"/>
      <c r="S57" s="541"/>
      <c r="T57" s="475"/>
      <c r="U57" s="475"/>
      <c r="V57" s="110"/>
      <c r="W57" s="110"/>
      <c r="X57" s="110"/>
      <c r="Y57" s="110"/>
    </row>
    <row r="58" ht="13.5" customHeight="1">
      <c r="A58" s="583"/>
      <c r="B58" s="465" t="s">
        <v>706</v>
      </c>
      <c r="C58" s="12"/>
      <c r="D58" s="13"/>
      <c r="E58" s="448"/>
      <c r="F58" s="448"/>
      <c r="G58" s="448"/>
      <c r="H58" s="448"/>
      <c r="I58" s="448"/>
      <c r="J58" s="448"/>
      <c r="K58" s="448"/>
      <c r="L58" s="448"/>
      <c r="M58" s="448"/>
      <c r="N58" s="448"/>
      <c r="O58" s="537"/>
      <c r="P58" s="537"/>
      <c r="Q58" s="537"/>
      <c r="R58" s="537"/>
      <c r="S58" s="542"/>
      <c r="T58" s="475"/>
      <c r="U58" s="475"/>
      <c r="V58" s="110"/>
      <c r="W58" s="110"/>
      <c r="X58" s="110"/>
      <c r="Y58" s="110"/>
    </row>
    <row r="59" ht="13.5" customHeight="1">
      <c r="A59" s="584"/>
      <c r="B59" s="470" t="s">
        <v>372</v>
      </c>
      <c r="C59" s="216"/>
      <c r="D59" s="217"/>
      <c r="E59" s="540"/>
      <c r="F59" s="540"/>
      <c r="G59" s="540"/>
      <c r="H59" s="540"/>
      <c r="I59" s="540"/>
      <c r="J59" s="540"/>
      <c r="K59" s="540"/>
      <c r="L59" s="540"/>
      <c r="M59" s="540"/>
      <c r="N59" s="540"/>
      <c r="O59" s="540"/>
      <c r="P59" s="540"/>
      <c r="Q59" s="540"/>
      <c r="R59" s="540"/>
      <c r="S59" s="543"/>
      <c r="T59" s="475"/>
      <c r="U59" s="475"/>
      <c r="V59" s="110"/>
      <c r="W59" s="110"/>
      <c r="X59" s="110"/>
      <c r="Y59" s="110"/>
    </row>
    <row r="60" ht="13.5" customHeight="1">
      <c r="A60" s="475"/>
      <c r="B60" s="475"/>
      <c r="C60" s="475"/>
      <c r="D60" s="475"/>
      <c r="E60" s="475"/>
      <c r="F60" s="475"/>
      <c r="G60" s="475"/>
      <c r="H60" s="475"/>
      <c r="I60" s="475"/>
      <c r="J60" s="475"/>
      <c r="K60" s="475"/>
      <c r="L60" s="475"/>
      <c r="M60" s="475"/>
      <c r="N60" s="475"/>
      <c r="O60" s="475"/>
      <c r="P60" s="475"/>
      <c r="Q60" s="475"/>
      <c r="R60" s="475"/>
      <c r="S60" s="475"/>
      <c r="T60" s="475"/>
      <c r="U60" s="475"/>
      <c r="V60" s="110"/>
      <c r="W60" s="110"/>
      <c r="X60" s="110"/>
      <c r="Y60" s="110"/>
    </row>
    <row r="61" ht="13.5" customHeight="1">
      <c r="A61" s="110"/>
      <c r="B61" s="143"/>
      <c r="C61" s="110"/>
      <c r="D61" s="111"/>
      <c r="E61" s="110"/>
      <c r="F61" s="110"/>
      <c r="G61" s="110"/>
      <c r="H61" s="110"/>
      <c r="I61" s="110"/>
      <c r="J61" s="110"/>
      <c r="K61" s="110"/>
      <c r="L61" s="110"/>
      <c r="M61" s="110"/>
      <c r="N61" s="110"/>
      <c r="O61" s="110"/>
      <c r="P61" s="110"/>
      <c r="Q61" s="110"/>
      <c r="R61" s="110"/>
      <c r="S61" s="110"/>
      <c r="T61" s="110"/>
      <c r="U61" s="110"/>
      <c r="V61" s="110"/>
      <c r="W61" s="110"/>
      <c r="X61" s="110"/>
      <c r="Y61" s="110"/>
    </row>
    <row r="62" ht="13.5" customHeight="1">
      <c r="A62" s="110"/>
      <c r="B62" s="143"/>
      <c r="C62" s="110"/>
      <c r="D62" s="111"/>
      <c r="E62" s="110"/>
      <c r="F62" s="110"/>
      <c r="G62" s="110"/>
      <c r="H62" s="110"/>
      <c r="I62" s="110"/>
      <c r="J62" s="110"/>
      <c r="K62" s="110"/>
      <c r="L62" s="110"/>
      <c r="M62" s="110"/>
      <c r="N62" s="110"/>
      <c r="O62" s="110"/>
      <c r="P62" s="110"/>
      <c r="Q62" s="110"/>
      <c r="R62" s="110"/>
      <c r="S62" s="110"/>
      <c r="T62" s="110"/>
      <c r="U62" s="110"/>
      <c r="V62" s="110"/>
      <c r="W62" s="110"/>
      <c r="X62" s="110"/>
      <c r="Y62" s="110"/>
    </row>
    <row r="63" ht="13.5" customHeight="1">
      <c r="A63" s="110"/>
      <c r="B63" s="143"/>
      <c r="C63" s="110"/>
      <c r="D63" s="111"/>
      <c r="E63" s="110"/>
      <c r="F63" s="110"/>
      <c r="G63" s="110"/>
      <c r="H63" s="110"/>
      <c r="I63" s="110"/>
      <c r="J63" s="110"/>
      <c r="K63" s="110"/>
      <c r="L63" s="110"/>
      <c r="M63" s="110"/>
      <c r="N63" s="110"/>
      <c r="O63" s="110"/>
      <c r="P63" s="110"/>
      <c r="Q63" s="110"/>
      <c r="R63" s="110"/>
      <c r="S63" s="110"/>
      <c r="T63" s="110"/>
      <c r="U63" s="110"/>
      <c r="V63" s="110"/>
      <c r="W63" s="110"/>
      <c r="X63" s="110"/>
      <c r="Y63" s="110"/>
    </row>
    <row r="64" ht="13.5" customHeight="1">
      <c r="A64" s="110"/>
      <c r="B64" s="143"/>
      <c r="C64" s="110"/>
      <c r="D64" s="111"/>
      <c r="E64" s="110"/>
      <c r="F64" s="110"/>
      <c r="G64" s="110"/>
      <c r="H64" s="110"/>
      <c r="I64" s="110"/>
      <c r="J64" s="110"/>
      <c r="K64" s="110"/>
      <c r="L64" s="110"/>
      <c r="M64" s="110"/>
      <c r="N64" s="110"/>
      <c r="O64" s="110"/>
      <c r="P64" s="110"/>
      <c r="Q64" s="110"/>
      <c r="R64" s="110"/>
      <c r="S64" s="110"/>
      <c r="T64" s="110"/>
      <c r="U64" s="110"/>
      <c r="V64" s="110"/>
      <c r="W64" s="110"/>
      <c r="X64" s="110"/>
      <c r="Y64" s="110"/>
    </row>
    <row r="65" ht="13.5" customHeight="1">
      <c r="A65" s="110"/>
      <c r="B65" s="143"/>
      <c r="C65" s="110"/>
      <c r="D65" s="111"/>
      <c r="E65" s="110"/>
      <c r="F65" s="110"/>
      <c r="G65" s="110"/>
      <c r="H65" s="110"/>
      <c r="I65" s="110"/>
      <c r="J65" s="110"/>
      <c r="K65" s="110"/>
      <c r="L65" s="110"/>
      <c r="M65" s="110"/>
      <c r="N65" s="110"/>
      <c r="O65" s="110"/>
      <c r="P65" s="110"/>
      <c r="Q65" s="110"/>
      <c r="R65" s="110"/>
      <c r="S65" s="110"/>
      <c r="T65" s="110"/>
      <c r="U65" s="110"/>
      <c r="V65" s="110"/>
      <c r="W65" s="110"/>
      <c r="X65" s="110"/>
      <c r="Y65" s="110"/>
    </row>
    <row r="66" ht="13.5" customHeight="1">
      <c r="A66" s="110"/>
      <c r="B66" s="143"/>
      <c r="C66" s="110"/>
      <c r="D66" s="111"/>
      <c r="E66" s="110"/>
      <c r="F66" s="110"/>
      <c r="G66" s="110"/>
      <c r="H66" s="110"/>
      <c r="I66" s="110"/>
      <c r="J66" s="110"/>
      <c r="K66" s="110"/>
      <c r="L66" s="110"/>
      <c r="M66" s="110"/>
      <c r="N66" s="110"/>
      <c r="O66" s="110"/>
      <c r="P66" s="110"/>
      <c r="Q66" s="110"/>
      <c r="R66" s="110"/>
      <c r="S66" s="110"/>
      <c r="T66" s="110"/>
      <c r="U66" s="110"/>
      <c r="V66" s="110"/>
      <c r="W66" s="110"/>
      <c r="X66" s="110"/>
      <c r="Y66" s="110"/>
    </row>
    <row r="67" ht="13.5" customHeight="1">
      <c r="A67" s="110"/>
      <c r="B67" s="143"/>
      <c r="C67" s="110"/>
      <c r="D67" s="111"/>
      <c r="E67" s="110"/>
      <c r="F67" s="110"/>
      <c r="G67" s="110"/>
      <c r="H67" s="110"/>
      <c r="I67" s="110"/>
      <c r="J67" s="110"/>
      <c r="K67" s="110"/>
      <c r="L67" s="110"/>
      <c r="M67" s="110"/>
      <c r="N67" s="110"/>
      <c r="O67" s="110"/>
      <c r="P67" s="110"/>
      <c r="Q67" s="110"/>
      <c r="R67" s="110"/>
      <c r="S67" s="110"/>
      <c r="T67" s="110"/>
      <c r="U67" s="110"/>
      <c r="V67" s="110"/>
      <c r="W67" s="110"/>
      <c r="X67" s="110"/>
      <c r="Y67" s="110"/>
    </row>
    <row r="68" ht="13.5" customHeight="1">
      <c r="A68" s="110"/>
      <c r="B68" s="143"/>
      <c r="C68" s="110"/>
      <c r="D68" s="111"/>
      <c r="E68" s="110"/>
      <c r="F68" s="110"/>
      <c r="G68" s="110"/>
      <c r="H68" s="110"/>
      <c r="I68" s="110"/>
      <c r="J68" s="110"/>
      <c r="K68" s="110"/>
      <c r="L68" s="110"/>
      <c r="M68" s="110"/>
      <c r="N68" s="110"/>
      <c r="O68" s="110"/>
      <c r="P68" s="110"/>
      <c r="Q68" s="110"/>
      <c r="R68" s="110"/>
      <c r="S68" s="110"/>
      <c r="T68" s="110"/>
      <c r="U68" s="110"/>
      <c r="V68" s="110"/>
      <c r="W68" s="110"/>
      <c r="X68" s="110"/>
      <c r="Y68" s="110"/>
    </row>
    <row r="69" ht="13.5" customHeight="1">
      <c r="A69" s="110"/>
      <c r="B69" s="143"/>
      <c r="C69" s="110"/>
      <c r="D69" s="111"/>
      <c r="E69" s="110"/>
      <c r="F69" s="110"/>
      <c r="G69" s="110"/>
      <c r="H69" s="110"/>
      <c r="I69" s="110"/>
      <c r="J69" s="110"/>
      <c r="K69" s="110"/>
      <c r="L69" s="110"/>
      <c r="M69" s="110"/>
      <c r="N69" s="110"/>
      <c r="O69" s="110"/>
      <c r="P69" s="110"/>
      <c r="Q69" s="110"/>
      <c r="R69" s="110"/>
      <c r="S69" s="110"/>
      <c r="T69" s="110"/>
      <c r="U69" s="110"/>
      <c r="V69" s="110"/>
      <c r="W69" s="110"/>
      <c r="X69" s="110"/>
      <c r="Y69" s="110"/>
    </row>
    <row r="70" ht="13.5" customHeight="1">
      <c r="A70" s="110"/>
      <c r="B70" s="143"/>
      <c r="C70" s="110"/>
      <c r="D70" s="111"/>
      <c r="E70" s="110"/>
      <c r="F70" s="110"/>
      <c r="G70" s="110"/>
      <c r="H70" s="110"/>
      <c r="I70" s="110"/>
      <c r="J70" s="110"/>
      <c r="K70" s="110"/>
      <c r="L70" s="110"/>
      <c r="M70" s="110"/>
      <c r="N70" s="110"/>
      <c r="O70" s="110"/>
      <c r="P70" s="110"/>
      <c r="Q70" s="110"/>
      <c r="R70" s="110"/>
      <c r="S70" s="110"/>
      <c r="T70" s="110"/>
      <c r="U70" s="110"/>
      <c r="V70" s="110"/>
      <c r="W70" s="110"/>
      <c r="X70" s="110"/>
      <c r="Y70" s="110"/>
    </row>
    <row r="71" ht="13.5" customHeight="1">
      <c r="A71" s="110"/>
      <c r="B71" s="143"/>
      <c r="C71" s="110"/>
      <c r="D71" s="111"/>
      <c r="E71" s="110"/>
      <c r="F71" s="110"/>
      <c r="G71" s="110"/>
      <c r="H71" s="110"/>
      <c r="I71" s="110"/>
      <c r="J71" s="110"/>
      <c r="K71" s="110"/>
      <c r="L71" s="110"/>
      <c r="M71" s="110"/>
      <c r="N71" s="110"/>
      <c r="O71" s="110"/>
      <c r="P71" s="110"/>
      <c r="Q71" s="110"/>
      <c r="R71" s="110"/>
      <c r="S71" s="110"/>
      <c r="T71" s="110"/>
      <c r="U71" s="110"/>
      <c r="V71" s="110"/>
      <c r="W71" s="110"/>
      <c r="X71" s="110"/>
      <c r="Y71" s="110"/>
    </row>
    <row r="72" ht="13.5" customHeight="1">
      <c r="A72" s="110"/>
      <c r="B72" s="143"/>
      <c r="C72" s="110"/>
      <c r="D72" s="111"/>
      <c r="E72" s="110"/>
      <c r="F72" s="110"/>
      <c r="G72" s="110"/>
      <c r="H72" s="110"/>
      <c r="I72" s="110"/>
      <c r="J72" s="110"/>
      <c r="K72" s="110"/>
      <c r="L72" s="110"/>
      <c r="M72" s="110"/>
      <c r="N72" s="110"/>
      <c r="O72" s="110"/>
      <c r="P72" s="110"/>
      <c r="Q72" s="110"/>
      <c r="R72" s="110"/>
      <c r="S72" s="110"/>
      <c r="T72" s="110"/>
      <c r="U72" s="110"/>
      <c r="V72" s="110"/>
      <c r="W72" s="110"/>
      <c r="X72" s="110"/>
      <c r="Y72" s="110"/>
    </row>
    <row r="73" ht="13.5" customHeight="1">
      <c r="A73" s="110"/>
      <c r="B73" s="143"/>
      <c r="C73" s="110"/>
      <c r="D73" s="111"/>
      <c r="E73" s="110"/>
      <c r="F73" s="110"/>
      <c r="G73" s="110"/>
      <c r="H73" s="110"/>
      <c r="I73" s="110"/>
      <c r="J73" s="110"/>
      <c r="K73" s="110"/>
      <c r="L73" s="110"/>
      <c r="M73" s="110"/>
      <c r="N73" s="110"/>
      <c r="O73" s="110"/>
      <c r="P73" s="110"/>
      <c r="Q73" s="110"/>
      <c r="R73" s="110"/>
      <c r="S73" s="110"/>
      <c r="T73" s="110"/>
      <c r="U73" s="110"/>
      <c r="V73" s="110"/>
      <c r="W73" s="110"/>
      <c r="X73" s="110"/>
      <c r="Y73" s="110"/>
    </row>
    <row r="74" ht="13.5" customHeight="1">
      <c r="A74" s="110"/>
      <c r="B74" s="143"/>
      <c r="C74" s="110"/>
      <c r="D74" s="111"/>
      <c r="E74" s="110"/>
      <c r="F74" s="110"/>
      <c r="G74" s="110"/>
      <c r="H74" s="110"/>
      <c r="I74" s="110"/>
      <c r="J74" s="110"/>
      <c r="K74" s="110"/>
      <c r="L74" s="110"/>
      <c r="M74" s="110"/>
      <c r="N74" s="110"/>
      <c r="O74" s="110"/>
      <c r="P74" s="110"/>
      <c r="Q74" s="110"/>
      <c r="R74" s="110"/>
      <c r="S74" s="110"/>
      <c r="T74" s="110"/>
      <c r="U74" s="110"/>
      <c r="V74" s="110"/>
      <c r="W74" s="110"/>
      <c r="X74" s="110"/>
      <c r="Y74" s="110"/>
    </row>
    <row r="75" ht="13.5" customHeight="1">
      <c r="A75" s="110"/>
      <c r="B75" s="143"/>
      <c r="C75" s="110"/>
      <c r="D75" s="111"/>
      <c r="E75" s="110"/>
      <c r="F75" s="110"/>
      <c r="G75" s="110"/>
      <c r="H75" s="110"/>
      <c r="I75" s="110"/>
      <c r="J75" s="110"/>
      <c r="K75" s="110"/>
      <c r="L75" s="110"/>
      <c r="M75" s="110"/>
      <c r="N75" s="110"/>
      <c r="O75" s="110"/>
      <c r="P75" s="110"/>
      <c r="Q75" s="110"/>
      <c r="R75" s="110"/>
      <c r="S75" s="110"/>
      <c r="T75" s="110"/>
      <c r="U75" s="110"/>
      <c r="V75" s="110"/>
      <c r="W75" s="110"/>
      <c r="X75" s="110"/>
      <c r="Y75" s="110"/>
    </row>
    <row r="76" ht="13.5" customHeight="1">
      <c r="A76" s="110"/>
      <c r="B76" s="143"/>
      <c r="C76" s="110"/>
      <c r="D76" s="111"/>
      <c r="E76" s="110"/>
      <c r="F76" s="110"/>
      <c r="G76" s="110"/>
      <c r="H76" s="110"/>
      <c r="I76" s="110"/>
      <c r="J76" s="110"/>
      <c r="K76" s="110"/>
      <c r="L76" s="110"/>
      <c r="M76" s="110"/>
      <c r="N76" s="110"/>
      <c r="O76" s="110"/>
      <c r="P76" s="110"/>
      <c r="Q76" s="110"/>
      <c r="R76" s="110"/>
      <c r="S76" s="110"/>
      <c r="T76" s="110"/>
      <c r="U76" s="110"/>
      <c r="V76" s="110"/>
      <c r="W76" s="110"/>
      <c r="X76" s="110"/>
      <c r="Y76" s="110"/>
    </row>
    <row r="77" ht="13.5" customHeight="1">
      <c r="A77" s="110"/>
      <c r="B77" s="143"/>
      <c r="C77" s="110"/>
      <c r="D77" s="111"/>
      <c r="E77" s="110"/>
      <c r="F77" s="110"/>
      <c r="G77" s="110"/>
      <c r="H77" s="110"/>
      <c r="I77" s="110"/>
      <c r="J77" s="110"/>
      <c r="K77" s="110"/>
      <c r="L77" s="110"/>
      <c r="M77" s="110"/>
      <c r="N77" s="110"/>
      <c r="O77" s="110"/>
      <c r="P77" s="110"/>
      <c r="Q77" s="110"/>
      <c r="R77" s="110"/>
      <c r="S77" s="110"/>
      <c r="T77" s="110"/>
      <c r="U77" s="110"/>
      <c r="V77" s="110"/>
      <c r="W77" s="110"/>
      <c r="X77" s="110"/>
      <c r="Y77" s="110"/>
    </row>
    <row r="78" ht="13.5" customHeight="1">
      <c r="A78" s="110"/>
      <c r="B78" s="143"/>
      <c r="C78" s="110"/>
      <c r="D78" s="111"/>
      <c r="E78" s="110"/>
      <c r="F78" s="110"/>
      <c r="G78" s="110"/>
      <c r="H78" s="110"/>
      <c r="I78" s="110"/>
      <c r="J78" s="110"/>
      <c r="K78" s="110"/>
      <c r="L78" s="110"/>
      <c r="M78" s="110"/>
      <c r="N78" s="110"/>
      <c r="O78" s="110"/>
      <c r="P78" s="110"/>
      <c r="Q78" s="110"/>
      <c r="R78" s="110"/>
      <c r="S78" s="110"/>
      <c r="T78" s="110"/>
      <c r="U78" s="110"/>
      <c r="V78" s="110"/>
      <c r="W78" s="110"/>
      <c r="X78" s="110"/>
      <c r="Y78" s="110"/>
    </row>
    <row r="79" ht="13.5" customHeight="1">
      <c r="A79" s="110"/>
      <c r="B79" s="143"/>
      <c r="C79" s="110"/>
      <c r="D79" s="111"/>
      <c r="E79" s="110"/>
      <c r="F79" s="110"/>
      <c r="G79" s="110"/>
      <c r="H79" s="110"/>
      <c r="I79" s="110"/>
      <c r="J79" s="110"/>
      <c r="K79" s="110"/>
      <c r="L79" s="110"/>
      <c r="M79" s="110"/>
      <c r="N79" s="110"/>
      <c r="O79" s="110"/>
      <c r="P79" s="110"/>
      <c r="Q79" s="110"/>
      <c r="R79" s="110"/>
      <c r="S79" s="110"/>
      <c r="T79" s="110"/>
      <c r="U79" s="110"/>
      <c r="V79" s="110"/>
      <c r="W79" s="110"/>
      <c r="X79" s="110"/>
      <c r="Y79" s="110"/>
    </row>
    <row r="80" ht="13.5" customHeight="1">
      <c r="A80" s="110"/>
      <c r="B80" s="143"/>
      <c r="C80" s="110"/>
      <c r="D80" s="111"/>
      <c r="E80" s="110"/>
      <c r="F80" s="110"/>
      <c r="G80" s="110"/>
      <c r="H80" s="110"/>
      <c r="I80" s="110"/>
      <c r="J80" s="110"/>
      <c r="K80" s="110"/>
      <c r="L80" s="110"/>
      <c r="M80" s="110"/>
      <c r="N80" s="110"/>
      <c r="O80" s="110"/>
      <c r="P80" s="110"/>
      <c r="Q80" s="110"/>
      <c r="R80" s="110"/>
      <c r="S80" s="110"/>
      <c r="T80" s="110"/>
      <c r="U80" s="110"/>
      <c r="V80" s="110"/>
      <c r="W80" s="110"/>
      <c r="X80" s="110"/>
      <c r="Y80" s="110"/>
    </row>
    <row r="81" ht="13.5" customHeight="1">
      <c r="A81" s="110"/>
      <c r="B81" s="143"/>
      <c r="C81" s="110"/>
      <c r="D81" s="111"/>
      <c r="E81" s="110"/>
      <c r="F81" s="110"/>
      <c r="G81" s="110"/>
      <c r="H81" s="110"/>
      <c r="I81" s="110"/>
      <c r="J81" s="110"/>
      <c r="K81" s="110"/>
      <c r="L81" s="110"/>
      <c r="M81" s="110"/>
      <c r="N81" s="110"/>
      <c r="O81" s="110"/>
      <c r="P81" s="110"/>
      <c r="Q81" s="110"/>
      <c r="R81" s="110"/>
      <c r="S81" s="110"/>
      <c r="T81" s="110"/>
      <c r="U81" s="110"/>
      <c r="V81" s="110"/>
      <c r="W81" s="110"/>
      <c r="X81" s="110"/>
      <c r="Y81" s="110"/>
    </row>
    <row r="82" ht="13.5" customHeight="1">
      <c r="A82" s="110"/>
      <c r="B82" s="143"/>
      <c r="C82" s="110"/>
      <c r="D82" s="111"/>
      <c r="E82" s="110"/>
      <c r="F82" s="110"/>
      <c r="G82" s="110"/>
      <c r="H82" s="110"/>
      <c r="I82" s="110"/>
      <c r="J82" s="110"/>
      <c r="K82" s="110"/>
      <c r="L82" s="110"/>
      <c r="M82" s="110"/>
      <c r="N82" s="110"/>
      <c r="O82" s="110"/>
      <c r="P82" s="110"/>
      <c r="Q82" s="110"/>
      <c r="R82" s="110"/>
      <c r="S82" s="110"/>
      <c r="T82" s="110"/>
      <c r="U82" s="110"/>
      <c r="V82" s="110"/>
      <c r="W82" s="110"/>
      <c r="X82" s="110"/>
      <c r="Y82" s="110"/>
    </row>
    <row r="83" ht="13.5" customHeight="1">
      <c r="A83" s="110"/>
      <c r="B83" s="143"/>
      <c r="C83" s="110"/>
      <c r="D83" s="111"/>
      <c r="E83" s="110"/>
      <c r="F83" s="110"/>
      <c r="G83" s="110"/>
      <c r="H83" s="110"/>
      <c r="I83" s="110"/>
      <c r="J83" s="110"/>
      <c r="K83" s="110"/>
      <c r="L83" s="110"/>
      <c r="M83" s="110"/>
      <c r="N83" s="110"/>
      <c r="O83" s="110"/>
      <c r="P83" s="110"/>
      <c r="Q83" s="110"/>
      <c r="R83" s="110"/>
      <c r="S83" s="110"/>
      <c r="T83" s="110"/>
      <c r="U83" s="110"/>
      <c r="V83" s="110"/>
      <c r="W83" s="110"/>
      <c r="X83" s="110"/>
      <c r="Y83" s="110"/>
    </row>
    <row r="84" ht="13.5" customHeight="1">
      <c r="A84" s="110"/>
      <c r="B84" s="143"/>
      <c r="C84" s="110"/>
      <c r="D84" s="111"/>
      <c r="E84" s="110"/>
      <c r="F84" s="110"/>
      <c r="G84" s="110"/>
      <c r="H84" s="110"/>
      <c r="I84" s="110"/>
      <c r="J84" s="110"/>
      <c r="K84" s="110"/>
      <c r="L84" s="110"/>
      <c r="M84" s="110"/>
      <c r="N84" s="110"/>
      <c r="O84" s="110"/>
      <c r="P84" s="110"/>
      <c r="Q84" s="110"/>
      <c r="R84" s="110"/>
      <c r="S84" s="110"/>
      <c r="T84" s="110"/>
      <c r="U84" s="110"/>
      <c r="V84" s="110"/>
      <c r="W84" s="110"/>
      <c r="X84" s="110"/>
      <c r="Y84" s="110"/>
    </row>
    <row r="85" ht="13.5" customHeight="1">
      <c r="A85" s="110"/>
      <c r="B85" s="143"/>
      <c r="C85" s="110"/>
      <c r="D85" s="111"/>
      <c r="E85" s="110"/>
      <c r="F85" s="110"/>
      <c r="G85" s="110"/>
      <c r="H85" s="110"/>
      <c r="I85" s="110"/>
      <c r="J85" s="110"/>
      <c r="K85" s="110"/>
      <c r="L85" s="110"/>
      <c r="M85" s="110"/>
      <c r="N85" s="110"/>
      <c r="O85" s="110"/>
      <c r="P85" s="110"/>
      <c r="Q85" s="110"/>
      <c r="R85" s="110"/>
      <c r="S85" s="110"/>
      <c r="T85" s="110"/>
      <c r="U85" s="110"/>
      <c r="V85" s="110"/>
      <c r="W85" s="110"/>
      <c r="X85" s="110"/>
      <c r="Y85" s="110"/>
    </row>
    <row r="86" ht="13.5" customHeight="1">
      <c r="A86" s="110"/>
      <c r="B86" s="143"/>
      <c r="C86" s="110"/>
      <c r="D86" s="111"/>
      <c r="E86" s="110"/>
      <c r="F86" s="110"/>
      <c r="G86" s="110"/>
      <c r="H86" s="110"/>
      <c r="I86" s="110"/>
      <c r="J86" s="110"/>
      <c r="K86" s="110"/>
      <c r="L86" s="110"/>
      <c r="M86" s="110"/>
      <c r="N86" s="110"/>
      <c r="O86" s="110"/>
      <c r="P86" s="110"/>
      <c r="Q86" s="110"/>
      <c r="R86" s="110"/>
      <c r="S86" s="110"/>
      <c r="T86" s="110"/>
      <c r="U86" s="110"/>
      <c r="V86" s="110"/>
      <c r="W86" s="110"/>
      <c r="X86" s="110"/>
      <c r="Y86" s="110"/>
    </row>
    <row r="87" ht="13.5" customHeight="1">
      <c r="A87" s="110"/>
      <c r="B87" s="143"/>
      <c r="C87" s="110"/>
      <c r="D87" s="111"/>
      <c r="E87" s="110"/>
      <c r="F87" s="110"/>
      <c r="G87" s="110"/>
      <c r="H87" s="110"/>
      <c r="I87" s="110"/>
      <c r="J87" s="110"/>
      <c r="K87" s="110"/>
      <c r="L87" s="110"/>
      <c r="M87" s="110"/>
      <c r="N87" s="110"/>
      <c r="O87" s="110"/>
      <c r="P87" s="110"/>
      <c r="Q87" s="110"/>
      <c r="R87" s="110"/>
      <c r="S87" s="110"/>
      <c r="T87" s="110"/>
      <c r="U87" s="110"/>
      <c r="V87" s="110"/>
      <c r="W87" s="110"/>
      <c r="X87" s="110"/>
      <c r="Y87" s="110"/>
    </row>
    <row r="88" ht="13.5" customHeight="1">
      <c r="A88" s="110"/>
      <c r="B88" s="143"/>
      <c r="C88" s="110"/>
      <c r="D88" s="111"/>
      <c r="E88" s="110"/>
      <c r="F88" s="110"/>
      <c r="G88" s="110"/>
      <c r="H88" s="110"/>
      <c r="I88" s="110"/>
      <c r="J88" s="110"/>
      <c r="K88" s="110"/>
      <c r="L88" s="110"/>
      <c r="M88" s="110"/>
      <c r="N88" s="110"/>
      <c r="O88" s="110"/>
      <c r="P88" s="110"/>
      <c r="Q88" s="110"/>
      <c r="R88" s="110"/>
      <c r="S88" s="110"/>
      <c r="T88" s="110"/>
      <c r="U88" s="110"/>
      <c r="V88" s="110"/>
      <c r="W88" s="110"/>
      <c r="X88" s="110"/>
      <c r="Y88" s="110"/>
    </row>
    <row r="89" ht="13.5" customHeight="1">
      <c r="A89" s="110"/>
      <c r="B89" s="143"/>
      <c r="C89" s="110"/>
      <c r="D89" s="111"/>
      <c r="E89" s="110"/>
      <c r="F89" s="110"/>
      <c r="G89" s="110"/>
      <c r="H89" s="110"/>
      <c r="I89" s="110"/>
      <c r="J89" s="110"/>
      <c r="K89" s="110"/>
      <c r="L89" s="110"/>
      <c r="M89" s="110"/>
      <c r="N89" s="110"/>
      <c r="O89" s="110"/>
      <c r="P89" s="110"/>
      <c r="Q89" s="110"/>
      <c r="R89" s="110"/>
      <c r="S89" s="110"/>
      <c r="T89" s="110"/>
      <c r="U89" s="110"/>
      <c r="V89" s="110"/>
      <c r="W89" s="110"/>
      <c r="X89" s="110"/>
      <c r="Y89" s="110"/>
    </row>
    <row r="90" ht="13.5" customHeight="1">
      <c r="A90" s="110"/>
      <c r="B90" s="143"/>
      <c r="C90" s="110"/>
      <c r="D90" s="111"/>
      <c r="E90" s="110"/>
      <c r="F90" s="110"/>
      <c r="G90" s="110"/>
      <c r="H90" s="110"/>
      <c r="I90" s="110"/>
      <c r="J90" s="110"/>
      <c r="K90" s="110"/>
      <c r="L90" s="110"/>
      <c r="M90" s="110"/>
      <c r="N90" s="110"/>
      <c r="O90" s="110"/>
      <c r="P90" s="110"/>
      <c r="Q90" s="110"/>
      <c r="R90" s="110"/>
      <c r="S90" s="110"/>
      <c r="T90" s="110"/>
      <c r="U90" s="110"/>
      <c r="V90" s="110"/>
      <c r="W90" s="110"/>
      <c r="X90" s="110"/>
      <c r="Y90" s="110"/>
    </row>
    <row r="91" ht="13.5" customHeight="1">
      <c r="A91" s="110"/>
      <c r="B91" s="143"/>
      <c r="C91" s="110"/>
      <c r="D91" s="111"/>
      <c r="E91" s="110"/>
      <c r="F91" s="110"/>
      <c r="G91" s="110"/>
      <c r="H91" s="110"/>
      <c r="I91" s="110"/>
      <c r="J91" s="110"/>
      <c r="K91" s="110"/>
      <c r="L91" s="110"/>
      <c r="M91" s="110"/>
      <c r="N91" s="110"/>
      <c r="O91" s="110"/>
      <c r="P91" s="110"/>
      <c r="Q91" s="110"/>
      <c r="R91" s="110"/>
      <c r="S91" s="110"/>
      <c r="T91" s="110"/>
      <c r="U91" s="110"/>
      <c r="V91" s="110"/>
      <c r="W91" s="110"/>
      <c r="X91" s="110"/>
      <c r="Y91" s="110"/>
    </row>
    <row r="92" ht="13.5" customHeight="1">
      <c r="A92" s="110"/>
      <c r="B92" s="143"/>
      <c r="C92" s="110"/>
      <c r="D92" s="111"/>
      <c r="E92" s="110"/>
      <c r="F92" s="110"/>
      <c r="G92" s="110"/>
      <c r="H92" s="110"/>
      <c r="I92" s="110"/>
      <c r="J92" s="110"/>
      <c r="K92" s="110"/>
      <c r="L92" s="110"/>
      <c r="M92" s="110"/>
      <c r="N92" s="110"/>
      <c r="O92" s="110"/>
      <c r="P92" s="110"/>
      <c r="Q92" s="110"/>
      <c r="R92" s="110"/>
      <c r="S92" s="110"/>
      <c r="T92" s="110"/>
      <c r="U92" s="110"/>
      <c r="V92" s="110"/>
      <c r="W92" s="110"/>
      <c r="X92" s="110"/>
      <c r="Y92" s="110"/>
    </row>
    <row r="93" ht="13.5" customHeight="1">
      <c r="A93" s="110"/>
      <c r="B93" s="143"/>
      <c r="C93" s="110"/>
      <c r="D93" s="111"/>
      <c r="E93" s="110"/>
      <c r="F93" s="110"/>
      <c r="G93" s="110"/>
      <c r="H93" s="110"/>
      <c r="I93" s="110"/>
      <c r="J93" s="110"/>
      <c r="K93" s="110"/>
      <c r="L93" s="110"/>
      <c r="M93" s="110"/>
      <c r="N93" s="110"/>
      <c r="O93" s="110"/>
      <c r="P93" s="110"/>
      <c r="Q93" s="110"/>
      <c r="R93" s="110"/>
      <c r="S93" s="110"/>
      <c r="T93" s="110"/>
      <c r="U93" s="110"/>
      <c r="V93" s="110"/>
      <c r="W93" s="110"/>
      <c r="X93" s="110"/>
      <c r="Y93" s="110"/>
    </row>
    <row r="94" ht="13.5" customHeight="1">
      <c r="A94" s="110"/>
      <c r="B94" s="143"/>
      <c r="C94" s="110"/>
      <c r="D94" s="111"/>
      <c r="E94" s="110"/>
      <c r="F94" s="110"/>
      <c r="G94" s="110"/>
      <c r="H94" s="110"/>
      <c r="I94" s="110"/>
      <c r="J94" s="110"/>
      <c r="K94" s="110"/>
      <c r="L94" s="110"/>
      <c r="M94" s="110"/>
      <c r="N94" s="110"/>
      <c r="O94" s="110"/>
      <c r="P94" s="110"/>
      <c r="Q94" s="110"/>
      <c r="R94" s="110"/>
      <c r="S94" s="110"/>
      <c r="T94" s="110"/>
      <c r="U94" s="110"/>
      <c r="V94" s="110"/>
      <c r="W94" s="110"/>
      <c r="X94" s="110"/>
      <c r="Y94" s="110"/>
    </row>
    <row r="95" ht="13.5" customHeight="1">
      <c r="A95" s="110"/>
      <c r="B95" s="143"/>
      <c r="C95" s="110"/>
      <c r="D95" s="111"/>
      <c r="E95" s="110"/>
      <c r="F95" s="110"/>
      <c r="G95" s="110"/>
      <c r="H95" s="110"/>
      <c r="I95" s="110"/>
      <c r="J95" s="110"/>
      <c r="K95" s="110"/>
      <c r="L95" s="110"/>
      <c r="M95" s="110"/>
      <c r="N95" s="110"/>
      <c r="O95" s="110"/>
      <c r="P95" s="110"/>
      <c r="Q95" s="110"/>
      <c r="R95" s="110"/>
      <c r="S95" s="110"/>
      <c r="T95" s="110"/>
      <c r="U95" s="110"/>
      <c r="V95" s="110"/>
      <c r="W95" s="110"/>
      <c r="X95" s="110"/>
      <c r="Y95" s="110"/>
    </row>
    <row r="96" ht="13.5" customHeight="1">
      <c r="A96" s="110"/>
      <c r="B96" s="143"/>
      <c r="C96" s="110"/>
      <c r="D96" s="111"/>
      <c r="E96" s="110"/>
      <c r="F96" s="110"/>
      <c r="G96" s="110"/>
      <c r="H96" s="110"/>
      <c r="I96" s="110"/>
      <c r="J96" s="110"/>
      <c r="K96" s="110"/>
      <c r="L96" s="110"/>
      <c r="M96" s="110"/>
      <c r="N96" s="110"/>
      <c r="O96" s="110"/>
      <c r="P96" s="110"/>
      <c r="Q96" s="110"/>
      <c r="R96" s="110"/>
      <c r="S96" s="110"/>
      <c r="T96" s="110"/>
      <c r="U96" s="110"/>
      <c r="V96" s="110"/>
      <c r="W96" s="110"/>
      <c r="X96" s="110"/>
      <c r="Y96" s="110"/>
    </row>
    <row r="97" ht="13.5" customHeight="1">
      <c r="A97" s="110"/>
      <c r="B97" s="143"/>
      <c r="C97" s="110"/>
      <c r="D97" s="111"/>
      <c r="E97" s="110"/>
      <c r="F97" s="110"/>
      <c r="G97" s="110"/>
      <c r="H97" s="110"/>
      <c r="I97" s="110"/>
      <c r="J97" s="110"/>
      <c r="K97" s="110"/>
      <c r="L97" s="110"/>
      <c r="M97" s="110"/>
      <c r="N97" s="110"/>
      <c r="O97" s="110"/>
      <c r="P97" s="110"/>
      <c r="Q97" s="110"/>
      <c r="R97" s="110"/>
      <c r="S97" s="110"/>
      <c r="T97" s="110"/>
      <c r="U97" s="110"/>
      <c r="V97" s="110"/>
      <c r="W97" s="110"/>
      <c r="X97" s="110"/>
      <c r="Y97" s="110"/>
    </row>
    <row r="98" ht="13.5" customHeight="1">
      <c r="A98" s="110"/>
      <c r="B98" s="143"/>
      <c r="C98" s="110"/>
      <c r="D98" s="111"/>
      <c r="E98" s="110"/>
      <c r="F98" s="110"/>
      <c r="G98" s="110"/>
      <c r="H98" s="110"/>
      <c r="I98" s="110"/>
      <c r="J98" s="110"/>
      <c r="K98" s="110"/>
      <c r="L98" s="110"/>
      <c r="M98" s="110"/>
      <c r="N98" s="110"/>
      <c r="O98" s="110"/>
      <c r="P98" s="110"/>
      <c r="Q98" s="110"/>
      <c r="R98" s="110"/>
      <c r="S98" s="110"/>
      <c r="T98" s="110"/>
      <c r="U98" s="110"/>
      <c r="V98" s="110"/>
      <c r="W98" s="110"/>
      <c r="X98" s="110"/>
      <c r="Y98" s="110"/>
    </row>
    <row r="99" ht="13.5" customHeight="1">
      <c r="A99" s="110"/>
      <c r="B99" s="143"/>
      <c r="C99" s="110"/>
      <c r="D99" s="111"/>
      <c r="E99" s="110"/>
      <c r="F99" s="110"/>
      <c r="G99" s="110"/>
      <c r="H99" s="110"/>
      <c r="I99" s="110"/>
      <c r="J99" s="110"/>
      <c r="K99" s="110"/>
      <c r="L99" s="110"/>
      <c r="M99" s="110"/>
      <c r="N99" s="110"/>
      <c r="O99" s="110"/>
      <c r="P99" s="110"/>
      <c r="Q99" s="110"/>
      <c r="R99" s="110"/>
      <c r="S99" s="110"/>
      <c r="T99" s="110"/>
      <c r="U99" s="110"/>
      <c r="V99" s="110"/>
      <c r="W99" s="110"/>
      <c r="X99" s="110"/>
      <c r="Y99" s="110"/>
    </row>
    <row r="100" ht="13.5" customHeight="1">
      <c r="A100" s="110"/>
      <c r="B100" s="143"/>
      <c r="C100" s="110"/>
      <c r="D100" s="111"/>
      <c r="E100" s="110"/>
      <c r="F100" s="110"/>
      <c r="G100" s="110"/>
      <c r="H100" s="110"/>
      <c r="I100" s="110"/>
      <c r="J100" s="110"/>
      <c r="K100" s="110"/>
      <c r="L100" s="110"/>
      <c r="M100" s="110"/>
      <c r="N100" s="110"/>
      <c r="O100" s="110"/>
      <c r="P100" s="110"/>
      <c r="Q100" s="110"/>
      <c r="R100" s="110"/>
      <c r="S100" s="110"/>
      <c r="T100" s="110"/>
      <c r="U100" s="110"/>
      <c r="V100" s="110"/>
      <c r="W100" s="110"/>
      <c r="X100" s="110"/>
      <c r="Y100" s="110"/>
    </row>
    <row r="101" ht="13.5" customHeight="1">
      <c r="A101" s="110"/>
      <c r="B101" s="143"/>
      <c r="C101" s="110"/>
      <c r="D101" s="111"/>
      <c r="E101" s="110"/>
      <c r="F101" s="110"/>
      <c r="G101" s="110"/>
      <c r="H101" s="110"/>
      <c r="I101" s="110"/>
      <c r="J101" s="110"/>
      <c r="K101" s="110"/>
      <c r="L101" s="110"/>
      <c r="M101" s="110"/>
      <c r="N101" s="110"/>
      <c r="O101" s="110"/>
      <c r="P101" s="110"/>
      <c r="Q101" s="110"/>
      <c r="R101" s="110"/>
      <c r="S101" s="110"/>
      <c r="T101" s="110"/>
      <c r="U101" s="110"/>
      <c r="V101" s="110"/>
      <c r="W101" s="110"/>
      <c r="X101" s="110"/>
      <c r="Y101" s="110"/>
    </row>
    <row r="102" ht="13.5" customHeight="1">
      <c r="A102" s="110"/>
      <c r="B102" s="143"/>
      <c r="C102" s="110"/>
      <c r="D102" s="111"/>
      <c r="E102" s="110"/>
      <c r="F102" s="110"/>
      <c r="G102" s="110"/>
      <c r="H102" s="110"/>
      <c r="I102" s="110"/>
      <c r="J102" s="110"/>
      <c r="K102" s="110"/>
      <c r="L102" s="110"/>
      <c r="M102" s="110"/>
      <c r="N102" s="110"/>
      <c r="O102" s="110"/>
      <c r="P102" s="110"/>
      <c r="Q102" s="110"/>
      <c r="R102" s="110"/>
      <c r="S102" s="110"/>
      <c r="T102" s="110"/>
      <c r="U102" s="110"/>
      <c r="V102" s="110"/>
      <c r="W102" s="110"/>
      <c r="X102" s="110"/>
      <c r="Y102" s="110"/>
    </row>
    <row r="103" ht="13.5" customHeight="1">
      <c r="A103" s="110"/>
      <c r="B103" s="143"/>
      <c r="C103" s="110"/>
      <c r="D103" s="111"/>
      <c r="E103" s="110"/>
      <c r="F103" s="110"/>
      <c r="G103" s="110"/>
      <c r="H103" s="110"/>
      <c r="I103" s="110"/>
      <c r="J103" s="110"/>
      <c r="K103" s="110"/>
      <c r="L103" s="110"/>
      <c r="M103" s="110"/>
      <c r="N103" s="110"/>
      <c r="O103" s="110"/>
      <c r="P103" s="110"/>
      <c r="Q103" s="110"/>
      <c r="R103" s="110"/>
      <c r="S103" s="110"/>
      <c r="T103" s="110"/>
      <c r="U103" s="110"/>
      <c r="V103" s="110"/>
      <c r="W103" s="110"/>
      <c r="X103" s="110"/>
      <c r="Y103" s="110"/>
    </row>
    <row r="104" ht="13.5" customHeight="1">
      <c r="A104" s="110"/>
      <c r="B104" s="143"/>
      <c r="C104" s="110"/>
      <c r="D104" s="111"/>
      <c r="E104" s="110"/>
      <c r="F104" s="110"/>
      <c r="G104" s="110"/>
      <c r="H104" s="110"/>
      <c r="I104" s="110"/>
      <c r="J104" s="110"/>
      <c r="K104" s="110"/>
      <c r="L104" s="110"/>
      <c r="M104" s="110"/>
      <c r="N104" s="110"/>
      <c r="O104" s="110"/>
      <c r="P104" s="110"/>
      <c r="Q104" s="110"/>
      <c r="R104" s="110"/>
      <c r="S104" s="110"/>
      <c r="T104" s="110"/>
      <c r="U104" s="110"/>
      <c r="V104" s="110"/>
      <c r="W104" s="110"/>
      <c r="X104" s="110"/>
      <c r="Y104" s="110"/>
    </row>
    <row r="105" ht="13.5" customHeight="1">
      <c r="A105" s="110"/>
      <c r="B105" s="143"/>
      <c r="C105" s="110"/>
      <c r="D105" s="111"/>
      <c r="E105" s="110"/>
      <c r="F105" s="110"/>
      <c r="G105" s="110"/>
      <c r="H105" s="110"/>
      <c r="I105" s="110"/>
      <c r="J105" s="110"/>
      <c r="K105" s="110"/>
      <c r="L105" s="110"/>
      <c r="M105" s="110"/>
      <c r="N105" s="110"/>
      <c r="O105" s="110"/>
      <c r="P105" s="110"/>
      <c r="Q105" s="110"/>
      <c r="R105" s="110"/>
      <c r="S105" s="110"/>
      <c r="T105" s="110"/>
      <c r="U105" s="110"/>
      <c r="V105" s="110"/>
      <c r="W105" s="110"/>
      <c r="X105" s="110"/>
      <c r="Y105" s="110"/>
    </row>
    <row r="106" ht="13.5" customHeight="1">
      <c r="A106" s="110"/>
      <c r="B106" s="143"/>
      <c r="C106" s="110"/>
      <c r="D106" s="111"/>
      <c r="E106" s="110"/>
      <c r="F106" s="110"/>
      <c r="G106" s="110"/>
      <c r="H106" s="110"/>
      <c r="I106" s="110"/>
      <c r="J106" s="110"/>
      <c r="K106" s="110"/>
      <c r="L106" s="110"/>
      <c r="M106" s="110"/>
      <c r="N106" s="110"/>
      <c r="O106" s="110"/>
      <c r="P106" s="110"/>
      <c r="Q106" s="110"/>
      <c r="R106" s="110"/>
      <c r="S106" s="110"/>
      <c r="T106" s="110"/>
      <c r="U106" s="110"/>
      <c r="V106" s="110"/>
      <c r="W106" s="110"/>
      <c r="X106" s="110"/>
      <c r="Y106" s="110"/>
    </row>
    <row r="107" ht="13.5" customHeight="1">
      <c r="A107" s="110"/>
      <c r="B107" s="143"/>
      <c r="C107" s="110"/>
      <c r="D107" s="111"/>
      <c r="E107" s="110"/>
      <c r="F107" s="110"/>
      <c r="G107" s="110"/>
      <c r="H107" s="110"/>
      <c r="I107" s="110"/>
      <c r="J107" s="110"/>
      <c r="K107" s="110"/>
      <c r="L107" s="110"/>
      <c r="M107" s="110"/>
      <c r="N107" s="110"/>
      <c r="O107" s="110"/>
      <c r="P107" s="110"/>
      <c r="Q107" s="110"/>
      <c r="R107" s="110"/>
      <c r="S107" s="110"/>
      <c r="T107" s="110"/>
      <c r="U107" s="110"/>
      <c r="V107" s="110"/>
      <c r="W107" s="110"/>
      <c r="X107" s="110"/>
      <c r="Y107" s="110"/>
    </row>
    <row r="108" ht="13.5" customHeight="1">
      <c r="A108" s="110"/>
      <c r="B108" s="143"/>
      <c r="C108" s="110"/>
      <c r="D108" s="111"/>
      <c r="E108" s="110"/>
      <c r="F108" s="110"/>
      <c r="G108" s="110"/>
      <c r="H108" s="110"/>
      <c r="I108" s="110"/>
      <c r="J108" s="110"/>
      <c r="K108" s="110"/>
      <c r="L108" s="110"/>
      <c r="M108" s="110"/>
      <c r="N108" s="110"/>
      <c r="O108" s="110"/>
      <c r="P108" s="110"/>
      <c r="Q108" s="110"/>
      <c r="R108" s="110"/>
      <c r="S108" s="110"/>
      <c r="T108" s="110"/>
      <c r="U108" s="110"/>
      <c r="V108" s="110"/>
      <c r="W108" s="110"/>
      <c r="X108" s="110"/>
      <c r="Y108" s="110"/>
    </row>
    <row r="109" ht="13.5" customHeight="1">
      <c r="A109" s="110"/>
      <c r="B109" s="143"/>
      <c r="C109" s="110"/>
      <c r="D109" s="111"/>
      <c r="E109" s="110"/>
      <c r="F109" s="110"/>
      <c r="G109" s="110"/>
      <c r="H109" s="110"/>
      <c r="I109" s="110"/>
      <c r="J109" s="110"/>
      <c r="K109" s="110"/>
      <c r="L109" s="110"/>
      <c r="M109" s="110"/>
      <c r="N109" s="110"/>
      <c r="O109" s="110"/>
      <c r="P109" s="110"/>
      <c r="Q109" s="110"/>
      <c r="R109" s="110"/>
      <c r="S109" s="110"/>
      <c r="T109" s="110"/>
      <c r="U109" s="110"/>
      <c r="V109" s="110"/>
      <c r="W109" s="110"/>
      <c r="X109" s="110"/>
      <c r="Y109" s="110"/>
    </row>
    <row r="110" ht="13.5" customHeight="1">
      <c r="A110" s="110"/>
      <c r="B110" s="143"/>
      <c r="C110" s="110"/>
      <c r="D110" s="111"/>
      <c r="E110" s="110"/>
      <c r="F110" s="110"/>
      <c r="G110" s="110"/>
      <c r="H110" s="110"/>
      <c r="I110" s="110"/>
      <c r="J110" s="110"/>
      <c r="K110" s="110"/>
      <c r="L110" s="110"/>
      <c r="M110" s="110"/>
      <c r="N110" s="110"/>
      <c r="O110" s="110"/>
      <c r="P110" s="110"/>
      <c r="Q110" s="110"/>
      <c r="R110" s="110"/>
      <c r="S110" s="110"/>
      <c r="T110" s="110"/>
      <c r="U110" s="110"/>
      <c r="V110" s="110"/>
      <c r="W110" s="110"/>
      <c r="X110" s="110"/>
      <c r="Y110" s="110"/>
    </row>
    <row r="111" ht="13.5" customHeight="1">
      <c r="A111" s="110"/>
      <c r="B111" s="143"/>
      <c r="C111" s="110"/>
      <c r="D111" s="111"/>
      <c r="E111" s="110"/>
      <c r="F111" s="110"/>
      <c r="G111" s="110"/>
      <c r="H111" s="110"/>
      <c r="I111" s="110"/>
      <c r="J111" s="110"/>
      <c r="K111" s="110"/>
      <c r="L111" s="110"/>
      <c r="M111" s="110"/>
      <c r="N111" s="110"/>
      <c r="O111" s="110"/>
      <c r="P111" s="110"/>
      <c r="Q111" s="110"/>
      <c r="R111" s="110"/>
      <c r="S111" s="110"/>
      <c r="T111" s="110"/>
      <c r="U111" s="110"/>
      <c r="V111" s="110"/>
      <c r="W111" s="110"/>
      <c r="X111" s="110"/>
      <c r="Y111" s="110"/>
    </row>
    <row r="112" ht="13.5" customHeight="1">
      <c r="A112" s="110"/>
      <c r="B112" s="143"/>
      <c r="C112" s="110"/>
      <c r="D112" s="111"/>
      <c r="E112" s="110"/>
      <c r="F112" s="110"/>
      <c r="G112" s="110"/>
      <c r="H112" s="110"/>
      <c r="I112" s="110"/>
      <c r="J112" s="110"/>
      <c r="K112" s="110"/>
      <c r="L112" s="110"/>
      <c r="M112" s="110"/>
      <c r="N112" s="110"/>
      <c r="O112" s="110"/>
      <c r="P112" s="110"/>
      <c r="Q112" s="110"/>
      <c r="R112" s="110"/>
      <c r="S112" s="110"/>
      <c r="T112" s="110"/>
      <c r="U112" s="110"/>
      <c r="V112" s="110"/>
      <c r="W112" s="110"/>
      <c r="X112" s="110"/>
      <c r="Y112" s="110"/>
    </row>
    <row r="113" ht="13.5" customHeight="1">
      <c r="A113" s="110"/>
      <c r="B113" s="143"/>
      <c r="C113" s="110"/>
      <c r="D113" s="111"/>
      <c r="E113" s="110"/>
      <c r="F113" s="110"/>
      <c r="G113" s="110"/>
      <c r="H113" s="110"/>
      <c r="I113" s="110"/>
      <c r="J113" s="110"/>
      <c r="K113" s="110"/>
      <c r="L113" s="110"/>
      <c r="M113" s="110"/>
      <c r="N113" s="110"/>
      <c r="O113" s="110"/>
      <c r="P113" s="110"/>
      <c r="Q113" s="110"/>
      <c r="R113" s="110"/>
      <c r="S113" s="110"/>
      <c r="T113" s="110"/>
      <c r="U113" s="110"/>
      <c r="V113" s="110"/>
      <c r="W113" s="110"/>
      <c r="X113" s="110"/>
      <c r="Y113" s="110"/>
    </row>
    <row r="114" ht="13.5" customHeight="1">
      <c r="A114" s="110"/>
      <c r="B114" s="143"/>
      <c r="C114" s="110"/>
      <c r="D114" s="111"/>
      <c r="E114" s="110"/>
      <c r="F114" s="110"/>
      <c r="G114" s="110"/>
      <c r="H114" s="110"/>
      <c r="I114" s="110"/>
      <c r="J114" s="110"/>
      <c r="K114" s="110"/>
      <c r="L114" s="110"/>
      <c r="M114" s="110"/>
      <c r="N114" s="110"/>
      <c r="O114" s="110"/>
      <c r="P114" s="110"/>
      <c r="Q114" s="110"/>
      <c r="R114" s="110"/>
      <c r="S114" s="110"/>
      <c r="T114" s="110"/>
      <c r="U114" s="110"/>
      <c r="V114" s="110"/>
      <c r="W114" s="110"/>
      <c r="X114" s="110"/>
      <c r="Y114" s="110"/>
    </row>
    <row r="115" ht="13.5" customHeight="1">
      <c r="A115" s="110"/>
      <c r="B115" s="143"/>
      <c r="C115" s="110"/>
      <c r="D115" s="111"/>
      <c r="E115" s="110"/>
      <c r="F115" s="110"/>
      <c r="G115" s="110"/>
      <c r="H115" s="110"/>
      <c r="I115" s="110"/>
      <c r="J115" s="110"/>
      <c r="K115" s="110"/>
      <c r="L115" s="110"/>
      <c r="M115" s="110"/>
      <c r="N115" s="110"/>
      <c r="O115" s="110"/>
      <c r="P115" s="110"/>
      <c r="Q115" s="110"/>
      <c r="R115" s="110"/>
      <c r="S115" s="110"/>
      <c r="T115" s="110"/>
      <c r="U115" s="110"/>
      <c r="V115" s="110"/>
      <c r="W115" s="110"/>
      <c r="X115" s="110"/>
      <c r="Y115" s="110"/>
    </row>
    <row r="116" ht="13.5" customHeight="1">
      <c r="A116" s="110"/>
      <c r="B116" s="143"/>
      <c r="C116" s="110"/>
      <c r="D116" s="111"/>
      <c r="E116" s="110"/>
      <c r="F116" s="110"/>
      <c r="G116" s="110"/>
      <c r="H116" s="110"/>
      <c r="I116" s="110"/>
      <c r="J116" s="110"/>
      <c r="K116" s="110"/>
      <c r="L116" s="110"/>
      <c r="M116" s="110"/>
      <c r="N116" s="110"/>
      <c r="O116" s="110"/>
      <c r="P116" s="110"/>
      <c r="Q116" s="110"/>
      <c r="R116" s="110"/>
      <c r="S116" s="110"/>
      <c r="T116" s="110"/>
      <c r="U116" s="110"/>
      <c r="V116" s="110"/>
      <c r="W116" s="110"/>
      <c r="X116" s="110"/>
      <c r="Y116" s="110"/>
    </row>
    <row r="117" ht="13.5" customHeight="1">
      <c r="A117" s="110"/>
      <c r="B117" s="143"/>
      <c r="C117" s="110"/>
      <c r="D117" s="111"/>
      <c r="E117" s="110"/>
      <c r="F117" s="110"/>
      <c r="G117" s="110"/>
      <c r="H117" s="110"/>
      <c r="I117" s="110"/>
      <c r="J117" s="110"/>
      <c r="K117" s="110"/>
      <c r="L117" s="110"/>
      <c r="M117" s="110"/>
      <c r="N117" s="110"/>
      <c r="O117" s="110"/>
      <c r="P117" s="110"/>
      <c r="Q117" s="110"/>
      <c r="R117" s="110"/>
      <c r="S117" s="110"/>
      <c r="T117" s="110"/>
      <c r="U117" s="110"/>
      <c r="V117" s="110"/>
      <c r="W117" s="110"/>
      <c r="X117" s="110"/>
      <c r="Y117" s="110"/>
    </row>
    <row r="118" ht="13.5" customHeight="1">
      <c r="A118" s="110"/>
      <c r="B118" s="143"/>
      <c r="C118" s="110"/>
      <c r="D118" s="111"/>
      <c r="E118" s="110"/>
      <c r="F118" s="110"/>
      <c r="G118" s="110"/>
      <c r="H118" s="110"/>
      <c r="I118" s="110"/>
      <c r="J118" s="110"/>
      <c r="K118" s="110"/>
      <c r="L118" s="110"/>
      <c r="M118" s="110"/>
      <c r="N118" s="110"/>
      <c r="O118" s="110"/>
      <c r="P118" s="110"/>
      <c r="Q118" s="110"/>
      <c r="R118" s="110"/>
      <c r="S118" s="110"/>
      <c r="T118" s="110"/>
      <c r="U118" s="110"/>
      <c r="V118" s="110"/>
      <c r="W118" s="110"/>
      <c r="X118" s="110"/>
      <c r="Y118" s="110"/>
    </row>
    <row r="119" ht="13.5" customHeight="1">
      <c r="A119" s="110"/>
      <c r="B119" s="143"/>
      <c r="C119" s="110"/>
      <c r="D119" s="111"/>
      <c r="E119" s="110"/>
      <c r="F119" s="110"/>
      <c r="G119" s="110"/>
      <c r="H119" s="110"/>
      <c r="I119" s="110"/>
      <c r="J119" s="110"/>
      <c r="K119" s="110"/>
      <c r="L119" s="110"/>
      <c r="M119" s="110"/>
      <c r="N119" s="110"/>
      <c r="O119" s="110"/>
      <c r="P119" s="110"/>
      <c r="Q119" s="110"/>
      <c r="R119" s="110"/>
      <c r="S119" s="110"/>
      <c r="T119" s="110"/>
      <c r="U119" s="110"/>
      <c r="V119" s="110"/>
      <c r="W119" s="110"/>
      <c r="X119" s="110"/>
      <c r="Y119" s="110"/>
    </row>
    <row r="120" ht="13.5" customHeight="1">
      <c r="A120" s="110"/>
      <c r="B120" s="143"/>
      <c r="C120" s="110"/>
      <c r="D120" s="111"/>
      <c r="E120" s="110"/>
      <c r="F120" s="110"/>
      <c r="G120" s="110"/>
      <c r="H120" s="110"/>
      <c r="I120" s="110"/>
      <c r="J120" s="110"/>
      <c r="K120" s="110"/>
      <c r="L120" s="110"/>
      <c r="M120" s="110"/>
      <c r="N120" s="110"/>
      <c r="O120" s="110"/>
      <c r="P120" s="110"/>
      <c r="Q120" s="110"/>
      <c r="R120" s="110"/>
      <c r="S120" s="110"/>
      <c r="T120" s="110"/>
      <c r="U120" s="110"/>
      <c r="V120" s="110"/>
      <c r="W120" s="110"/>
      <c r="X120" s="110"/>
      <c r="Y120" s="110"/>
    </row>
    <row r="121" ht="13.5" customHeight="1">
      <c r="A121" s="110"/>
      <c r="B121" s="143"/>
      <c r="C121" s="110"/>
      <c r="D121" s="111"/>
      <c r="E121" s="110"/>
      <c r="F121" s="110"/>
      <c r="G121" s="110"/>
      <c r="H121" s="110"/>
      <c r="I121" s="110"/>
      <c r="J121" s="110"/>
      <c r="K121" s="110"/>
      <c r="L121" s="110"/>
      <c r="M121" s="110"/>
      <c r="N121" s="110"/>
      <c r="O121" s="110"/>
      <c r="P121" s="110"/>
      <c r="Q121" s="110"/>
      <c r="R121" s="110"/>
      <c r="S121" s="110"/>
      <c r="T121" s="110"/>
      <c r="U121" s="110"/>
      <c r="V121" s="110"/>
      <c r="W121" s="110"/>
      <c r="X121" s="110"/>
      <c r="Y121" s="110"/>
    </row>
    <row r="122" ht="13.5" customHeight="1">
      <c r="A122" s="110"/>
      <c r="B122" s="143"/>
      <c r="C122" s="110"/>
      <c r="D122" s="111"/>
      <c r="E122" s="110"/>
      <c r="F122" s="110"/>
      <c r="G122" s="110"/>
      <c r="H122" s="110"/>
      <c r="I122" s="110"/>
      <c r="J122" s="110"/>
      <c r="K122" s="110"/>
      <c r="L122" s="110"/>
      <c r="M122" s="110"/>
      <c r="N122" s="110"/>
      <c r="O122" s="110"/>
      <c r="P122" s="110"/>
      <c r="Q122" s="110"/>
      <c r="R122" s="110"/>
      <c r="S122" s="110"/>
      <c r="T122" s="110"/>
      <c r="U122" s="110"/>
      <c r="V122" s="110"/>
      <c r="W122" s="110"/>
      <c r="X122" s="110"/>
      <c r="Y122" s="110"/>
    </row>
    <row r="123" ht="13.5" customHeight="1">
      <c r="A123" s="110"/>
      <c r="B123" s="143"/>
      <c r="C123" s="110"/>
      <c r="D123" s="111"/>
      <c r="E123" s="110"/>
      <c r="F123" s="110"/>
      <c r="G123" s="110"/>
      <c r="H123" s="110"/>
      <c r="I123" s="110"/>
      <c r="J123" s="110"/>
      <c r="K123" s="110"/>
      <c r="L123" s="110"/>
      <c r="M123" s="110"/>
      <c r="N123" s="110"/>
      <c r="O123" s="110"/>
      <c r="P123" s="110"/>
      <c r="Q123" s="110"/>
      <c r="R123" s="110"/>
      <c r="S123" s="110"/>
      <c r="T123" s="110"/>
      <c r="U123" s="110"/>
      <c r="V123" s="110"/>
      <c r="W123" s="110"/>
      <c r="X123" s="110"/>
      <c r="Y123" s="110"/>
    </row>
    <row r="124" ht="13.5" customHeight="1">
      <c r="A124" s="110"/>
      <c r="B124" s="143"/>
      <c r="C124" s="110"/>
      <c r="D124" s="111"/>
      <c r="E124" s="110"/>
      <c r="F124" s="110"/>
      <c r="G124" s="110"/>
      <c r="H124" s="110"/>
      <c r="I124" s="110"/>
      <c r="J124" s="110"/>
      <c r="K124" s="110"/>
      <c r="L124" s="110"/>
      <c r="M124" s="110"/>
      <c r="N124" s="110"/>
      <c r="O124" s="110"/>
      <c r="P124" s="110"/>
      <c r="Q124" s="110"/>
      <c r="R124" s="110"/>
      <c r="S124" s="110"/>
      <c r="T124" s="110"/>
      <c r="U124" s="110"/>
      <c r="V124" s="110"/>
      <c r="W124" s="110"/>
      <c r="X124" s="110"/>
      <c r="Y124" s="110"/>
    </row>
    <row r="125" ht="13.5" customHeight="1">
      <c r="A125" s="110"/>
      <c r="B125" s="143"/>
      <c r="C125" s="110"/>
      <c r="D125" s="111"/>
      <c r="E125" s="110"/>
      <c r="F125" s="110"/>
      <c r="G125" s="110"/>
      <c r="H125" s="110"/>
      <c r="I125" s="110"/>
      <c r="J125" s="110"/>
      <c r="K125" s="110"/>
      <c r="L125" s="110"/>
      <c r="M125" s="110"/>
      <c r="N125" s="110"/>
      <c r="O125" s="110"/>
      <c r="P125" s="110"/>
      <c r="Q125" s="110"/>
      <c r="R125" s="110"/>
      <c r="S125" s="110"/>
      <c r="T125" s="110"/>
      <c r="U125" s="110"/>
      <c r="V125" s="110"/>
      <c r="W125" s="110"/>
      <c r="X125" s="110"/>
      <c r="Y125" s="110"/>
    </row>
    <row r="126" ht="13.5" customHeight="1">
      <c r="A126" s="110"/>
      <c r="B126" s="143"/>
      <c r="C126" s="110"/>
      <c r="D126" s="111"/>
      <c r="E126" s="110"/>
      <c r="F126" s="110"/>
      <c r="G126" s="110"/>
      <c r="H126" s="110"/>
      <c r="I126" s="110"/>
      <c r="J126" s="110"/>
      <c r="K126" s="110"/>
      <c r="L126" s="110"/>
      <c r="M126" s="110"/>
      <c r="N126" s="110"/>
      <c r="O126" s="110"/>
      <c r="P126" s="110"/>
      <c r="Q126" s="110"/>
      <c r="R126" s="110"/>
      <c r="S126" s="110"/>
      <c r="T126" s="110"/>
      <c r="U126" s="110"/>
      <c r="V126" s="110"/>
      <c r="W126" s="110"/>
      <c r="X126" s="110"/>
      <c r="Y126" s="110"/>
    </row>
    <row r="127" ht="13.5" customHeight="1">
      <c r="A127" s="110"/>
      <c r="B127" s="143"/>
      <c r="C127" s="110"/>
      <c r="D127" s="111"/>
      <c r="E127" s="110"/>
      <c r="F127" s="110"/>
      <c r="G127" s="110"/>
      <c r="H127" s="110"/>
      <c r="I127" s="110"/>
      <c r="J127" s="110"/>
      <c r="K127" s="110"/>
      <c r="L127" s="110"/>
      <c r="M127" s="110"/>
      <c r="N127" s="110"/>
      <c r="O127" s="110"/>
      <c r="P127" s="110"/>
      <c r="Q127" s="110"/>
      <c r="R127" s="110"/>
      <c r="S127" s="110"/>
      <c r="T127" s="110"/>
      <c r="U127" s="110"/>
      <c r="V127" s="110"/>
      <c r="W127" s="110"/>
      <c r="X127" s="110"/>
      <c r="Y127" s="110"/>
    </row>
    <row r="128" ht="13.5" customHeight="1">
      <c r="A128" s="110"/>
      <c r="B128" s="143"/>
      <c r="C128" s="110"/>
      <c r="D128" s="111"/>
      <c r="E128" s="110"/>
      <c r="F128" s="110"/>
      <c r="G128" s="110"/>
      <c r="H128" s="110"/>
      <c r="I128" s="110"/>
      <c r="J128" s="110"/>
      <c r="K128" s="110"/>
      <c r="L128" s="110"/>
      <c r="M128" s="110"/>
      <c r="N128" s="110"/>
      <c r="O128" s="110"/>
      <c r="P128" s="110"/>
      <c r="Q128" s="110"/>
      <c r="R128" s="110"/>
      <c r="S128" s="110"/>
      <c r="T128" s="110"/>
      <c r="U128" s="110"/>
      <c r="V128" s="110"/>
      <c r="W128" s="110"/>
      <c r="X128" s="110"/>
      <c r="Y128" s="110"/>
    </row>
    <row r="129" ht="13.5" customHeight="1">
      <c r="A129" s="110"/>
      <c r="B129" s="143"/>
      <c r="C129" s="110"/>
      <c r="D129" s="111"/>
      <c r="E129" s="110"/>
      <c r="F129" s="110"/>
      <c r="G129" s="110"/>
      <c r="H129" s="110"/>
      <c r="I129" s="110"/>
      <c r="J129" s="110"/>
      <c r="K129" s="110"/>
      <c r="L129" s="110"/>
      <c r="M129" s="110"/>
      <c r="N129" s="110"/>
      <c r="O129" s="110"/>
      <c r="P129" s="110"/>
      <c r="Q129" s="110"/>
      <c r="R129" s="110"/>
      <c r="S129" s="110"/>
      <c r="T129" s="110"/>
      <c r="U129" s="110"/>
      <c r="V129" s="110"/>
      <c r="W129" s="110"/>
      <c r="X129" s="110"/>
      <c r="Y129" s="110"/>
    </row>
    <row r="130" ht="13.5" customHeight="1">
      <c r="A130" s="110"/>
      <c r="B130" s="143"/>
      <c r="C130" s="110"/>
      <c r="D130" s="111"/>
      <c r="E130" s="110"/>
      <c r="F130" s="110"/>
      <c r="G130" s="110"/>
      <c r="H130" s="110"/>
      <c r="I130" s="110"/>
      <c r="J130" s="110"/>
      <c r="K130" s="110"/>
      <c r="L130" s="110"/>
      <c r="M130" s="110"/>
      <c r="N130" s="110"/>
      <c r="O130" s="110"/>
      <c r="P130" s="110"/>
      <c r="Q130" s="110"/>
      <c r="R130" s="110"/>
      <c r="S130" s="110"/>
      <c r="T130" s="110"/>
      <c r="U130" s="110"/>
      <c r="V130" s="110"/>
      <c r="W130" s="110"/>
      <c r="X130" s="110"/>
      <c r="Y130" s="110"/>
    </row>
    <row r="131" ht="13.5" customHeight="1">
      <c r="A131" s="110"/>
      <c r="B131" s="143"/>
      <c r="C131" s="110"/>
      <c r="D131" s="111"/>
      <c r="E131" s="110"/>
      <c r="F131" s="110"/>
      <c r="G131" s="110"/>
      <c r="H131" s="110"/>
      <c r="I131" s="110"/>
      <c r="J131" s="110"/>
      <c r="K131" s="110"/>
      <c r="L131" s="110"/>
      <c r="M131" s="110"/>
      <c r="N131" s="110"/>
      <c r="O131" s="110"/>
      <c r="P131" s="110"/>
      <c r="Q131" s="110"/>
      <c r="R131" s="110"/>
      <c r="S131" s="110"/>
      <c r="T131" s="110"/>
      <c r="U131" s="110"/>
      <c r="V131" s="110"/>
      <c r="W131" s="110"/>
      <c r="X131" s="110"/>
      <c r="Y131" s="110"/>
    </row>
    <row r="132" ht="13.5" customHeight="1">
      <c r="A132" s="110"/>
      <c r="B132" s="143"/>
      <c r="C132" s="110"/>
      <c r="D132" s="111"/>
      <c r="E132" s="110"/>
      <c r="F132" s="110"/>
      <c r="G132" s="110"/>
      <c r="H132" s="110"/>
      <c r="I132" s="110"/>
      <c r="J132" s="110"/>
      <c r="K132" s="110"/>
      <c r="L132" s="110"/>
      <c r="M132" s="110"/>
      <c r="N132" s="110"/>
      <c r="O132" s="110"/>
      <c r="P132" s="110"/>
      <c r="Q132" s="110"/>
      <c r="R132" s="110"/>
      <c r="S132" s="110"/>
      <c r="T132" s="110"/>
      <c r="U132" s="110"/>
      <c r="V132" s="110"/>
      <c r="W132" s="110"/>
      <c r="X132" s="110"/>
      <c r="Y132" s="110"/>
    </row>
    <row r="133" ht="13.5" customHeight="1">
      <c r="A133" s="110"/>
      <c r="B133" s="143"/>
      <c r="C133" s="110"/>
      <c r="D133" s="111"/>
      <c r="E133" s="110"/>
      <c r="F133" s="110"/>
      <c r="G133" s="110"/>
      <c r="H133" s="110"/>
      <c r="I133" s="110"/>
      <c r="J133" s="110"/>
      <c r="K133" s="110"/>
      <c r="L133" s="110"/>
      <c r="M133" s="110"/>
      <c r="N133" s="110"/>
      <c r="O133" s="110"/>
      <c r="P133" s="110"/>
      <c r="Q133" s="110"/>
      <c r="R133" s="110"/>
      <c r="S133" s="110"/>
      <c r="T133" s="110"/>
      <c r="U133" s="110"/>
      <c r="V133" s="110"/>
      <c r="W133" s="110"/>
      <c r="X133" s="110"/>
      <c r="Y133" s="110"/>
    </row>
    <row r="134" ht="13.5" customHeight="1">
      <c r="A134" s="110"/>
      <c r="B134" s="143"/>
      <c r="C134" s="110"/>
      <c r="D134" s="111"/>
      <c r="E134" s="110"/>
      <c r="F134" s="110"/>
      <c r="G134" s="110"/>
      <c r="H134" s="110"/>
      <c r="I134" s="110"/>
      <c r="J134" s="110"/>
      <c r="K134" s="110"/>
      <c r="L134" s="110"/>
      <c r="M134" s="110"/>
      <c r="N134" s="110"/>
      <c r="O134" s="110"/>
      <c r="P134" s="110"/>
      <c r="Q134" s="110"/>
      <c r="R134" s="110"/>
      <c r="S134" s="110"/>
      <c r="T134" s="110"/>
      <c r="U134" s="110"/>
      <c r="V134" s="110"/>
      <c r="W134" s="110"/>
      <c r="X134" s="110"/>
      <c r="Y134" s="110"/>
    </row>
    <row r="135" ht="13.5" customHeight="1">
      <c r="A135" s="110"/>
      <c r="B135" s="143"/>
      <c r="C135" s="110"/>
      <c r="D135" s="111"/>
      <c r="E135" s="110"/>
      <c r="F135" s="110"/>
      <c r="G135" s="110"/>
      <c r="H135" s="110"/>
      <c r="I135" s="110"/>
      <c r="J135" s="110"/>
      <c r="K135" s="110"/>
      <c r="L135" s="110"/>
      <c r="M135" s="110"/>
      <c r="N135" s="110"/>
      <c r="O135" s="110"/>
      <c r="P135" s="110"/>
      <c r="Q135" s="110"/>
      <c r="R135" s="110"/>
      <c r="S135" s="110"/>
      <c r="T135" s="110"/>
      <c r="U135" s="110"/>
      <c r="V135" s="110"/>
      <c r="W135" s="110"/>
      <c r="X135" s="110"/>
      <c r="Y135" s="110"/>
    </row>
    <row r="136" ht="13.5" customHeight="1">
      <c r="A136" s="110"/>
      <c r="B136" s="143"/>
      <c r="C136" s="110"/>
      <c r="D136" s="111"/>
      <c r="E136" s="110"/>
      <c r="F136" s="110"/>
      <c r="G136" s="110"/>
      <c r="H136" s="110"/>
      <c r="I136" s="110"/>
      <c r="J136" s="110"/>
      <c r="K136" s="110"/>
      <c r="L136" s="110"/>
      <c r="M136" s="110"/>
      <c r="N136" s="110"/>
      <c r="O136" s="110"/>
      <c r="P136" s="110"/>
      <c r="Q136" s="110"/>
      <c r="R136" s="110"/>
      <c r="S136" s="110"/>
      <c r="T136" s="110"/>
      <c r="U136" s="110"/>
      <c r="V136" s="110"/>
      <c r="W136" s="110"/>
      <c r="X136" s="110"/>
      <c r="Y136" s="110"/>
    </row>
    <row r="137" ht="13.5" customHeight="1">
      <c r="A137" s="110"/>
      <c r="B137" s="143"/>
      <c r="C137" s="110"/>
      <c r="D137" s="111"/>
      <c r="E137" s="110"/>
      <c r="F137" s="110"/>
      <c r="G137" s="110"/>
      <c r="H137" s="110"/>
      <c r="I137" s="110"/>
      <c r="J137" s="110"/>
      <c r="K137" s="110"/>
      <c r="L137" s="110"/>
      <c r="M137" s="110"/>
      <c r="N137" s="110"/>
      <c r="O137" s="110"/>
      <c r="P137" s="110"/>
      <c r="Q137" s="110"/>
      <c r="R137" s="110"/>
      <c r="S137" s="110"/>
      <c r="T137" s="110"/>
      <c r="U137" s="110"/>
      <c r="V137" s="110"/>
      <c r="W137" s="110"/>
      <c r="X137" s="110"/>
      <c r="Y137" s="110"/>
    </row>
    <row r="138" ht="13.5" customHeight="1">
      <c r="A138" s="110"/>
      <c r="B138" s="143"/>
      <c r="C138" s="110"/>
      <c r="D138" s="111"/>
      <c r="E138" s="110"/>
      <c r="F138" s="110"/>
      <c r="G138" s="110"/>
      <c r="H138" s="110"/>
      <c r="I138" s="110"/>
      <c r="J138" s="110"/>
      <c r="K138" s="110"/>
      <c r="L138" s="110"/>
      <c r="M138" s="110"/>
      <c r="N138" s="110"/>
      <c r="O138" s="110"/>
      <c r="P138" s="110"/>
      <c r="Q138" s="110"/>
      <c r="R138" s="110"/>
      <c r="S138" s="110"/>
      <c r="T138" s="110"/>
      <c r="U138" s="110"/>
      <c r="V138" s="110"/>
      <c r="W138" s="110"/>
      <c r="X138" s="110"/>
      <c r="Y138" s="110"/>
    </row>
    <row r="139" ht="13.5" customHeight="1">
      <c r="A139" s="110"/>
      <c r="B139" s="143"/>
      <c r="C139" s="110"/>
      <c r="D139" s="111"/>
      <c r="E139" s="110"/>
      <c r="F139" s="110"/>
      <c r="G139" s="110"/>
      <c r="H139" s="110"/>
      <c r="I139" s="110"/>
      <c r="J139" s="110"/>
      <c r="K139" s="110"/>
      <c r="L139" s="110"/>
      <c r="M139" s="110"/>
      <c r="N139" s="110"/>
      <c r="O139" s="110"/>
      <c r="P139" s="110"/>
      <c r="Q139" s="110"/>
      <c r="R139" s="110"/>
      <c r="S139" s="110"/>
      <c r="T139" s="110"/>
      <c r="U139" s="110"/>
      <c r="V139" s="110"/>
      <c r="W139" s="110"/>
      <c r="X139" s="110"/>
      <c r="Y139" s="110"/>
    </row>
    <row r="140" ht="13.5" customHeight="1">
      <c r="A140" s="110"/>
      <c r="B140" s="143"/>
      <c r="C140" s="110"/>
      <c r="D140" s="111"/>
      <c r="E140" s="110"/>
      <c r="F140" s="110"/>
      <c r="G140" s="110"/>
      <c r="H140" s="110"/>
      <c r="I140" s="110"/>
      <c r="J140" s="110"/>
      <c r="K140" s="110"/>
      <c r="L140" s="110"/>
      <c r="M140" s="110"/>
      <c r="N140" s="110"/>
      <c r="O140" s="110"/>
      <c r="P140" s="110"/>
      <c r="Q140" s="110"/>
      <c r="R140" s="110"/>
      <c r="S140" s="110"/>
      <c r="T140" s="110"/>
      <c r="U140" s="110"/>
      <c r="V140" s="110"/>
      <c r="W140" s="110"/>
      <c r="X140" s="110"/>
      <c r="Y140" s="110"/>
    </row>
    <row r="141" ht="13.5" customHeight="1">
      <c r="A141" s="110"/>
      <c r="B141" s="143"/>
      <c r="C141" s="110"/>
      <c r="D141" s="111"/>
      <c r="E141" s="110"/>
      <c r="F141" s="110"/>
      <c r="G141" s="110"/>
      <c r="H141" s="110"/>
      <c r="I141" s="110"/>
      <c r="J141" s="110"/>
      <c r="K141" s="110"/>
      <c r="L141" s="110"/>
      <c r="M141" s="110"/>
      <c r="N141" s="110"/>
      <c r="O141" s="110"/>
      <c r="P141" s="110"/>
      <c r="Q141" s="110"/>
      <c r="R141" s="110"/>
      <c r="S141" s="110"/>
      <c r="T141" s="110"/>
      <c r="U141" s="110"/>
      <c r="V141" s="110"/>
      <c r="W141" s="110"/>
      <c r="X141" s="110"/>
      <c r="Y141" s="110"/>
    </row>
    <row r="142" ht="13.5" customHeight="1">
      <c r="A142" s="110"/>
      <c r="B142" s="143"/>
      <c r="C142" s="110"/>
      <c r="D142" s="111"/>
      <c r="E142" s="110"/>
      <c r="F142" s="110"/>
      <c r="G142" s="110"/>
      <c r="H142" s="110"/>
      <c r="I142" s="110"/>
      <c r="J142" s="110"/>
      <c r="K142" s="110"/>
      <c r="L142" s="110"/>
      <c r="M142" s="110"/>
      <c r="N142" s="110"/>
      <c r="O142" s="110"/>
      <c r="P142" s="110"/>
      <c r="Q142" s="110"/>
      <c r="R142" s="110"/>
      <c r="S142" s="110"/>
      <c r="T142" s="110"/>
      <c r="U142" s="110"/>
      <c r="V142" s="110"/>
      <c r="W142" s="110"/>
      <c r="X142" s="110"/>
      <c r="Y142" s="110"/>
    </row>
    <row r="143" ht="13.5" customHeight="1">
      <c r="A143" s="110"/>
      <c r="B143" s="143"/>
      <c r="C143" s="110"/>
      <c r="D143" s="111"/>
      <c r="E143" s="110"/>
      <c r="F143" s="110"/>
      <c r="G143" s="110"/>
      <c r="H143" s="110"/>
      <c r="I143" s="110"/>
      <c r="J143" s="110"/>
      <c r="K143" s="110"/>
      <c r="L143" s="110"/>
      <c r="M143" s="110"/>
      <c r="N143" s="110"/>
      <c r="O143" s="110"/>
      <c r="P143" s="110"/>
      <c r="Q143" s="110"/>
      <c r="R143" s="110"/>
      <c r="S143" s="110"/>
      <c r="T143" s="110"/>
      <c r="U143" s="110"/>
      <c r="V143" s="110"/>
      <c r="W143" s="110"/>
      <c r="X143" s="110"/>
      <c r="Y143" s="110"/>
    </row>
    <row r="144" ht="13.5" customHeight="1">
      <c r="A144" s="110"/>
      <c r="B144" s="143"/>
      <c r="C144" s="110"/>
      <c r="D144" s="111"/>
      <c r="E144" s="110"/>
      <c r="F144" s="110"/>
      <c r="G144" s="110"/>
      <c r="H144" s="110"/>
      <c r="I144" s="110"/>
      <c r="J144" s="110"/>
      <c r="K144" s="110"/>
      <c r="L144" s="110"/>
      <c r="M144" s="110"/>
      <c r="N144" s="110"/>
      <c r="O144" s="110"/>
      <c r="P144" s="110"/>
      <c r="Q144" s="110"/>
      <c r="R144" s="110"/>
      <c r="S144" s="110"/>
      <c r="T144" s="110"/>
      <c r="U144" s="110"/>
      <c r="V144" s="110"/>
      <c r="W144" s="110"/>
      <c r="X144" s="110"/>
      <c r="Y144" s="110"/>
    </row>
    <row r="145" ht="13.5" customHeight="1">
      <c r="A145" s="110"/>
      <c r="B145" s="143"/>
      <c r="C145" s="110"/>
      <c r="D145" s="111"/>
      <c r="E145" s="110"/>
      <c r="F145" s="110"/>
      <c r="G145" s="110"/>
      <c r="H145" s="110"/>
      <c r="I145" s="110"/>
      <c r="J145" s="110"/>
      <c r="K145" s="110"/>
      <c r="L145" s="110"/>
      <c r="M145" s="110"/>
      <c r="N145" s="110"/>
      <c r="O145" s="110"/>
      <c r="P145" s="110"/>
      <c r="Q145" s="110"/>
      <c r="R145" s="110"/>
      <c r="S145" s="110"/>
      <c r="T145" s="110"/>
      <c r="U145" s="110"/>
      <c r="V145" s="110"/>
      <c r="W145" s="110"/>
      <c r="X145" s="110"/>
      <c r="Y145" s="110"/>
    </row>
    <row r="146" ht="13.5" customHeight="1">
      <c r="A146" s="110"/>
      <c r="B146" s="143"/>
      <c r="C146" s="110"/>
      <c r="D146" s="111"/>
      <c r="E146" s="110"/>
      <c r="F146" s="110"/>
      <c r="G146" s="110"/>
      <c r="H146" s="110"/>
      <c r="I146" s="110"/>
      <c r="J146" s="110"/>
      <c r="K146" s="110"/>
      <c r="L146" s="110"/>
      <c r="M146" s="110"/>
      <c r="N146" s="110"/>
      <c r="O146" s="110"/>
      <c r="P146" s="110"/>
      <c r="Q146" s="110"/>
      <c r="R146" s="110"/>
      <c r="S146" s="110"/>
      <c r="T146" s="110"/>
      <c r="U146" s="110"/>
      <c r="V146" s="110"/>
      <c r="W146" s="110"/>
      <c r="X146" s="110"/>
      <c r="Y146" s="110"/>
    </row>
    <row r="147" ht="13.5" customHeight="1">
      <c r="A147" s="110"/>
      <c r="B147" s="143"/>
      <c r="C147" s="110"/>
      <c r="D147" s="111"/>
      <c r="E147" s="110"/>
      <c r="F147" s="110"/>
      <c r="G147" s="110"/>
      <c r="H147" s="110"/>
      <c r="I147" s="110"/>
      <c r="J147" s="110"/>
      <c r="K147" s="110"/>
      <c r="L147" s="110"/>
      <c r="M147" s="110"/>
      <c r="N147" s="110"/>
      <c r="O147" s="110"/>
      <c r="P147" s="110"/>
      <c r="Q147" s="110"/>
      <c r="R147" s="110"/>
      <c r="S147" s="110"/>
      <c r="T147" s="110"/>
      <c r="U147" s="110"/>
      <c r="V147" s="110"/>
      <c r="W147" s="110"/>
      <c r="X147" s="110"/>
      <c r="Y147" s="110"/>
    </row>
    <row r="148" ht="13.5" customHeight="1">
      <c r="A148" s="110"/>
      <c r="B148" s="143"/>
      <c r="C148" s="110"/>
      <c r="D148" s="111"/>
      <c r="E148" s="110"/>
      <c r="F148" s="110"/>
      <c r="G148" s="110"/>
      <c r="H148" s="110"/>
      <c r="I148" s="110"/>
      <c r="J148" s="110"/>
      <c r="K148" s="110"/>
      <c r="L148" s="110"/>
      <c r="M148" s="110"/>
      <c r="N148" s="110"/>
      <c r="O148" s="110"/>
      <c r="P148" s="110"/>
      <c r="Q148" s="110"/>
      <c r="R148" s="110"/>
      <c r="S148" s="110"/>
      <c r="T148" s="110"/>
      <c r="U148" s="110"/>
      <c r="V148" s="110"/>
      <c r="W148" s="110"/>
      <c r="X148" s="110"/>
      <c r="Y148" s="110"/>
    </row>
    <row r="149" ht="13.5" customHeight="1">
      <c r="A149" s="110"/>
      <c r="B149" s="143"/>
      <c r="C149" s="110"/>
      <c r="D149" s="111"/>
      <c r="E149" s="110"/>
      <c r="F149" s="110"/>
      <c r="G149" s="110"/>
      <c r="H149" s="110"/>
      <c r="I149" s="110"/>
      <c r="J149" s="110"/>
      <c r="K149" s="110"/>
      <c r="L149" s="110"/>
      <c r="M149" s="110"/>
      <c r="N149" s="110"/>
      <c r="O149" s="110"/>
      <c r="P149" s="110"/>
      <c r="Q149" s="110"/>
      <c r="R149" s="110"/>
      <c r="S149" s="110"/>
      <c r="T149" s="110"/>
      <c r="U149" s="110"/>
      <c r="V149" s="110"/>
      <c r="W149" s="110"/>
      <c r="X149" s="110"/>
      <c r="Y149" s="110"/>
    </row>
    <row r="150" ht="13.5" customHeight="1">
      <c r="A150" s="110"/>
      <c r="B150" s="143"/>
      <c r="C150" s="110"/>
      <c r="D150" s="111"/>
      <c r="E150" s="110"/>
      <c r="F150" s="110"/>
      <c r="G150" s="110"/>
      <c r="H150" s="110"/>
      <c r="I150" s="110"/>
      <c r="J150" s="110"/>
      <c r="K150" s="110"/>
      <c r="L150" s="110"/>
      <c r="M150" s="110"/>
      <c r="N150" s="110"/>
      <c r="O150" s="110"/>
      <c r="P150" s="110"/>
      <c r="Q150" s="110"/>
      <c r="R150" s="110"/>
      <c r="S150" s="110"/>
      <c r="T150" s="110"/>
      <c r="U150" s="110"/>
      <c r="V150" s="110"/>
      <c r="W150" s="110"/>
      <c r="X150" s="110"/>
      <c r="Y150" s="110"/>
    </row>
    <row r="151" ht="13.5" customHeight="1">
      <c r="A151" s="110"/>
      <c r="B151" s="143"/>
      <c r="C151" s="110"/>
      <c r="D151" s="111"/>
      <c r="E151" s="110"/>
      <c r="F151" s="110"/>
      <c r="G151" s="110"/>
      <c r="H151" s="110"/>
      <c r="I151" s="110"/>
      <c r="J151" s="110"/>
      <c r="K151" s="110"/>
      <c r="L151" s="110"/>
      <c r="M151" s="110"/>
      <c r="N151" s="110"/>
      <c r="O151" s="110"/>
      <c r="P151" s="110"/>
      <c r="Q151" s="110"/>
      <c r="R151" s="110"/>
      <c r="S151" s="110"/>
      <c r="T151" s="110"/>
      <c r="U151" s="110"/>
      <c r="V151" s="110"/>
      <c r="W151" s="110"/>
      <c r="X151" s="110"/>
      <c r="Y151" s="110"/>
    </row>
    <row r="152" ht="13.5" customHeight="1">
      <c r="A152" s="110"/>
      <c r="B152" s="143"/>
      <c r="C152" s="110"/>
      <c r="D152" s="111"/>
      <c r="E152" s="110"/>
      <c r="F152" s="110"/>
      <c r="G152" s="110"/>
      <c r="H152" s="110"/>
      <c r="I152" s="110"/>
      <c r="J152" s="110"/>
      <c r="K152" s="110"/>
      <c r="L152" s="110"/>
      <c r="M152" s="110"/>
      <c r="N152" s="110"/>
      <c r="O152" s="110"/>
      <c r="P152" s="110"/>
      <c r="Q152" s="110"/>
      <c r="R152" s="110"/>
      <c r="S152" s="110"/>
      <c r="T152" s="110"/>
      <c r="U152" s="110"/>
      <c r="V152" s="110"/>
      <c r="W152" s="110"/>
      <c r="X152" s="110"/>
      <c r="Y152" s="110"/>
    </row>
    <row r="153" ht="13.5" customHeight="1">
      <c r="A153" s="110"/>
      <c r="B153" s="143"/>
      <c r="C153" s="110"/>
      <c r="D153" s="111"/>
      <c r="E153" s="110"/>
      <c r="F153" s="110"/>
      <c r="G153" s="110"/>
      <c r="H153" s="110"/>
      <c r="I153" s="110"/>
      <c r="J153" s="110"/>
      <c r="K153" s="110"/>
      <c r="L153" s="110"/>
      <c r="M153" s="110"/>
      <c r="N153" s="110"/>
      <c r="O153" s="110"/>
      <c r="P153" s="110"/>
      <c r="Q153" s="110"/>
      <c r="R153" s="110"/>
      <c r="S153" s="110"/>
      <c r="T153" s="110"/>
      <c r="U153" s="110"/>
      <c r="V153" s="110"/>
      <c r="W153" s="110"/>
      <c r="X153" s="110"/>
      <c r="Y153" s="110"/>
    </row>
    <row r="154" ht="13.5" customHeight="1">
      <c r="A154" s="110"/>
      <c r="B154" s="143"/>
      <c r="C154" s="110"/>
      <c r="D154" s="111"/>
      <c r="E154" s="110"/>
      <c r="F154" s="110"/>
      <c r="G154" s="110"/>
      <c r="H154" s="110"/>
      <c r="I154" s="110"/>
      <c r="J154" s="110"/>
      <c r="K154" s="110"/>
      <c r="L154" s="110"/>
      <c r="M154" s="110"/>
      <c r="N154" s="110"/>
      <c r="O154" s="110"/>
      <c r="P154" s="110"/>
      <c r="Q154" s="110"/>
      <c r="R154" s="110"/>
      <c r="S154" s="110"/>
      <c r="T154" s="110"/>
      <c r="U154" s="110"/>
      <c r="V154" s="110"/>
      <c r="W154" s="110"/>
      <c r="X154" s="110"/>
      <c r="Y154" s="110"/>
    </row>
    <row r="155" ht="13.5" customHeight="1">
      <c r="A155" s="110"/>
      <c r="B155" s="143"/>
      <c r="C155" s="110"/>
      <c r="D155" s="111"/>
      <c r="E155" s="110"/>
      <c r="F155" s="110"/>
      <c r="G155" s="110"/>
      <c r="H155" s="110"/>
      <c r="I155" s="110"/>
      <c r="J155" s="110"/>
      <c r="K155" s="110"/>
      <c r="L155" s="110"/>
      <c r="M155" s="110"/>
      <c r="N155" s="110"/>
      <c r="O155" s="110"/>
      <c r="P155" s="110"/>
      <c r="Q155" s="110"/>
      <c r="R155" s="110"/>
      <c r="S155" s="110"/>
      <c r="T155" s="110"/>
      <c r="U155" s="110"/>
      <c r="V155" s="110"/>
      <c r="W155" s="110"/>
      <c r="X155" s="110"/>
      <c r="Y155" s="110"/>
    </row>
    <row r="156" ht="13.5" customHeight="1">
      <c r="A156" s="110"/>
      <c r="B156" s="143"/>
      <c r="C156" s="110"/>
      <c r="D156" s="111"/>
      <c r="E156" s="110"/>
      <c r="F156" s="110"/>
      <c r="G156" s="110"/>
      <c r="H156" s="110"/>
      <c r="I156" s="110"/>
      <c r="J156" s="110"/>
      <c r="K156" s="110"/>
      <c r="L156" s="110"/>
      <c r="M156" s="110"/>
      <c r="N156" s="110"/>
      <c r="O156" s="110"/>
      <c r="P156" s="110"/>
      <c r="Q156" s="110"/>
      <c r="R156" s="110"/>
      <c r="S156" s="110"/>
      <c r="T156" s="110"/>
      <c r="U156" s="110"/>
      <c r="V156" s="110"/>
      <c r="W156" s="110"/>
      <c r="X156" s="110"/>
      <c r="Y156" s="110"/>
    </row>
    <row r="157" ht="13.5" customHeight="1">
      <c r="A157" s="110"/>
      <c r="B157" s="143"/>
      <c r="C157" s="110"/>
      <c r="D157" s="111"/>
      <c r="E157" s="110"/>
      <c r="F157" s="110"/>
      <c r="G157" s="110"/>
      <c r="H157" s="110"/>
      <c r="I157" s="110"/>
      <c r="J157" s="110"/>
      <c r="K157" s="110"/>
      <c r="L157" s="110"/>
      <c r="M157" s="110"/>
      <c r="N157" s="110"/>
      <c r="O157" s="110"/>
      <c r="P157" s="110"/>
      <c r="Q157" s="110"/>
      <c r="R157" s="110"/>
      <c r="S157" s="110"/>
      <c r="T157" s="110"/>
      <c r="U157" s="110"/>
      <c r="V157" s="110"/>
      <c r="W157" s="110"/>
      <c r="X157" s="110"/>
      <c r="Y157" s="110"/>
    </row>
    <row r="158" ht="13.5" customHeight="1">
      <c r="A158" s="110"/>
      <c r="B158" s="143"/>
      <c r="C158" s="110"/>
      <c r="D158" s="111"/>
      <c r="E158" s="110"/>
      <c r="F158" s="110"/>
      <c r="G158" s="110"/>
      <c r="H158" s="110"/>
      <c r="I158" s="110"/>
      <c r="J158" s="110"/>
      <c r="K158" s="110"/>
      <c r="L158" s="110"/>
      <c r="M158" s="110"/>
      <c r="N158" s="110"/>
      <c r="O158" s="110"/>
      <c r="P158" s="110"/>
      <c r="Q158" s="110"/>
      <c r="R158" s="110"/>
      <c r="S158" s="110"/>
      <c r="T158" s="110"/>
      <c r="U158" s="110"/>
      <c r="V158" s="110"/>
      <c r="W158" s="110"/>
      <c r="X158" s="110"/>
      <c r="Y158" s="110"/>
    </row>
    <row r="159" ht="13.5" customHeight="1">
      <c r="A159" s="110"/>
      <c r="B159" s="143"/>
      <c r="C159" s="110"/>
      <c r="D159" s="111"/>
      <c r="E159" s="110"/>
      <c r="F159" s="110"/>
      <c r="G159" s="110"/>
      <c r="H159" s="110"/>
      <c r="I159" s="110"/>
      <c r="J159" s="110"/>
      <c r="K159" s="110"/>
      <c r="L159" s="110"/>
      <c r="M159" s="110"/>
      <c r="N159" s="110"/>
      <c r="O159" s="110"/>
      <c r="P159" s="110"/>
      <c r="Q159" s="110"/>
      <c r="R159" s="110"/>
      <c r="S159" s="110"/>
      <c r="T159" s="110"/>
      <c r="U159" s="110"/>
      <c r="V159" s="110"/>
      <c r="W159" s="110"/>
      <c r="X159" s="110"/>
      <c r="Y159" s="110"/>
    </row>
    <row r="160" ht="13.5" customHeight="1">
      <c r="A160" s="110"/>
      <c r="B160" s="143"/>
      <c r="C160" s="110"/>
      <c r="D160" s="111"/>
      <c r="E160" s="110"/>
      <c r="F160" s="110"/>
      <c r="G160" s="110"/>
      <c r="H160" s="110"/>
      <c r="I160" s="110"/>
      <c r="J160" s="110"/>
      <c r="K160" s="110"/>
      <c r="L160" s="110"/>
      <c r="M160" s="110"/>
      <c r="N160" s="110"/>
      <c r="O160" s="110"/>
      <c r="P160" s="110"/>
      <c r="Q160" s="110"/>
      <c r="R160" s="110"/>
      <c r="S160" s="110"/>
      <c r="T160" s="110"/>
      <c r="U160" s="110"/>
      <c r="V160" s="110"/>
      <c r="W160" s="110"/>
      <c r="X160" s="110"/>
      <c r="Y160" s="110"/>
    </row>
    <row r="161" ht="13.5" customHeight="1">
      <c r="A161" s="110"/>
      <c r="B161" s="143"/>
      <c r="C161" s="110"/>
      <c r="D161" s="111"/>
      <c r="E161" s="110"/>
      <c r="F161" s="110"/>
      <c r="G161" s="110"/>
      <c r="H161" s="110"/>
      <c r="I161" s="110"/>
      <c r="J161" s="110"/>
      <c r="K161" s="110"/>
      <c r="L161" s="110"/>
      <c r="M161" s="110"/>
      <c r="N161" s="110"/>
      <c r="O161" s="110"/>
      <c r="P161" s="110"/>
      <c r="Q161" s="110"/>
      <c r="R161" s="110"/>
      <c r="S161" s="110"/>
      <c r="T161" s="110"/>
      <c r="U161" s="110"/>
      <c r="V161" s="110"/>
      <c r="W161" s="110"/>
      <c r="X161" s="110"/>
      <c r="Y161" s="110"/>
    </row>
    <row r="162" ht="13.5" customHeight="1">
      <c r="A162" s="110"/>
      <c r="B162" s="143"/>
      <c r="C162" s="110"/>
      <c r="D162" s="111"/>
      <c r="E162" s="110"/>
      <c r="F162" s="110"/>
      <c r="G162" s="110"/>
      <c r="H162" s="110"/>
      <c r="I162" s="110"/>
      <c r="J162" s="110"/>
      <c r="K162" s="110"/>
      <c r="L162" s="110"/>
      <c r="M162" s="110"/>
      <c r="N162" s="110"/>
      <c r="O162" s="110"/>
      <c r="P162" s="110"/>
      <c r="Q162" s="110"/>
      <c r="R162" s="110"/>
      <c r="S162" s="110"/>
      <c r="T162" s="110"/>
      <c r="U162" s="110"/>
      <c r="V162" s="110"/>
      <c r="W162" s="110"/>
      <c r="X162" s="110"/>
      <c r="Y162" s="110"/>
    </row>
    <row r="163" ht="13.5" customHeight="1">
      <c r="A163" s="110"/>
      <c r="B163" s="143"/>
      <c r="C163" s="110"/>
      <c r="D163" s="111"/>
      <c r="E163" s="110"/>
      <c r="F163" s="110"/>
      <c r="G163" s="110"/>
      <c r="H163" s="110"/>
      <c r="I163" s="110"/>
      <c r="J163" s="110"/>
      <c r="K163" s="110"/>
      <c r="L163" s="110"/>
      <c r="M163" s="110"/>
      <c r="N163" s="110"/>
      <c r="O163" s="110"/>
      <c r="P163" s="110"/>
      <c r="Q163" s="110"/>
      <c r="R163" s="110"/>
      <c r="S163" s="110"/>
      <c r="T163" s="110"/>
      <c r="U163" s="110"/>
      <c r="V163" s="110"/>
      <c r="W163" s="110"/>
      <c r="X163" s="110"/>
      <c r="Y163" s="110"/>
    </row>
    <row r="164" ht="13.5" customHeight="1">
      <c r="A164" s="110"/>
      <c r="B164" s="143"/>
      <c r="C164" s="110"/>
      <c r="D164" s="111"/>
      <c r="E164" s="110"/>
      <c r="F164" s="110"/>
      <c r="G164" s="110"/>
      <c r="H164" s="110"/>
      <c r="I164" s="110"/>
      <c r="J164" s="110"/>
      <c r="K164" s="110"/>
      <c r="L164" s="110"/>
      <c r="M164" s="110"/>
      <c r="N164" s="110"/>
      <c r="O164" s="110"/>
      <c r="P164" s="110"/>
      <c r="Q164" s="110"/>
      <c r="R164" s="110"/>
      <c r="S164" s="110"/>
      <c r="T164" s="110"/>
      <c r="U164" s="110"/>
      <c r="V164" s="110"/>
      <c r="W164" s="110"/>
      <c r="X164" s="110"/>
      <c r="Y164" s="110"/>
    </row>
    <row r="165" ht="13.5" customHeight="1">
      <c r="A165" s="110"/>
      <c r="B165" s="143"/>
      <c r="C165" s="110"/>
      <c r="D165" s="111"/>
      <c r="E165" s="110"/>
      <c r="F165" s="110"/>
      <c r="G165" s="110"/>
      <c r="H165" s="110"/>
      <c r="I165" s="110"/>
      <c r="J165" s="110"/>
      <c r="K165" s="110"/>
      <c r="L165" s="110"/>
      <c r="M165" s="110"/>
      <c r="N165" s="110"/>
      <c r="O165" s="110"/>
      <c r="P165" s="110"/>
      <c r="Q165" s="110"/>
      <c r="R165" s="110"/>
      <c r="S165" s="110"/>
      <c r="T165" s="110"/>
      <c r="U165" s="110"/>
      <c r="V165" s="110"/>
      <c r="W165" s="110"/>
      <c r="X165" s="110"/>
      <c r="Y165" s="110"/>
    </row>
    <row r="166" ht="13.5" customHeight="1">
      <c r="A166" s="110"/>
      <c r="B166" s="143"/>
      <c r="C166" s="110"/>
      <c r="D166" s="111"/>
      <c r="E166" s="110"/>
      <c r="F166" s="110"/>
      <c r="G166" s="110"/>
      <c r="H166" s="110"/>
      <c r="I166" s="110"/>
      <c r="J166" s="110"/>
      <c r="K166" s="110"/>
      <c r="L166" s="110"/>
      <c r="M166" s="110"/>
      <c r="N166" s="110"/>
      <c r="O166" s="110"/>
      <c r="P166" s="110"/>
      <c r="Q166" s="110"/>
      <c r="R166" s="110"/>
      <c r="S166" s="110"/>
      <c r="T166" s="110"/>
      <c r="U166" s="110"/>
      <c r="V166" s="110"/>
      <c r="W166" s="110"/>
      <c r="X166" s="110"/>
      <c r="Y166" s="110"/>
    </row>
    <row r="167" ht="13.5" customHeight="1">
      <c r="A167" s="110"/>
      <c r="B167" s="143"/>
      <c r="C167" s="110"/>
      <c r="D167" s="111"/>
      <c r="E167" s="110"/>
      <c r="F167" s="110"/>
      <c r="G167" s="110"/>
      <c r="H167" s="110"/>
      <c r="I167" s="110"/>
      <c r="J167" s="110"/>
      <c r="K167" s="110"/>
      <c r="L167" s="110"/>
      <c r="M167" s="110"/>
      <c r="N167" s="110"/>
      <c r="O167" s="110"/>
      <c r="P167" s="110"/>
      <c r="Q167" s="110"/>
      <c r="R167" s="110"/>
      <c r="S167" s="110"/>
      <c r="T167" s="110"/>
      <c r="U167" s="110"/>
      <c r="V167" s="110"/>
      <c r="W167" s="110"/>
      <c r="X167" s="110"/>
      <c r="Y167" s="110"/>
    </row>
    <row r="168" ht="13.5" customHeight="1">
      <c r="A168" s="110"/>
      <c r="B168" s="143"/>
      <c r="C168" s="110"/>
      <c r="D168" s="111"/>
      <c r="E168" s="110"/>
      <c r="F168" s="110"/>
      <c r="G168" s="110"/>
      <c r="H168" s="110"/>
      <c r="I168" s="110"/>
      <c r="J168" s="110"/>
      <c r="K168" s="110"/>
      <c r="L168" s="110"/>
      <c r="M168" s="110"/>
      <c r="N168" s="110"/>
      <c r="O168" s="110"/>
      <c r="P168" s="110"/>
      <c r="Q168" s="110"/>
      <c r="R168" s="110"/>
      <c r="S168" s="110"/>
      <c r="T168" s="110"/>
      <c r="U168" s="110"/>
      <c r="V168" s="110"/>
      <c r="W168" s="110"/>
      <c r="X168" s="110"/>
      <c r="Y168" s="110"/>
    </row>
    <row r="169" ht="13.5" customHeight="1">
      <c r="A169" s="110"/>
      <c r="B169" s="143"/>
      <c r="C169" s="110"/>
      <c r="D169" s="111"/>
      <c r="E169" s="110"/>
      <c r="F169" s="110"/>
      <c r="G169" s="110"/>
      <c r="H169" s="110"/>
      <c r="I169" s="110"/>
      <c r="J169" s="110"/>
      <c r="K169" s="110"/>
      <c r="L169" s="110"/>
      <c r="M169" s="110"/>
      <c r="N169" s="110"/>
      <c r="O169" s="110"/>
      <c r="P169" s="110"/>
      <c r="Q169" s="110"/>
      <c r="R169" s="110"/>
      <c r="S169" s="110"/>
      <c r="T169" s="110"/>
      <c r="U169" s="110"/>
      <c r="V169" s="110"/>
      <c r="W169" s="110"/>
      <c r="X169" s="110"/>
      <c r="Y169" s="110"/>
    </row>
    <row r="170" ht="13.5" customHeight="1">
      <c r="A170" s="110"/>
      <c r="B170" s="143"/>
      <c r="C170" s="110"/>
      <c r="D170" s="111"/>
      <c r="E170" s="110"/>
      <c r="F170" s="110"/>
      <c r="G170" s="110"/>
      <c r="H170" s="110"/>
      <c r="I170" s="110"/>
      <c r="J170" s="110"/>
      <c r="K170" s="110"/>
      <c r="L170" s="110"/>
      <c r="M170" s="110"/>
      <c r="N170" s="110"/>
      <c r="O170" s="110"/>
      <c r="P170" s="110"/>
      <c r="Q170" s="110"/>
      <c r="R170" s="110"/>
      <c r="S170" s="110"/>
      <c r="T170" s="110"/>
      <c r="U170" s="110"/>
      <c r="V170" s="110"/>
      <c r="W170" s="110"/>
      <c r="X170" s="110"/>
      <c r="Y170" s="110"/>
    </row>
    <row r="171" ht="13.5" customHeight="1">
      <c r="A171" s="110"/>
      <c r="B171" s="143"/>
      <c r="C171" s="110"/>
      <c r="D171" s="111"/>
      <c r="E171" s="110"/>
      <c r="F171" s="110"/>
      <c r="G171" s="110"/>
      <c r="H171" s="110"/>
      <c r="I171" s="110"/>
      <c r="J171" s="110"/>
      <c r="K171" s="110"/>
      <c r="L171" s="110"/>
      <c r="M171" s="110"/>
      <c r="N171" s="110"/>
      <c r="O171" s="110"/>
      <c r="P171" s="110"/>
      <c r="Q171" s="110"/>
      <c r="R171" s="110"/>
      <c r="S171" s="110"/>
      <c r="T171" s="110"/>
      <c r="U171" s="110"/>
      <c r="V171" s="110"/>
      <c r="W171" s="110"/>
      <c r="X171" s="110"/>
      <c r="Y171" s="110"/>
    </row>
    <row r="172" ht="13.5" customHeight="1">
      <c r="A172" s="110"/>
      <c r="B172" s="143"/>
      <c r="C172" s="110"/>
      <c r="D172" s="111"/>
      <c r="E172" s="110"/>
      <c r="F172" s="110"/>
      <c r="G172" s="110"/>
      <c r="H172" s="110"/>
      <c r="I172" s="110"/>
      <c r="J172" s="110"/>
      <c r="K172" s="110"/>
      <c r="L172" s="110"/>
      <c r="M172" s="110"/>
      <c r="N172" s="110"/>
      <c r="O172" s="110"/>
      <c r="P172" s="110"/>
      <c r="Q172" s="110"/>
      <c r="R172" s="110"/>
      <c r="S172" s="110"/>
      <c r="T172" s="110"/>
      <c r="U172" s="110"/>
      <c r="V172" s="110"/>
      <c r="W172" s="110"/>
      <c r="X172" s="110"/>
      <c r="Y172" s="110"/>
    </row>
    <row r="173" ht="13.5" customHeight="1">
      <c r="A173" s="110"/>
      <c r="B173" s="143"/>
      <c r="C173" s="110"/>
      <c r="D173" s="111"/>
      <c r="E173" s="110"/>
      <c r="F173" s="110"/>
      <c r="G173" s="110"/>
      <c r="H173" s="110"/>
      <c r="I173" s="110"/>
      <c r="J173" s="110"/>
      <c r="K173" s="110"/>
      <c r="L173" s="110"/>
      <c r="M173" s="110"/>
      <c r="N173" s="110"/>
      <c r="O173" s="110"/>
      <c r="P173" s="110"/>
      <c r="Q173" s="110"/>
      <c r="R173" s="110"/>
      <c r="S173" s="110"/>
      <c r="T173" s="110"/>
      <c r="U173" s="110"/>
      <c r="V173" s="110"/>
      <c r="W173" s="110"/>
      <c r="X173" s="110"/>
      <c r="Y173" s="110"/>
    </row>
    <row r="174" ht="13.5" customHeight="1">
      <c r="A174" s="110"/>
      <c r="B174" s="143"/>
      <c r="C174" s="110"/>
      <c r="D174" s="111"/>
      <c r="E174" s="110"/>
      <c r="F174" s="110"/>
      <c r="G174" s="110"/>
      <c r="H174" s="110"/>
      <c r="I174" s="110"/>
      <c r="J174" s="110"/>
      <c r="K174" s="110"/>
      <c r="L174" s="110"/>
      <c r="M174" s="110"/>
      <c r="N174" s="110"/>
      <c r="O174" s="110"/>
      <c r="P174" s="110"/>
      <c r="Q174" s="110"/>
      <c r="R174" s="110"/>
      <c r="S174" s="110"/>
      <c r="T174" s="110"/>
      <c r="U174" s="110"/>
      <c r="V174" s="110"/>
      <c r="W174" s="110"/>
      <c r="X174" s="110"/>
      <c r="Y174" s="110"/>
    </row>
    <row r="175" ht="13.5" customHeight="1">
      <c r="A175" s="110"/>
      <c r="B175" s="143"/>
      <c r="C175" s="110"/>
      <c r="D175" s="111"/>
      <c r="E175" s="110"/>
      <c r="F175" s="110"/>
      <c r="G175" s="110"/>
      <c r="H175" s="110"/>
      <c r="I175" s="110"/>
      <c r="J175" s="110"/>
      <c r="K175" s="110"/>
      <c r="L175" s="110"/>
      <c r="M175" s="110"/>
      <c r="N175" s="110"/>
      <c r="O175" s="110"/>
      <c r="P175" s="110"/>
      <c r="Q175" s="110"/>
      <c r="R175" s="110"/>
      <c r="S175" s="110"/>
      <c r="T175" s="110"/>
      <c r="U175" s="110"/>
      <c r="V175" s="110"/>
      <c r="W175" s="110"/>
      <c r="X175" s="110"/>
      <c r="Y175" s="110"/>
    </row>
    <row r="176" ht="13.5" customHeight="1">
      <c r="A176" s="110"/>
      <c r="B176" s="143"/>
      <c r="C176" s="110"/>
      <c r="D176" s="111"/>
      <c r="E176" s="110"/>
      <c r="F176" s="110"/>
      <c r="G176" s="110"/>
      <c r="H176" s="110"/>
      <c r="I176" s="110"/>
      <c r="J176" s="110"/>
      <c r="K176" s="110"/>
      <c r="L176" s="110"/>
      <c r="M176" s="110"/>
      <c r="N176" s="110"/>
      <c r="O176" s="110"/>
      <c r="P176" s="110"/>
      <c r="Q176" s="110"/>
      <c r="R176" s="110"/>
      <c r="S176" s="110"/>
      <c r="T176" s="110"/>
      <c r="U176" s="110"/>
      <c r="V176" s="110"/>
      <c r="W176" s="110"/>
      <c r="X176" s="110"/>
      <c r="Y176" s="110"/>
    </row>
    <row r="177" ht="13.5" customHeight="1">
      <c r="A177" s="110"/>
      <c r="B177" s="143"/>
      <c r="C177" s="110"/>
      <c r="D177" s="111"/>
      <c r="E177" s="110"/>
      <c r="F177" s="110"/>
      <c r="G177" s="110"/>
      <c r="H177" s="110"/>
      <c r="I177" s="110"/>
      <c r="J177" s="110"/>
      <c r="K177" s="110"/>
      <c r="L177" s="110"/>
      <c r="M177" s="110"/>
      <c r="N177" s="110"/>
      <c r="O177" s="110"/>
      <c r="P177" s="110"/>
      <c r="Q177" s="110"/>
      <c r="R177" s="110"/>
      <c r="S177" s="110"/>
      <c r="T177" s="110"/>
      <c r="U177" s="110"/>
      <c r="V177" s="110"/>
      <c r="W177" s="110"/>
      <c r="X177" s="110"/>
      <c r="Y177" s="110"/>
    </row>
    <row r="178" ht="13.5" customHeight="1">
      <c r="A178" s="110"/>
      <c r="B178" s="143"/>
      <c r="C178" s="110"/>
      <c r="D178" s="111"/>
      <c r="E178" s="110"/>
      <c r="F178" s="110"/>
      <c r="G178" s="110"/>
      <c r="H178" s="110"/>
      <c r="I178" s="110"/>
      <c r="J178" s="110"/>
      <c r="K178" s="110"/>
      <c r="L178" s="110"/>
      <c r="M178" s="110"/>
      <c r="N178" s="110"/>
      <c r="O178" s="110"/>
      <c r="P178" s="110"/>
      <c r="Q178" s="110"/>
      <c r="R178" s="110"/>
      <c r="S178" s="110"/>
      <c r="T178" s="110"/>
      <c r="U178" s="110"/>
      <c r="V178" s="110"/>
      <c r="W178" s="110"/>
      <c r="X178" s="110"/>
      <c r="Y178" s="110"/>
    </row>
    <row r="179" ht="13.5" customHeight="1">
      <c r="A179" s="110"/>
      <c r="B179" s="143"/>
      <c r="C179" s="110"/>
      <c r="D179" s="111"/>
      <c r="E179" s="110"/>
      <c r="F179" s="110"/>
      <c r="G179" s="110"/>
      <c r="H179" s="110"/>
      <c r="I179" s="110"/>
      <c r="J179" s="110"/>
      <c r="K179" s="110"/>
      <c r="L179" s="110"/>
      <c r="M179" s="110"/>
      <c r="N179" s="110"/>
      <c r="O179" s="110"/>
      <c r="P179" s="110"/>
      <c r="Q179" s="110"/>
      <c r="R179" s="110"/>
      <c r="S179" s="110"/>
      <c r="T179" s="110"/>
      <c r="U179" s="110"/>
      <c r="V179" s="110"/>
      <c r="W179" s="110"/>
      <c r="X179" s="110"/>
      <c r="Y179" s="110"/>
    </row>
    <row r="180" ht="13.5" customHeight="1">
      <c r="A180" s="110"/>
      <c r="B180" s="143"/>
      <c r="C180" s="110"/>
      <c r="D180" s="111"/>
      <c r="E180" s="110"/>
      <c r="F180" s="110"/>
      <c r="G180" s="110"/>
      <c r="H180" s="110"/>
      <c r="I180" s="110"/>
      <c r="J180" s="110"/>
      <c r="K180" s="110"/>
      <c r="L180" s="110"/>
      <c r="M180" s="110"/>
      <c r="N180" s="110"/>
      <c r="O180" s="110"/>
      <c r="P180" s="110"/>
      <c r="Q180" s="110"/>
      <c r="R180" s="110"/>
      <c r="S180" s="110"/>
      <c r="T180" s="110"/>
      <c r="U180" s="110"/>
      <c r="V180" s="110"/>
      <c r="W180" s="110"/>
      <c r="X180" s="110"/>
      <c r="Y180" s="110"/>
    </row>
    <row r="181" ht="13.5" customHeight="1">
      <c r="A181" s="110"/>
      <c r="B181" s="143"/>
      <c r="C181" s="110"/>
      <c r="D181" s="111"/>
      <c r="E181" s="110"/>
      <c r="F181" s="110"/>
      <c r="G181" s="110"/>
      <c r="H181" s="110"/>
      <c r="I181" s="110"/>
      <c r="J181" s="110"/>
      <c r="K181" s="110"/>
      <c r="L181" s="110"/>
      <c r="M181" s="110"/>
      <c r="N181" s="110"/>
      <c r="O181" s="110"/>
      <c r="P181" s="110"/>
      <c r="Q181" s="110"/>
      <c r="R181" s="110"/>
      <c r="S181" s="110"/>
      <c r="T181" s="110"/>
      <c r="U181" s="110"/>
      <c r="V181" s="110"/>
      <c r="W181" s="110"/>
      <c r="X181" s="110"/>
      <c r="Y181" s="110"/>
    </row>
    <row r="182" ht="13.5" customHeight="1">
      <c r="A182" s="110"/>
      <c r="B182" s="143"/>
      <c r="C182" s="110"/>
      <c r="D182" s="111"/>
      <c r="E182" s="110"/>
      <c r="F182" s="110"/>
      <c r="G182" s="110"/>
      <c r="H182" s="110"/>
      <c r="I182" s="110"/>
      <c r="J182" s="110"/>
      <c r="K182" s="110"/>
      <c r="L182" s="110"/>
      <c r="M182" s="110"/>
      <c r="N182" s="110"/>
      <c r="O182" s="110"/>
      <c r="P182" s="110"/>
      <c r="Q182" s="110"/>
      <c r="R182" s="110"/>
      <c r="S182" s="110"/>
      <c r="T182" s="110"/>
      <c r="U182" s="110"/>
      <c r="V182" s="110"/>
      <c r="W182" s="110"/>
      <c r="X182" s="110"/>
      <c r="Y182" s="110"/>
    </row>
    <row r="183" ht="13.5" customHeight="1">
      <c r="A183" s="110"/>
      <c r="B183" s="143"/>
      <c r="C183" s="110"/>
      <c r="D183" s="111"/>
      <c r="E183" s="110"/>
      <c r="F183" s="110"/>
      <c r="G183" s="110"/>
      <c r="H183" s="110"/>
      <c r="I183" s="110"/>
      <c r="J183" s="110"/>
      <c r="K183" s="110"/>
      <c r="L183" s="110"/>
      <c r="M183" s="110"/>
      <c r="N183" s="110"/>
      <c r="O183" s="110"/>
      <c r="P183" s="110"/>
      <c r="Q183" s="110"/>
      <c r="R183" s="110"/>
      <c r="S183" s="110"/>
      <c r="T183" s="110"/>
      <c r="U183" s="110"/>
      <c r="V183" s="110"/>
      <c r="W183" s="110"/>
      <c r="X183" s="110"/>
      <c r="Y183" s="110"/>
    </row>
    <row r="184" ht="13.5" customHeight="1">
      <c r="A184" s="110"/>
      <c r="B184" s="143"/>
      <c r="C184" s="110"/>
      <c r="D184" s="111"/>
      <c r="E184" s="110"/>
      <c r="F184" s="110"/>
      <c r="G184" s="110"/>
      <c r="H184" s="110"/>
      <c r="I184" s="110"/>
      <c r="J184" s="110"/>
      <c r="K184" s="110"/>
      <c r="L184" s="110"/>
      <c r="M184" s="110"/>
      <c r="N184" s="110"/>
      <c r="O184" s="110"/>
      <c r="P184" s="110"/>
      <c r="Q184" s="110"/>
      <c r="R184" s="110"/>
      <c r="S184" s="110"/>
      <c r="T184" s="110"/>
      <c r="U184" s="110"/>
      <c r="V184" s="110"/>
      <c r="W184" s="110"/>
      <c r="X184" s="110"/>
      <c r="Y184" s="110"/>
    </row>
    <row r="185" ht="13.5" customHeight="1">
      <c r="A185" s="110"/>
      <c r="B185" s="143"/>
      <c r="C185" s="110"/>
      <c r="D185" s="111"/>
      <c r="E185" s="110"/>
      <c r="F185" s="110"/>
      <c r="G185" s="110"/>
      <c r="H185" s="110"/>
      <c r="I185" s="110"/>
      <c r="J185" s="110"/>
      <c r="K185" s="110"/>
      <c r="L185" s="110"/>
      <c r="M185" s="110"/>
      <c r="N185" s="110"/>
      <c r="O185" s="110"/>
      <c r="P185" s="110"/>
      <c r="Q185" s="110"/>
      <c r="R185" s="110"/>
      <c r="S185" s="110"/>
      <c r="T185" s="110"/>
      <c r="U185" s="110"/>
      <c r="V185" s="110"/>
      <c r="W185" s="110"/>
      <c r="X185" s="110"/>
      <c r="Y185" s="110"/>
    </row>
    <row r="186" ht="13.5" customHeight="1">
      <c r="A186" s="110"/>
      <c r="B186" s="143"/>
      <c r="C186" s="110"/>
      <c r="D186" s="111"/>
      <c r="E186" s="110"/>
      <c r="F186" s="110"/>
      <c r="G186" s="110"/>
      <c r="H186" s="110"/>
      <c r="I186" s="110"/>
      <c r="J186" s="110"/>
      <c r="K186" s="110"/>
      <c r="L186" s="110"/>
      <c r="M186" s="110"/>
      <c r="N186" s="110"/>
      <c r="O186" s="110"/>
      <c r="P186" s="110"/>
      <c r="Q186" s="110"/>
      <c r="R186" s="110"/>
      <c r="S186" s="110"/>
      <c r="T186" s="110"/>
      <c r="U186" s="110"/>
      <c r="V186" s="110"/>
      <c r="W186" s="110"/>
      <c r="X186" s="110"/>
      <c r="Y186" s="110"/>
    </row>
    <row r="187" ht="13.5" customHeight="1">
      <c r="A187" s="110"/>
      <c r="B187" s="143"/>
      <c r="C187" s="110"/>
      <c r="D187" s="111"/>
      <c r="E187" s="110"/>
      <c r="F187" s="110"/>
      <c r="G187" s="110"/>
      <c r="H187" s="110"/>
      <c r="I187" s="110"/>
      <c r="J187" s="110"/>
      <c r="K187" s="110"/>
      <c r="L187" s="110"/>
      <c r="M187" s="110"/>
      <c r="N187" s="110"/>
      <c r="O187" s="110"/>
      <c r="P187" s="110"/>
      <c r="Q187" s="110"/>
      <c r="R187" s="110"/>
      <c r="S187" s="110"/>
      <c r="T187" s="110"/>
      <c r="U187" s="110"/>
      <c r="V187" s="110"/>
      <c r="W187" s="110"/>
      <c r="X187" s="110"/>
      <c r="Y187" s="110"/>
    </row>
    <row r="188" ht="13.5" customHeight="1">
      <c r="A188" s="110"/>
      <c r="B188" s="143"/>
      <c r="C188" s="110"/>
      <c r="D188" s="111"/>
      <c r="E188" s="110"/>
      <c r="F188" s="110"/>
      <c r="G188" s="110"/>
      <c r="H188" s="110"/>
      <c r="I188" s="110"/>
      <c r="J188" s="110"/>
      <c r="K188" s="110"/>
      <c r="L188" s="110"/>
      <c r="M188" s="110"/>
      <c r="N188" s="110"/>
      <c r="O188" s="110"/>
      <c r="P188" s="110"/>
      <c r="Q188" s="110"/>
      <c r="R188" s="110"/>
      <c r="S188" s="110"/>
      <c r="T188" s="110"/>
      <c r="U188" s="110"/>
      <c r="V188" s="110"/>
      <c r="W188" s="110"/>
      <c r="X188" s="110"/>
      <c r="Y188" s="110"/>
    </row>
    <row r="189" ht="13.5" customHeight="1">
      <c r="A189" s="110"/>
      <c r="B189" s="143"/>
      <c r="C189" s="110"/>
      <c r="D189" s="111"/>
      <c r="E189" s="110"/>
      <c r="F189" s="110"/>
      <c r="G189" s="110"/>
      <c r="H189" s="110"/>
      <c r="I189" s="110"/>
      <c r="J189" s="110"/>
      <c r="K189" s="110"/>
      <c r="L189" s="110"/>
      <c r="M189" s="110"/>
      <c r="N189" s="110"/>
      <c r="O189" s="110"/>
      <c r="P189" s="110"/>
      <c r="Q189" s="110"/>
      <c r="R189" s="110"/>
      <c r="S189" s="110"/>
      <c r="T189" s="110"/>
      <c r="U189" s="110"/>
      <c r="V189" s="110"/>
      <c r="W189" s="110"/>
      <c r="X189" s="110"/>
      <c r="Y189" s="110"/>
    </row>
    <row r="190" ht="13.5" customHeight="1">
      <c r="A190" s="110"/>
      <c r="B190" s="143"/>
      <c r="C190" s="110"/>
      <c r="D190" s="111"/>
      <c r="E190" s="110"/>
      <c r="F190" s="110"/>
      <c r="G190" s="110"/>
      <c r="H190" s="110"/>
      <c r="I190" s="110"/>
      <c r="J190" s="110"/>
      <c r="K190" s="110"/>
      <c r="L190" s="110"/>
      <c r="M190" s="110"/>
      <c r="N190" s="110"/>
      <c r="O190" s="110"/>
      <c r="P190" s="110"/>
      <c r="Q190" s="110"/>
      <c r="R190" s="110"/>
      <c r="S190" s="110"/>
      <c r="T190" s="110"/>
      <c r="U190" s="110"/>
      <c r="V190" s="110"/>
      <c r="W190" s="110"/>
      <c r="X190" s="110"/>
      <c r="Y190" s="110"/>
    </row>
    <row r="191" ht="13.5" customHeight="1">
      <c r="A191" s="110"/>
      <c r="B191" s="143"/>
      <c r="C191" s="110"/>
      <c r="D191" s="111"/>
      <c r="E191" s="110"/>
      <c r="F191" s="110"/>
      <c r="G191" s="110"/>
      <c r="H191" s="110"/>
      <c r="I191" s="110"/>
      <c r="J191" s="110"/>
      <c r="K191" s="110"/>
      <c r="L191" s="110"/>
      <c r="M191" s="110"/>
      <c r="N191" s="110"/>
      <c r="O191" s="110"/>
      <c r="P191" s="110"/>
      <c r="Q191" s="110"/>
      <c r="R191" s="110"/>
      <c r="S191" s="110"/>
      <c r="T191" s="110"/>
      <c r="U191" s="110"/>
      <c r="V191" s="110"/>
      <c r="W191" s="110"/>
      <c r="X191" s="110"/>
      <c r="Y191" s="110"/>
    </row>
    <row r="192" ht="13.5" customHeight="1">
      <c r="A192" s="110"/>
      <c r="B192" s="143"/>
      <c r="C192" s="110"/>
      <c r="D192" s="111"/>
      <c r="E192" s="110"/>
      <c r="F192" s="110"/>
      <c r="G192" s="110"/>
      <c r="H192" s="110"/>
      <c r="I192" s="110"/>
      <c r="J192" s="110"/>
      <c r="K192" s="110"/>
      <c r="L192" s="110"/>
      <c r="M192" s="110"/>
      <c r="N192" s="110"/>
      <c r="O192" s="110"/>
      <c r="P192" s="110"/>
      <c r="Q192" s="110"/>
      <c r="R192" s="110"/>
      <c r="S192" s="110"/>
      <c r="T192" s="110"/>
      <c r="U192" s="110"/>
      <c r="V192" s="110"/>
      <c r="W192" s="110"/>
      <c r="X192" s="110"/>
      <c r="Y192" s="110"/>
    </row>
    <row r="193" ht="13.5" customHeight="1">
      <c r="A193" s="110"/>
      <c r="B193" s="143"/>
      <c r="C193" s="110"/>
      <c r="D193" s="111"/>
      <c r="E193" s="110"/>
      <c r="F193" s="110"/>
      <c r="G193" s="110"/>
      <c r="H193" s="110"/>
      <c r="I193" s="110"/>
      <c r="J193" s="110"/>
      <c r="K193" s="110"/>
      <c r="L193" s="110"/>
      <c r="M193" s="110"/>
      <c r="N193" s="110"/>
      <c r="O193" s="110"/>
      <c r="P193" s="110"/>
      <c r="Q193" s="110"/>
      <c r="R193" s="110"/>
      <c r="S193" s="110"/>
      <c r="T193" s="110"/>
      <c r="U193" s="110"/>
      <c r="V193" s="110"/>
      <c r="W193" s="110"/>
      <c r="X193" s="110"/>
      <c r="Y193" s="110"/>
    </row>
    <row r="194" ht="13.5" customHeight="1">
      <c r="A194" s="110"/>
      <c r="B194" s="143"/>
      <c r="C194" s="110"/>
      <c r="D194" s="111"/>
      <c r="E194" s="110"/>
      <c r="F194" s="110"/>
      <c r="G194" s="110"/>
      <c r="H194" s="110"/>
      <c r="I194" s="110"/>
      <c r="J194" s="110"/>
      <c r="K194" s="110"/>
      <c r="L194" s="110"/>
      <c r="M194" s="110"/>
      <c r="N194" s="110"/>
      <c r="O194" s="110"/>
      <c r="P194" s="110"/>
      <c r="Q194" s="110"/>
      <c r="R194" s="110"/>
      <c r="S194" s="110"/>
      <c r="T194" s="110"/>
      <c r="U194" s="110"/>
      <c r="V194" s="110"/>
      <c r="W194" s="110"/>
      <c r="X194" s="110"/>
      <c r="Y194" s="110"/>
    </row>
    <row r="195" ht="13.5" customHeight="1">
      <c r="A195" s="110"/>
      <c r="B195" s="143"/>
      <c r="C195" s="110"/>
      <c r="D195" s="111"/>
      <c r="E195" s="110"/>
      <c r="F195" s="110"/>
      <c r="G195" s="110"/>
      <c r="H195" s="110"/>
      <c r="I195" s="110"/>
      <c r="J195" s="110"/>
      <c r="K195" s="110"/>
      <c r="L195" s="110"/>
      <c r="M195" s="110"/>
      <c r="N195" s="110"/>
      <c r="O195" s="110"/>
      <c r="P195" s="110"/>
      <c r="Q195" s="110"/>
      <c r="R195" s="110"/>
      <c r="S195" s="110"/>
      <c r="T195" s="110"/>
      <c r="U195" s="110"/>
      <c r="V195" s="110"/>
      <c r="W195" s="110"/>
      <c r="X195" s="110"/>
      <c r="Y195" s="110"/>
    </row>
    <row r="196" ht="13.5" customHeight="1">
      <c r="A196" s="110"/>
      <c r="B196" s="143"/>
      <c r="C196" s="110"/>
      <c r="D196" s="111"/>
      <c r="E196" s="110"/>
      <c r="F196" s="110"/>
      <c r="G196" s="110"/>
      <c r="H196" s="110"/>
      <c r="I196" s="110"/>
      <c r="J196" s="110"/>
      <c r="K196" s="110"/>
      <c r="L196" s="110"/>
      <c r="M196" s="110"/>
      <c r="N196" s="110"/>
      <c r="O196" s="110"/>
      <c r="P196" s="110"/>
      <c r="Q196" s="110"/>
      <c r="R196" s="110"/>
      <c r="S196" s="110"/>
      <c r="T196" s="110"/>
      <c r="U196" s="110"/>
      <c r="V196" s="110"/>
      <c r="W196" s="110"/>
      <c r="X196" s="110"/>
      <c r="Y196" s="110"/>
    </row>
    <row r="197" ht="13.5" customHeight="1">
      <c r="A197" s="110"/>
      <c r="B197" s="143"/>
      <c r="C197" s="110"/>
      <c r="D197" s="111"/>
      <c r="E197" s="110"/>
      <c r="F197" s="110"/>
      <c r="G197" s="110"/>
      <c r="H197" s="110"/>
      <c r="I197" s="110"/>
      <c r="J197" s="110"/>
      <c r="K197" s="110"/>
      <c r="L197" s="110"/>
      <c r="M197" s="110"/>
      <c r="N197" s="110"/>
      <c r="O197" s="110"/>
      <c r="P197" s="110"/>
      <c r="Q197" s="110"/>
      <c r="R197" s="110"/>
      <c r="S197" s="110"/>
      <c r="T197" s="110"/>
      <c r="U197" s="110"/>
      <c r="V197" s="110"/>
      <c r="W197" s="110"/>
      <c r="X197" s="110"/>
      <c r="Y197" s="110"/>
    </row>
    <row r="198" ht="13.5" customHeight="1">
      <c r="A198" s="110"/>
      <c r="B198" s="143"/>
      <c r="C198" s="110"/>
      <c r="D198" s="111"/>
      <c r="E198" s="110"/>
      <c r="F198" s="110"/>
      <c r="G198" s="110"/>
      <c r="H198" s="110"/>
      <c r="I198" s="110"/>
      <c r="J198" s="110"/>
      <c r="K198" s="110"/>
      <c r="L198" s="110"/>
      <c r="M198" s="110"/>
      <c r="N198" s="110"/>
      <c r="O198" s="110"/>
      <c r="P198" s="110"/>
      <c r="Q198" s="110"/>
      <c r="R198" s="110"/>
      <c r="S198" s="110"/>
      <c r="T198" s="110"/>
      <c r="U198" s="110"/>
      <c r="V198" s="110"/>
      <c r="W198" s="110"/>
      <c r="X198" s="110"/>
      <c r="Y198" s="110"/>
    </row>
    <row r="199" ht="13.5" customHeight="1">
      <c r="A199" s="110"/>
      <c r="B199" s="143"/>
      <c r="C199" s="110"/>
      <c r="D199" s="111"/>
      <c r="E199" s="110"/>
      <c r="F199" s="110"/>
      <c r="G199" s="110"/>
      <c r="H199" s="110"/>
      <c r="I199" s="110"/>
      <c r="J199" s="110"/>
      <c r="K199" s="110"/>
      <c r="L199" s="110"/>
      <c r="M199" s="110"/>
      <c r="N199" s="110"/>
      <c r="O199" s="110"/>
      <c r="P199" s="110"/>
      <c r="Q199" s="110"/>
      <c r="R199" s="110"/>
      <c r="S199" s="110"/>
      <c r="T199" s="110"/>
      <c r="U199" s="110"/>
      <c r="V199" s="110"/>
      <c r="W199" s="110"/>
      <c r="X199" s="110"/>
      <c r="Y199" s="110"/>
    </row>
    <row r="200" ht="13.5" customHeight="1">
      <c r="A200" s="110"/>
      <c r="B200" s="143"/>
      <c r="C200" s="110"/>
      <c r="D200" s="111"/>
      <c r="E200" s="110"/>
      <c r="F200" s="110"/>
      <c r="G200" s="110"/>
      <c r="H200" s="110"/>
      <c r="I200" s="110"/>
      <c r="J200" s="110"/>
      <c r="K200" s="110"/>
      <c r="L200" s="110"/>
      <c r="M200" s="110"/>
      <c r="N200" s="110"/>
      <c r="O200" s="110"/>
      <c r="P200" s="110"/>
      <c r="Q200" s="110"/>
      <c r="R200" s="110"/>
      <c r="S200" s="110"/>
      <c r="T200" s="110"/>
      <c r="U200" s="110"/>
      <c r="V200" s="110"/>
      <c r="W200" s="110"/>
      <c r="X200" s="110"/>
      <c r="Y200" s="110"/>
    </row>
    <row r="201" ht="13.5" customHeight="1">
      <c r="A201" s="110"/>
      <c r="B201" s="143"/>
      <c r="C201" s="110"/>
      <c r="D201" s="111"/>
      <c r="E201" s="110"/>
      <c r="F201" s="110"/>
      <c r="G201" s="110"/>
      <c r="H201" s="110"/>
      <c r="I201" s="110"/>
      <c r="J201" s="110"/>
      <c r="K201" s="110"/>
      <c r="L201" s="110"/>
      <c r="M201" s="110"/>
      <c r="N201" s="110"/>
      <c r="O201" s="110"/>
      <c r="P201" s="110"/>
      <c r="Q201" s="110"/>
      <c r="R201" s="110"/>
      <c r="S201" s="110"/>
      <c r="T201" s="110"/>
      <c r="U201" s="110"/>
      <c r="V201" s="110"/>
      <c r="W201" s="110"/>
      <c r="X201" s="110"/>
      <c r="Y201" s="110"/>
    </row>
    <row r="202" ht="13.5" customHeight="1">
      <c r="A202" s="110"/>
      <c r="B202" s="143"/>
      <c r="C202" s="110"/>
      <c r="D202" s="111"/>
      <c r="E202" s="110"/>
      <c r="F202" s="110"/>
      <c r="G202" s="110"/>
      <c r="H202" s="110"/>
      <c r="I202" s="110"/>
      <c r="J202" s="110"/>
      <c r="K202" s="110"/>
      <c r="L202" s="110"/>
      <c r="M202" s="110"/>
      <c r="N202" s="110"/>
      <c r="O202" s="110"/>
      <c r="P202" s="110"/>
      <c r="Q202" s="110"/>
      <c r="R202" s="110"/>
      <c r="S202" s="110"/>
      <c r="T202" s="110"/>
      <c r="U202" s="110"/>
      <c r="V202" s="110"/>
      <c r="W202" s="110"/>
      <c r="X202" s="110"/>
      <c r="Y202" s="110"/>
    </row>
    <row r="203" ht="13.5" customHeight="1">
      <c r="A203" s="110"/>
      <c r="B203" s="143"/>
      <c r="C203" s="110"/>
      <c r="D203" s="111"/>
      <c r="E203" s="110"/>
      <c r="F203" s="110"/>
      <c r="G203" s="110"/>
      <c r="H203" s="110"/>
      <c r="I203" s="110"/>
      <c r="J203" s="110"/>
      <c r="K203" s="110"/>
      <c r="L203" s="110"/>
      <c r="M203" s="110"/>
      <c r="N203" s="110"/>
      <c r="O203" s="110"/>
      <c r="P203" s="110"/>
      <c r="Q203" s="110"/>
      <c r="R203" s="110"/>
      <c r="S203" s="110"/>
      <c r="T203" s="110"/>
      <c r="U203" s="110"/>
      <c r="V203" s="110"/>
      <c r="W203" s="110"/>
      <c r="X203" s="110"/>
      <c r="Y203" s="110"/>
    </row>
    <row r="204" ht="13.5" customHeight="1">
      <c r="A204" s="110"/>
      <c r="B204" s="143"/>
      <c r="C204" s="110"/>
      <c r="D204" s="111"/>
      <c r="E204" s="110"/>
      <c r="F204" s="110"/>
      <c r="G204" s="110"/>
      <c r="H204" s="110"/>
      <c r="I204" s="110"/>
      <c r="J204" s="110"/>
      <c r="K204" s="110"/>
      <c r="L204" s="110"/>
      <c r="M204" s="110"/>
      <c r="N204" s="110"/>
      <c r="O204" s="110"/>
      <c r="P204" s="110"/>
      <c r="Q204" s="110"/>
      <c r="R204" s="110"/>
      <c r="S204" s="110"/>
      <c r="T204" s="110"/>
      <c r="U204" s="110"/>
      <c r="V204" s="110"/>
      <c r="W204" s="110"/>
      <c r="X204" s="110"/>
      <c r="Y204" s="110"/>
    </row>
    <row r="205" ht="13.5" customHeight="1">
      <c r="A205" s="110"/>
      <c r="B205" s="143"/>
      <c r="C205" s="110"/>
      <c r="D205" s="111"/>
      <c r="E205" s="110"/>
      <c r="F205" s="110"/>
      <c r="G205" s="110"/>
      <c r="H205" s="110"/>
      <c r="I205" s="110"/>
      <c r="J205" s="110"/>
      <c r="K205" s="110"/>
      <c r="L205" s="110"/>
      <c r="M205" s="110"/>
      <c r="N205" s="110"/>
      <c r="O205" s="110"/>
      <c r="P205" s="110"/>
      <c r="Q205" s="110"/>
      <c r="R205" s="110"/>
      <c r="S205" s="110"/>
      <c r="T205" s="110"/>
      <c r="U205" s="110"/>
      <c r="V205" s="110"/>
      <c r="W205" s="110"/>
      <c r="X205" s="110"/>
      <c r="Y205" s="110"/>
    </row>
    <row r="206" ht="13.5" customHeight="1">
      <c r="A206" s="110"/>
      <c r="B206" s="143"/>
      <c r="C206" s="110"/>
      <c r="D206" s="111"/>
      <c r="E206" s="110"/>
      <c r="F206" s="110"/>
      <c r="G206" s="110"/>
      <c r="H206" s="110"/>
      <c r="I206" s="110"/>
      <c r="J206" s="110"/>
      <c r="K206" s="110"/>
      <c r="L206" s="110"/>
      <c r="M206" s="110"/>
      <c r="N206" s="110"/>
      <c r="O206" s="110"/>
      <c r="P206" s="110"/>
      <c r="Q206" s="110"/>
      <c r="R206" s="110"/>
      <c r="S206" s="110"/>
      <c r="T206" s="110"/>
      <c r="U206" s="110"/>
      <c r="V206" s="110"/>
      <c r="W206" s="110"/>
      <c r="X206" s="110"/>
      <c r="Y206" s="110"/>
    </row>
    <row r="207" ht="13.5" customHeight="1">
      <c r="A207" s="110"/>
      <c r="B207" s="143"/>
      <c r="C207" s="110"/>
      <c r="D207" s="111"/>
      <c r="E207" s="110"/>
      <c r="F207" s="110"/>
      <c r="G207" s="110"/>
      <c r="H207" s="110"/>
      <c r="I207" s="110"/>
      <c r="J207" s="110"/>
      <c r="K207" s="110"/>
      <c r="L207" s="110"/>
      <c r="M207" s="110"/>
      <c r="N207" s="110"/>
      <c r="O207" s="110"/>
      <c r="P207" s="110"/>
      <c r="Q207" s="110"/>
      <c r="R207" s="110"/>
      <c r="S207" s="110"/>
      <c r="T207" s="110"/>
      <c r="U207" s="110"/>
      <c r="V207" s="110"/>
      <c r="W207" s="110"/>
      <c r="X207" s="110"/>
      <c r="Y207" s="110"/>
    </row>
    <row r="208" ht="13.5" customHeight="1">
      <c r="A208" s="110"/>
      <c r="B208" s="143"/>
      <c r="C208" s="110"/>
      <c r="D208" s="111"/>
      <c r="E208" s="110"/>
      <c r="F208" s="110"/>
      <c r="G208" s="110"/>
      <c r="H208" s="110"/>
      <c r="I208" s="110"/>
      <c r="J208" s="110"/>
      <c r="K208" s="110"/>
      <c r="L208" s="110"/>
      <c r="M208" s="110"/>
      <c r="N208" s="110"/>
      <c r="O208" s="110"/>
      <c r="P208" s="110"/>
      <c r="Q208" s="110"/>
      <c r="R208" s="110"/>
      <c r="S208" s="110"/>
      <c r="T208" s="110"/>
      <c r="U208" s="110"/>
      <c r="V208" s="110"/>
      <c r="W208" s="110"/>
      <c r="X208" s="110"/>
      <c r="Y208" s="110"/>
    </row>
    <row r="209" ht="13.5" customHeight="1">
      <c r="A209" s="110"/>
      <c r="B209" s="143"/>
      <c r="C209" s="110"/>
      <c r="D209" s="111"/>
      <c r="E209" s="110"/>
      <c r="F209" s="110"/>
      <c r="G209" s="110"/>
      <c r="H209" s="110"/>
      <c r="I209" s="110"/>
      <c r="J209" s="110"/>
      <c r="K209" s="110"/>
      <c r="L209" s="110"/>
      <c r="M209" s="110"/>
      <c r="N209" s="110"/>
      <c r="O209" s="110"/>
      <c r="P209" s="110"/>
      <c r="Q209" s="110"/>
      <c r="R209" s="110"/>
      <c r="S209" s="110"/>
      <c r="T209" s="110"/>
      <c r="U209" s="110"/>
      <c r="V209" s="110"/>
      <c r="W209" s="110"/>
      <c r="X209" s="110"/>
      <c r="Y209" s="110"/>
    </row>
    <row r="210" ht="13.5" customHeight="1">
      <c r="A210" s="110"/>
      <c r="B210" s="143"/>
      <c r="C210" s="110"/>
      <c r="D210" s="111"/>
      <c r="E210" s="110"/>
      <c r="F210" s="110"/>
      <c r="G210" s="110"/>
      <c r="H210" s="110"/>
      <c r="I210" s="110"/>
      <c r="J210" s="110"/>
      <c r="K210" s="110"/>
      <c r="L210" s="110"/>
      <c r="M210" s="110"/>
      <c r="N210" s="110"/>
      <c r="O210" s="110"/>
      <c r="P210" s="110"/>
      <c r="Q210" s="110"/>
      <c r="R210" s="110"/>
      <c r="S210" s="110"/>
      <c r="T210" s="110"/>
      <c r="U210" s="110"/>
      <c r="V210" s="110"/>
      <c r="W210" s="110"/>
      <c r="X210" s="110"/>
      <c r="Y210" s="110"/>
    </row>
    <row r="211" ht="13.5" customHeight="1">
      <c r="A211" s="110"/>
      <c r="B211" s="143"/>
      <c r="C211" s="110"/>
      <c r="D211" s="111"/>
      <c r="E211" s="110"/>
      <c r="F211" s="110"/>
      <c r="G211" s="110"/>
      <c r="H211" s="110"/>
      <c r="I211" s="110"/>
      <c r="J211" s="110"/>
      <c r="K211" s="110"/>
      <c r="L211" s="110"/>
      <c r="M211" s="110"/>
      <c r="N211" s="110"/>
      <c r="O211" s="110"/>
      <c r="P211" s="110"/>
      <c r="Q211" s="110"/>
      <c r="R211" s="110"/>
      <c r="S211" s="110"/>
      <c r="T211" s="110"/>
      <c r="U211" s="110"/>
      <c r="V211" s="110"/>
      <c r="W211" s="110"/>
      <c r="X211" s="110"/>
      <c r="Y211" s="110"/>
    </row>
    <row r="212" ht="13.5" customHeight="1">
      <c r="A212" s="110"/>
      <c r="B212" s="143"/>
      <c r="C212" s="110"/>
      <c r="D212" s="111"/>
      <c r="E212" s="110"/>
      <c r="F212" s="110"/>
      <c r="G212" s="110"/>
      <c r="H212" s="110"/>
      <c r="I212" s="110"/>
      <c r="J212" s="110"/>
      <c r="K212" s="110"/>
      <c r="L212" s="110"/>
      <c r="M212" s="110"/>
      <c r="N212" s="110"/>
      <c r="O212" s="110"/>
      <c r="P212" s="110"/>
      <c r="Q212" s="110"/>
      <c r="R212" s="110"/>
      <c r="S212" s="110"/>
      <c r="T212" s="110"/>
      <c r="U212" s="110"/>
      <c r="V212" s="110"/>
      <c r="W212" s="110"/>
      <c r="X212" s="110"/>
      <c r="Y212" s="110"/>
    </row>
    <row r="213" ht="13.5" customHeight="1">
      <c r="A213" s="110"/>
      <c r="B213" s="143"/>
      <c r="C213" s="110"/>
      <c r="D213" s="111"/>
      <c r="E213" s="110"/>
      <c r="F213" s="110"/>
      <c r="G213" s="110"/>
      <c r="H213" s="110"/>
      <c r="I213" s="110"/>
      <c r="J213" s="110"/>
      <c r="K213" s="110"/>
      <c r="L213" s="110"/>
      <c r="M213" s="110"/>
      <c r="N213" s="110"/>
      <c r="O213" s="110"/>
      <c r="P213" s="110"/>
      <c r="Q213" s="110"/>
      <c r="R213" s="110"/>
      <c r="S213" s="110"/>
      <c r="T213" s="110"/>
      <c r="U213" s="110"/>
      <c r="V213" s="110"/>
      <c r="W213" s="110"/>
      <c r="X213" s="110"/>
      <c r="Y213" s="110"/>
    </row>
    <row r="214" ht="13.5" customHeight="1">
      <c r="A214" s="110"/>
      <c r="B214" s="143"/>
      <c r="C214" s="110"/>
      <c r="D214" s="111"/>
      <c r="E214" s="110"/>
      <c r="F214" s="110"/>
      <c r="G214" s="110"/>
      <c r="H214" s="110"/>
      <c r="I214" s="110"/>
      <c r="J214" s="110"/>
      <c r="K214" s="110"/>
      <c r="L214" s="110"/>
      <c r="M214" s="110"/>
      <c r="N214" s="110"/>
      <c r="O214" s="110"/>
      <c r="P214" s="110"/>
      <c r="Q214" s="110"/>
      <c r="R214" s="110"/>
      <c r="S214" s="110"/>
      <c r="T214" s="110"/>
      <c r="U214" s="110"/>
      <c r="V214" s="110"/>
      <c r="W214" s="110"/>
      <c r="X214" s="110"/>
      <c r="Y214" s="110"/>
    </row>
    <row r="215" ht="13.5" customHeight="1">
      <c r="A215" s="110"/>
      <c r="B215" s="143"/>
      <c r="C215" s="110"/>
      <c r="D215" s="111"/>
      <c r="E215" s="110"/>
      <c r="F215" s="110"/>
      <c r="G215" s="110"/>
      <c r="H215" s="110"/>
      <c r="I215" s="110"/>
      <c r="J215" s="110"/>
      <c r="K215" s="110"/>
      <c r="L215" s="110"/>
      <c r="M215" s="110"/>
      <c r="N215" s="110"/>
      <c r="O215" s="110"/>
      <c r="P215" s="110"/>
      <c r="Q215" s="110"/>
      <c r="R215" s="110"/>
      <c r="S215" s="110"/>
      <c r="T215" s="110"/>
      <c r="U215" s="110"/>
      <c r="V215" s="110"/>
      <c r="W215" s="110"/>
      <c r="X215" s="110"/>
      <c r="Y215" s="110"/>
    </row>
    <row r="216" ht="13.5" customHeight="1">
      <c r="A216" s="110"/>
      <c r="B216" s="143"/>
      <c r="C216" s="110"/>
      <c r="D216" s="111"/>
      <c r="E216" s="110"/>
      <c r="F216" s="110"/>
      <c r="G216" s="110"/>
      <c r="H216" s="110"/>
      <c r="I216" s="110"/>
      <c r="J216" s="110"/>
      <c r="K216" s="110"/>
      <c r="L216" s="110"/>
      <c r="M216" s="110"/>
      <c r="N216" s="110"/>
      <c r="O216" s="110"/>
      <c r="P216" s="110"/>
      <c r="Q216" s="110"/>
      <c r="R216" s="110"/>
      <c r="S216" s="110"/>
      <c r="T216" s="110"/>
      <c r="U216" s="110"/>
      <c r="V216" s="110"/>
      <c r="W216" s="110"/>
      <c r="X216" s="110"/>
      <c r="Y216" s="110"/>
    </row>
    <row r="217" ht="13.5" customHeight="1">
      <c r="A217" s="110"/>
      <c r="B217" s="143"/>
      <c r="C217" s="110"/>
      <c r="D217" s="111"/>
      <c r="E217" s="110"/>
      <c r="F217" s="110"/>
      <c r="G217" s="110"/>
      <c r="H217" s="110"/>
      <c r="I217" s="110"/>
      <c r="J217" s="110"/>
      <c r="K217" s="110"/>
      <c r="L217" s="110"/>
      <c r="M217" s="110"/>
      <c r="N217" s="110"/>
      <c r="O217" s="110"/>
      <c r="P217" s="110"/>
      <c r="Q217" s="110"/>
      <c r="R217" s="110"/>
      <c r="S217" s="110"/>
      <c r="T217" s="110"/>
      <c r="U217" s="110"/>
      <c r="V217" s="110"/>
      <c r="W217" s="110"/>
      <c r="X217" s="110"/>
      <c r="Y217" s="110"/>
    </row>
    <row r="218" ht="13.5" customHeight="1">
      <c r="A218" s="110"/>
      <c r="B218" s="143"/>
      <c r="C218" s="110"/>
      <c r="D218" s="111"/>
      <c r="E218" s="110"/>
      <c r="F218" s="110"/>
      <c r="G218" s="110"/>
      <c r="H218" s="110"/>
      <c r="I218" s="110"/>
      <c r="J218" s="110"/>
      <c r="K218" s="110"/>
      <c r="L218" s="110"/>
      <c r="M218" s="110"/>
      <c r="N218" s="110"/>
      <c r="O218" s="110"/>
      <c r="P218" s="110"/>
      <c r="Q218" s="110"/>
      <c r="R218" s="110"/>
      <c r="S218" s="110"/>
      <c r="T218" s="110"/>
      <c r="U218" s="110"/>
      <c r="V218" s="110"/>
      <c r="W218" s="110"/>
      <c r="X218" s="110"/>
      <c r="Y218" s="110"/>
    </row>
    <row r="219" ht="13.5" customHeight="1">
      <c r="A219" s="110"/>
      <c r="B219" s="143"/>
      <c r="C219" s="110"/>
      <c r="D219" s="111"/>
      <c r="E219" s="110"/>
      <c r="F219" s="110"/>
      <c r="G219" s="110"/>
      <c r="H219" s="110"/>
      <c r="I219" s="110"/>
      <c r="J219" s="110"/>
      <c r="K219" s="110"/>
      <c r="L219" s="110"/>
      <c r="M219" s="110"/>
      <c r="N219" s="110"/>
      <c r="O219" s="110"/>
      <c r="P219" s="110"/>
      <c r="Q219" s="110"/>
      <c r="R219" s="110"/>
      <c r="S219" s="110"/>
      <c r="T219" s="110"/>
      <c r="U219" s="110"/>
      <c r="V219" s="110"/>
      <c r="W219" s="110"/>
      <c r="X219" s="110"/>
      <c r="Y219" s="110"/>
    </row>
    <row r="220" ht="13.5" customHeight="1">
      <c r="A220" s="110"/>
      <c r="B220" s="143"/>
      <c r="C220" s="110"/>
      <c r="D220" s="111"/>
      <c r="E220" s="110"/>
      <c r="F220" s="110"/>
      <c r="G220" s="110"/>
      <c r="H220" s="110"/>
      <c r="I220" s="110"/>
      <c r="J220" s="110"/>
      <c r="K220" s="110"/>
      <c r="L220" s="110"/>
      <c r="M220" s="110"/>
      <c r="N220" s="110"/>
      <c r="O220" s="110"/>
      <c r="P220" s="110"/>
      <c r="Q220" s="110"/>
      <c r="R220" s="110"/>
      <c r="S220" s="110"/>
      <c r="T220" s="110"/>
      <c r="U220" s="110"/>
      <c r="V220" s="110"/>
      <c r="W220" s="110"/>
      <c r="X220" s="110"/>
      <c r="Y220" s="110"/>
    </row>
    <row r="221" ht="13.5" customHeight="1">
      <c r="A221" s="110"/>
      <c r="B221" s="143"/>
      <c r="C221" s="110"/>
      <c r="D221" s="111"/>
      <c r="E221" s="110"/>
      <c r="F221" s="110"/>
      <c r="G221" s="110"/>
      <c r="H221" s="110"/>
      <c r="I221" s="110"/>
      <c r="J221" s="110"/>
      <c r="K221" s="110"/>
      <c r="L221" s="110"/>
      <c r="M221" s="110"/>
      <c r="N221" s="110"/>
      <c r="O221" s="110"/>
      <c r="P221" s="110"/>
      <c r="Q221" s="110"/>
      <c r="R221" s="110"/>
      <c r="S221" s="110"/>
      <c r="T221" s="110"/>
      <c r="U221" s="110"/>
      <c r="V221" s="110"/>
      <c r="W221" s="110"/>
      <c r="X221" s="110"/>
      <c r="Y221" s="110"/>
    </row>
    <row r="222" ht="13.5" customHeight="1">
      <c r="A222" s="110"/>
      <c r="B222" s="143"/>
      <c r="C222" s="110"/>
      <c r="D222" s="111"/>
      <c r="E222" s="110"/>
      <c r="F222" s="110"/>
      <c r="G222" s="110"/>
      <c r="H222" s="110"/>
      <c r="I222" s="110"/>
      <c r="J222" s="110"/>
      <c r="K222" s="110"/>
      <c r="L222" s="110"/>
      <c r="M222" s="110"/>
      <c r="N222" s="110"/>
      <c r="O222" s="110"/>
      <c r="P222" s="110"/>
      <c r="Q222" s="110"/>
      <c r="R222" s="110"/>
      <c r="S222" s="110"/>
      <c r="T222" s="110"/>
      <c r="U222" s="110"/>
      <c r="V222" s="110"/>
      <c r="W222" s="110"/>
      <c r="X222" s="110"/>
      <c r="Y222" s="110"/>
    </row>
    <row r="223" ht="13.5" customHeight="1">
      <c r="A223" s="110"/>
      <c r="B223" s="143"/>
      <c r="C223" s="110"/>
      <c r="D223" s="111"/>
      <c r="E223" s="110"/>
      <c r="F223" s="110"/>
      <c r="G223" s="110"/>
      <c r="H223" s="110"/>
      <c r="I223" s="110"/>
      <c r="J223" s="110"/>
      <c r="K223" s="110"/>
      <c r="L223" s="110"/>
      <c r="M223" s="110"/>
      <c r="N223" s="110"/>
      <c r="O223" s="110"/>
      <c r="P223" s="110"/>
      <c r="Q223" s="110"/>
      <c r="R223" s="110"/>
      <c r="S223" s="110"/>
      <c r="T223" s="110"/>
      <c r="U223" s="110"/>
      <c r="V223" s="110"/>
      <c r="W223" s="110"/>
      <c r="X223" s="110"/>
      <c r="Y223" s="110"/>
    </row>
    <row r="224" ht="13.5" customHeight="1">
      <c r="A224" s="110"/>
      <c r="B224" s="143"/>
      <c r="C224" s="110"/>
      <c r="D224" s="111"/>
      <c r="E224" s="110"/>
      <c r="F224" s="110"/>
      <c r="G224" s="110"/>
      <c r="H224" s="110"/>
      <c r="I224" s="110"/>
      <c r="J224" s="110"/>
      <c r="K224" s="110"/>
      <c r="L224" s="110"/>
      <c r="M224" s="110"/>
      <c r="N224" s="110"/>
      <c r="O224" s="110"/>
      <c r="P224" s="110"/>
      <c r="Q224" s="110"/>
      <c r="R224" s="110"/>
      <c r="S224" s="110"/>
      <c r="T224" s="110"/>
      <c r="U224" s="110"/>
      <c r="V224" s="110"/>
      <c r="W224" s="110"/>
      <c r="X224" s="110"/>
      <c r="Y224" s="110"/>
    </row>
    <row r="225" ht="13.5" customHeight="1">
      <c r="A225" s="110"/>
      <c r="B225" s="143"/>
      <c r="C225" s="110"/>
      <c r="D225" s="111"/>
      <c r="E225" s="110"/>
      <c r="F225" s="110"/>
      <c r="G225" s="110"/>
      <c r="H225" s="110"/>
      <c r="I225" s="110"/>
      <c r="J225" s="110"/>
      <c r="K225" s="110"/>
      <c r="L225" s="110"/>
      <c r="M225" s="110"/>
      <c r="N225" s="110"/>
      <c r="O225" s="110"/>
      <c r="P225" s="110"/>
      <c r="Q225" s="110"/>
      <c r="R225" s="110"/>
      <c r="S225" s="110"/>
      <c r="T225" s="110"/>
      <c r="U225" s="110"/>
      <c r="V225" s="110"/>
      <c r="W225" s="110"/>
      <c r="X225" s="110"/>
      <c r="Y225" s="110"/>
    </row>
    <row r="226" ht="13.5" customHeight="1">
      <c r="A226" s="110"/>
      <c r="B226" s="143"/>
      <c r="C226" s="110"/>
      <c r="D226" s="111"/>
      <c r="E226" s="110"/>
      <c r="F226" s="110"/>
      <c r="G226" s="110"/>
      <c r="H226" s="110"/>
      <c r="I226" s="110"/>
      <c r="J226" s="110"/>
      <c r="K226" s="110"/>
      <c r="L226" s="110"/>
      <c r="M226" s="110"/>
      <c r="N226" s="110"/>
      <c r="O226" s="110"/>
      <c r="P226" s="110"/>
      <c r="Q226" s="110"/>
      <c r="R226" s="110"/>
      <c r="S226" s="110"/>
      <c r="T226" s="110"/>
      <c r="U226" s="110"/>
      <c r="V226" s="110"/>
      <c r="W226" s="110"/>
      <c r="X226" s="110"/>
      <c r="Y226" s="110"/>
    </row>
    <row r="227" ht="13.5" customHeight="1">
      <c r="A227" s="110"/>
      <c r="B227" s="143"/>
      <c r="C227" s="110"/>
      <c r="D227" s="111"/>
      <c r="E227" s="110"/>
      <c r="F227" s="110"/>
      <c r="G227" s="110"/>
      <c r="H227" s="110"/>
      <c r="I227" s="110"/>
      <c r="J227" s="110"/>
      <c r="K227" s="110"/>
      <c r="L227" s="110"/>
      <c r="M227" s="110"/>
      <c r="N227" s="110"/>
      <c r="O227" s="110"/>
      <c r="P227" s="110"/>
      <c r="Q227" s="110"/>
      <c r="R227" s="110"/>
      <c r="S227" s="110"/>
      <c r="T227" s="110"/>
      <c r="U227" s="110"/>
      <c r="V227" s="110"/>
      <c r="W227" s="110"/>
      <c r="X227" s="110"/>
      <c r="Y227" s="110"/>
    </row>
    <row r="228" ht="13.5" customHeight="1">
      <c r="A228" s="110"/>
      <c r="B228" s="143"/>
      <c r="C228" s="110"/>
      <c r="D228" s="111"/>
      <c r="E228" s="110"/>
      <c r="F228" s="110"/>
      <c r="G228" s="110"/>
      <c r="H228" s="110"/>
      <c r="I228" s="110"/>
      <c r="J228" s="110"/>
      <c r="K228" s="110"/>
      <c r="L228" s="110"/>
      <c r="M228" s="110"/>
      <c r="N228" s="110"/>
      <c r="O228" s="110"/>
      <c r="P228" s="110"/>
      <c r="Q228" s="110"/>
      <c r="R228" s="110"/>
      <c r="S228" s="110"/>
      <c r="T228" s="110"/>
      <c r="U228" s="110"/>
      <c r="V228" s="110"/>
      <c r="W228" s="110"/>
      <c r="X228" s="110"/>
      <c r="Y228" s="110"/>
    </row>
    <row r="229" ht="13.5" customHeight="1">
      <c r="A229" s="110"/>
      <c r="B229" s="143"/>
      <c r="C229" s="110"/>
      <c r="D229" s="111"/>
      <c r="E229" s="110"/>
      <c r="F229" s="110"/>
      <c r="G229" s="110"/>
      <c r="H229" s="110"/>
      <c r="I229" s="110"/>
      <c r="J229" s="110"/>
      <c r="K229" s="110"/>
      <c r="L229" s="110"/>
      <c r="M229" s="110"/>
      <c r="N229" s="110"/>
      <c r="O229" s="110"/>
      <c r="P229" s="110"/>
      <c r="Q229" s="110"/>
      <c r="R229" s="110"/>
      <c r="S229" s="110"/>
      <c r="T229" s="110"/>
      <c r="U229" s="110"/>
      <c r="V229" s="110"/>
      <c r="W229" s="110"/>
      <c r="X229" s="110"/>
      <c r="Y229" s="110"/>
    </row>
    <row r="230" ht="13.5" customHeight="1">
      <c r="A230" s="110"/>
      <c r="B230" s="143"/>
      <c r="C230" s="110"/>
      <c r="D230" s="111"/>
      <c r="E230" s="110"/>
      <c r="F230" s="110"/>
      <c r="G230" s="110"/>
      <c r="H230" s="110"/>
      <c r="I230" s="110"/>
      <c r="J230" s="110"/>
      <c r="K230" s="110"/>
      <c r="L230" s="110"/>
      <c r="M230" s="110"/>
      <c r="N230" s="110"/>
      <c r="O230" s="110"/>
      <c r="P230" s="110"/>
      <c r="Q230" s="110"/>
      <c r="R230" s="110"/>
      <c r="S230" s="110"/>
      <c r="T230" s="110"/>
      <c r="U230" s="110"/>
      <c r="V230" s="110"/>
      <c r="W230" s="110"/>
      <c r="X230" s="110"/>
      <c r="Y230" s="110"/>
    </row>
    <row r="231" ht="13.5" customHeight="1">
      <c r="A231" s="110"/>
      <c r="B231" s="143"/>
      <c r="C231" s="110"/>
      <c r="D231" s="111"/>
      <c r="E231" s="110"/>
      <c r="F231" s="110"/>
      <c r="G231" s="110"/>
      <c r="H231" s="110"/>
      <c r="I231" s="110"/>
      <c r="J231" s="110"/>
      <c r="K231" s="110"/>
      <c r="L231" s="110"/>
      <c r="M231" s="110"/>
      <c r="N231" s="110"/>
      <c r="O231" s="110"/>
      <c r="P231" s="110"/>
      <c r="Q231" s="110"/>
      <c r="R231" s="110"/>
      <c r="S231" s="110"/>
      <c r="T231" s="110"/>
      <c r="U231" s="110"/>
      <c r="V231" s="110"/>
      <c r="W231" s="110"/>
      <c r="X231" s="110"/>
      <c r="Y231" s="110"/>
    </row>
    <row r="232" ht="13.5" customHeight="1">
      <c r="A232" s="110"/>
      <c r="B232" s="143"/>
      <c r="C232" s="110"/>
      <c r="D232" s="111"/>
      <c r="E232" s="110"/>
      <c r="F232" s="110"/>
      <c r="G232" s="110"/>
      <c r="H232" s="110"/>
      <c r="I232" s="110"/>
      <c r="J232" s="110"/>
      <c r="K232" s="110"/>
      <c r="L232" s="110"/>
      <c r="M232" s="110"/>
      <c r="N232" s="110"/>
      <c r="O232" s="110"/>
      <c r="P232" s="110"/>
      <c r="Q232" s="110"/>
      <c r="R232" s="110"/>
      <c r="S232" s="110"/>
      <c r="T232" s="110"/>
      <c r="U232" s="110"/>
      <c r="V232" s="110"/>
      <c r="W232" s="110"/>
      <c r="X232" s="110"/>
      <c r="Y232" s="110"/>
    </row>
    <row r="233" ht="13.5" customHeight="1">
      <c r="A233" s="110"/>
      <c r="B233" s="143"/>
      <c r="C233" s="110"/>
      <c r="D233" s="111"/>
      <c r="E233" s="110"/>
      <c r="F233" s="110"/>
      <c r="G233" s="110"/>
      <c r="H233" s="110"/>
      <c r="I233" s="110"/>
      <c r="J233" s="110"/>
      <c r="K233" s="110"/>
      <c r="L233" s="110"/>
      <c r="M233" s="110"/>
      <c r="N233" s="110"/>
      <c r="O233" s="110"/>
      <c r="P233" s="110"/>
      <c r="Q233" s="110"/>
      <c r="R233" s="110"/>
      <c r="S233" s="110"/>
      <c r="T233" s="110"/>
      <c r="U233" s="110"/>
      <c r="V233" s="110"/>
      <c r="W233" s="110"/>
      <c r="X233" s="110"/>
      <c r="Y233" s="110"/>
    </row>
    <row r="234" ht="13.5" customHeight="1">
      <c r="A234" s="110"/>
      <c r="B234" s="143"/>
      <c r="C234" s="110"/>
      <c r="D234" s="111"/>
      <c r="E234" s="110"/>
      <c r="F234" s="110"/>
      <c r="G234" s="110"/>
      <c r="H234" s="110"/>
      <c r="I234" s="110"/>
      <c r="J234" s="110"/>
      <c r="K234" s="110"/>
      <c r="L234" s="110"/>
      <c r="M234" s="110"/>
      <c r="N234" s="110"/>
      <c r="O234" s="110"/>
      <c r="P234" s="110"/>
      <c r="Q234" s="110"/>
      <c r="R234" s="110"/>
      <c r="S234" s="110"/>
      <c r="T234" s="110"/>
      <c r="U234" s="110"/>
      <c r="V234" s="110"/>
      <c r="W234" s="110"/>
      <c r="X234" s="110"/>
      <c r="Y234" s="110"/>
    </row>
    <row r="235" ht="13.5" customHeight="1">
      <c r="A235" s="110"/>
      <c r="B235" s="143"/>
      <c r="C235" s="110"/>
      <c r="D235" s="111"/>
      <c r="E235" s="110"/>
      <c r="F235" s="110"/>
      <c r="G235" s="110"/>
      <c r="H235" s="110"/>
      <c r="I235" s="110"/>
      <c r="J235" s="110"/>
      <c r="K235" s="110"/>
      <c r="L235" s="110"/>
      <c r="M235" s="110"/>
      <c r="N235" s="110"/>
      <c r="O235" s="110"/>
      <c r="P235" s="110"/>
      <c r="Q235" s="110"/>
      <c r="R235" s="110"/>
      <c r="S235" s="110"/>
      <c r="T235" s="110"/>
      <c r="U235" s="110"/>
      <c r="V235" s="110"/>
      <c r="W235" s="110"/>
      <c r="X235" s="110"/>
      <c r="Y235" s="110"/>
    </row>
    <row r="236" ht="13.5" customHeight="1">
      <c r="A236" s="110"/>
      <c r="B236" s="143"/>
      <c r="C236" s="110"/>
      <c r="D236" s="111"/>
      <c r="E236" s="110"/>
      <c r="F236" s="110"/>
      <c r="G236" s="110"/>
      <c r="H236" s="110"/>
      <c r="I236" s="110"/>
      <c r="J236" s="110"/>
      <c r="K236" s="110"/>
      <c r="L236" s="110"/>
      <c r="M236" s="110"/>
      <c r="N236" s="110"/>
      <c r="O236" s="110"/>
      <c r="P236" s="110"/>
      <c r="Q236" s="110"/>
      <c r="R236" s="110"/>
      <c r="S236" s="110"/>
      <c r="T236" s="110"/>
      <c r="U236" s="110"/>
      <c r="V236" s="110"/>
      <c r="W236" s="110"/>
      <c r="X236" s="110"/>
      <c r="Y236" s="110"/>
    </row>
    <row r="237" ht="13.5" customHeight="1">
      <c r="A237" s="110"/>
      <c r="B237" s="143"/>
      <c r="C237" s="110"/>
      <c r="D237" s="111"/>
      <c r="E237" s="110"/>
      <c r="F237" s="110"/>
      <c r="G237" s="110"/>
      <c r="H237" s="110"/>
      <c r="I237" s="110"/>
      <c r="J237" s="110"/>
      <c r="K237" s="110"/>
      <c r="L237" s="110"/>
      <c r="M237" s="110"/>
      <c r="N237" s="110"/>
      <c r="O237" s="110"/>
      <c r="P237" s="110"/>
      <c r="Q237" s="110"/>
      <c r="R237" s="110"/>
      <c r="S237" s="110"/>
      <c r="T237" s="110"/>
      <c r="U237" s="110"/>
      <c r="V237" s="110"/>
      <c r="W237" s="110"/>
      <c r="X237" s="110"/>
      <c r="Y237" s="110"/>
    </row>
    <row r="238" ht="13.5" customHeight="1">
      <c r="A238" s="110"/>
      <c r="B238" s="143"/>
      <c r="C238" s="110"/>
      <c r="D238" s="111"/>
      <c r="E238" s="110"/>
      <c r="F238" s="110"/>
      <c r="G238" s="110"/>
      <c r="H238" s="110"/>
      <c r="I238" s="110"/>
      <c r="J238" s="110"/>
      <c r="K238" s="110"/>
      <c r="L238" s="110"/>
      <c r="M238" s="110"/>
      <c r="N238" s="110"/>
      <c r="O238" s="110"/>
      <c r="P238" s="110"/>
      <c r="Q238" s="110"/>
      <c r="R238" s="110"/>
      <c r="S238" s="110"/>
      <c r="T238" s="110"/>
      <c r="U238" s="110"/>
      <c r="V238" s="110"/>
      <c r="W238" s="110"/>
      <c r="X238" s="110"/>
      <c r="Y238" s="110"/>
    </row>
    <row r="239" ht="13.5" customHeight="1">
      <c r="A239" s="110"/>
      <c r="B239" s="143"/>
      <c r="C239" s="110"/>
      <c r="D239" s="111"/>
      <c r="E239" s="110"/>
      <c r="F239" s="110"/>
      <c r="G239" s="110"/>
      <c r="H239" s="110"/>
      <c r="I239" s="110"/>
      <c r="J239" s="110"/>
      <c r="K239" s="110"/>
      <c r="L239" s="110"/>
      <c r="M239" s="110"/>
      <c r="N239" s="110"/>
      <c r="O239" s="110"/>
      <c r="P239" s="110"/>
      <c r="Q239" s="110"/>
      <c r="R239" s="110"/>
      <c r="S239" s="110"/>
      <c r="T239" s="110"/>
      <c r="U239" s="110"/>
      <c r="V239" s="110"/>
      <c r="W239" s="110"/>
      <c r="X239" s="110"/>
      <c r="Y239" s="110"/>
    </row>
    <row r="240" ht="13.5" customHeight="1">
      <c r="A240" s="110"/>
      <c r="B240" s="143"/>
      <c r="C240" s="110"/>
      <c r="D240" s="111"/>
      <c r="E240" s="110"/>
      <c r="F240" s="110"/>
      <c r="G240" s="110"/>
      <c r="H240" s="110"/>
      <c r="I240" s="110"/>
      <c r="J240" s="110"/>
      <c r="K240" s="110"/>
      <c r="L240" s="110"/>
      <c r="M240" s="110"/>
      <c r="N240" s="110"/>
      <c r="O240" s="110"/>
      <c r="P240" s="110"/>
      <c r="Q240" s="110"/>
      <c r="R240" s="110"/>
      <c r="S240" s="110"/>
      <c r="T240" s="110"/>
      <c r="U240" s="110"/>
      <c r="V240" s="110"/>
      <c r="W240" s="110"/>
      <c r="X240" s="110"/>
      <c r="Y240" s="110"/>
    </row>
    <row r="241" ht="13.5" customHeight="1">
      <c r="A241" s="110"/>
      <c r="B241" s="143"/>
      <c r="C241" s="110"/>
      <c r="D241" s="111"/>
      <c r="E241" s="110"/>
      <c r="F241" s="110"/>
      <c r="G241" s="110"/>
      <c r="H241" s="110"/>
      <c r="I241" s="110"/>
      <c r="J241" s="110"/>
      <c r="K241" s="110"/>
      <c r="L241" s="110"/>
      <c r="M241" s="110"/>
      <c r="N241" s="110"/>
      <c r="O241" s="110"/>
      <c r="P241" s="110"/>
      <c r="Q241" s="110"/>
      <c r="R241" s="110"/>
      <c r="S241" s="110"/>
      <c r="T241" s="110"/>
      <c r="U241" s="110"/>
      <c r="V241" s="110"/>
      <c r="W241" s="110"/>
      <c r="X241" s="110"/>
      <c r="Y241" s="110"/>
    </row>
    <row r="242" ht="13.5" customHeight="1">
      <c r="A242" s="110"/>
      <c r="B242" s="143"/>
      <c r="C242" s="110"/>
      <c r="D242" s="111"/>
      <c r="E242" s="110"/>
      <c r="F242" s="110"/>
      <c r="G242" s="110"/>
      <c r="H242" s="110"/>
      <c r="I242" s="110"/>
      <c r="J242" s="110"/>
      <c r="K242" s="110"/>
      <c r="L242" s="110"/>
      <c r="M242" s="110"/>
      <c r="N242" s="110"/>
      <c r="O242" s="110"/>
      <c r="P242" s="110"/>
      <c r="Q242" s="110"/>
      <c r="R242" s="110"/>
      <c r="S242" s="110"/>
      <c r="T242" s="110"/>
      <c r="U242" s="110"/>
      <c r="V242" s="110"/>
      <c r="W242" s="110"/>
      <c r="X242" s="110"/>
      <c r="Y242" s="110"/>
    </row>
    <row r="243" ht="13.5" customHeight="1">
      <c r="A243" s="110"/>
      <c r="B243" s="143"/>
      <c r="C243" s="110"/>
      <c r="D243" s="111"/>
      <c r="E243" s="110"/>
      <c r="F243" s="110"/>
      <c r="G243" s="110"/>
      <c r="H243" s="110"/>
      <c r="I243" s="110"/>
      <c r="J243" s="110"/>
      <c r="K243" s="110"/>
      <c r="L243" s="110"/>
      <c r="M243" s="110"/>
      <c r="N243" s="110"/>
      <c r="O243" s="110"/>
      <c r="P243" s="110"/>
      <c r="Q243" s="110"/>
      <c r="R243" s="110"/>
      <c r="S243" s="110"/>
      <c r="T243" s="110"/>
      <c r="U243" s="110"/>
      <c r="V243" s="110"/>
      <c r="W243" s="110"/>
      <c r="X243" s="110"/>
      <c r="Y243" s="110"/>
    </row>
    <row r="244" ht="13.5" customHeight="1">
      <c r="A244" s="110"/>
      <c r="B244" s="143"/>
      <c r="C244" s="110"/>
      <c r="D244" s="111"/>
      <c r="E244" s="110"/>
      <c r="F244" s="110"/>
      <c r="G244" s="110"/>
      <c r="H244" s="110"/>
      <c r="I244" s="110"/>
      <c r="J244" s="110"/>
      <c r="K244" s="110"/>
      <c r="L244" s="110"/>
      <c r="M244" s="110"/>
      <c r="N244" s="110"/>
      <c r="O244" s="110"/>
      <c r="P244" s="110"/>
      <c r="Q244" s="110"/>
      <c r="R244" s="110"/>
      <c r="S244" s="110"/>
      <c r="T244" s="110"/>
      <c r="U244" s="110"/>
      <c r="V244" s="110"/>
      <c r="W244" s="110"/>
      <c r="X244" s="110"/>
      <c r="Y244" s="110"/>
    </row>
    <row r="245" ht="13.5" customHeight="1">
      <c r="A245" s="110"/>
      <c r="B245" s="143"/>
      <c r="C245" s="110"/>
      <c r="D245" s="111"/>
      <c r="E245" s="110"/>
      <c r="F245" s="110"/>
      <c r="G245" s="110"/>
      <c r="H245" s="110"/>
      <c r="I245" s="110"/>
      <c r="J245" s="110"/>
      <c r="K245" s="110"/>
      <c r="L245" s="110"/>
      <c r="M245" s="110"/>
      <c r="N245" s="110"/>
      <c r="O245" s="110"/>
      <c r="P245" s="110"/>
      <c r="Q245" s="110"/>
      <c r="R245" s="110"/>
      <c r="S245" s="110"/>
      <c r="T245" s="110"/>
      <c r="U245" s="110"/>
      <c r="V245" s="110"/>
      <c r="W245" s="110"/>
      <c r="X245" s="110"/>
      <c r="Y245" s="110"/>
    </row>
    <row r="246" ht="13.5" customHeight="1">
      <c r="A246" s="110"/>
      <c r="B246" s="143"/>
      <c r="C246" s="110"/>
      <c r="D246" s="111"/>
      <c r="E246" s="110"/>
      <c r="F246" s="110"/>
      <c r="G246" s="110"/>
      <c r="H246" s="110"/>
      <c r="I246" s="110"/>
      <c r="J246" s="110"/>
      <c r="K246" s="110"/>
      <c r="L246" s="110"/>
      <c r="M246" s="110"/>
      <c r="N246" s="110"/>
      <c r="O246" s="110"/>
      <c r="P246" s="110"/>
      <c r="Q246" s="110"/>
      <c r="R246" s="110"/>
      <c r="S246" s="110"/>
      <c r="T246" s="110"/>
      <c r="U246" s="110"/>
      <c r="V246" s="110"/>
      <c r="W246" s="110"/>
      <c r="X246" s="110"/>
      <c r="Y246" s="110"/>
    </row>
    <row r="247" ht="13.5" customHeight="1">
      <c r="A247" s="110"/>
      <c r="B247" s="143"/>
      <c r="C247" s="110"/>
      <c r="D247" s="111"/>
      <c r="E247" s="110"/>
      <c r="F247" s="110"/>
      <c r="G247" s="110"/>
      <c r="H247" s="110"/>
      <c r="I247" s="110"/>
      <c r="J247" s="110"/>
      <c r="K247" s="110"/>
      <c r="L247" s="110"/>
      <c r="M247" s="110"/>
      <c r="N247" s="110"/>
      <c r="O247" s="110"/>
      <c r="P247" s="110"/>
      <c r="Q247" s="110"/>
      <c r="R247" s="110"/>
      <c r="S247" s="110"/>
      <c r="T247" s="110"/>
      <c r="U247" s="110"/>
      <c r="V247" s="110"/>
      <c r="W247" s="110"/>
      <c r="X247" s="110"/>
      <c r="Y247" s="110"/>
    </row>
    <row r="248" ht="13.5" customHeight="1">
      <c r="A248" s="110"/>
      <c r="B248" s="143"/>
      <c r="C248" s="110"/>
      <c r="D248" s="111"/>
      <c r="E248" s="110"/>
      <c r="F248" s="110"/>
      <c r="G248" s="110"/>
      <c r="H248" s="110"/>
      <c r="I248" s="110"/>
      <c r="J248" s="110"/>
      <c r="K248" s="110"/>
      <c r="L248" s="110"/>
      <c r="M248" s="110"/>
      <c r="N248" s="110"/>
      <c r="O248" s="110"/>
      <c r="P248" s="110"/>
      <c r="Q248" s="110"/>
      <c r="R248" s="110"/>
      <c r="S248" s="110"/>
      <c r="T248" s="110"/>
      <c r="U248" s="110"/>
      <c r="V248" s="110"/>
      <c r="W248" s="110"/>
      <c r="X248" s="110"/>
      <c r="Y248" s="110"/>
    </row>
    <row r="249" ht="13.5" customHeight="1">
      <c r="A249" s="110"/>
      <c r="B249" s="143"/>
      <c r="C249" s="110"/>
      <c r="D249" s="111"/>
      <c r="E249" s="110"/>
      <c r="F249" s="110"/>
      <c r="G249" s="110"/>
      <c r="H249" s="110"/>
      <c r="I249" s="110"/>
      <c r="J249" s="110"/>
      <c r="K249" s="110"/>
      <c r="L249" s="110"/>
      <c r="M249" s="110"/>
      <c r="N249" s="110"/>
      <c r="O249" s="110"/>
      <c r="P249" s="110"/>
      <c r="Q249" s="110"/>
      <c r="R249" s="110"/>
      <c r="S249" s="110"/>
      <c r="T249" s="110"/>
      <c r="U249" s="110"/>
      <c r="V249" s="110"/>
      <c r="W249" s="110"/>
      <c r="X249" s="110"/>
      <c r="Y249" s="110"/>
    </row>
    <row r="250" ht="13.5" customHeight="1">
      <c r="A250" s="110"/>
      <c r="B250" s="143"/>
      <c r="C250" s="110"/>
      <c r="D250" s="111"/>
      <c r="E250" s="110"/>
      <c r="F250" s="110"/>
      <c r="G250" s="110"/>
      <c r="H250" s="110"/>
      <c r="I250" s="110"/>
      <c r="J250" s="110"/>
      <c r="K250" s="110"/>
      <c r="L250" s="110"/>
      <c r="M250" s="110"/>
      <c r="N250" s="110"/>
      <c r="O250" s="110"/>
      <c r="P250" s="110"/>
      <c r="Q250" s="110"/>
      <c r="R250" s="110"/>
      <c r="S250" s="110"/>
      <c r="T250" s="110"/>
      <c r="U250" s="110"/>
      <c r="V250" s="110"/>
      <c r="W250" s="110"/>
      <c r="X250" s="110"/>
      <c r="Y250" s="110"/>
    </row>
    <row r="251" ht="13.5" customHeight="1">
      <c r="A251" s="110"/>
      <c r="B251" s="143"/>
      <c r="C251" s="110"/>
      <c r="D251" s="111"/>
      <c r="E251" s="110"/>
      <c r="F251" s="110"/>
      <c r="G251" s="110"/>
      <c r="H251" s="110"/>
      <c r="I251" s="110"/>
      <c r="J251" s="110"/>
      <c r="K251" s="110"/>
      <c r="L251" s="110"/>
      <c r="M251" s="110"/>
      <c r="N251" s="110"/>
      <c r="O251" s="110"/>
      <c r="P251" s="110"/>
      <c r="Q251" s="110"/>
      <c r="R251" s="110"/>
      <c r="S251" s="110"/>
      <c r="T251" s="110"/>
      <c r="U251" s="110"/>
      <c r="V251" s="110"/>
      <c r="W251" s="110"/>
      <c r="X251" s="110"/>
      <c r="Y251" s="110"/>
    </row>
    <row r="252" ht="13.5" customHeight="1">
      <c r="A252" s="110"/>
      <c r="B252" s="143"/>
      <c r="C252" s="110"/>
      <c r="D252" s="111"/>
      <c r="E252" s="110"/>
      <c r="F252" s="110"/>
      <c r="G252" s="110"/>
      <c r="H252" s="110"/>
      <c r="I252" s="110"/>
      <c r="J252" s="110"/>
      <c r="K252" s="110"/>
      <c r="L252" s="110"/>
      <c r="M252" s="110"/>
      <c r="N252" s="110"/>
      <c r="O252" s="110"/>
      <c r="P252" s="110"/>
      <c r="Q252" s="110"/>
      <c r="R252" s="110"/>
      <c r="S252" s="110"/>
      <c r="T252" s="110"/>
      <c r="U252" s="110"/>
      <c r="V252" s="110"/>
      <c r="W252" s="110"/>
      <c r="X252" s="110"/>
      <c r="Y252" s="110"/>
    </row>
    <row r="253" ht="13.5" customHeight="1">
      <c r="A253" s="110"/>
      <c r="B253" s="143"/>
      <c r="C253" s="110"/>
      <c r="D253" s="111"/>
      <c r="E253" s="110"/>
      <c r="F253" s="110"/>
      <c r="G253" s="110"/>
      <c r="H253" s="110"/>
      <c r="I253" s="110"/>
      <c r="J253" s="110"/>
      <c r="K253" s="110"/>
      <c r="L253" s="110"/>
      <c r="M253" s="110"/>
      <c r="N253" s="110"/>
      <c r="O253" s="110"/>
      <c r="P253" s="110"/>
      <c r="Q253" s="110"/>
      <c r="R253" s="110"/>
      <c r="S253" s="110"/>
      <c r="T253" s="110"/>
      <c r="U253" s="110"/>
      <c r="V253" s="110"/>
      <c r="W253" s="110"/>
      <c r="X253" s="110"/>
      <c r="Y253" s="110"/>
    </row>
    <row r="254" ht="13.5" customHeight="1">
      <c r="A254" s="110"/>
      <c r="B254" s="143"/>
      <c r="C254" s="110"/>
      <c r="D254" s="111"/>
      <c r="E254" s="110"/>
      <c r="F254" s="110"/>
      <c r="G254" s="110"/>
      <c r="H254" s="110"/>
      <c r="I254" s="110"/>
      <c r="J254" s="110"/>
      <c r="K254" s="110"/>
      <c r="L254" s="110"/>
      <c r="M254" s="110"/>
      <c r="N254" s="110"/>
      <c r="O254" s="110"/>
      <c r="P254" s="110"/>
      <c r="Q254" s="110"/>
      <c r="R254" s="110"/>
      <c r="S254" s="110"/>
      <c r="T254" s="110"/>
      <c r="U254" s="110"/>
      <c r="V254" s="110"/>
      <c r="W254" s="110"/>
      <c r="X254" s="110"/>
      <c r="Y254" s="110"/>
    </row>
    <row r="255" ht="13.5" customHeight="1">
      <c r="A255" s="110"/>
      <c r="B255" s="143"/>
      <c r="C255" s="110"/>
      <c r="D255" s="111"/>
      <c r="E255" s="110"/>
      <c r="F255" s="110"/>
      <c r="G255" s="110"/>
      <c r="H255" s="110"/>
      <c r="I255" s="110"/>
      <c r="J255" s="110"/>
      <c r="K255" s="110"/>
      <c r="L255" s="110"/>
      <c r="M255" s="110"/>
      <c r="N255" s="110"/>
      <c r="O255" s="110"/>
      <c r="P255" s="110"/>
      <c r="Q255" s="110"/>
      <c r="R255" s="110"/>
      <c r="S255" s="110"/>
      <c r="T255" s="110"/>
      <c r="U255" s="110"/>
      <c r="V255" s="110"/>
      <c r="W255" s="110"/>
      <c r="X255" s="110"/>
      <c r="Y255" s="110"/>
    </row>
    <row r="256" ht="13.5" customHeight="1">
      <c r="A256" s="110"/>
      <c r="B256" s="143"/>
      <c r="C256" s="110"/>
      <c r="D256" s="111"/>
      <c r="E256" s="110"/>
      <c r="F256" s="110"/>
      <c r="G256" s="110"/>
      <c r="H256" s="110"/>
      <c r="I256" s="110"/>
      <c r="J256" s="110"/>
      <c r="K256" s="110"/>
      <c r="L256" s="110"/>
      <c r="M256" s="110"/>
      <c r="N256" s="110"/>
      <c r="O256" s="110"/>
      <c r="P256" s="110"/>
      <c r="Q256" s="110"/>
      <c r="R256" s="110"/>
      <c r="S256" s="110"/>
      <c r="T256" s="110"/>
      <c r="U256" s="110"/>
      <c r="V256" s="110"/>
      <c r="W256" s="110"/>
      <c r="X256" s="110"/>
      <c r="Y256" s="110"/>
    </row>
    <row r="257" ht="13.5" customHeight="1">
      <c r="A257" s="110"/>
      <c r="B257" s="143"/>
      <c r="C257" s="110"/>
      <c r="D257" s="111"/>
      <c r="E257" s="110"/>
      <c r="F257" s="110"/>
      <c r="G257" s="110"/>
      <c r="H257" s="110"/>
      <c r="I257" s="110"/>
      <c r="J257" s="110"/>
      <c r="K257" s="110"/>
      <c r="L257" s="110"/>
      <c r="M257" s="110"/>
      <c r="N257" s="110"/>
      <c r="O257" s="110"/>
      <c r="P257" s="110"/>
      <c r="Q257" s="110"/>
      <c r="R257" s="110"/>
      <c r="S257" s="110"/>
      <c r="T257" s="110"/>
      <c r="U257" s="110"/>
      <c r="V257" s="110"/>
      <c r="W257" s="110"/>
      <c r="X257" s="110"/>
      <c r="Y257" s="110"/>
    </row>
    <row r="258" ht="13.5" customHeight="1">
      <c r="A258" s="110"/>
      <c r="B258" s="143"/>
      <c r="C258" s="110"/>
      <c r="D258" s="111"/>
      <c r="E258" s="110"/>
      <c r="F258" s="110"/>
      <c r="G258" s="110"/>
      <c r="H258" s="110"/>
      <c r="I258" s="110"/>
      <c r="J258" s="110"/>
      <c r="K258" s="110"/>
      <c r="L258" s="110"/>
      <c r="M258" s="110"/>
      <c r="N258" s="110"/>
      <c r="O258" s="110"/>
      <c r="P258" s="110"/>
      <c r="Q258" s="110"/>
      <c r="R258" s="110"/>
      <c r="S258" s="110"/>
      <c r="T258" s="110"/>
      <c r="U258" s="110"/>
      <c r="V258" s="110"/>
      <c r="W258" s="110"/>
      <c r="X258" s="110"/>
      <c r="Y258" s="110"/>
    </row>
    <row r="259" ht="13.5" customHeight="1">
      <c r="A259" s="110"/>
      <c r="B259" s="143"/>
      <c r="C259" s="110"/>
      <c r="D259" s="111"/>
      <c r="E259" s="110"/>
      <c r="F259" s="110"/>
      <c r="G259" s="110"/>
      <c r="H259" s="110"/>
      <c r="I259" s="110"/>
      <c r="J259" s="110"/>
      <c r="K259" s="110"/>
      <c r="L259" s="110"/>
      <c r="M259" s="110"/>
      <c r="N259" s="110"/>
      <c r="O259" s="110"/>
      <c r="P259" s="110"/>
      <c r="Q259" s="110"/>
      <c r="R259" s="110"/>
      <c r="S259" s="110"/>
      <c r="T259" s="110"/>
      <c r="U259" s="110"/>
      <c r="V259" s="110"/>
      <c r="W259" s="110"/>
      <c r="X259" s="110"/>
      <c r="Y259" s="110"/>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D2"/>
    <mergeCell ref="E2:J2"/>
    <mergeCell ref="K2:S2"/>
    <mergeCell ref="C3:D3"/>
    <mergeCell ref="E3:J3"/>
    <mergeCell ref="K3:S3"/>
    <mergeCell ref="A3:B3"/>
    <mergeCell ref="A4:B4"/>
    <mergeCell ref="C4:D4"/>
    <mergeCell ref="E4:J4"/>
    <mergeCell ref="K4:S4"/>
    <mergeCell ref="A5:B5"/>
    <mergeCell ref="C5:S5"/>
    <mergeCell ref="N6:S6"/>
    <mergeCell ref="N7:S7"/>
    <mergeCell ref="B56:D56"/>
    <mergeCell ref="B57:D57"/>
    <mergeCell ref="B58:D58"/>
    <mergeCell ref="B59:D59"/>
    <mergeCell ref="A6:B6"/>
    <mergeCell ref="C6:D6"/>
    <mergeCell ref="E6:J6"/>
    <mergeCell ref="K6:M6"/>
    <mergeCell ref="A7:B7"/>
    <mergeCell ref="C7:D7"/>
    <mergeCell ref="E7:J7"/>
  </mergeCells>
  <dataValidations>
    <dataValidation type="list" allowBlank="1" showInputMessage="1" showErrorMessage="1" prompt=" - " sqref="E57:S57">
      <formula1>"P,F"</formula1>
    </dataValidation>
    <dataValidation type="list" allowBlank="1" showInputMessage="1" showErrorMessage="1" prompt=" - " sqref="E10:S55">
      <formula1>"O"</formula1>
    </dataValidation>
    <dataValidation type="list" allowBlank="1" showInputMessage="1" showErrorMessage="1" prompt=" - " sqref="E56:S56">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5.5"/>
    <col customWidth="1" min="6" max="6" width="4.63"/>
    <col customWidth="1" min="7" max="7" width="4.38"/>
    <col customWidth="1" min="8" max="8" width="5.25"/>
    <col customWidth="1" min="9" max="9" width="5.0"/>
    <col customWidth="1" min="10" max="10" width="4.63"/>
    <col customWidth="1" min="11" max="12" width="5.5"/>
    <col customWidth="1" min="13" max="13" width="5.25"/>
    <col customWidth="1" min="14" max="14" width="6.63"/>
    <col customWidth="1" min="15" max="20" width="2.88"/>
    <col customWidth="1" min="21" max="22" width="9.0"/>
    <col customWidth="1" min="23" max="25" width="10.0"/>
  </cols>
  <sheetData>
    <row r="1" ht="13.5" customHeight="1">
      <c r="A1" s="474"/>
      <c r="B1" s="474"/>
      <c r="C1" s="475"/>
      <c r="D1" s="475"/>
      <c r="E1" s="475"/>
      <c r="F1" s="475"/>
      <c r="G1" s="475"/>
      <c r="H1" s="475"/>
      <c r="I1" s="475"/>
      <c r="J1" s="475"/>
      <c r="K1" s="475"/>
      <c r="L1" s="475"/>
      <c r="M1" s="475"/>
      <c r="N1" s="475"/>
      <c r="O1" s="475"/>
      <c r="P1" s="475"/>
      <c r="Q1" s="475"/>
      <c r="R1" s="475"/>
      <c r="S1" s="475"/>
      <c r="T1" s="475"/>
      <c r="U1" s="475"/>
      <c r="V1" s="475"/>
      <c r="W1" s="475"/>
      <c r="X1" s="475"/>
      <c r="Y1" s="475"/>
    </row>
    <row r="2" ht="13.5" customHeight="1">
      <c r="A2" s="342" t="s">
        <v>337</v>
      </c>
      <c r="B2" s="113"/>
      <c r="C2" s="343" t="str">
        <f>Functions!E46</f>
        <v>F-36</v>
      </c>
      <c r="D2" s="115"/>
      <c r="E2" s="344" t="s">
        <v>71</v>
      </c>
      <c r="F2" s="117"/>
      <c r="G2" s="117"/>
      <c r="H2" s="117"/>
      <c r="I2" s="117"/>
      <c r="J2" s="117"/>
      <c r="K2" s="118" t="str">
        <f>Functions!D46</f>
        <v>Reservation, dispatch issue and release ledger</v>
      </c>
      <c r="L2" s="113"/>
      <c r="M2" s="113"/>
      <c r="N2" s="113"/>
      <c r="O2" s="113"/>
      <c r="P2" s="113"/>
      <c r="Q2" s="113"/>
      <c r="R2" s="113"/>
      <c r="S2" s="119"/>
      <c r="T2" s="475"/>
      <c r="U2" s="477"/>
      <c r="V2" s="475"/>
      <c r="W2" s="475"/>
      <c r="X2" s="475"/>
      <c r="Y2" s="475"/>
    </row>
    <row r="3" ht="13.5" customHeight="1">
      <c r="A3" s="345" t="s">
        <v>338</v>
      </c>
      <c r="B3" s="13"/>
      <c r="C3" s="321" t="s">
        <v>183</v>
      </c>
      <c r="D3" s="13"/>
      <c r="E3" s="346" t="s">
        <v>339</v>
      </c>
      <c r="F3" s="12"/>
      <c r="G3" s="12"/>
      <c r="H3" s="12"/>
      <c r="I3" s="12"/>
      <c r="J3" s="13"/>
      <c r="K3" s="478"/>
      <c r="L3" s="123"/>
      <c r="M3" s="123"/>
      <c r="N3" s="123"/>
      <c r="O3" s="123"/>
      <c r="P3" s="123"/>
      <c r="Q3" s="123"/>
      <c r="R3" s="123"/>
      <c r="S3" s="279"/>
      <c r="T3" s="475"/>
      <c r="U3" s="475"/>
      <c r="V3" s="475"/>
      <c r="W3" s="475"/>
      <c r="X3" s="475"/>
      <c r="Y3" s="475"/>
    </row>
    <row r="4" ht="13.5" customHeight="1">
      <c r="A4" s="345" t="s">
        <v>340</v>
      </c>
      <c r="B4" s="13"/>
      <c r="C4" s="128"/>
      <c r="D4" s="12"/>
      <c r="E4" s="346" t="s">
        <v>341</v>
      </c>
      <c r="F4" s="12"/>
      <c r="G4" s="12"/>
      <c r="H4" s="12"/>
      <c r="I4" s="12"/>
      <c r="J4" s="13"/>
      <c r="K4" s="130" t="str">
        <f>IF(OR(C4="",Functions!E6="N/A"),"N/A",C4*Functions!E6/1000-N7)</f>
        <v>N/A</v>
      </c>
      <c r="L4" s="12"/>
      <c r="M4" s="12"/>
      <c r="N4" s="12"/>
      <c r="O4" s="12"/>
      <c r="P4" s="12"/>
      <c r="Q4" s="12"/>
      <c r="R4" s="12"/>
      <c r="S4" s="131"/>
      <c r="T4" s="475"/>
      <c r="U4" s="477"/>
      <c r="V4" s="475"/>
      <c r="W4" s="475"/>
      <c r="X4" s="475"/>
      <c r="Y4" s="475"/>
    </row>
    <row r="5" ht="13.5" customHeight="1">
      <c r="A5" s="345" t="s">
        <v>342</v>
      </c>
      <c r="B5" s="13"/>
      <c r="C5" s="321" t="s">
        <v>324</v>
      </c>
      <c r="D5" s="12"/>
      <c r="E5" s="12"/>
      <c r="F5" s="12"/>
      <c r="G5" s="12"/>
      <c r="H5" s="12"/>
      <c r="I5" s="12"/>
      <c r="J5" s="12"/>
      <c r="K5" s="12"/>
      <c r="L5" s="12"/>
      <c r="M5" s="12"/>
      <c r="N5" s="12"/>
      <c r="O5" s="12"/>
      <c r="P5" s="12"/>
      <c r="Q5" s="12"/>
      <c r="R5" s="12"/>
      <c r="S5" s="131"/>
      <c r="T5" s="475"/>
      <c r="U5" s="475"/>
      <c r="V5" s="475"/>
      <c r="W5" s="475"/>
      <c r="X5" s="475"/>
      <c r="Y5" s="475"/>
    </row>
    <row r="6" ht="13.5" customHeight="1">
      <c r="A6" s="357" t="s">
        <v>217</v>
      </c>
      <c r="B6" s="13"/>
      <c r="C6" s="134" t="s">
        <v>218</v>
      </c>
      <c r="D6" s="13"/>
      <c r="E6" s="134" t="s">
        <v>219</v>
      </c>
      <c r="F6" s="12"/>
      <c r="G6" s="12"/>
      <c r="H6" s="12"/>
      <c r="I6" s="12"/>
      <c r="J6" s="13"/>
      <c r="K6" s="135" t="s">
        <v>343</v>
      </c>
      <c r="L6" s="12"/>
      <c r="M6" s="12"/>
      <c r="N6" s="134" t="s">
        <v>222</v>
      </c>
      <c r="O6" s="12"/>
      <c r="P6" s="12"/>
      <c r="Q6" s="12"/>
      <c r="R6" s="12"/>
      <c r="S6" s="131"/>
      <c r="T6" s="475"/>
      <c r="U6" s="477"/>
      <c r="V6" s="475"/>
      <c r="W6" s="475"/>
      <c r="X6" s="475"/>
      <c r="Y6" s="475"/>
    </row>
    <row r="7" ht="13.5" customHeight="1">
      <c r="A7" s="359">
        <f>COUNTIF(E46:N46,"P")</f>
        <v>0</v>
      </c>
      <c r="B7" s="138"/>
      <c r="C7" s="360">
        <f>COUNTIF(E46:N46,"F")</f>
        <v>0</v>
      </c>
      <c r="D7" s="138"/>
      <c r="E7" s="360">
        <f>SUM(N7,-A7,-C7)</f>
        <v>4</v>
      </c>
      <c r="F7" s="140"/>
      <c r="G7" s="140"/>
      <c r="H7" s="140"/>
      <c r="I7" s="140"/>
      <c r="J7" s="138"/>
      <c r="K7" s="361">
        <f>COUNTIF(E45:N45,"N")</f>
        <v>2</v>
      </c>
      <c r="L7" s="361">
        <f>COUNTIF(E45:N45,"A")</f>
        <v>2</v>
      </c>
      <c r="M7" s="361">
        <f>COUNTIF(E45:N45,"B")</f>
        <v>0</v>
      </c>
      <c r="N7" s="360">
        <f>COUNTA(E9:N9)</f>
        <v>4</v>
      </c>
      <c r="O7" s="140"/>
      <c r="P7" s="140"/>
      <c r="Q7" s="140"/>
      <c r="R7" s="140"/>
      <c r="S7" s="284"/>
      <c r="T7" s="480"/>
      <c r="U7" s="475"/>
      <c r="V7" s="475"/>
      <c r="W7" s="475"/>
      <c r="X7" s="475"/>
      <c r="Y7" s="475"/>
    </row>
    <row r="8" ht="12.0" customHeight="1">
      <c r="A8" s="475"/>
      <c r="B8" s="475"/>
      <c r="C8" s="475"/>
      <c r="D8" s="475"/>
      <c r="E8" s="475"/>
      <c r="F8" s="475"/>
      <c r="G8" s="475"/>
      <c r="H8" s="475"/>
      <c r="I8" s="475"/>
      <c r="J8" s="475"/>
      <c r="K8" s="475"/>
      <c r="L8" s="475"/>
      <c r="M8" s="475"/>
      <c r="N8" s="475"/>
      <c r="O8" s="475"/>
      <c r="P8" s="475"/>
      <c r="Q8" s="475"/>
      <c r="R8" s="475"/>
      <c r="S8" s="475"/>
      <c r="T8" s="475"/>
      <c r="U8" s="475"/>
      <c r="V8" s="475"/>
      <c r="W8" s="475"/>
      <c r="X8" s="475"/>
      <c r="Y8" s="475"/>
    </row>
    <row r="9" ht="45.0" customHeight="1">
      <c r="A9" s="481"/>
      <c r="B9" s="482"/>
      <c r="C9" s="482"/>
      <c r="D9" s="482"/>
      <c r="E9" s="369" t="s">
        <v>344</v>
      </c>
      <c r="F9" s="369" t="s">
        <v>345</v>
      </c>
      <c r="G9" s="369" t="s">
        <v>346</v>
      </c>
      <c r="H9" s="369" t="s">
        <v>347</v>
      </c>
      <c r="I9" s="369"/>
      <c r="J9" s="369"/>
      <c r="K9" s="369"/>
      <c r="L9" s="369"/>
      <c r="M9" s="369"/>
      <c r="N9" s="369"/>
      <c r="O9" s="483"/>
      <c r="P9" s="483"/>
      <c r="Q9" s="483"/>
      <c r="R9" s="483"/>
      <c r="S9" s="484"/>
      <c r="T9" s="475"/>
      <c r="U9" s="477"/>
      <c r="V9" s="475"/>
      <c r="W9" s="475"/>
      <c r="X9" s="475"/>
      <c r="Y9" s="475"/>
    </row>
    <row r="10" ht="13.5" customHeight="1">
      <c r="A10" s="485" t="s">
        <v>350</v>
      </c>
      <c r="B10" s="347" t="s">
        <v>351</v>
      </c>
      <c r="C10" s="349"/>
      <c r="D10" s="420"/>
      <c r="E10" s="464"/>
      <c r="F10" s="464"/>
      <c r="G10" s="464"/>
      <c r="H10" s="464"/>
      <c r="I10" s="464"/>
      <c r="J10" s="464"/>
      <c r="K10" s="464"/>
      <c r="L10" s="464"/>
      <c r="M10" s="464"/>
      <c r="N10" s="464"/>
      <c r="O10" s="355"/>
      <c r="P10" s="355"/>
      <c r="Q10" s="355"/>
      <c r="R10" s="355"/>
      <c r="S10" s="541"/>
      <c r="T10" s="475"/>
      <c r="U10" s="475"/>
      <c r="V10" s="475"/>
      <c r="W10" s="475"/>
      <c r="X10" s="475"/>
      <c r="Y10" s="475"/>
    </row>
    <row r="11" ht="13.5" customHeight="1">
      <c r="A11" s="486"/>
      <c r="B11" s="307"/>
      <c r="C11" s="349"/>
      <c r="D11" s="489" t="s">
        <v>736</v>
      </c>
      <c r="E11" s="383" t="s">
        <v>353</v>
      </c>
      <c r="F11" s="464"/>
      <c r="G11" s="383"/>
      <c r="H11" s="383"/>
      <c r="I11" s="383"/>
      <c r="J11" s="383"/>
      <c r="K11" s="383"/>
      <c r="L11" s="383"/>
      <c r="M11" s="383"/>
      <c r="N11" s="383"/>
      <c r="O11" s="355"/>
      <c r="P11" s="355"/>
      <c r="Q11" s="355"/>
      <c r="R11" s="355"/>
      <c r="S11" s="541"/>
      <c r="T11" s="475"/>
      <c r="U11" s="477"/>
      <c r="V11" s="475"/>
      <c r="W11" s="475"/>
      <c r="X11" s="475"/>
      <c r="Y11" s="475"/>
    </row>
    <row r="12" ht="13.5" customHeight="1">
      <c r="A12" s="486"/>
      <c r="B12" s="347"/>
      <c r="C12" s="349"/>
      <c r="D12" s="489" t="s">
        <v>737</v>
      </c>
      <c r="E12" s="464"/>
      <c r="F12" s="383" t="s">
        <v>353</v>
      </c>
      <c r="G12" s="464"/>
      <c r="H12" s="464"/>
      <c r="I12" s="464"/>
      <c r="J12" s="464"/>
      <c r="K12" s="464"/>
      <c r="L12" s="464"/>
      <c r="M12" s="464"/>
      <c r="N12" s="464"/>
      <c r="O12" s="355"/>
      <c r="P12" s="355"/>
      <c r="Q12" s="355"/>
      <c r="R12" s="355"/>
      <c r="S12" s="541"/>
      <c r="T12" s="475"/>
      <c r="U12" s="475"/>
      <c r="V12" s="475"/>
      <c r="W12" s="475"/>
      <c r="X12" s="475"/>
      <c r="Y12" s="475"/>
    </row>
    <row r="13" ht="13.5" customHeight="1">
      <c r="A13" s="486"/>
      <c r="B13" s="307"/>
      <c r="C13" s="349"/>
      <c r="D13" s="489"/>
      <c r="E13" s="464"/>
      <c r="F13" s="464"/>
      <c r="G13" s="464"/>
      <c r="H13" s="464"/>
      <c r="I13" s="464"/>
      <c r="J13" s="464"/>
      <c r="K13" s="464"/>
      <c r="L13" s="464"/>
      <c r="M13" s="464"/>
      <c r="N13" s="464"/>
      <c r="O13" s="355"/>
      <c r="P13" s="355"/>
      <c r="Q13" s="355"/>
      <c r="R13" s="355"/>
      <c r="S13" s="541"/>
      <c r="T13" s="475"/>
      <c r="U13" s="475"/>
      <c r="V13" s="475"/>
      <c r="W13" s="475"/>
      <c r="X13" s="475"/>
      <c r="Y13" s="475"/>
    </row>
    <row r="14" ht="13.5" customHeight="1">
      <c r="A14" s="486"/>
      <c r="B14" s="347"/>
      <c r="C14" s="349"/>
      <c r="D14" s="489" t="s">
        <v>738</v>
      </c>
      <c r="E14" s="464"/>
      <c r="F14" s="464"/>
      <c r="G14" s="464" t="s">
        <v>353</v>
      </c>
      <c r="H14" s="383"/>
      <c r="I14" s="464"/>
      <c r="J14" s="464"/>
      <c r="K14" s="464"/>
      <c r="L14" s="464"/>
      <c r="M14" s="464"/>
      <c r="N14" s="464"/>
      <c r="O14" s="355"/>
      <c r="P14" s="355"/>
      <c r="Q14" s="355"/>
      <c r="R14" s="355"/>
      <c r="S14" s="541"/>
      <c r="T14" s="475"/>
      <c r="U14" s="475"/>
      <c r="V14" s="475"/>
      <c r="W14" s="475"/>
      <c r="X14" s="475"/>
      <c r="Y14" s="475"/>
    </row>
    <row r="15" ht="13.5" customHeight="1">
      <c r="A15" s="486"/>
      <c r="B15" s="347"/>
      <c r="C15" s="349"/>
      <c r="D15" s="489" t="s">
        <v>739</v>
      </c>
      <c r="E15" s="383"/>
      <c r="F15" s="464"/>
      <c r="G15" s="383"/>
      <c r="H15" s="464" t="s">
        <v>353</v>
      </c>
      <c r="I15" s="464"/>
      <c r="J15" s="383"/>
      <c r="K15" s="383"/>
      <c r="L15" s="383"/>
      <c r="M15" s="383"/>
      <c r="N15" s="383"/>
      <c r="O15" s="355"/>
      <c r="P15" s="355"/>
      <c r="Q15" s="355"/>
      <c r="R15" s="355"/>
      <c r="S15" s="541"/>
      <c r="T15" s="475"/>
      <c r="U15" s="475"/>
      <c r="V15" s="475"/>
      <c r="W15" s="475"/>
      <c r="X15" s="475"/>
      <c r="Y15" s="475"/>
    </row>
    <row r="16" ht="13.5" customHeight="1">
      <c r="A16" s="486"/>
      <c r="B16" s="347"/>
      <c r="C16" s="349"/>
      <c r="D16" s="489"/>
      <c r="E16" s="464"/>
      <c r="F16" s="464"/>
      <c r="G16" s="464"/>
      <c r="H16" s="464"/>
      <c r="I16" s="383"/>
      <c r="J16" s="464"/>
      <c r="K16" s="464"/>
      <c r="L16" s="464"/>
      <c r="M16" s="464"/>
      <c r="N16" s="464"/>
      <c r="O16" s="355"/>
      <c r="P16" s="355"/>
      <c r="Q16" s="355"/>
      <c r="R16" s="355"/>
      <c r="S16" s="541"/>
      <c r="T16" s="475"/>
      <c r="U16" s="475"/>
      <c r="V16" s="475"/>
      <c r="W16" s="475"/>
      <c r="X16" s="475"/>
      <c r="Y16" s="475"/>
    </row>
    <row r="17" ht="13.5" customHeight="1">
      <c r="A17" s="486"/>
      <c r="B17" s="347"/>
      <c r="C17" s="349"/>
      <c r="D17" s="489"/>
      <c r="E17" s="464"/>
      <c r="F17" s="383"/>
      <c r="G17" s="464"/>
      <c r="H17" s="464"/>
      <c r="I17" s="464"/>
      <c r="J17" s="464"/>
      <c r="K17" s="464"/>
      <c r="L17" s="464"/>
      <c r="M17" s="464"/>
      <c r="N17" s="464"/>
      <c r="O17" s="355"/>
      <c r="P17" s="355"/>
      <c r="Q17" s="355"/>
      <c r="R17" s="355"/>
      <c r="S17" s="541"/>
      <c r="T17" s="475"/>
      <c r="U17" s="475"/>
      <c r="V17" s="475"/>
      <c r="W17" s="475"/>
      <c r="X17" s="475"/>
      <c r="Y17" s="475"/>
    </row>
    <row r="18" ht="13.5" customHeight="1">
      <c r="A18" s="486"/>
      <c r="B18" s="347"/>
      <c r="C18" s="349"/>
      <c r="D18" s="489"/>
      <c r="E18" s="464"/>
      <c r="F18" s="464"/>
      <c r="G18" s="464"/>
      <c r="H18" s="464"/>
      <c r="I18" s="464"/>
      <c r="J18" s="464"/>
      <c r="K18" s="464"/>
      <c r="L18" s="464"/>
      <c r="M18" s="464"/>
      <c r="N18" s="464"/>
      <c r="O18" s="355"/>
      <c r="P18" s="355"/>
      <c r="Q18" s="355"/>
      <c r="R18" s="355"/>
      <c r="S18" s="541"/>
      <c r="T18" s="475"/>
      <c r="U18" s="475"/>
      <c r="V18" s="475"/>
      <c r="W18" s="475"/>
      <c r="X18" s="475"/>
      <c r="Y18" s="475"/>
    </row>
    <row r="19" ht="13.5" customHeight="1">
      <c r="A19" s="486"/>
      <c r="B19" s="347"/>
      <c r="C19" s="349"/>
      <c r="D19" s="489"/>
      <c r="E19" s="383"/>
      <c r="F19" s="464"/>
      <c r="G19" s="464"/>
      <c r="H19" s="383"/>
      <c r="I19" s="383"/>
      <c r="J19" s="383"/>
      <c r="K19" s="383"/>
      <c r="L19" s="383"/>
      <c r="M19" s="383"/>
      <c r="N19" s="383"/>
      <c r="O19" s="355"/>
      <c r="P19" s="355"/>
      <c r="Q19" s="355"/>
      <c r="R19" s="355"/>
      <c r="S19" s="541"/>
      <c r="T19" s="475"/>
      <c r="U19" s="475"/>
      <c r="V19" s="475"/>
      <c r="W19" s="475"/>
      <c r="X19" s="475"/>
      <c r="Y19" s="475"/>
    </row>
    <row r="20" ht="13.5" customHeight="1">
      <c r="A20" s="486"/>
      <c r="B20" s="347"/>
      <c r="C20" s="349"/>
      <c r="D20" s="489"/>
      <c r="E20" s="464"/>
      <c r="F20" s="464"/>
      <c r="G20" s="383"/>
      <c r="H20" s="464"/>
      <c r="I20" s="464"/>
      <c r="J20" s="464"/>
      <c r="K20" s="464"/>
      <c r="L20" s="464"/>
      <c r="M20" s="464"/>
      <c r="N20" s="464"/>
      <c r="O20" s="355"/>
      <c r="P20" s="355"/>
      <c r="Q20" s="355"/>
      <c r="R20" s="355"/>
      <c r="S20" s="541"/>
      <c r="T20" s="475"/>
      <c r="U20" s="475"/>
      <c r="V20" s="475"/>
      <c r="W20" s="475"/>
      <c r="X20" s="475"/>
      <c r="Y20" s="475"/>
    </row>
    <row r="21" ht="13.5" customHeight="1">
      <c r="A21" s="486"/>
      <c r="B21" s="347"/>
      <c r="C21" s="349"/>
      <c r="D21" s="489"/>
      <c r="E21" s="464"/>
      <c r="F21" s="383"/>
      <c r="G21" s="464"/>
      <c r="H21" s="464"/>
      <c r="I21" s="464"/>
      <c r="J21" s="464"/>
      <c r="K21" s="464"/>
      <c r="L21" s="464"/>
      <c r="M21" s="464"/>
      <c r="N21" s="464"/>
      <c r="O21" s="355"/>
      <c r="P21" s="355"/>
      <c r="Q21" s="355"/>
      <c r="R21" s="355"/>
      <c r="S21" s="541"/>
      <c r="T21" s="475"/>
      <c r="U21" s="475"/>
      <c r="V21" s="475"/>
      <c r="W21" s="475"/>
      <c r="X21" s="475"/>
      <c r="Y21" s="475"/>
    </row>
    <row r="22" ht="13.5" customHeight="1">
      <c r="A22" s="486"/>
      <c r="B22" s="347"/>
      <c r="C22" s="349"/>
      <c r="D22" s="354"/>
      <c r="E22" s="464"/>
      <c r="F22" s="464"/>
      <c r="G22" s="464"/>
      <c r="H22" s="464"/>
      <c r="I22" s="464"/>
      <c r="J22" s="464"/>
      <c r="K22" s="464"/>
      <c r="L22" s="464"/>
      <c r="M22" s="464"/>
      <c r="N22" s="464"/>
      <c r="O22" s="355"/>
      <c r="P22" s="355"/>
      <c r="Q22" s="355"/>
      <c r="R22" s="355"/>
      <c r="S22" s="541"/>
      <c r="T22" s="475"/>
      <c r="U22" s="475"/>
      <c r="V22" s="475"/>
      <c r="W22" s="475"/>
      <c r="X22" s="475"/>
      <c r="Y22" s="475"/>
    </row>
    <row r="23" ht="13.5" customHeight="1">
      <c r="A23" s="486"/>
      <c r="B23" s="347"/>
      <c r="C23" s="349"/>
      <c r="D23" s="489"/>
      <c r="E23" s="383"/>
      <c r="F23" s="464"/>
      <c r="G23" s="383"/>
      <c r="H23" s="383"/>
      <c r="I23" s="383"/>
      <c r="J23" s="383"/>
      <c r="K23" s="383"/>
      <c r="L23" s="383"/>
      <c r="M23" s="464"/>
      <c r="N23" s="464"/>
      <c r="O23" s="355"/>
      <c r="P23" s="355"/>
      <c r="Q23" s="355"/>
      <c r="R23" s="355"/>
      <c r="S23" s="541"/>
      <c r="T23" s="475"/>
      <c r="U23" s="475"/>
      <c r="V23" s="475"/>
      <c r="W23" s="475"/>
      <c r="X23" s="475"/>
      <c r="Y23" s="475"/>
    </row>
    <row r="24" ht="13.5" customHeight="1">
      <c r="A24" s="486"/>
      <c r="B24" s="347"/>
      <c r="C24" s="349"/>
      <c r="D24" s="489"/>
      <c r="E24" s="464"/>
      <c r="F24" s="464"/>
      <c r="G24" s="464"/>
      <c r="H24" s="464"/>
      <c r="I24" s="464"/>
      <c r="J24" s="464"/>
      <c r="K24" s="464"/>
      <c r="L24" s="464"/>
      <c r="M24" s="383"/>
      <c r="N24" s="383"/>
      <c r="O24" s="355"/>
      <c r="P24" s="355"/>
      <c r="Q24" s="355"/>
      <c r="R24" s="355"/>
      <c r="S24" s="541"/>
      <c r="T24" s="475"/>
      <c r="U24" s="475"/>
      <c r="V24" s="475"/>
      <c r="W24" s="475"/>
      <c r="X24" s="475"/>
      <c r="Y24" s="475"/>
    </row>
    <row r="25" ht="13.5" customHeight="1">
      <c r="A25" s="486"/>
      <c r="B25" s="585"/>
      <c r="C25" s="364"/>
      <c r="D25" s="365"/>
      <c r="E25" s="531"/>
      <c r="F25" s="400"/>
      <c r="G25" s="531"/>
      <c r="H25" s="531"/>
      <c r="I25" s="531"/>
      <c r="J25" s="531"/>
      <c r="K25" s="531"/>
      <c r="L25" s="531"/>
      <c r="M25" s="531"/>
      <c r="N25" s="531"/>
      <c r="O25" s="509"/>
      <c r="P25" s="509"/>
      <c r="Q25" s="509"/>
      <c r="R25" s="509"/>
      <c r="S25" s="580"/>
      <c r="T25" s="475"/>
      <c r="U25" s="475"/>
      <c r="V25" s="475"/>
      <c r="W25" s="475"/>
      <c r="X25" s="475"/>
      <c r="Y25" s="475"/>
    </row>
    <row r="26" ht="13.5" customHeight="1">
      <c r="A26" s="550" t="s">
        <v>359</v>
      </c>
      <c r="B26" s="551" t="s">
        <v>360</v>
      </c>
      <c r="C26" s="433"/>
      <c r="D26" s="506"/>
      <c r="E26" s="460"/>
      <c r="F26" s="460"/>
      <c r="G26" s="460"/>
      <c r="H26" s="460"/>
      <c r="I26" s="460"/>
      <c r="J26" s="460"/>
      <c r="K26" s="460"/>
      <c r="L26" s="460"/>
      <c r="M26" s="460"/>
      <c r="N26" s="460"/>
      <c r="O26" s="514"/>
      <c r="P26" s="514"/>
      <c r="Q26" s="514"/>
      <c r="R26" s="514"/>
      <c r="S26" s="539"/>
      <c r="T26" s="475"/>
      <c r="U26" s="475"/>
      <c r="V26" s="475"/>
      <c r="W26" s="475"/>
      <c r="X26" s="475"/>
      <c r="Y26" s="475"/>
    </row>
    <row r="27" ht="13.5" customHeight="1">
      <c r="A27" s="507"/>
      <c r="B27" s="522"/>
      <c r="C27" s="442"/>
      <c r="D27" s="443" t="s">
        <v>740</v>
      </c>
      <c r="E27" s="383" t="s">
        <v>353</v>
      </c>
      <c r="F27" s="464"/>
      <c r="G27" s="383"/>
      <c r="H27" s="383"/>
      <c r="I27" s="383"/>
      <c r="J27" s="383"/>
      <c r="K27" s="383"/>
      <c r="L27" s="383"/>
      <c r="M27" s="383"/>
      <c r="N27" s="383"/>
      <c r="O27" s="394"/>
      <c r="P27" s="394"/>
      <c r="Q27" s="394"/>
      <c r="R27" s="355"/>
      <c r="S27" s="541"/>
      <c r="T27" s="475"/>
      <c r="U27" s="475"/>
      <c r="V27" s="475"/>
      <c r="W27" s="475"/>
      <c r="X27" s="475"/>
      <c r="Y27" s="475"/>
    </row>
    <row r="28" ht="13.5" customHeight="1">
      <c r="A28" s="507"/>
      <c r="B28" s="522"/>
      <c r="C28" s="442"/>
      <c r="D28" s="443" t="s">
        <v>741</v>
      </c>
      <c r="E28" s="464"/>
      <c r="F28" s="383" t="s">
        <v>353</v>
      </c>
      <c r="G28" s="464"/>
      <c r="H28" s="464"/>
      <c r="I28" s="464"/>
      <c r="J28" s="464"/>
      <c r="K28" s="464"/>
      <c r="L28" s="464"/>
      <c r="M28" s="464"/>
      <c r="N28" s="464"/>
      <c r="O28" s="586"/>
      <c r="P28" s="587"/>
      <c r="Q28" s="394"/>
      <c r="R28" s="355"/>
      <c r="S28" s="541"/>
      <c r="T28" s="475"/>
      <c r="U28" s="475"/>
      <c r="V28" s="475"/>
      <c r="W28" s="475"/>
      <c r="X28" s="475"/>
      <c r="Y28" s="475"/>
    </row>
    <row r="29" ht="13.5" customHeight="1">
      <c r="A29" s="507"/>
      <c r="B29" s="522"/>
      <c r="C29" s="442"/>
      <c r="D29" s="448"/>
      <c r="E29" s="464"/>
      <c r="F29" s="464"/>
      <c r="G29" s="464"/>
      <c r="H29" s="464"/>
      <c r="I29" s="464"/>
      <c r="J29" s="464"/>
      <c r="K29" s="464"/>
      <c r="L29" s="464"/>
      <c r="M29" s="464"/>
      <c r="N29" s="464"/>
      <c r="O29" s="586"/>
      <c r="P29" s="587"/>
      <c r="Q29" s="394"/>
      <c r="R29" s="355"/>
      <c r="S29" s="541"/>
      <c r="T29" s="475"/>
      <c r="U29" s="475"/>
      <c r="V29" s="475"/>
      <c r="W29" s="475"/>
      <c r="X29" s="475"/>
      <c r="Y29" s="475"/>
    </row>
    <row r="30" ht="13.5" customHeight="1">
      <c r="A30" s="507"/>
      <c r="B30" s="522"/>
      <c r="C30" s="442"/>
      <c r="D30" s="443" t="s">
        <v>742</v>
      </c>
      <c r="E30" s="383"/>
      <c r="F30" s="464"/>
      <c r="G30" s="383" t="s">
        <v>353</v>
      </c>
      <c r="H30" s="383"/>
      <c r="I30" s="383"/>
      <c r="J30" s="383"/>
      <c r="K30" s="383"/>
      <c r="L30" s="383"/>
      <c r="M30" s="383"/>
      <c r="N30" s="383"/>
      <c r="O30" s="587"/>
      <c r="P30" s="587"/>
      <c r="Q30" s="587"/>
      <c r="R30" s="355"/>
      <c r="S30" s="541"/>
      <c r="T30" s="475"/>
      <c r="U30" s="475"/>
      <c r="V30" s="475"/>
      <c r="W30" s="475"/>
      <c r="X30" s="475"/>
      <c r="Y30" s="475"/>
    </row>
    <row r="31" ht="13.5" customHeight="1">
      <c r="A31" s="507"/>
      <c r="B31" s="522"/>
      <c r="C31" s="442"/>
      <c r="D31" s="443" t="s">
        <v>743</v>
      </c>
      <c r="E31" s="464"/>
      <c r="F31" s="383"/>
      <c r="G31" s="464"/>
      <c r="H31" s="464" t="s">
        <v>353</v>
      </c>
      <c r="I31" s="464"/>
      <c r="J31" s="464"/>
      <c r="K31" s="464"/>
      <c r="L31" s="464"/>
      <c r="M31" s="464"/>
      <c r="N31" s="464"/>
      <c r="O31" s="587"/>
      <c r="P31" s="394"/>
      <c r="Q31" s="394"/>
      <c r="R31" s="394"/>
      <c r="S31" s="541"/>
      <c r="T31" s="475"/>
      <c r="U31" s="475"/>
      <c r="V31" s="475"/>
      <c r="W31" s="475"/>
      <c r="X31" s="475"/>
      <c r="Y31" s="475"/>
    </row>
    <row r="32" ht="13.5" customHeight="1">
      <c r="A32" s="507"/>
      <c r="B32" s="522"/>
      <c r="C32" s="442"/>
      <c r="D32" s="443"/>
      <c r="E32" s="464"/>
      <c r="F32" s="464"/>
      <c r="G32" s="464"/>
      <c r="H32" s="464"/>
      <c r="I32" s="464"/>
      <c r="J32" s="464"/>
      <c r="K32" s="464"/>
      <c r="L32" s="464"/>
      <c r="M32" s="464"/>
      <c r="N32" s="464"/>
      <c r="O32" s="589"/>
      <c r="P32" s="590"/>
      <c r="Q32" s="587"/>
      <c r="R32" s="394"/>
      <c r="S32" s="591"/>
      <c r="T32" s="475"/>
      <c r="U32" s="475"/>
      <c r="V32" s="475"/>
      <c r="W32" s="475"/>
      <c r="X32" s="475"/>
      <c r="Y32" s="475"/>
    </row>
    <row r="33" ht="13.5" customHeight="1">
      <c r="A33" s="507"/>
      <c r="B33" s="307"/>
      <c r="C33" s="442"/>
      <c r="D33" s="443"/>
      <c r="E33" s="383"/>
      <c r="F33" s="464"/>
      <c r="G33" s="383"/>
      <c r="H33" s="383"/>
      <c r="I33" s="464"/>
      <c r="J33" s="383"/>
      <c r="K33" s="383"/>
      <c r="L33" s="383"/>
      <c r="M33" s="383"/>
      <c r="N33" s="383"/>
      <c r="O33" s="587"/>
      <c r="P33" s="394"/>
      <c r="Q33" s="394"/>
      <c r="R33" s="394"/>
      <c r="S33" s="591"/>
      <c r="T33" s="475"/>
      <c r="U33" s="475"/>
      <c r="V33" s="475"/>
      <c r="W33" s="475"/>
      <c r="X33" s="475"/>
      <c r="Y33" s="475"/>
    </row>
    <row r="34" ht="13.5" customHeight="1">
      <c r="A34" s="507"/>
      <c r="B34" s="522"/>
      <c r="C34" s="442"/>
      <c r="D34" s="443"/>
      <c r="E34" s="592"/>
      <c r="F34" s="592"/>
      <c r="G34" s="592"/>
      <c r="H34" s="592"/>
      <c r="I34" s="396"/>
      <c r="J34" s="592"/>
      <c r="K34" s="464"/>
      <c r="L34" s="592"/>
      <c r="M34" s="592"/>
      <c r="N34" s="592"/>
      <c r="O34" s="593"/>
      <c r="P34" s="593"/>
      <c r="Q34" s="394"/>
      <c r="R34" s="394"/>
      <c r="S34" s="591"/>
      <c r="T34" s="475"/>
      <c r="U34" s="475"/>
      <c r="V34" s="475"/>
      <c r="W34" s="475"/>
      <c r="X34" s="475"/>
      <c r="Y34" s="475"/>
    </row>
    <row r="35" ht="13.5" customHeight="1">
      <c r="A35" s="507"/>
      <c r="B35" s="522"/>
      <c r="C35" s="442"/>
      <c r="D35" s="443"/>
      <c r="E35" s="464"/>
      <c r="F35" s="383"/>
      <c r="G35" s="464"/>
      <c r="H35" s="464"/>
      <c r="I35" s="464"/>
      <c r="J35" s="464"/>
      <c r="K35" s="464"/>
      <c r="L35" s="464"/>
      <c r="M35" s="464"/>
      <c r="N35" s="464"/>
      <c r="O35" s="586"/>
      <c r="P35" s="586"/>
      <c r="Q35" s="587"/>
      <c r="R35" s="394"/>
      <c r="S35" s="591"/>
      <c r="T35" s="475"/>
      <c r="U35" s="475"/>
      <c r="V35" s="475"/>
      <c r="W35" s="475"/>
      <c r="X35" s="475"/>
      <c r="Y35" s="475"/>
    </row>
    <row r="36" ht="13.5" customHeight="1">
      <c r="A36" s="507"/>
      <c r="B36" s="579"/>
      <c r="C36" s="442"/>
      <c r="D36" s="443"/>
      <c r="E36" s="464"/>
      <c r="F36" s="464"/>
      <c r="G36" s="464"/>
      <c r="H36" s="464"/>
      <c r="I36" s="464"/>
      <c r="J36" s="464"/>
      <c r="K36" s="464"/>
      <c r="L36" s="464"/>
      <c r="M36" s="464"/>
      <c r="N36" s="464"/>
      <c r="O36" s="586"/>
      <c r="P36" s="590"/>
      <c r="Q36" s="593"/>
      <c r="R36" s="593"/>
      <c r="S36" s="591"/>
      <c r="T36" s="475"/>
      <c r="U36" s="475"/>
      <c r="V36" s="475"/>
      <c r="W36" s="475"/>
      <c r="X36" s="475"/>
      <c r="Y36" s="475"/>
    </row>
    <row r="37" ht="13.5" customHeight="1">
      <c r="A37" s="507"/>
      <c r="B37" s="554"/>
      <c r="C37" s="442"/>
      <c r="D37" s="443"/>
      <c r="E37" s="383"/>
      <c r="F37" s="464"/>
      <c r="G37" s="383"/>
      <c r="H37" s="383"/>
      <c r="I37" s="383"/>
      <c r="J37" s="383"/>
      <c r="K37" s="383"/>
      <c r="L37" s="383"/>
      <c r="M37" s="383"/>
      <c r="N37" s="383"/>
      <c r="O37" s="587"/>
      <c r="P37" s="587"/>
      <c r="Q37" s="586"/>
      <c r="R37" s="586"/>
      <c r="S37" s="591"/>
      <c r="T37" s="475"/>
      <c r="U37" s="475"/>
      <c r="V37" s="475"/>
      <c r="W37" s="475"/>
      <c r="X37" s="475"/>
      <c r="Y37" s="475"/>
    </row>
    <row r="38" ht="13.5" customHeight="1">
      <c r="A38" s="507"/>
      <c r="B38" s="522"/>
      <c r="C38" s="442"/>
      <c r="D38" s="443"/>
      <c r="E38" s="464"/>
      <c r="F38" s="383"/>
      <c r="G38" s="464"/>
      <c r="H38" s="464"/>
      <c r="I38" s="464"/>
      <c r="J38" s="464"/>
      <c r="K38" s="464"/>
      <c r="L38" s="464"/>
      <c r="M38" s="464"/>
      <c r="N38" s="464"/>
      <c r="O38" s="587"/>
      <c r="P38" s="589"/>
      <c r="Q38" s="586"/>
      <c r="R38" s="590"/>
      <c r="S38" s="591"/>
      <c r="T38" s="475"/>
      <c r="U38" s="475"/>
      <c r="V38" s="475"/>
      <c r="W38" s="475"/>
      <c r="X38" s="475"/>
      <c r="Y38" s="475"/>
    </row>
    <row r="39" ht="13.5" customHeight="1">
      <c r="A39" s="555"/>
      <c r="B39" s="594"/>
      <c r="C39" s="557"/>
      <c r="D39" s="595"/>
      <c r="E39" s="464"/>
      <c r="F39" s="464"/>
      <c r="G39" s="464"/>
      <c r="H39" s="464"/>
      <c r="I39" s="464"/>
      <c r="J39" s="464"/>
      <c r="K39" s="464"/>
      <c r="L39" s="464"/>
      <c r="M39" s="464"/>
      <c r="N39" s="464"/>
      <c r="O39" s="589"/>
      <c r="P39" s="589"/>
      <c r="Q39" s="587"/>
      <c r="R39" s="587"/>
      <c r="S39" s="591"/>
      <c r="T39" s="475"/>
      <c r="U39" s="475"/>
      <c r="V39" s="475"/>
      <c r="W39" s="475"/>
      <c r="X39" s="475"/>
      <c r="Y39" s="475"/>
    </row>
    <row r="40" ht="13.5" customHeight="1">
      <c r="A40" s="507"/>
      <c r="B40" s="559"/>
      <c r="C40" s="442"/>
      <c r="D40" s="443"/>
      <c r="E40" s="383"/>
      <c r="F40" s="464"/>
      <c r="G40" s="383"/>
      <c r="H40" s="383"/>
      <c r="I40" s="383"/>
      <c r="J40" s="383"/>
      <c r="K40" s="383"/>
      <c r="L40" s="383"/>
      <c r="M40" s="383"/>
      <c r="N40" s="383"/>
      <c r="O40" s="587"/>
      <c r="P40" s="587"/>
      <c r="Q40" s="587"/>
      <c r="R40" s="589"/>
      <c r="S40" s="591"/>
      <c r="T40" s="475"/>
      <c r="U40" s="475"/>
      <c r="V40" s="475"/>
      <c r="W40" s="475"/>
      <c r="X40" s="475"/>
      <c r="Y40" s="475"/>
    </row>
    <row r="41" ht="13.5" customHeight="1">
      <c r="A41" s="555"/>
      <c r="B41" s="559"/>
      <c r="C41" s="557"/>
      <c r="D41" s="558"/>
      <c r="E41" s="464"/>
      <c r="F41" s="383"/>
      <c r="G41" s="464"/>
      <c r="H41" s="464"/>
      <c r="I41" s="464"/>
      <c r="J41" s="464"/>
      <c r="K41" s="464"/>
      <c r="L41" s="464"/>
      <c r="M41" s="464"/>
      <c r="N41" s="464"/>
      <c r="O41" s="587"/>
      <c r="P41" s="587"/>
      <c r="Q41" s="589"/>
      <c r="R41" s="589"/>
      <c r="S41" s="591"/>
      <c r="T41" s="475"/>
      <c r="U41" s="475"/>
      <c r="V41" s="475"/>
      <c r="W41" s="475"/>
      <c r="X41" s="475"/>
      <c r="Y41" s="475"/>
    </row>
    <row r="42" ht="13.5" customHeight="1">
      <c r="A42" s="507"/>
      <c r="B42" s="522"/>
      <c r="C42" s="442"/>
      <c r="D42" s="443"/>
      <c r="E42" s="464"/>
      <c r="F42" s="464"/>
      <c r="G42" s="464"/>
      <c r="H42" s="464"/>
      <c r="I42" s="464"/>
      <c r="J42" s="464"/>
      <c r="K42" s="464"/>
      <c r="L42" s="464"/>
      <c r="M42" s="464"/>
      <c r="N42" s="464"/>
      <c r="O42" s="587"/>
      <c r="P42" s="587"/>
      <c r="Q42" s="587"/>
      <c r="R42" s="587"/>
      <c r="S42" s="591"/>
      <c r="T42" s="475"/>
      <c r="U42" s="475"/>
      <c r="V42" s="475"/>
      <c r="W42" s="475"/>
      <c r="X42" s="475"/>
      <c r="Y42" s="475"/>
    </row>
    <row r="43" ht="13.5" customHeight="1">
      <c r="A43" s="507"/>
      <c r="B43" s="522"/>
      <c r="C43" s="442"/>
      <c r="D43" s="443"/>
      <c r="E43" s="383"/>
      <c r="F43" s="464"/>
      <c r="G43" s="383"/>
      <c r="H43" s="383"/>
      <c r="I43" s="383"/>
      <c r="J43" s="383"/>
      <c r="K43" s="383"/>
      <c r="L43" s="383"/>
      <c r="M43" s="383"/>
      <c r="N43" s="383"/>
      <c r="O43" s="587"/>
      <c r="P43" s="587"/>
      <c r="Q43" s="587"/>
      <c r="R43" s="587"/>
      <c r="S43" s="541"/>
      <c r="T43" s="475"/>
      <c r="U43" s="475"/>
      <c r="V43" s="475"/>
      <c r="W43" s="475"/>
      <c r="X43" s="475"/>
      <c r="Y43" s="475"/>
    </row>
    <row r="44" ht="13.5" customHeight="1">
      <c r="A44" s="507"/>
      <c r="B44" s="596"/>
      <c r="C44" s="597"/>
      <c r="D44" s="598"/>
      <c r="E44" s="464"/>
      <c r="F44" s="383"/>
      <c r="G44" s="464"/>
      <c r="H44" s="464"/>
      <c r="I44" s="464"/>
      <c r="J44" s="464"/>
      <c r="K44" s="464"/>
      <c r="L44" s="464"/>
      <c r="M44" s="464"/>
      <c r="N44" s="464"/>
      <c r="O44" s="509"/>
      <c r="P44" s="509"/>
      <c r="Q44" s="509"/>
      <c r="R44" s="509"/>
      <c r="S44" s="580"/>
      <c r="T44" s="475"/>
      <c r="U44" s="475"/>
      <c r="V44" s="475"/>
      <c r="W44" s="475"/>
      <c r="X44" s="475"/>
      <c r="Y44" s="475"/>
    </row>
    <row r="45" ht="13.5" customHeight="1">
      <c r="A45" s="550" t="s">
        <v>367</v>
      </c>
      <c r="B45" s="459" t="s">
        <v>704</v>
      </c>
      <c r="C45" s="198"/>
      <c r="D45" s="199"/>
      <c r="E45" s="527" t="s">
        <v>220</v>
      </c>
      <c r="F45" s="527" t="s">
        <v>38</v>
      </c>
      <c r="G45" s="527" t="s">
        <v>220</v>
      </c>
      <c r="H45" s="527" t="s">
        <v>38</v>
      </c>
      <c r="I45" s="527"/>
      <c r="J45" s="527"/>
      <c r="K45" s="527"/>
      <c r="L45" s="527"/>
      <c r="M45" s="527"/>
      <c r="N45" s="527"/>
      <c r="O45" s="514"/>
      <c r="P45" s="514"/>
      <c r="Q45" s="514"/>
      <c r="R45" s="514"/>
      <c r="S45" s="539"/>
      <c r="T45" s="475"/>
      <c r="U45" s="475"/>
      <c r="V45" s="475"/>
      <c r="W45" s="475"/>
      <c r="X45" s="475"/>
      <c r="Y45" s="475"/>
    </row>
    <row r="46" ht="13.5" customHeight="1">
      <c r="A46" s="532"/>
      <c r="B46" s="463" t="s">
        <v>705</v>
      </c>
      <c r="C46" s="12"/>
      <c r="D46" s="13"/>
      <c r="E46" s="533"/>
      <c r="F46" s="533"/>
      <c r="G46" s="533"/>
      <c r="H46" s="533"/>
      <c r="I46" s="533"/>
      <c r="J46" s="533"/>
      <c r="K46" s="533"/>
      <c r="L46" s="533"/>
      <c r="M46" s="533"/>
      <c r="N46" s="533"/>
      <c r="O46" s="355"/>
      <c r="P46" s="355"/>
      <c r="Q46" s="355"/>
      <c r="R46" s="355"/>
      <c r="S46" s="541"/>
      <c r="T46" s="475"/>
      <c r="U46" s="475"/>
      <c r="V46" s="475"/>
      <c r="W46" s="475"/>
      <c r="X46" s="475"/>
      <c r="Y46" s="475"/>
    </row>
    <row r="47" ht="13.5" customHeight="1">
      <c r="A47" s="532"/>
      <c r="B47" s="465" t="s">
        <v>706</v>
      </c>
      <c r="C47" s="12"/>
      <c r="D47" s="13"/>
      <c r="E47" s="448"/>
      <c r="F47" s="448"/>
      <c r="G47" s="448"/>
      <c r="H47" s="448"/>
      <c r="I47" s="448"/>
      <c r="J47" s="448"/>
      <c r="K47" s="448"/>
      <c r="L47" s="448"/>
      <c r="M47" s="448"/>
      <c r="N47" s="448"/>
      <c r="O47" s="537"/>
      <c r="P47" s="537"/>
      <c r="Q47" s="537"/>
      <c r="R47" s="537"/>
      <c r="S47" s="542"/>
      <c r="T47" s="475"/>
      <c r="U47" s="475"/>
      <c r="V47" s="475"/>
      <c r="W47" s="475"/>
      <c r="X47" s="475"/>
      <c r="Y47" s="475"/>
    </row>
    <row r="48" ht="13.5" customHeight="1">
      <c r="A48" s="538"/>
      <c r="B48" s="470" t="s">
        <v>372</v>
      </c>
      <c r="C48" s="216"/>
      <c r="D48" s="217"/>
      <c r="E48" s="540"/>
      <c r="F48" s="540"/>
      <c r="G48" s="540"/>
      <c r="H48" s="540"/>
      <c r="I48" s="540"/>
      <c r="J48" s="540"/>
      <c r="K48" s="540"/>
      <c r="L48" s="540"/>
      <c r="M48" s="540"/>
      <c r="N48" s="540"/>
      <c r="O48" s="540"/>
      <c r="P48" s="540"/>
      <c r="Q48" s="540"/>
      <c r="R48" s="540"/>
      <c r="S48" s="543"/>
      <c r="T48" s="475"/>
      <c r="U48" s="475"/>
      <c r="V48" s="475"/>
      <c r="W48" s="475"/>
      <c r="X48" s="475"/>
      <c r="Y48" s="475"/>
    </row>
    <row r="49" ht="13.5" customHeight="1">
      <c r="A49" s="475"/>
      <c r="B49" s="475"/>
      <c r="C49" s="475"/>
      <c r="D49" s="475"/>
      <c r="E49" s="475"/>
      <c r="F49" s="475"/>
      <c r="G49" s="475"/>
      <c r="H49" s="475"/>
      <c r="I49" s="475"/>
      <c r="J49" s="475"/>
      <c r="K49" s="475"/>
      <c r="L49" s="475"/>
      <c r="M49" s="475"/>
      <c r="N49" s="475"/>
      <c r="O49" s="475"/>
      <c r="P49" s="475"/>
      <c r="Q49" s="475"/>
      <c r="R49" s="475"/>
      <c r="S49" s="475"/>
      <c r="T49" s="475"/>
      <c r="U49" s="475"/>
      <c r="V49" s="475"/>
      <c r="W49" s="475"/>
      <c r="X49" s="475"/>
      <c r="Y49" s="475"/>
    </row>
    <row r="50" ht="13.5" customHeight="1">
      <c r="A50" s="475"/>
      <c r="B50" s="475"/>
      <c r="C50" s="475"/>
      <c r="D50" s="475"/>
      <c r="E50" s="475"/>
      <c r="F50" s="475"/>
      <c r="G50" s="475"/>
      <c r="H50" s="475"/>
      <c r="I50" s="475"/>
      <c r="J50" s="475"/>
      <c r="K50" s="475"/>
      <c r="L50" s="475"/>
      <c r="M50" s="475"/>
      <c r="N50" s="475"/>
      <c r="O50" s="475"/>
      <c r="P50" s="475"/>
      <c r="Q50" s="475"/>
      <c r="R50" s="475"/>
      <c r="S50" s="475"/>
      <c r="T50" s="475"/>
      <c r="U50" s="475"/>
      <c r="V50" s="475"/>
      <c r="W50" s="475"/>
      <c r="X50" s="475"/>
      <c r="Y50" s="475"/>
    </row>
    <row r="51" ht="13.5" customHeight="1">
      <c r="A51" s="475"/>
      <c r="B51" s="475"/>
      <c r="C51" s="475"/>
      <c r="D51" s="475"/>
      <c r="E51" s="475"/>
      <c r="F51" s="475"/>
      <c r="G51" s="475"/>
      <c r="H51" s="475"/>
      <c r="I51" s="475"/>
      <c r="J51" s="475"/>
      <c r="K51" s="475"/>
      <c r="L51" s="475"/>
      <c r="M51" s="475"/>
      <c r="N51" s="475"/>
      <c r="O51" s="475"/>
      <c r="P51" s="475"/>
      <c r="Q51" s="475"/>
      <c r="R51" s="475"/>
      <c r="S51" s="475"/>
      <c r="T51" s="475"/>
      <c r="U51" s="475"/>
      <c r="V51" s="475"/>
      <c r="W51" s="475"/>
      <c r="X51" s="475"/>
      <c r="Y51" s="475"/>
    </row>
    <row r="52" ht="13.5" customHeight="1">
      <c r="A52" s="475"/>
      <c r="B52" s="475"/>
      <c r="C52" s="475"/>
      <c r="D52" s="475"/>
      <c r="E52" s="475"/>
      <c r="F52" s="475"/>
      <c r="G52" s="475"/>
      <c r="H52" s="475"/>
      <c r="I52" s="475"/>
      <c r="J52" s="475"/>
      <c r="K52" s="475"/>
      <c r="L52" s="475"/>
      <c r="M52" s="475"/>
      <c r="N52" s="475"/>
      <c r="O52" s="475"/>
      <c r="P52" s="475"/>
      <c r="Q52" s="475"/>
      <c r="R52" s="475"/>
      <c r="S52" s="475"/>
      <c r="T52" s="475"/>
      <c r="U52" s="475"/>
      <c r="V52" s="475"/>
      <c r="W52" s="475"/>
      <c r="X52" s="475"/>
      <c r="Y52" s="475"/>
    </row>
    <row r="53" ht="13.5" customHeight="1">
      <c r="A53" s="475"/>
      <c r="B53" s="475"/>
      <c r="C53" s="475"/>
      <c r="D53" s="475"/>
      <c r="E53" s="475"/>
      <c r="F53" s="475"/>
      <c r="G53" s="475"/>
      <c r="H53" s="475"/>
      <c r="I53" s="475"/>
      <c r="J53" s="475"/>
      <c r="K53" s="475"/>
      <c r="L53" s="475"/>
      <c r="M53" s="475"/>
      <c r="N53" s="475"/>
      <c r="O53" s="475"/>
      <c r="P53" s="475"/>
      <c r="Q53" s="475"/>
      <c r="R53" s="475"/>
      <c r="S53" s="475"/>
      <c r="T53" s="475"/>
      <c r="U53" s="475"/>
      <c r="V53" s="475"/>
      <c r="W53" s="475"/>
      <c r="X53" s="475"/>
      <c r="Y53" s="475"/>
    </row>
    <row r="54" ht="13.5" customHeight="1">
      <c r="A54" s="475"/>
      <c r="B54" s="475"/>
      <c r="C54" s="475"/>
      <c r="D54" s="475"/>
      <c r="E54" s="475"/>
      <c r="F54" s="475"/>
      <c r="G54" s="475"/>
      <c r="H54" s="475"/>
      <c r="I54" s="475"/>
      <c r="J54" s="475"/>
      <c r="K54" s="475"/>
      <c r="L54" s="475"/>
      <c r="M54" s="475"/>
      <c r="N54" s="475"/>
      <c r="O54" s="475"/>
      <c r="P54" s="475"/>
      <c r="Q54" s="475"/>
      <c r="R54" s="475"/>
      <c r="S54" s="475"/>
      <c r="T54" s="475"/>
      <c r="U54" s="475"/>
      <c r="V54" s="475"/>
      <c r="W54" s="475"/>
      <c r="X54" s="475"/>
      <c r="Y54" s="475"/>
    </row>
    <row r="55" ht="13.5" customHeight="1">
      <c r="A55" s="475"/>
      <c r="B55" s="475"/>
      <c r="C55" s="475"/>
      <c r="D55" s="475"/>
      <c r="E55" s="475"/>
      <c r="F55" s="475"/>
      <c r="G55" s="475"/>
      <c r="H55" s="475"/>
      <c r="I55" s="475"/>
      <c r="J55" s="475"/>
      <c r="K55" s="475"/>
      <c r="L55" s="475"/>
      <c r="M55" s="475"/>
      <c r="N55" s="475"/>
      <c r="O55" s="475"/>
      <c r="P55" s="475"/>
      <c r="Q55" s="475"/>
      <c r="R55" s="475"/>
      <c r="S55" s="475"/>
      <c r="T55" s="475"/>
      <c r="U55" s="475"/>
      <c r="V55" s="475"/>
      <c r="W55" s="475"/>
      <c r="X55" s="475"/>
      <c r="Y55" s="475"/>
    </row>
    <row r="56" ht="13.5" customHeight="1">
      <c r="A56" s="475"/>
      <c r="B56" s="475"/>
      <c r="C56" s="475"/>
      <c r="D56" s="475"/>
      <c r="E56" s="475"/>
      <c r="F56" s="475"/>
      <c r="G56" s="475"/>
      <c r="H56" s="475"/>
      <c r="I56" s="475"/>
      <c r="J56" s="475"/>
      <c r="K56" s="475"/>
      <c r="L56" s="475"/>
      <c r="M56" s="475"/>
      <c r="N56" s="475"/>
      <c r="O56" s="475"/>
      <c r="P56" s="475"/>
      <c r="Q56" s="475"/>
      <c r="R56" s="475"/>
      <c r="S56" s="475"/>
      <c r="T56" s="475"/>
      <c r="U56" s="475"/>
      <c r="V56" s="475"/>
      <c r="W56" s="475"/>
      <c r="X56" s="475"/>
      <c r="Y56" s="475"/>
    </row>
    <row r="57" ht="13.5" customHeight="1">
      <c r="A57" s="475"/>
      <c r="B57" s="475"/>
      <c r="C57" s="475"/>
      <c r="D57" s="475"/>
      <c r="E57" s="475"/>
      <c r="F57" s="475"/>
      <c r="G57" s="475"/>
      <c r="H57" s="475"/>
      <c r="I57" s="475"/>
      <c r="J57" s="475"/>
      <c r="K57" s="475"/>
      <c r="L57" s="475"/>
      <c r="M57" s="475"/>
      <c r="N57" s="475"/>
      <c r="O57" s="475"/>
      <c r="P57" s="475"/>
      <c r="Q57" s="475"/>
      <c r="R57" s="475"/>
      <c r="S57" s="475"/>
      <c r="T57" s="475"/>
      <c r="U57" s="475"/>
      <c r="V57" s="475"/>
      <c r="W57" s="475"/>
      <c r="X57" s="475"/>
      <c r="Y57" s="475"/>
    </row>
    <row r="58" ht="13.5" customHeight="1">
      <c r="A58" s="475"/>
      <c r="B58" s="475"/>
      <c r="C58" s="475"/>
      <c r="D58" s="475"/>
      <c r="E58" s="475"/>
      <c r="F58" s="475"/>
      <c r="G58" s="475"/>
      <c r="H58" s="475"/>
      <c r="I58" s="475"/>
      <c r="J58" s="475"/>
      <c r="K58" s="475"/>
      <c r="L58" s="475"/>
      <c r="M58" s="475"/>
      <c r="N58" s="475"/>
      <c r="O58" s="475"/>
      <c r="P58" s="475"/>
      <c r="Q58" s="475"/>
      <c r="R58" s="475"/>
      <c r="S58" s="475"/>
      <c r="T58" s="475"/>
      <c r="U58" s="475"/>
      <c r="V58" s="475"/>
      <c r="W58" s="475"/>
      <c r="X58" s="475"/>
      <c r="Y58" s="475"/>
    </row>
    <row r="59" ht="13.5" customHeight="1">
      <c r="A59" s="475"/>
      <c r="B59" s="475"/>
      <c r="C59" s="475"/>
      <c r="D59" s="475"/>
      <c r="E59" s="475"/>
      <c r="F59" s="475"/>
      <c r="G59" s="475"/>
      <c r="H59" s="475"/>
      <c r="I59" s="475"/>
      <c r="J59" s="475"/>
      <c r="K59" s="475"/>
      <c r="L59" s="475"/>
      <c r="M59" s="475"/>
      <c r="N59" s="475"/>
      <c r="O59" s="475"/>
      <c r="P59" s="475"/>
      <c r="Q59" s="475"/>
      <c r="R59" s="475"/>
      <c r="S59" s="475"/>
      <c r="T59" s="475"/>
      <c r="U59" s="475"/>
      <c r="V59" s="475"/>
      <c r="W59" s="475"/>
      <c r="X59" s="475"/>
      <c r="Y59" s="475"/>
    </row>
    <row r="60" ht="13.5" customHeight="1">
      <c r="A60" s="475"/>
      <c r="B60" s="475"/>
      <c r="C60" s="475"/>
      <c r="D60" s="475"/>
      <c r="E60" s="475"/>
      <c r="F60" s="475"/>
      <c r="G60" s="475"/>
      <c r="H60" s="475"/>
      <c r="I60" s="475"/>
      <c r="J60" s="475"/>
      <c r="K60" s="475"/>
      <c r="L60" s="475"/>
      <c r="M60" s="475"/>
      <c r="N60" s="475"/>
      <c r="O60" s="475"/>
      <c r="P60" s="475"/>
      <c r="Q60" s="475"/>
      <c r="R60" s="475"/>
      <c r="S60" s="475"/>
      <c r="T60" s="475"/>
      <c r="U60" s="475"/>
      <c r="V60" s="475"/>
      <c r="W60" s="475"/>
      <c r="X60" s="475"/>
      <c r="Y60" s="475"/>
    </row>
    <row r="61" ht="13.5" customHeight="1">
      <c r="A61" s="475"/>
      <c r="B61" s="475"/>
      <c r="C61" s="475"/>
      <c r="D61" s="475"/>
      <c r="E61" s="475"/>
      <c r="F61" s="475"/>
      <c r="G61" s="475"/>
      <c r="H61" s="475"/>
      <c r="I61" s="475"/>
      <c r="J61" s="475"/>
      <c r="K61" s="475"/>
      <c r="L61" s="475"/>
      <c r="M61" s="475"/>
      <c r="N61" s="475"/>
      <c r="O61" s="475"/>
      <c r="P61" s="475"/>
      <c r="Q61" s="475"/>
      <c r="R61" s="475"/>
      <c r="S61" s="475"/>
      <c r="T61" s="475"/>
      <c r="U61" s="475"/>
      <c r="V61" s="475"/>
      <c r="W61" s="475"/>
      <c r="X61" s="475"/>
      <c r="Y61" s="475"/>
    </row>
    <row r="62" ht="13.5" customHeight="1">
      <c r="A62" s="475"/>
      <c r="B62" s="475"/>
      <c r="C62" s="475"/>
      <c r="D62" s="475"/>
      <c r="E62" s="475"/>
      <c r="F62" s="475"/>
      <c r="G62" s="475"/>
      <c r="H62" s="475"/>
      <c r="I62" s="475"/>
      <c r="J62" s="475"/>
      <c r="K62" s="475"/>
      <c r="L62" s="475"/>
      <c r="M62" s="475"/>
      <c r="N62" s="475"/>
      <c r="O62" s="475"/>
      <c r="P62" s="475"/>
      <c r="Q62" s="475"/>
      <c r="R62" s="475"/>
      <c r="S62" s="475"/>
      <c r="T62" s="475"/>
      <c r="U62" s="475"/>
      <c r="V62" s="475"/>
      <c r="W62" s="475"/>
      <c r="X62" s="475"/>
      <c r="Y62" s="475"/>
    </row>
    <row r="63" ht="13.5" customHeight="1">
      <c r="A63" s="475"/>
      <c r="B63" s="475"/>
      <c r="C63" s="475"/>
      <c r="D63" s="475"/>
      <c r="E63" s="475"/>
      <c r="F63" s="475"/>
      <c r="G63" s="475"/>
      <c r="H63" s="475"/>
      <c r="I63" s="475"/>
      <c r="J63" s="475"/>
      <c r="K63" s="475"/>
      <c r="L63" s="475"/>
      <c r="M63" s="475"/>
      <c r="N63" s="475"/>
      <c r="O63" s="475"/>
      <c r="P63" s="475"/>
      <c r="Q63" s="475"/>
      <c r="R63" s="475"/>
      <c r="S63" s="475"/>
      <c r="T63" s="475"/>
      <c r="U63" s="475"/>
      <c r="V63" s="475"/>
      <c r="W63" s="475"/>
      <c r="X63" s="475"/>
      <c r="Y63" s="475"/>
    </row>
    <row r="64" ht="13.5" customHeight="1">
      <c r="A64" s="475"/>
      <c r="B64" s="475"/>
      <c r="C64" s="475"/>
      <c r="D64" s="475"/>
      <c r="E64" s="475"/>
      <c r="F64" s="475"/>
      <c r="G64" s="475"/>
      <c r="H64" s="475"/>
      <c r="I64" s="475"/>
      <c r="J64" s="475"/>
      <c r="K64" s="475"/>
      <c r="L64" s="475"/>
      <c r="M64" s="475"/>
      <c r="N64" s="475"/>
      <c r="O64" s="475"/>
      <c r="P64" s="475"/>
      <c r="Q64" s="475"/>
      <c r="R64" s="475"/>
      <c r="S64" s="475"/>
      <c r="T64" s="475"/>
      <c r="U64" s="475"/>
      <c r="V64" s="475"/>
      <c r="W64" s="475"/>
      <c r="X64" s="475"/>
      <c r="Y64" s="475"/>
    </row>
    <row r="65" ht="13.5" customHeight="1">
      <c r="A65" s="475"/>
      <c r="B65" s="475"/>
      <c r="C65" s="475"/>
      <c r="D65" s="475"/>
      <c r="E65" s="475"/>
      <c r="F65" s="475"/>
      <c r="G65" s="475"/>
      <c r="H65" s="475"/>
      <c r="I65" s="475"/>
      <c r="J65" s="475"/>
      <c r="K65" s="475"/>
      <c r="L65" s="475"/>
      <c r="M65" s="475"/>
      <c r="N65" s="475"/>
      <c r="O65" s="475"/>
      <c r="P65" s="475"/>
      <c r="Q65" s="475"/>
      <c r="R65" s="475"/>
      <c r="S65" s="475"/>
      <c r="T65" s="475"/>
      <c r="U65" s="475"/>
      <c r="V65" s="475"/>
      <c r="W65" s="475"/>
      <c r="X65" s="475"/>
      <c r="Y65" s="475"/>
    </row>
    <row r="66" ht="13.5" customHeight="1">
      <c r="A66" s="475"/>
      <c r="B66" s="475"/>
      <c r="C66" s="475"/>
      <c r="D66" s="475"/>
      <c r="E66" s="475"/>
      <c r="F66" s="475"/>
      <c r="G66" s="475"/>
      <c r="H66" s="475"/>
      <c r="I66" s="475"/>
      <c r="J66" s="475"/>
      <c r="K66" s="475"/>
      <c r="L66" s="475"/>
      <c r="M66" s="475"/>
      <c r="N66" s="475"/>
      <c r="O66" s="475"/>
      <c r="P66" s="475"/>
      <c r="Q66" s="475"/>
      <c r="R66" s="475"/>
      <c r="S66" s="475"/>
      <c r="T66" s="475"/>
      <c r="U66" s="475"/>
      <c r="V66" s="475"/>
      <c r="W66" s="475"/>
      <c r="X66" s="475"/>
      <c r="Y66" s="475"/>
    </row>
    <row r="67" ht="13.5" customHeight="1">
      <c r="A67" s="475"/>
      <c r="B67" s="475"/>
      <c r="C67" s="475"/>
      <c r="D67" s="475"/>
      <c r="E67" s="475"/>
      <c r="F67" s="475"/>
      <c r="G67" s="475"/>
      <c r="H67" s="475"/>
      <c r="I67" s="475"/>
      <c r="J67" s="475"/>
      <c r="K67" s="475"/>
      <c r="L67" s="475"/>
      <c r="M67" s="475"/>
      <c r="N67" s="475"/>
      <c r="O67" s="475"/>
      <c r="P67" s="475"/>
      <c r="Q67" s="475"/>
      <c r="R67" s="475"/>
      <c r="S67" s="475"/>
      <c r="T67" s="475"/>
      <c r="U67" s="475"/>
      <c r="V67" s="475"/>
      <c r="W67" s="475"/>
      <c r="X67" s="475"/>
      <c r="Y67" s="475"/>
    </row>
    <row r="68" ht="13.5" customHeight="1">
      <c r="A68" s="475"/>
      <c r="B68" s="475"/>
      <c r="C68" s="475"/>
      <c r="D68" s="475"/>
      <c r="E68" s="475"/>
      <c r="F68" s="475"/>
      <c r="G68" s="475"/>
      <c r="H68" s="475"/>
      <c r="I68" s="475"/>
      <c r="J68" s="475"/>
      <c r="K68" s="475"/>
      <c r="L68" s="475"/>
      <c r="M68" s="475"/>
      <c r="N68" s="475"/>
      <c r="O68" s="475"/>
      <c r="P68" s="475"/>
      <c r="Q68" s="475"/>
      <c r="R68" s="475"/>
      <c r="S68" s="475"/>
      <c r="T68" s="475"/>
      <c r="U68" s="475"/>
      <c r="V68" s="475"/>
      <c r="W68" s="475"/>
      <c r="X68" s="475"/>
      <c r="Y68" s="475"/>
    </row>
    <row r="69" ht="13.5" customHeight="1">
      <c r="A69" s="475"/>
      <c r="B69" s="475"/>
      <c r="C69" s="475"/>
      <c r="D69" s="475"/>
      <c r="E69" s="475"/>
      <c r="F69" s="475"/>
      <c r="G69" s="475"/>
      <c r="H69" s="475"/>
      <c r="I69" s="475"/>
      <c r="J69" s="475"/>
      <c r="K69" s="475"/>
      <c r="L69" s="475"/>
      <c r="M69" s="475"/>
      <c r="N69" s="475"/>
      <c r="O69" s="475"/>
      <c r="P69" s="475"/>
      <c r="Q69" s="475"/>
      <c r="R69" s="475"/>
      <c r="S69" s="475"/>
      <c r="T69" s="475"/>
      <c r="U69" s="475"/>
      <c r="V69" s="475"/>
      <c r="W69" s="475"/>
      <c r="X69" s="475"/>
      <c r="Y69" s="475"/>
    </row>
    <row r="70" ht="13.5" customHeight="1">
      <c r="A70" s="475"/>
      <c r="B70" s="475"/>
      <c r="C70" s="475"/>
      <c r="D70" s="475"/>
      <c r="E70" s="475"/>
      <c r="F70" s="475"/>
      <c r="G70" s="475"/>
      <c r="H70" s="475"/>
      <c r="I70" s="475"/>
      <c r="J70" s="475"/>
      <c r="K70" s="475"/>
      <c r="L70" s="475"/>
      <c r="M70" s="475"/>
      <c r="N70" s="475"/>
      <c r="O70" s="475"/>
      <c r="P70" s="475"/>
      <c r="Q70" s="475"/>
      <c r="R70" s="475"/>
      <c r="S70" s="475"/>
      <c r="T70" s="475"/>
      <c r="U70" s="475"/>
      <c r="V70" s="475"/>
      <c r="W70" s="475"/>
      <c r="X70" s="475"/>
      <c r="Y70" s="475"/>
    </row>
    <row r="71" ht="13.5" customHeight="1">
      <c r="A71" s="475"/>
      <c r="B71" s="475"/>
      <c r="C71" s="475"/>
      <c r="D71" s="475"/>
      <c r="E71" s="475"/>
      <c r="F71" s="475"/>
      <c r="G71" s="475"/>
      <c r="H71" s="475"/>
      <c r="I71" s="475"/>
      <c r="J71" s="475"/>
      <c r="K71" s="475"/>
      <c r="L71" s="475"/>
      <c r="M71" s="475"/>
      <c r="N71" s="475"/>
      <c r="O71" s="475"/>
      <c r="P71" s="475"/>
      <c r="Q71" s="475"/>
      <c r="R71" s="475"/>
      <c r="S71" s="475"/>
      <c r="T71" s="475"/>
      <c r="U71" s="475"/>
      <c r="V71" s="475"/>
      <c r="W71" s="475"/>
      <c r="X71" s="475"/>
      <c r="Y71" s="475"/>
    </row>
    <row r="72" ht="13.5" customHeight="1">
      <c r="A72" s="475"/>
      <c r="B72" s="475"/>
      <c r="C72" s="475"/>
      <c r="D72" s="475"/>
      <c r="E72" s="475"/>
      <c r="F72" s="475"/>
      <c r="G72" s="475"/>
      <c r="H72" s="475"/>
      <c r="I72" s="475"/>
      <c r="J72" s="475"/>
      <c r="K72" s="475"/>
      <c r="L72" s="475"/>
      <c r="M72" s="475"/>
      <c r="N72" s="475"/>
      <c r="O72" s="475"/>
      <c r="P72" s="475"/>
      <c r="Q72" s="475"/>
      <c r="R72" s="475"/>
      <c r="S72" s="475"/>
      <c r="T72" s="475"/>
      <c r="U72" s="475"/>
      <c r="V72" s="475"/>
      <c r="W72" s="475"/>
      <c r="X72" s="475"/>
      <c r="Y72" s="475"/>
    </row>
    <row r="73" ht="13.5" customHeight="1">
      <c r="A73" s="475"/>
      <c r="B73" s="475"/>
      <c r="C73" s="475"/>
      <c r="D73" s="475"/>
      <c r="E73" s="475"/>
      <c r="F73" s="475"/>
      <c r="G73" s="475"/>
      <c r="H73" s="475"/>
      <c r="I73" s="475"/>
      <c r="J73" s="475"/>
      <c r="K73" s="475"/>
      <c r="L73" s="475"/>
      <c r="M73" s="475"/>
      <c r="N73" s="475"/>
      <c r="O73" s="475"/>
      <c r="P73" s="475"/>
      <c r="Q73" s="475"/>
      <c r="R73" s="475"/>
      <c r="S73" s="475"/>
      <c r="T73" s="475"/>
      <c r="U73" s="475"/>
      <c r="V73" s="475"/>
      <c r="W73" s="475"/>
      <c r="X73" s="475"/>
      <c r="Y73" s="475"/>
    </row>
    <row r="74" ht="13.5" customHeight="1">
      <c r="A74" s="475"/>
      <c r="B74" s="475"/>
      <c r="C74" s="475"/>
      <c r="D74" s="475"/>
      <c r="E74" s="475"/>
      <c r="F74" s="475"/>
      <c r="G74" s="475"/>
      <c r="H74" s="475"/>
      <c r="I74" s="475"/>
      <c r="J74" s="475"/>
      <c r="K74" s="475"/>
      <c r="L74" s="475"/>
      <c r="M74" s="475"/>
      <c r="N74" s="475"/>
      <c r="O74" s="475"/>
      <c r="P74" s="475"/>
      <c r="Q74" s="475"/>
      <c r="R74" s="475"/>
      <c r="S74" s="475"/>
      <c r="T74" s="475"/>
      <c r="U74" s="475"/>
      <c r="V74" s="475"/>
      <c r="W74" s="475"/>
      <c r="X74" s="475"/>
      <c r="Y74" s="475"/>
    </row>
    <row r="75" ht="13.5" customHeight="1">
      <c r="A75" s="475"/>
      <c r="B75" s="475"/>
      <c r="C75" s="475"/>
      <c r="D75" s="475"/>
      <c r="E75" s="475"/>
      <c r="F75" s="475"/>
      <c r="G75" s="475"/>
      <c r="H75" s="475"/>
      <c r="I75" s="475"/>
      <c r="J75" s="475"/>
      <c r="K75" s="475"/>
      <c r="L75" s="475"/>
      <c r="M75" s="475"/>
      <c r="N75" s="475"/>
      <c r="O75" s="475"/>
      <c r="P75" s="475"/>
      <c r="Q75" s="475"/>
      <c r="R75" s="475"/>
      <c r="S75" s="475"/>
      <c r="T75" s="475"/>
      <c r="U75" s="475"/>
      <c r="V75" s="475"/>
      <c r="W75" s="475"/>
      <c r="X75" s="475"/>
      <c r="Y75" s="475"/>
    </row>
    <row r="76" ht="13.5" customHeight="1">
      <c r="A76" s="475"/>
      <c r="B76" s="475"/>
      <c r="C76" s="475"/>
      <c r="D76" s="475"/>
      <c r="E76" s="475"/>
      <c r="F76" s="475"/>
      <c r="G76" s="475"/>
      <c r="H76" s="475"/>
      <c r="I76" s="475"/>
      <c r="J76" s="475"/>
      <c r="K76" s="475"/>
      <c r="L76" s="475"/>
      <c r="M76" s="475"/>
      <c r="N76" s="475"/>
      <c r="O76" s="475"/>
      <c r="P76" s="475"/>
      <c r="Q76" s="475"/>
      <c r="R76" s="475"/>
      <c r="S76" s="475"/>
      <c r="T76" s="475"/>
      <c r="U76" s="475"/>
      <c r="V76" s="475"/>
      <c r="W76" s="475"/>
      <c r="X76" s="475"/>
      <c r="Y76" s="475"/>
    </row>
    <row r="77" ht="13.5" customHeight="1">
      <c r="A77" s="475"/>
      <c r="B77" s="475"/>
      <c r="C77" s="475"/>
      <c r="D77" s="475"/>
      <c r="E77" s="475"/>
      <c r="F77" s="475"/>
      <c r="G77" s="475"/>
      <c r="H77" s="475"/>
      <c r="I77" s="475"/>
      <c r="J77" s="475"/>
      <c r="K77" s="475"/>
      <c r="L77" s="475"/>
      <c r="M77" s="475"/>
      <c r="N77" s="475"/>
      <c r="O77" s="475"/>
      <c r="P77" s="475"/>
      <c r="Q77" s="475"/>
      <c r="R77" s="475"/>
      <c r="S77" s="475"/>
      <c r="T77" s="475"/>
      <c r="U77" s="475"/>
      <c r="V77" s="475"/>
      <c r="W77" s="475"/>
      <c r="X77" s="475"/>
      <c r="Y77" s="475"/>
    </row>
    <row r="78" ht="13.5" customHeight="1">
      <c r="A78" s="475"/>
      <c r="B78" s="475"/>
      <c r="C78" s="475"/>
      <c r="D78" s="475"/>
      <c r="E78" s="475"/>
      <c r="F78" s="475"/>
      <c r="G78" s="475"/>
      <c r="H78" s="475"/>
      <c r="I78" s="475"/>
      <c r="J78" s="475"/>
      <c r="K78" s="475"/>
      <c r="L78" s="475"/>
      <c r="M78" s="475"/>
      <c r="N78" s="475"/>
      <c r="O78" s="475"/>
      <c r="P78" s="475"/>
      <c r="Q78" s="475"/>
      <c r="R78" s="475"/>
      <c r="S78" s="475"/>
      <c r="T78" s="475"/>
      <c r="U78" s="475"/>
      <c r="V78" s="475"/>
      <c r="W78" s="475"/>
      <c r="X78" s="475"/>
      <c r="Y78" s="475"/>
    </row>
    <row r="79" ht="13.5" customHeight="1">
      <c r="A79" s="475"/>
      <c r="B79" s="475"/>
      <c r="C79" s="475"/>
      <c r="D79" s="475"/>
      <c r="E79" s="475"/>
      <c r="F79" s="475"/>
      <c r="G79" s="475"/>
      <c r="H79" s="475"/>
      <c r="I79" s="475"/>
      <c r="J79" s="475"/>
      <c r="K79" s="475"/>
      <c r="L79" s="475"/>
      <c r="M79" s="475"/>
      <c r="N79" s="475"/>
      <c r="O79" s="475"/>
      <c r="P79" s="475"/>
      <c r="Q79" s="475"/>
      <c r="R79" s="475"/>
      <c r="S79" s="475"/>
      <c r="T79" s="475"/>
      <c r="U79" s="475"/>
      <c r="V79" s="475"/>
      <c r="W79" s="475"/>
      <c r="X79" s="475"/>
      <c r="Y79" s="475"/>
    </row>
    <row r="80" ht="13.5" customHeight="1">
      <c r="A80" s="475"/>
      <c r="B80" s="475"/>
      <c r="C80" s="475"/>
      <c r="D80" s="475"/>
      <c r="E80" s="475"/>
      <c r="F80" s="475"/>
      <c r="G80" s="475"/>
      <c r="H80" s="475"/>
      <c r="I80" s="475"/>
      <c r="J80" s="475"/>
      <c r="K80" s="475"/>
      <c r="L80" s="475"/>
      <c r="M80" s="475"/>
      <c r="N80" s="475"/>
      <c r="O80" s="475"/>
      <c r="P80" s="475"/>
      <c r="Q80" s="475"/>
      <c r="R80" s="475"/>
      <c r="S80" s="475"/>
      <c r="T80" s="475"/>
      <c r="U80" s="475"/>
      <c r="V80" s="475"/>
      <c r="W80" s="475"/>
      <c r="X80" s="475"/>
      <c r="Y80" s="475"/>
    </row>
    <row r="81" ht="13.5" customHeight="1">
      <c r="A81" s="475"/>
      <c r="B81" s="475"/>
      <c r="C81" s="475"/>
      <c r="D81" s="475"/>
      <c r="E81" s="475"/>
      <c r="F81" s="475"/>
      <c r="G81" s="475"/>
      <c r="H81" s="475"/>
      <c r="I81" s="475"/>
      <c r="J81" s="475"/>
      <c r="K81" s="475"/>
      <c r="L81" s="475"/>
      <c r="M81" s="475"/>
      <c r="N81" s="475"/>
      <c r="O81" s="475"/>
      <c r="P81" s="475"/>
      <c r="Q81" s="475"/>
      <c r="R81" s="475"/>
      <c r="S81" s="475"/>
      <c r="T81" s="475"/>
      <c r="U81" s="475"/>
      <c r="V81" s="475"/>
      <c r="W81" s="475"/>
      <c r="X81" s="475"/>
      <c r="Y81" s="475"/>
    </row>
    <row r="82" ht="13.5" customHeight="1">
      <c r="A82" s="475"/>
      <c r="B82" s="475"/>
      <c r="C82" s="475"/>
      <c r="D82" s="475"/>
      <c r="E82" s="475"/>
      <c r="F82" s="475"/>
      <c r="G82" s="475"/>
      <c r="H82" s="475"/>
      <c r="I82" s="475"/>
      <c r="J82" s="475"/>
      <c r="K82" s="475"/>
      <c r="L82" s="475"/>
      <c r="M82" s="475"/>
      <c r="N82" s="475"/>
      <c r="O82" s="475"/>
      <c r="P82" s="475"/>
      <c r="Q82" s="475"/>
      <c r="R82" s="475"/>
      <c r="S82" s="475"/>
      <c r="T82" s="475"/>
      <c r="U82" s="475"/>
      <c r="V82" s="475"/>
      <c r="W82" s="475"/>
      <c r="X82" s="475"/>
      <c r="Y82" s="475"/>
    </row>
    <row r="83" ht="13.5" customHeight="1">
      <c r="A83" s="475"/>
      <c r="B83" s="475"/>
      <c r="C83" s="475"/>
      <c r="D83" s="475"/>
      <c r="E83" s="475"/>
      <c r="F83" s="475"/>
      <c r="G83" s="475"/>
      <c r="H83" s="475"/>
      <c r="I83" s="475"/>
      <c r="J83" s="475"/>
      <c r="K83" s="475"/>
      <c r="L83" s="475"/>
      <c r="M83" s="475"/>
      <c r="N83" s="475"/>
      <c r="O83" s="475"/>
      <c r="P83" s="475"/>
      <c r="Q83" s="475"/>
      <c r="R83" s="475"/>
      <c r="S83" s="475"/>
      <c r="T83" s="475"/>
      <c r="U83" s="475"/>
      <c r="V83" s="475"/>
      <c r="W83" s="475"/>
      <c r="X83" s="475"/>
      <c r="Y83" s="475"/>
    </row>
    <row r="84" ht="13.5" customHeight="1">
      <c r="A84" s="475"/>
      <c r="B84" s="475"/>
      <c r="C84" s="475"/>
      <c r="D84" s="475"/>
      <c r="E84" s="475"/>
      <c r="F84" s="475"/>
      <c r="G84" s="475"/>
      <c r="H84" s="475"/>
      <c r="I84" s="475"/>
      <c r="J84" s="475"/>
      <c r="K84" s="475"/>
      <c r="L84" s="475"/>
      <c r="M84" s="475"/>
      <c r="N84" s="475"/>
      <c r="O84" s="475"/>
      <c r="P84" s="475"/>
      <c r="Q84" s="475"/>
      <c r="R84" s="475"/>
      <c r="S84" s="475"/>
      <c r="T84" s="475"/>
      <c r="U84" s="475"/>
      <c r="V84" s="475"/>
      <c r="W84" s="475"/>
      <c r="X84" s="475"/>
      <c r="Y84" s="475"/>
    </row>
    <row r="85" ht="13.5" customHeight="1">
      <c r="A85" s="475"/>
      <c r="B85" s="475"/>
      <c r="C85" s="475"/>
      <c r="D85" s="475"/>
      <c r="E85" s="475"/>
      <c r="F85" s="475"/>
      <c r="G85" s="475"/>
      <c r="H85" s="475"/>
      <c r="I85" s="475"/>
      <c r="J85" s="475"/>
      <c r="K85" s="475"/>
      <c r="L85" s="475"/>
      <c r="M85" s="475"/>
      <c r="N85" s="475"/>
      <c r="O85" s="475"/>
      <c r="P85" s="475"/>
      <c r="Q85" s="475"/>
      <c r="R85" s="475"/>
      <c r="S85" s="475"/>
      <c r="T85" s="475"/>
      <c r="U85" s="475"/>
      <c r="V85" s="475"/>
      <c r="W85" s="475"/>
      <c r="X85" s="475"/>
      <c r="Y85" s="475"/>
    </row>
    <row r="86" ht="13.5" customHeight="1">
      <c r="A86" s="475"/>
      <c r="B86" s="475"/>
      <c r="C86" s="475"/>
      <c r="D86" s="475"/>
      <c r="E86" s="475"/>
      <c r="F86" s="475"/>
      <c r="G86" s="475"/>
      <c r="H86" s="475"/>
      <c r="I86" s="475"/>
      <c r="J86" s="475"/>
      <c r="K86" s="475"/>
      <c r="L86" s="475"/>
      <c r="M86" s="475"/>
      <c r="N86" s="475"/>
      <c r="O86" s="475"/>
      <c r="P86" s="475"/>
      <c r="Q86" s="475"/>
      <c r="R86" s="475"/>
      <c r="S86" s="475"/>
      <c r="T86" s="475"/>
      <c r="U86" s="475"/>
      <c r="V86" s="475"/>
      <c r="W86" s="475"/>
      <c r="X86" s="475"/>
      <c r="Y86" s="475"/>
    </row>
    <row r="87" ht="13.5" customHeight="1">
      <c r="A87" s="475"/>
      <c r="B87" s="475"/>
      <c r="C87" s="475"/>
      <c r="D87" s="475"/>
      <c r="E87" s="475"/>
      <c r="F87" s="475"/>
      <c r="G87" s="475"/>
      <c r="H87" s="475"/>
      <c r="I87" s="475"/>
      <c r="J87" s="475"/>
      <c r="K87" s="475"/>
      <c r="L87" s="475"/>
      <c r="M87" s="475"/>
      <c r="N87" s="475"/>
      <c r="O87" s="475"/>
      <c r="P87" s="475"/>
      <c r="Q87" s="475"/>
      <c r="R87" s="475"/>
      <c r="S87" s="475"/>
      <c r="T87" s="475"/>
      <c r="U87" s="475"/>
      <c r="V87" s="475"/>
      <c r="W87" s="475"/>
      <c r="X87" s="475"/>
      <c r="Y87" s="475"/>
    </row>
    <row r="88" ht="13.5" customHeight="1">
      <c r="A88" s="475"/>
      <c r="B88" s="475"/>
      <c r="C88" s="475"/>
      <c r="D88" s="475"/>
      <c r="E88" s="475"/>
      <c r="F88" s="475"/>
      <c r="G88" s="475"/>
      <c r="H88" s="475"/>
      <c r="I88" s="475"/>
      <c r="J88" s="475"/>
      <c r="K88" s="475"/>
      <c r="L88" s="475"/>
      <c r="M88" s="475"/>
      <c r="N88" s="475"/>
      <c r="O88" s="475"/>
      <c r="P88" s="475"/>
      <c r="Q88" s="475"/>
      <c r="R88" s="475"/>
      <c r="S88" s="475"/>
      <c r="T88" s="475"/>
      <c r="U88" s="475"/>
      <c r="V88" s="475"/>
      <c r="W88" s="475"/>
      <c r="X88" s="475"/>
      <c r="Y88" s="475"/>
    </row>
    <row r="89" ht="13.5" customHeight="1">
      <c r="A89" s="475"/>
      <c r="B89" s="475"/>
      <c r="C89" s="475"/>
      <c r="D89" s="475"/>
      <c r="E89" s="475"/>
      <c r="F89" s="475"/>
      <c r="G89" s="475"/>
      <c r="H89" s="475"/>
      <c r="I89" s="475"/>
      <c r="J89" s="475"/>
      <c r="K89" s="475"/>
      <c r="L89" s="475"/>
      <c r="M89" s="475"/>
      <c r="N89" s="475"/>
      <c r="O89" s="475"/>
      <c r="P89" s="475"/>
      <c r="Q89" s="475"/>
      <c r="R89" s="475"/>
      <c r="S89" s="475"/>
      <c r="T89" s="475"/>
      <c r="U89" s="475"/>
      <c r="V89" s="475"/>
      <c r="W89" s="475"/>
      <c r="X89" s="475"/>
      <c r="Y89" s="475"/>
    </row>
    <row r="90" ht="13.5" customHeight="1">
      <c r="A90" s="475"/>
      <c r="B90" s="475"/>
      <c r="C90" s="475"/>
      <c r="D90" s="475"/>
      <c r="E90" s="475"/>
      <c r="F90" s="475"/>
      <c r="G90" s="475"/>
      <c r="H90" s="475"/>
      <c r="I90" s="475"/>
      <c r="J90" s="475"/>
      <c r="K90" s="475"/>
      <c r="L90" s="475"/>
      <c r="M90" s="475"/>
      <c r="N90" s="475"/>
      <c r="O90" s="475"/>
      <c r="P90" s="475"/>
      <c r="Q90" s="475"/>
      <c r="R90" s="475"/>
      <c r="S90" s="475"/>
      <c r="T90" s="475"/>
      <c r="U90" s="475"/>
      <c r="V90" s="475"/>
      <c r="W90" s="475"/>
      <c r="X90" s="475"/>
      <c r="Y90" s="475"/>
    </row>
    <row r="91" ht="13.5" customHeight="1">
      <c r="A91" s="475"/>
      <c r="B91" s="475"/>
      <c r="C91" s="475"/>
      <c r="D91" s="475"/>
      <c r="E91" s="475"/>
      <c r="F91" s="475"/>
      <c r="G91" s="475"/>
      <c r="H91" s="475"/>
      <c r="I91" s="475"/>
      <c r="J91" s="475"/>
      <c r="K91" s="475"/>
      <c r="L91" s="475"/>
      <c r="M91" s="475"/>
      <c r="N91" s="475"/>
      <c r="O91" s="475"/>
      <c r="P91" s="475"/>
      <c r="Q91" s="475"/>
      <c r="R91" s="475"/>
      <c r="S91" s="475"/>
      <c r="T91" s="475"/>
      <c r="U91" s="475"/>
      <c r="V91" s="475"/>
      <c r="W91" s="475"/>
      <c r="X91" s="475"/>
      <c r="Y91" s="475"/>
    </row>
    <row r="92" ht="13.5" customHeight="1">
      <c r="A92" s="475"/>
      <c r="B92" s="475"/>
      <c r="C92" s="475"/>
      <c r="D92" s="475"/>
      <c r="E92" s="475"/>
      <c r="F92" s="475"/>
      <c r="G92" s="475"/>
      <c r="H92" s="475"/>
      <c r="I92" s="475"/>
      <c r="J92" s="475"/>
      <c r="K92" s="475"/>
      <c r="L92" s="475"/>
      <c r="M92" s="475"/>
      <c r="N92" s="475"/>
      <c r="O92" s="475"/>
      <c r="P92" s="475"/>
      <c r="Q92" s="475"/>
      <c r="R92" s="475"/>
      <c r="S92" s="475"/>
      <c r="T92" s="475"/>
      <c r="U92" s="475"/>
      <c r="V92" s="475"/>
      <c r="W92" s="475"/>
      <c r="X92" s="475"/>
      <c r="Y92" s="475"/>
    </row>
    <row r="93" ht="13.5" customHeight="1">
      <c r="A93" s="475"/>
      <c r="B93" s="475"/>
      <c r="C93" s="475"/>
      <c r="D93" s="475"/>
      <c r="E93" s="475"/>
      <c r="F93" s="475"/>
      <c r="G93" s="475"/>
      <c r="H93" s="475"/>
      <c r="I93" s="475"/>
      <c r="J93" s="475"/>
      <c r="K93" s="475"/>
      <c r="L93" s="475"/>
      <c r="M93" s="475"/>
      <c r="N93" s="475"/>
      <c r="O93" s="475"/>
      <c r="P93" s="475"/>
      <c r="Q93" s="475"/>
      <c r="R93" s="475"/>
      <c r="S93" s="475"/>
      <c r="T93" s="475"/>
      <c r="U93" s="475"/>
      <c r="V93" s="475"/>
      <c r="W93" s="475"/>
      <c r="X93" s="475"/>
      <c r="Y93" s="475"/>
    </row>
    <row r="94" ht="13.5" customHeight="1">
      <c r="A94" s="475"/>
      <c r="B94" s="475"/>
      <c r="C94" s="475"/>
      <c r="D94" s="475"/>
      <c r="E94" s="475"/>
      <c r="F94" s="475"/>
      <c r="G94" s="475"/>
      <c r="H94" s="475"/>
      <c r="I94" s="475"/>
      <c r="J94" s="475"/>
      <c r="K94" s="475"/>
      <c r="L94" s="475"/>
      <c r="M94" s="475"/>
      <c r="N94" s="475"/>
      <c r="O94" s="475"/>
      <c r="P94" s="475"/>
      <c r="Q94" s="475"/>
      <c r="R94" s="475"/>
      <c r="S94" s="475"/>
      <c r="T94" s="475"/>
      <c r="U94" s="475"/>
      <c r="V94" s="475"/>
      <c r="W94" s="475"/>
      <c r="X94" s="475"/>
      <c r="Y94" s="475"/>
    </row>
    <row r="95" ht="13.5" customHeight="1">
      <c r="A95" s="475"/>
      <c r="B95" s="475"/>
      <c r="C95" s="475"/>
      <c r="D95" s="475"/>
      <c r="E95" s="475"/>
      <c r="F95" s="475"/>
      <c r="G95" s="475"/>
      <c r="H95" s="475"/>
      <c r="I95" s="475"/>
      <c r="J95" s="475"/>
      <c r="K95" s="475"/>
      <c r="L95" s="475"/>
      <c r="M95" s="475"/>
      <c r="N95" s="475"/>
      <c r="O95" s="475"/>
      <c r="P95" s="475"/>
      <c r="Q95" s="475"/>
      <c r="R95" s="475"/>
      <c r="S95" s="475"/>
      <c r="T95" s="475"/>
      <c r="U95" s="475"/>
      <c r="V95" s="475"/>
      <c r="W95" s="475"/>
      <c r="X95" s="475"/>
      <c r="Y95" s="475"/>
    </row>
    <row r="96" ht="13.5" customHeight="1">
      <c r="A96" s="475"/>
      <c r="B96" s="475"/>
      <c r="C96" s="475"/>
      <c r="D96" s="475"/>
      <c r="E96" s="475"/>
      <c r="F96" s="475"/>
      <c r="G96" s="475"/>
      <c r="H96" s="475"/>
      <c r="I96" s="475"/>
      <c r="J96" s="475"/>
      <c r="K96" s="475"/>
      <c r="L96" s="475"/>
      <c r="M96" s="475"/>
      <c r="N96" s="475"/>
      <c r="O96" s="475"/>
      <c r="P96" s="475"/>
      <c r="Q96" s="475"/>
      <c r="R96" s="475"/>
      <c r="S96" s="475"/>
      <c r="T96" s="475"/>
      <c r="U96" s="475"/>
      <c r="V96" s="475"/>
      <c r="W96" s="475"/>
      <c r="X96" s="475"/>
      <c r="Y96" s="475"/>
    </row>
    <row r="97" ht="13.5" customHeight="1">
      <c r="A97" s="475"/>
      <c r="B97" s="475"/>
      <c r="C97" s="475"/>
      <c r="D97" s="475"/>
      <c r="E97" s="475"/>
      <c r="F97" s="475"/>
      <c r="G97" s="475"/>
      <c r="H97" s="475"/>
      <c r="I97" s="475"/>
      <c r="J97" s="475"/>
      <c r="K97" s="475"/>
      <c r="L97" s="475"/>
      <c r="M97" s="475"/>
      <c r="N97" s="475"/>
      <c r="O97" s="475"/>
      <c r="P97" s="475"/>
      <c r="Q97" s="475"/>
      <c r="R97" s="475"/>
      <c r="S97" s="475"/>
      <c r="T97" s="475"/>
      <c r="U97" s="475"/>
      <c r="V97" s="475"/>
      <c r="W97" s="475"/>
      <c r="X97" s="475"/>
      <c r="Y97" s="475"/>
    </row>
    <row r="98" ht="13.5" customHeight="1">
      <c r="A98" s="475"/>
      <c r="B98" s="475"/>
      <c r="C98" s="475"/>
      <c r="D98" s="475"/>
      <c r="E98" s="475"/>
      <c r="F98" s="475"/>
      <c r="G98" s="475"/>
      <c r="H98" s="475"/>
      <c r="I98" s="475"/>
      <c r="J98" s="475"/>
      <c r="K98" s="475"/>
      <c r="L98" s="475"/>
      <c r="M98" s="475"/>
      <c r="N98" s="475"/>
      <c r="O98" s="475"/>
      <c r="P98" s="475"/>
      <c r="Q98" s="475"/>
      <c r="R98" s="475"/>
      <c r="S98" s="475"/>
      <c r="T98" s="475"/>
      <c r="U98" s="475"/>
      <c r="V98" s="475"/>
      <c r="W98" s="475"/>
      <c r="X98" s="475"/>
      <c r="Y98" s="475"/>
    </row>
    <row r="99" ht="13.5" customHeight="1">
      <c r="A99" s="475"/>
      <c r="B99" s="475"/>
      <c r="C99" s="475"/>
      <c r="D99" s="475"/>
      <c r="E99" s="475"/>
      <c r="F99" s="475"/>
      <c r="G99" s="475"/>
      <c r="H99" s="475"/>
      <c r="I99" s="475"/>
      <c r="J99" s="475"/>
      <c r="K99" s="475"/>
      <c r="L99" s="475"/>
      <c r="M99" s="475"/>
      <c r="N99" s="475"/>
      <c r="O99" s="475"/>
      <c r="P99" s="475"/>
      <c r="Q99" s="475"/>
      <c r="R99" s="475"/>
      <c r="S99" s="475"/>
      <c r="T99" s="475"/>
      <c r="U99" s="475"/>
      <c r="V99" s="475"/>
      <c r="W99" s="475"/>
      <c r="X99" s="475"/>
      <c r="Y99" s="475"/>
    </row>
    <row r="100" ht="13.5" customHeight="1">
      <c r="A100" s="475"/>
      <c r="B100" s="475"/>
      <c r="C100" s="475"/>
      <c r="D100" s="475"/>
      <c r="E100" s="475"/>
      <c r="F100" s="475"/>
      <c r="G100" s="475"/>
      <c r="H100" s="475"/>
      <c r="I100" s="475"/>
      <c r="J100" s="475"/>
      <c r="K100" s="475"/>
      <c r="L100" s="475"/>
      <c r="M100" s="475"/>
      <c r="N100" s="475"/>
      <c r="O100" s="475"/>
      <c r="P100" s="475"/>
      <c r="Q100" s="475"/>
      <c r="R100" s="475"/>
      <c r="S100" s="475"/>
      <c r="T100" s="475"/>
      <c r="U100" s="475"/>
      <c r="V100" s="475"/>
      <c r="W100" s="475"/>
      <c r="X100" s="475"/>
      <c r="Y100" s="475"/>
    </row>
    <row r="101" ht="13.5" customHeight="1">
      <c r="A101" s="475"/>
      <c r="B101" s="475"/>
      <c r="C101" s="475"/>
      <c r="D101" s="475"/>
      <c r="E101" s="475"/>
      <c r="F101" s="475"/>
      <c r="G101" s="475"/>
      <c r="H101" s="475"/>
      <c r="I101" s="475"/>
      <c r="J101" s="475"/>
      <c r="K101" s="475"/>
      <c r="L101" s="475"/>
      <c r="M101" s="475"/>
      <c r="N101" s="475"/>
      <c r="O101" s="475"/>
      <c r="P101" s="475"/>
      <c r="Q101" s="475"/>
      <c r="R101" s="475"/>
      <c r="S101" s="475"/>
      <c r="T101" s="475"/>
      <c r="U101" s="475"/>
      <c r="V101" s="475"/>
      <c r="W101" s="475"/>
      <c r="X101" s="475"/>
      <c r="Y101" s="475"/>
    </row>
    <row r="102" ht="13.5" customHeight="1">
      <c r="A102" s="475"/>
      <c r="B102" s="475"/>
      <c r="C102" s="475"/>
      <c r="D102" s="475"/>
      <c r="E102" s="475"/>
      <c r="F102" s="475"/>
      <c r="G102" s="475"/>
      <c r="H102" s="475"/>
      <c r="I102" s="475"/>
      <c r="J102" s="475"/>
      <c r="K102" s="475"/>
      <c r="L102" s="475"/>
      <c r="M102" s="475"/>
      <c r="N102" s="475"/>
      <c r="O102" s="475"/>
      <c r="P102" s="475"/>
      <c r="Q102" s="475"/>
      <c r="R102" s="475"/>
      <c r="S102" s="475"/>
      <c r="T102" s="475"/>
      <c r="U102" s="475"/>
      <c r="V102" s="475"/>
      <c r="W102" s="475"/>
      <c r="X102" s="475"/>
      <c r="Y102" s="475"/>
    </row>
    <row r="103" ht="13.5" customHeight="1">
      <c r="A103" s="475"/>
      <c r="B103" s="475"/>
      <c r="C103" s="475"/>
      <c r="D103" s="475"/>
      <c r="E103" s="475"/>
      <c r="F103" s="475"/>
      <c r="G103" s="475"/>
      <c r="H103" s="475"/>
      <c r="I103" s="475"/>
      <c r="J103" s="475"/>
      <c r="K103" s="475"/>
      <c r="L103" s="475"/>
      <c r="M103" s="475"/>
      <c r="N103" s="475"/>
      <c r="O103" s="475"/>
      <c r="P103" s="475"/>
      <c r="Q103" s="475"/>
      <c r="R103" s="475"/>
      <c r="S103" s="475"/>
      <c r="T103" s="475"/>
      <c r="U103" s="475"/>
      <c r="V103" s="475"/>
      <c r="W103" s="475"/>
      <c r="X103" s="475"/>
      <c r="Y103" s="475"/>
    </row>
    <row r="104" ht="13.5" customHeight="1">
      <c r="A104" s="475"/>
      <c r="B104" s="475"/>
      <c r="C104" s="475"/>
      <c r="D104" s="475"/>
      <c r="E104" s="475"/>
      <c r="F104" s="475"/>
      <c r="G104" s="475"/>
      <c r="H104" s="475"/>
      <c r="I104" s="475"/>
      <c r="J104" s="475"/>
      <c r="K104" s="475"/>
      <c r="L104" s="475"/>
      <c r="M104" s="475"/>
      <c r="N104" s="475"/>
      <c r="O104" s="475"/>
      <c r="P104" s="475"/>
      <c r="Q104" s="475"/>
      <c r="R104" s="475"/>
      <c r="S104" s="475"/>
      <c r="T104" s="475"/>
      <c r="U104" s="475"/>
      <c r="V104" s="475"/>
      <c r="W104" s="475"/>
      <c r="X104" s="475"/>
      <c r="Y104" s="475"/>
    </row>
    <row r="105" ht="13.5" customHeight="1">
      <c r="A105" s="475"/>
      <c r="B105" s="475"/>
      <c r="C105" s="475"/>
      <c r="D105" s="475"/>
      <c r="E105" s="475"/>
      <c r="F105" s="475"/>
      <c r="G105" s="475"/>
      <c r="H105" s="475"/>
      <c r="I105" s="475"/>
      <c r="J105" s="475"/>
      <c r="K105" s="475"/>
      <c r="L105" s="475"/>
      <c r="M105" s="475"/>
      <c r="N105" s="475"/>
      <c r="O105" s="475"/>
      <c r="P105" s="475"/>
      <c r="Q105" s="475"/>
      <c r="R105" s="475"/>
      <c r="S105" s="475"/>
      <c r="T105" s="475"/>
      <c r="U105" s="475"/>
      <c r="V105" s="475"/>
      <c r="W105" s="475"/>
      <c r="X105" s="475"/>
      <c r="Y105" s="475"/>
    </row>
    <row r="106" ht="13.5" customHeight="1">
      <c r="A106" s="475"/>
      <c r="B106" s="475"/>
      <c r="C106" s="475"/>
      <c r="D106" s="475"/>
      <c r="E106" s="475"/>
      <c r="F106" s="475"/>
      <c r="G106" s="475"/>
      <c r="H106" s="475"/>
      <c r="I106" s="475"/>
      <c r="J106" s="475"/>
      <c r="K106" s="475"/>
      <c r="L106" s="475"/>
      <c r="M106" s="475"/>
      <c r="N106" s="475"/>
      <c r="O106" s="475"/>
      <c r="P106" s="475"/>
      <c r="Q106" s="475"/>
      <c r="R106" s="475"/>
      <c r="S106" s="475"/>
      <c r="T106" s="475"/>
      <c r="U106" s="475"/>
      <c r="V106" s="475"/>
      <c r="W106" s="475"/>
      <c r="X106" s="475"/>
      <c r="Y106" s="475"/>
    </row>
    <row r="107" ht="13.5" customHeight="1">
      <c r="A107" s="475"/>
      <c r="B107" s="475"/>
      <c r="C107" s="475"/>
      <c r="D107" s="475"/>
      <c r="E107" s="475"/>
      <c r="F107" s="475"/>
      <c r="G107" s="475"/>
      <c r="H107" s="475"/>
      <c r="I107" s="475"/>
      <c r="J107" s="475"/>
      <c r="K107" s="475"/>
      <c r="L107" s="475"/>
      <c r="M107" s="475"/>
      <c r="N107" s="475"/>
      <c r="O107" s="475"/>
      <c r="P107" s="475"/>
      <c r="Q107" s="475"/>
      <c r="R107" s="475"/>
      <c r="S107" s="475"/>
      <c r="T107" s="475"/>
      <c r="U107" s="475"/>
      <c r="V107" s="475"/>
      <c r="W107" s="475"/>
      <c r="X107" s="475"/>
      <c r="Y107" s="475"/>
    </row>
    <row r="108" ht="13.5" customHeight="1">
      <c r="A108" s="475"/>
      <c r="B108" s="475"/>
      <c r="C108" s="475"/>
      <c r="D108" s="475"/>
      <c r="E108" s="475"/>
      <c r="F108" s="475"/>
      <c r="G108" s="475"/>
      <c r="H108" s="475"/>
      <c r="I108" s="475"/>
      <c r="J108" s="475"/>
      <c r="K108" s="475"/>
      <c r="L108" s="475"/>
      <c r="M108" s="475"/>
      <c r="N108" s="475"/>
      <c r="O108" s="475"/>
      <c r="P108" s="475"/>
      <c r="Q108" s="475"/>
      <c r="R108" s="475"/>
      <c r="S108" s="475"/>
      <c r="T108" s="475"/>
      <c r="U108" s="475"/>
      <c r="V108" s="475"/>
      <c r="W108" s="475"/>
      <c r="X108" s="475"/>
      <c r="Y108" s="475"/>
    </row>
    <row r="109" ht="13.5" customHeight="1">
      <c r="A109" s="475"/>
      <c r="B109" s="475"/>
      <c r="C109" s="475"/>
      <c r="D109" s="475"/>
      <c r="E109" s="475"/>
      <c r="F109" s="475"/>
      <c r="G109" s="475"/>
      <c r="H109" s="475"/>
      <c r="I109" s="475"/>
      <c r="J109" s="475"/>
      <c r="K109" s="475"/>
      <c r="L109" s="475"/>
      <c r="M109" s="475"/>
      <c r="N109" s="475"/>
      <c r="O109" s="475"/>
      <c r="P109" s="475"/>
      <c r="Q109" s="475"/>
      <c r="R109" s="475"/>
      <c r="S109" s="475"/>
      <c r="T109" s="475"/>
      <c r="U109" s="475"/>
      <c r="V109" s="475"/>
      <c r="W109" s="475"/>
      <c r="X109" s="475"/>
      <c r="Y109" s="475"/>
    </row>
    <row r="110" ht="13.5" customHeight="1">
      <c r="A110" s="475"/>
      <c r="B110" s="475"/>
      <c r="C110" s="475"/>
      <c r="D110" s="475"/>
      <c r="E110" s="475"/>
      <c r="F110" s="475"/>
      <c r="G110" s="475"/>
      <c r="H110" s="475"/>
      <c r="I110" s="475"/>
      <c r="J110" s="475"/>
      <c r="K110" s="475"/>
      <c r="L110" s="475"/>
      <c r="M110" s="475"/>
      <c r="N110" s="475"/>
      <c r="O110" s="475"/>
      <c r="P110" s="475"/>
      <c r="Q110" s="475"/>
      <c r="R110" s="475"/>
      <c r="S110" s="475"/>
      <c r="T110" s="475"/>
      <c r="U110" s="475"/>
      <c r="V110" s="475"/>
      <c r="W110" s="475"/>
      <c r="X110" s="475"/>
      <c r="Y110" s="475"/>
    </row>
    <row r="111" ht="13.5" customHeight="1">
      <c r="A111" s="475"/>
      <c r="B111" s="475"/>
      <c r="C111" s="475"/>
      <c r="D111" s="475"/>
      <c r="E111" s="475"/>
      <c r="F111" s="475"/>
      <c r="G111" s="475"/>
      <c r="H111" s="475"/>
      <c r="I111" s="475"/>
      <c r="J111" s="475"/>
      <c r="K111" s="475"/>
      <c r="L111" s="475"/>
      <c r="M111" s="475"/>
      <c r="N111" s="475"/>
      <c r="O111" s="475"/>
      <c r="P111" s="475"/>
      <c r="Q111" s="475"/>
      <c r="R111" s="475"/>
      <c r="S111" s="475"/>
      <c r="T111" s="475"/>
      <c r="U111" s="475"/>
      <c r="V111" s="475"/>
      <c r="W111" s="475"/>
      <c r="X111" s="475"/>
      <c r="Y111" s="475"/>
    </row>
    <row r="112" ht="13.5" customHeight="1">
      <c r="A112" s="47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row>
    <row r="113" ht="13.5" customHeight="1">
      <c r="A113" s="475"/>
      <c r="B113" s="475"/>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row>
    <row r="114" ht="13.5" customHeight="1">
      <c r="A114" s="475"/>
      <c r="B114" s="475"/>
      <c r="C114" s="475"/>
      <c r="D114" s="475"/>
      <c r="E114" s="475"/>
      <c r="F114" s="475"/>
      <c r="G114" s="475"/>
      <c r="H114" s="475"/>
      <c r="I114" s="475"/>
      <c r="J114" s="475"/>
      <c r="K114" s="475"/>
      <c r="L114" s="475"/>
      <c r="M114" s="475"/>
      <c r="N114" s="475"/>
      <c r="O114" s="475"/>
      <c r="P114" s="475"/>
      <c r="Q114" s="475"/>
      <c r="R114" s="475"/>
      <c r="S114" s="475"/>
      <c r="T114" s="475"/>
      <c r="U114" s="475"/>
      <c r="V114" s="475"/>
      <c r="W114" s="475"/>
      <c r="X114" s="475"/>
      <c r="Y114" s="475"/>
    </row>
    <row r="115" ht="13.5" customHeight="1">
      <c r="A115" s="475"/>
      <c r="B115" s="475"/>
      <c r="C115" s="475"/>
      <c r="D115" s="475"/>
      <c r="E115" s="475"/>
      <c r="F115" s="475"/>
      <c r="G115" s="475"/>
      <c r="H115" s="475"/>
      <c r="I115" s="475"/>
      <c r="J115" s="475"/>
      <c r="K115" s="475"/>
      <c r="L115" s="475"/>
      <c r="M115" s="475"/>
      <c r="N115" s="475"/>
      <c r="O115" s="475"/>
      <c r="P115" s="475"/>
      <c r="Q115" s="475"/>
      <c r="R115" s="475"/>
      <c r="S115" s="475"/>
      <c r="T115" s="475"/>
      <c r="U115" s="475"/>
      <c r="V115" s="475"/>
      <c r="W115" s="475"/>
      <c r="X115" s="475"/>
      <c r="Y115" s="475"/>
    </row>
    <row r="116" ht="13.5" customHeight="1">
      <c r="A116" s="475"/>
      <c r="B116" s="475"/>
      <c r="C116" s="475"/>
      <c r="D116" s="475"/>
      <c r="E116" s="475"/>
      <c r="F116" s="475"/>
      <c r="G116" s="475"/>
      <c r="H116" s="475"/>
      <c r="I116" s="475"/>
      <c r="J116" s="475"/>
      <c r="K116" s="475"/>
      <c r="L116" s="475"/>
      <c r="M116" s="475"/>
      <c r="N116" s="475"/>
      <c r="O116" s="475"/>
      <c r="P116" s="475"/>
      <c r="Q116" s="475"/>
      <c r="R116" s="475"/>
      <c r="S116" s="475"/>
      <c r="T116" s="475"/>
      <c r="U116" s="475"/>
      <c r="V116" s="475"/>
      <c r="W116" s="475"/>
      <c r="X116" s="475"/>
      <c r="Y116" s="475"/>
    </row>
    <row r="117" ht="13.5" customHeight="1">
      <c r="A117" s="475"/>
      <c r="B117" s="475"/>
      <c r="C117" s="475"/>
      <c r="D117" s="475"/>
      <c r="E117" s="475"/>
      <c r="F117" s="475"/>
      <c r="G117" s="475"/>
      <c r="H117" s="475"/>
      <c r="I117" s="475"/>
      <c r="J117" s="475"/>
      <c r="K117" s="475"/>
      <c r="L117" s="475"/>
      <c r="M117" s="475"/>
      <c r="N117" s="475"/>
      <c r="O117" s="475"/>
      <c r="P117" s="475"/>
      <c r="Q117" s="475"/>
      <c r="R117" s="475"/>
      <c r="S117" s="475"/>
      <c r="T117" s="475"/>
      <c r="U117" s="475"/>
      <c r="V117" s="475"/>
      <c r="W117" s="475"/>
      <c r="X117" s="475"/>
      <c r="Y117" s="475"/>
    </row>
    <row r="118" ht="13.5" customHeight="1">
      <c r="A118" s="475"/>
      <c r="B118" s="475"/>
      <c r="C118" s="475"/>
      <c r="D118" s="475"/>
      <c r="E118" s="475"/>
      <c r="F118" s="475"/>
      <c r="G118" s="475"/>
      <c r="H118" s="475"/>
      <c r="I118" s="475"/>
      <c r="J118" s="475"/>
      <c r="K118" s="475"/>
      <c r="L118" s="475"/>
      <c r="M118" s="475"/>
      <c r="N118" s="475"/>
      <c r="O118" s="475"/>
      <c r="P118" s="475"/>
      <c r="Q118" s="475"/>
      <c r="R118" s="475"/>
      <c r="S118" s="475"/>
      <c r="T118" s="475"/>
      <c r="U118" s="475"/>
      <c r="V118" s="475"/>
      <c r="W118" s="475"/>
      <c r="X118" s="475"/>
      <c r="Y118" s="475"/>
    </row>
    <row r="119" ht="13.5" customHeight="1">
      <c r="A119" s="475"/>
      <c r="B119" s="475"/>
      <c r="C119" s="475"/>
      <c r="D119" s="475"/>
      <c r="E119" s="475"/>
      <c r="F119" s="475"/>
      <c r="G119" s="475"/>
      <c r="H119" s="475"/>
      <c r="I119" s="475"/>
      <c r="J119" s="475"/>
      <c r="K119" s="475"/>
      <c r="L119" s="475"/>
      <c r="M119" s="475"/>
      <c r="N119" s="475"/>
      <c r="O119" s="475"/>
      <c r="P119" s="475"/>
      <c r="Q119" s="475"/>
      <c r="R119" s="475"/>
      <c r="S119" s="475"/>
      <c r="T119" s="475"/>
      <c r="U119" s="475"/>
      <c r="V119" s="475"/>
      <c r="W119" s="475"/>
      <c r="X119" s="475"/>
      <c r="Y119" s="475"/>
    </row>
    <row r="120" ht="13.5" customHeight="1">
      <c r="A120" s="475"/>
      <c r="B120" s="475"/>
      <c r="C120" s="475"/>
      <c r="D120" s="475"/>
      <c r="E120" s="475"/>
      <c r="F120" s="475"/>
      <c r="G120" s="475"/>
      <c r="H120" s="475"/>
      <c r="I120" s="475"/>
      <c r="J120" s="475"/>
      <c r="K120" s="475"/>
      <c r="L120" s="475"/>
      <c r="M120" s="475"/>
      <c r="N120" s="475"/>
      <c r="O120" s="475"/>
      <c r="P120" s="475"/>
      <c r="Q120" s="475"/>
      <c r="R120" s="475"/>
      <c r="S120" s="475"/>
      <c r="T120" s="475"/>
      <c r="U120" s="475"/>
      <c r="V120" s="475"/>
      <c r="W120" s="475"/>
      <c r="X120" s="475"/>
      <c r="Y120" s="475"/>
    </row>
    <row r="121" ht="13.5" customHeight="1">
      <c r="A121" s="475"/>
      <c r="B121" s="475"/>
      <c r="C121" s="475"/>
      <c r="D121" s="475"/>
      <c r="E121" s="475"/>
      <c r="F121" s="475"/>
      <c r="G121" s="475"/>
      <c r="H121" s="475"/>
      <c r="I121" s="475"/>
      <c r="J121" s="475"/>
      <c r="K121" s="475"/>
      <c r="L121" s="475"/>
      <c r="M121" s="475"/>
      <c r="N121" s="475"/>
      <c r="O121" s="475"/>
      <c r="P121" s="475"/>
      <c r="Q121" s="475"/>
      <c r="R121" s="475"/>
      <c r="S121" s="475"/>
      <c r="T121" s="475"/>
      <c r="U121" s="475"/>
      <c r="V121" s="475"/>
      <c r="W121" s="475"/>
      <c r="X121" s="475"/>
      <c r="Y121" s="475"/>
    </row>
    <row r="122" ht="13.5" customHeight="1">
      <c r="A122" s="475"/>
      <c r="B122" s="475"/>
      <c r="C122" s="475"/>
      <c r="D122" s="475"/>
      <c r="E122" s="475"/>
      <c r="F122" s="475"/>
      <c r="G122" s="475"/>
      <c r="H122" s="475"/>
      <c r="I122" s="475"/>
      <c r="J122" s="475"/>
      <c r="K122" s="475"/>
      <c r="L122" s="475"/>
      <c r="M122" s="475"/>
      <c r="N122" s="475"/>
      <c r="O122" s="475"/>
      <c r="P122" s="475"/>
      <c r="Q122" s="475"/>
      <c r="R122" s="475"/>
      <c r="S122" s="475"/>
      <c r="T122" s="475"/>
      <c r="U122" s="475"/>
      <c r="V122" s="475"/>
      <c r="W122" s="475"/>
      <c r="X122" s="475"/>
      <c r="Y122" s="475"/>
    </row>
    <row r="123" ht="13.5" customHeight="1">
      <c r="A123" s="475"/>
      <c r="B123" s="475"/>
      <c r="C123" s="475"/>
      <c r="D123" s="475"/>
      <c r="E123" s="475"/>
      <c r="F123" s="475"/>
      <c r="G123" s="475"/>
      <c r="H123" s="475"/>
      <c r="I123" s="475"/>
      <c r="J123" s="475"/>
      <c r="K123" s="475"/>
      <c r="L123" s="475"/>
      <c r="M123" s="475"/>
      <c r="N123" s="475"/>
      <c r="O123" s="475"/>
      <c r="P123" s="475"/>
      <c r="Q123" s="475"/>
      <c r="R123" s="475"/>
      <c r="S123" s="475"/>
      <c r="T123" s="475"/>
      <c r="U123" s="475"/>
      <c r="V123" s="475"/>
      <c r="W123" s="475"/>
      <c r="X123" s="475"/>
      <c r="Y123" s="475"/>
    </row>
    <row r="124" ht="13.5" customHeight="1">
      <c r="A124" s="475"/>
      <c r="B124" s="475"/>
      <c r="C124" s="475"/>
      <c r="D124" s="475"/>
      <c r="E124" s="475"/>
      <c r="F124" s="475"/>
      <c r="G124" s="475"/>
      <c r="H124" s="475"/>
      <c r="I124" s="475"/>
      <c r="J124" s="475"/>
      <c r="K124" s="475"/>
      <c r="L124" s="475"/>
      <c r="M124" s="475"/>
      <c r="N124" s="475"/>
      <c r="O124" s="475"/>
      <c r="P124" s="475"/>
      <c r="Q124" s="475"/>
      <c r="R124" s="475"/>
      <c r="S124" s="475"/>
      <c r="T124" s="475"/>
      <c r="U124" s="475"/>
      <c r="V124" s="475"/>
      <c r="W124" s="475"/>
      <c r="X124" s="475"/>
      <c r="Y124" s="475"/>
    </row>
    <row r="125" ht="13.5" customHeight="1">
      <c r="A125" s="475"/>
      <c r="B125" s="475"/>
      <c r="C125" s="475"/>
      <c r="D125" s="475"/>
      <c r="E125" s="475"/>
      <c r="F125" s="475"/>
      <c r="G125" s="475"/>
      <c r="H125" s="475"/>
      <c r="I125" s="475"/>
      <c r="J125" s="475"/>
      <c r="K125" s="475"/>
      <c r="L125" s="475"/>
      <c r="M125" s="475"/>
      <c r="N125" s="475"/>
      <c r="O125" s="475"/>
      <c r="P125" s="475"/>
      <c r="Q125" s="475"/>
      <c r="R125" s="475"/>
      <c r="S125" s="475"/>
      <c r="T125" s="475"/>
      <c r="U125" s="475"/>
      <c r="V125" s="475"/>
      <c r="W125" s="475"/>
      <c r="X125" s="475"/>
      <c r="Y125" s="475"/>
    </row>
    <row r="126" ht="13.5" customHeight="1">
      <c r="A126" s="475"/>
      <c r="B126" s="475"/>
      <c r="C126" s="475"/>
      <c r="D126" s="475"/>
      <c r="E126" s="475"/>
      <c r="F126" s="475"/>
      <c r="G126" s="475"/>
      <c r="H126" s="475"/>
      <c r="I126" s="475"/>
      <c r="J126" s="475"/>
      <c r="K126" s="475"/>
      <c r="L126" s="475"/>
      <c r="M126" s="475"/>
      <c r="N126" s="475"/>
      <c r="O126" s="475"/>
      <c r="P126" s="475"/>
      <c r="Q126" s="475"/>
      <c r="R126" s="475"/>
      <c r="S126" s="475"/>
      <c r="T126" s="475"/>
      <c r="U126" s="475"/>
      <c r="V126" s="475"/>
      <c r="W126" s="475"/>
      <c r="X126" s="475"/>
      <c r="Y126" s="475"/>
    </row>
    <row r="127" ht="13.5" customHeight="1">
      <c r="A127" s="475"/>
      <c r="B127" s="475"/>
      <c r="C127" s="475"/>
      <c r="D127" s="475"/>
      <c r="E127" s="475"/>
      <c r="F127" s="475"/>
      <c r="G127" s="475"/>
      <c r="H127" s="475"/>
      <c r="I127" s="475"/>
      <c r="J127" s="475"/>
      <c r="K127" s="475"/>
      <c r="L127" s="475"/>
      <c r="M127" s="475"/>
      <c r="N127" s="475"/>
      <c r="O127" s="475"/>
      <c r="P127" s="475"/>
      <c r="Q127" s="475"/>
      <c r="R127" s="475"/>
      <c r="S127" s="475"/>
      <c r="T127" s="475"/>
      <c r="U127" s="475"/>
      <c r="V127" s="475"/>
      <c r="W127" s="475"/>
      <c r="X127" s="475"/>
      <c r="Y127" s="475"/>
    </row>
    <row r="128" ht="13.5" customHeight="1">
      <c r="A128" s="475"/>
      <c r="B128" s="475"/>
      <c r="C128" s="475"/>
      <c r="D128" s="475"/>
      <c r="E128" s="475"/>
      <c r="F128" s="475"/>
      <c r="G128" s="475"/>
      <c r="H128" s="475"/>
      <c r="I128" s="475"/>
      <c r="J128" s="475"/>
      <c r="K128" s="475"/>
      <c r="L128" s="475"/>
      <c r="M128" s="475"/>
      <c r="N128" s="475"/>
      <c r="O128" s="475"/>
      <c r="P128" s="475"/>
      <c r="Q128" s="475"/>
      <c r="R128" s="475"/>
      <c r="S128" s="475"/>
      <c r="T128" s="475"/>
      <c r="U128" s="475"/>
      <c r="V128" s="475"/>
      <c r="W128" s="475"/>
      <c r="X128" s="475"/>
      <c r="Y128" s="475"/>
    </row>
    <row r="129" ht="13.5" customHeight="1">
      <c r="A129" s="475"/>
      <c r="B129" s="475"/>
      <c r="C129" s="475"/>
      <c r="D129" s="475"/>
      <c r="E129" s="475"/>
      <c r="F129" s="475"/>
      <c r="G129" s="475"/>
      <c r="H129" s="475"/>
      <c r="I129" s="475"/>
      <c r="J129" s="475"/>
      <c r="K129" s="475"/>
      <c r="L129" s="475"/>
      <c r="M129" s="475"/>
      <c r="N129" s="475"/>
      <c r="O129" s="475"/>
      <c r="P129" s="475"/>
      <c r="Q129" s="475"/>
      <c r="R129" s="475"/>
      <c r="S129" s="475"/>
      <c r="T129" s="475"/>
      <c r="U129" s="475"/>
      <c r="V129" s="475"/>
      <c r="W129" s="475"/>
      <c r="X129" s="475"/>
      <c r="Y129" s="475"/>
    </row>
    <row r="130" ht="13.5" customHeight="1">
      <c r="A130" s="475"/>
      <c r="B130" s="475"/>
      <c r="C130" s="475"/>
      <c r="D130" s="475"/>
      <c r="E130" s="475"/>
      <c r="F130" s="475"/>
      <c r="G130" s="475"/>
      <c r="H130" s="475"/>
      <c r="I130" s="475"/>
      <c r="J130" s="475"/>
      <c r="K130" s="475"/>
      <c r="L130" s="475"/>
      <c r="M130" s="475"/>
      <c r="N130" s="475"/>
      <c r="O130" s="475"/>
      <c r="P130" s="475"/>
      <c r="Q130" s="475"/>
      <c r="R130" s="475"/>
      <c r="S130" s="475"/>
      <c r="T130" s="475"/>
      <c r="U130" s="475"/>
      <c r="V130" s="475"/>
      <c r="W130" s="475"/>
      <c r="X130" s="475"/>
      <c r="Y130" s="475"/>
    </row>
    <row r="131" ht="13.5" customHeight="1">
      <c r="A131" s="475"/>
      <c r="B131" s="475"/>
      <c r="C131" s="475"/>
      <c r="D131" s="475"/>
      <c r="E131" s="475"/>
      <c r="F131" s="475"/>
      <c r="G131" s="475"/>
      <c r="H131" s="475"/>
      <c r="I131" s="475"/>
      <c r="J131" s="475"/>
      <c r="K131" s="475"/>
      <c r="L131" s="475"/>
      <c r="M131" s="475"/>
      <c r="N131" s="475"/>
      <c r="O131" s="475"/>
      <c r="P131" s="475"/>
      <c r="Q131" s="475"/>
      <c r="R131" s="475"/>
      <c r="S131" s="475"/>
      <c r="T131" s="475"/>
      <c r="U131" s="475"/>
      <c r="V131" s="475"/>
      <c r="W131" s="475"/>
      <c r="X131" s="475"/>
      <c r="Y131" s="475"/>
    </row>
    <row r="132" ht="13.5" customHeight="1">
      <c r="A132" s="475"/>
      <c r="B132" s="475"/>
      <c r="C132" s="475"/>
      <c r="D132" s="475"/>
      <c r="E132" s="475"/>
      <c r="F132" s="475"/>
      <c r="G132" s="475"/>
      <c r="H132" s="475"/>
      <c r="I132" s="475"/>
      <c r="J132" s="475"/>
      <c r="K132" s="475"/>
      <c r="L132" s="475"/>
      <c r="M132" s="475"/>
      <c r="N132" s="475"/>
      <c r="O132" s="475"/>
      <c r="P132" s="475"/>
      <c r="Q132" s="475"/>
      <c r="R132" s="475"/>
      <c r="S132" s="475"/>
      <c r="T132" s="475"/>
      <c r="U132" s="475"/>
      <c r="V132" s="475"/>
      <c r="W132" s="475"/>
      <c r="X132" s="475"/>
      <c r="Y132" s="475"/>
    </row>
    <row r="133" ht="13.5" customHeight="1">
      <c r="A133" s="475"/>
      <c r="B133" s="475"/>
      <c r="C133" s="475"/>
      <c r="D133" s="475"/>
      <c r="E133" s="475"/>
      <c r="F133" s="475"/>
      <c r="G133" s="475"/>
      <c r="H133" s="475"/>
      <c r="I133" s="475"/>
      <c r="J133" s="475"/>
      <c r="K133" s="475"/>
      <c r="L133" s="475"/>
      <c r="M133" s="475"/>
      <c r="N133" s="475"/>
      <c r="O133" s="475"/>
      <c r="P133" s="475"/>
      <c r="Q133" s="475"/>
      <c r="R133" s="475"/>
      <c r="S133" s="475"/>
      <c r="T133" s="475"/>
      <c r="U133" s="475"/>
      <c r="V133" s="475"/>
      <c r="W133" s="475"/>
      <c r="X133" s="475"/>
      <c r="Y133" s="475"/>
    </row>
    <row r="134" ht="13.5" customHeight="1">
      <c r="A134" s="475"/>
      <c r="B134" s="475"/>
      <c r="C134" s="475"/>
      <c r="D134" s="475"/>
      <c r="E134" s="475"/>
      <c r="F134" s="475"/>
      <c r="G134" s="475"/>
      <c r="H134" s="475"/>
      <c r="I134" s="475"/>
      <c r="J134" s="475"/>
      <c r="K134" s="475"/>
      <c r="L134" s="475"/>
      <c r="M134" s="475"/>
      <c r="N134" s="475"/>
      <c r="O134" s="475"/>
      <c r="P134" s="475"/>
      <c r="Q134" s="475"/>
      <c r="R134" s="475"/>
      <c r="S134" s="475"/>
      <c r="T134" s="475"/>
      <c r="U134" s="475"/>
      <c r="V134" s="475"/>
      <c r="W134" s="475"/>
      <c r="X134" s="475"/>
      <c r="Y134" s="475"/>
    </row>
    <row r="135" ht="13.5" customHeight="1">
      <c r="A135" s="475"/>
      <c r="B135" s="475"/>
      <c r="C135" s="475"/>
      <c r="D135" s="475"/>
      <c r="E135" s="475"/>
      <c r="F135" s="475"/>
      <c r="G135" s="475"/>
      <c r="H135" s="475"/>
      <c r="I135" s="475"/>
      <c r="J135" s="475"/>
      <c r="K135" s="475"/>
      <c r="L135" s="475"/>
      <c r="M135" s="475"/>
      <c r="N135" s="475"/>
      <c r="O135" s="475"/>
      <c r="P135" s="475"/>
      <c r="Q135" s="475"/>
      <c r="R135" s="475"/>
      <c r="S135" s="475"/>
      <c r="T135" s="475"/>
      <c r="U135" s="475"/>
      <c r="V135" s="475"/>
      <c r="W135" s="475"/>
      <c r="X135" s="475"/>
      <c r="Y135" s="475"/>
    </row>
    <row r="136" ht="13.5" customHeight="1">
      <c r="A136" s="475"/>
      <c r="B136" s="475"/>
      <c r="C136" s="475"/>
      <c r="D136" s="475"/>
      <c r="E136" s="475"/>
      <c r="F136" s="475"/>
      <c r="G136" s="475"/>
      <c r="H136" s="475"/>
      <c r="I136" s="475"/>
      <c r="J136" s="475"/>
      <c r="K136" s="475"/>
      <c r="L136" s="475"/>
      <c r="M136" s="475"/>
      <c r="N136" s="475"/>
      <c r="O136" s="475"/>
      <c r="P136" s="475"/>
      <c r="Q136" s="475"/>
      <c r="R136" s="475"/>
      <c r="S136" s="475"/>
      <c r="T136" s="475"/>
      <c r="U136" s="475"/>
      <c r="V136" s="475"/>
      <c r="W136" s="475"/>
      <c r="X136" s="475"/>
      <c r="Y136" s="475"/>
    </row>
    <row r="137" ht="13.5" customHeight="1">
      <c r="A137" s="475"/>
      <c r="B137" s="475"/>
      <c r="C137" s="475"/>
      <c r="D137" s="475"/>
      <c r="E137" s="475"/>
      <c r="F137" s="475"/>
      <c r="G137" s="475"/>
      <c r="H137" s="475"/>
      <c r="I137" s="475"/>
      <c r="J137" s="475"/>
      <c r="K137" s="475"/>
      <c r="L137" s="475"/>
      <c r="M137" s="475"/>
      <c r="N137" s="475"/>
      <c r="O137" s="475"/>
      <c r="P137" s="475"/>
      <c r="Q137" s="475"/>
      <c r="R137" s="475"/>
      <c r="S137" s="475"/>
      <c r="T137" s="475"/>
      <c r="U137" s="475"/>
      <c r="V137" s="475"/>
      <c r="W137" s="475"/>
      <c r="X137" s="475"/>
      <c r="Y137" s="475"/>
    </row>
    <row r="138" ht="13.5" customHeight="1">
      <c r="A138" s="475"/>
      <c r="B138" s="475"/>
      <c r="C138" s="475"/>
      <c r="D138" s="475"/>
      <c r="E138" s="475"/>
      <c r="F138" s="475"/>
      <c r="G138" s="475"/>
      <c r="H138" s="475"/>
      <c r="I138" s="475"/>
      <c r="J138" s="475"/>
      <c r="K138" s="475"/>
      <c r="L138" s="475"/>
      <c r="M138" s="475"/>
      <c r="N138" s="475"/>
      <c r="O138" s="475"/>
      <c r="P138" s="475"/>
      <c r="Q138" s="475"/>
      <c r="R138" s="475"/>
      <c r="S138" s="475"/>
      <c r="T138" s="475"/>
      <c r="U138" s="475"/>
      <c r="V138" s="475"/>
      <c r="W138" s="475"/>
      <c r="X138" s="475"/>
      <c r="Y138" s="475"/>
    </row>
    <row r="139" ht="13.5" customHeight="1">
      <c r="A139" s="475"/>
      <c r="B139" s="475"/>
      <c r="C139" s="475"/>
      <c r="D139" s="475"/>
      <c r="E139" s="475"/>
      <c r="F139" s="475"/>
      <c r="G139" s="475"/>
      <c r="H139" s="475"/>
      <c r="I139" s="475"/>
      <c r="J139" s="475"/>
      <c r="K139" s="475"/>
      <c r="L139" s="475"/>
      <c r="M139" s="475"/>
      <c r="N139" s="475"/>
      <c r="O139" s="475"/>
      <c r="P139" s="475"/>
      <c r="Q139" s="475"/>
      <c r="R139" s="475"/>
      <c r="S139" s="475"/>
      <c r="T139" s="475"/>
      <c r="U139" s="475"/>
      <c r="V139" s="475"/>
      <c r="W139" s="475"/>
      <c r="X139" s="475"/>
      <c r="Y139" s="475"/>
    </row>
    <row r="140" ht="13.5" customHeight="1">
      <c r="A140" s="475"/>
      <c r="B140" s="475"/>
      <c r="C140" s="475"/>
      <c r="D140" s="475"/>
      <c r="E140" s="475"/>
      <c r="F140" s="475"/>
      <c r="G140" s="475"/>
      <c r="H140" s="475"/>
      <c r="I140" s="475"/>
      <c r="J140" s="475"/>
      <c r="K140" s="475"/>
      <c r="L140" s="475"/>
      <c r="M140" s="475"/>
      <c r="N140" s="475"/>
      <c r="O140" s="475"/>
      <c r="P140" s="475"/>
      <c r="Q140" s="475"/>
      <c r="R140" s="475"/>
      <c r="S140" s="475"/>
      <c r="T140" s="475"/>
      <c r="U140" s="475"/>
      <c r="V140" s="475"/>
      <c r="W140" s="475"/>
      <c r="X140" s="475"/>
      <c r="Y140" s="475"/>
    </row>
    <row r="141" ht="13.5" customHeight="1">
      <c r="A141" s="475"/>
      <c r="B141" s="475"/>
      <c r="C141" s="475"/>
      <c r="D141" s="475"/>
      <c r="E141" s="475"/>
      <c r="F141" s="475"/>
      <c r="G141" s="475"/>
      <c r="H141" s="475"/>
      <c r="I141" s="475"/>
      <c r="J141" s="475"/>
      <c r="K141" s="475"/>
      <c r="L141" s="475"/>
      <c r="M141" s="475"/>
      <c r="N141" s="475"/>
      <c r="O141" s="475"/>
      <c r="P141" s="475"/>
      <c r="Q141" s="475"/>
      <c r="R141" s="475"/>
      <c r="S141" s="475"/>
      <c r="T141" s="475"/>
      <c r="U141" s="475"/>
      <c r="V141" s="475"/>
      <c r="W141" s="475"/>
      <c r="X141" s="475"/>
      <c r="Y141" s="475"/>
    </row>
    <row r="142" ht="13.5" customHeight="1">
      <c r="A142" s="475"/>
      <c r="B142" s="475"/>
      <c r="C142" s="475"/>
      <c r="D142" s="475"/>
      <c r="E142" s="475"/>
      <c r="F142" s="475"/>
      <c r="G142" s="475"/>
      <c r="H142" s="475"/>
      <c r="I142" s="475"/>
      <c r="J142" s="475"/>
      <c r="K142" s="475"/>
      <c r="L142" s="475"/>
      <c r="M142" s="475"/>
      <c r="N142" s="475"/>
      <c r="O142" s="475"/>
      <c r="P142" s="475"/>
      <c r="Q142" s="475"/>
      <c r="R142" s="475"/>
      <c r="S142" s="475"/>
      <c r="T142" s="475"/>
      <c r="U142" s="475"/>
      <c r="V142" s="475"/>
      <c r="W142" s="475"/>
      <c r="X142" s="475"/>
      <c r="Y142" s="475"/>
    </row>
    <row r="143" ht="13.5" customHeight="1">
      <c r="A143" s="475"/>
      <c r="B143" s="475"/>
      <c r="C143" s="475"/>
      <c r="D143" s="475"/>
      <c r="E143" s="475"/>
      <c r="F143" s="475"/>
      <c r="G143" s="475"/>
      <c r="H143" s="475"/>
      <c r="I143" s="475"/>
      <c r="J143" s="475"/>
      <c r="K143" s="475"/>
      <c r="L143" s="475"/>
      <c r="M143" s="475"/>
      <c r="N143" s="475"/>
      <c r="O143" s="475"/>
      <c r="P143" s="475"/>
      <c r="Q143" s="475"/>
      <c r="R143" s="475"/>
      <c r="S143" s="475"/>
      <c r="T143" s="475"/>
      <c r="U143" s="475"/>
      <c r="V143" s="475"/>
      <c r="W143" s="475"/>
      <c r="X143" s="475"/>
      <c r="Y143" s="475"/>
    </row>
    <row r="144" ht="13.5" customHeight="1">
      <c r="A144" s="475"/>
      <c r="B144" s="475"/>
      <c r="C144" s="475"/>
      <c r="D144" s="475"/>
      <c r="E144" s="475"/>
      <c r="F144" s="475"/>
      <c r="G144" s="475"/>
      <c r="H144" s="475"/>
      <c r="I144" s="475"/>
      <c r="J144" s="475"/>
      <c r="K144" s="475"/>
      <c r="L144" s="475"/>
      <c r="M144" s="475"/>
      <c r="N144" s="475"/>
      <c r="O144" s="475"/>
      <c r="P144" s="475"/>
      <c r="Q144" s="475"/>
      <c r="R144" s="475"/>
      <c r="S144" s="475"/>
      <c r="T144" s="475"/>
      <c r="U144" s="475"/>
      <c r="V144" s="475"/>
      <c r="W144" s="475"/>
      <c r="X144" s="475"/>
      <c r="Y144" s="475"/>
    </row>
    <row r="145" ht="13.5" customHeight="1">
      <c r="A145" s="475"/>
      <c r="B145" s="475"/>
      <c r="C145" s="475"/>
      <c r="D145" s="475"/>
      <c r="E145" s="475"/>
      <c r="F145" s="475"/>
      <c r="G145" s="475"/>
      <c r="H145" s="475"/>
      <c r="I145" s="475"/>
      <c r="J145" s="475"/>
      <c r="K145" s="475"/>
      <c r="L145" s="475"/>
      <c r="M145" s="475"/>
      <c r="N145" s="475"/>
      <c r="O145" s="475"/>
      <c r="P145" s="475"/>
      <c r="Q145" s="475"/>
      <c r="R145" s="475"/>
      <c r="S145" s="475"/>
      <c r="T145" s="475"/>
      <c r="U145" s="475"/>
      <c r="V145" s="475"/>
      <c r="W145" s="475"/>
      <c r="X145" s="475"/>
      <c r="Y145" s="475"/>
    </row>
    <row r="146" ht="13.5" customHeight="1">
      <c r="A146" s="475"/>
      <c r="B146" s="475"/>
      <c r="C146" s="475"/>
      <c r="D146" s="475"/>
      <c r="E146" s="475"/>
      <c r="F146" s="475"/>
      <c r="G146" s="475"/>
      <c r="H146" s="475"/>
      <c r="I146" s="475"/>
      <c r="J146" s="475"/>
      <c r="K146" s="475"/>
      <c r="L146" s="475"/>
      <c r="M146" s="475"/>
      <c r="N146" s="475"/>
      <c r="O146" s="475"/>
      <c r="P146" s="475"/>
      <c r="Q146" s="475"/>
      <c r="R146" s="475"/>
      <c r="S146" s="475"/>
      <c r="T146" s="475"/>
      <c r="U146" s="475"/>
      <c r="V146" s="475"/>
      <c r="W146" s="475"/>
      <c r="X146" s="475"/>
      <c r="Y146" s="475"/>
    </row>
    <row r="147" ht="13.5" customHeight="1">
      <c r="A147" s="475"/>
      <c r="B147" s="475"/>
      <c r="C147" s="475"/>
      <c r="D147" s="475"/>
      <c r="E147" s="475"/>
      <c r="F147" s="475"/>
      <c r="G147" s="475"/>
      <c r="H147" s="475"/>
      <c r="I147" s="475"/>
      <c r="J147" s="475"/>
      <c r="K147" s="475"/>
      <c r="L147" s="475"/>
      <c r="M147" s="475"/>
      <c r="N147" s="475"/>
      <c r="O147" s="475"/>
      <c r="P147" s="475"/>
      <c r="Q147" s="475"/>
      <c r="R147" s="475"/>
      <c r="S147" s="475"/>
      <c r="T147" s="475"/>
      <c r="U147" s="475"/>
      <c r="V147" s="475"/>
      <c r="W147" s="475"/>
      <c r="X147" s="475"/>
      <c r="Y147" s="475"/>
    </row>
    <row r="148" ht="13.5" customHeight="1">
      <c r="A148" s="475"/>
      <c r="B148" s="475"/>
      <c r="C148" s="475"/>
      <c r="D148" s="475"/>
      <c r="E148" s="475"/>
      <c r="F148" s="475"/>
      <c r="G148" s="475"/>
      <c r="H148" s="475"/>
      <c r="I148" s="475"/>
      <c r="J148" s="475"/>
      <c r="K148" s="475"/>
      <c r="L148" s="475"/>
      <c r="M148" s="475"/>
      <c r="N148" s="475"/>
      <c r="O148" s="475"/>
      <c r="P148" s="475"/>
      <c r="Q148" s="475"/>
      <c r="R148" s="475"/>
      <c r="S148" s="475"/>
      <c r="T148" s="475"/>
      <c r="U148" s="475"/>
      <c r="V148" s="475"/>
      <c r="W148" s="475"/>
      <c r="X148" s="475"/>
      <c r="Y148" s="475"/>
    </row>
    <row r="149" ht="13.5" customHeight="1">
      <c r="A149" s="475"/>
      <c r="B149" s="475"/>
      <c r="C149" s="475"/>
      <c r="D149" s="475"/>
      <c r="E149" s="475"/>
      <c r="F149" s="475"/>
      <c r="G149" s="475"/>
      <c r="H149" s="475"/>
      <c r="I149" s="475"/>
      <c r="J149" s="475"/>
      <c r="K149" s="475"/>
      <c r="L149" s="475"/>
      <c r="M149" s="475"/>
      <c r="N149" s="475"/>
      <c r="O149" s="475"/>
      <c r="P149" s="475"/>
      <c r="Q149" s="475"/>
      <c r="R149" s="475"/>
      <c r="S149" s="475"/>
      <c r="T149" s="475"/>
      <c r="U149" s="475"/>
      <c r="V149" s="475"/>
      <c r="W149" s="475"/>
      <c r="X149" s="475"/>
      <c r="Y149" s="475"/>
    </row>
    <row r="150" ht="13.5" customHeight="1">
      <c r="A150" s="475"/>
      <c r="B150" s="475"/>
      <c r="C150" s="475"/>
      <c r="D150" s="475"/>
      <c r="E150" s="475"/>
      <c r="F150" s="475"/>
      <c r="G150" s="475"/>
      <c r="H150" s="475"/>
      <c r="I150" s="475"/>
      <c r="J150" s="475"/>
      <c r="K150" s="475"/>
      <c r="L150" s="475"/>
      <c r="M150" s="475"/>
      <c r="N150" s="475"/>
      <c r="O150" s="475"/>
      <c r="P150" s="475"/>
      <c r="Q150" s="475"/>
      <c r="R150" s="475"/>
      <c r="S150" s="475"/>
      <c r="T150" s="475"/>
      <c r="U150" s="475"/>
      <c r="V150" s="475"/>
      <c r="W150" s="475"/>
      <c r="X150" s="475"/>
      <c r="Y150" s="475"/>
    </row>
    <row r="151" ht="13.5" customHeight="1">
      <c r="A151" s="475"/>
      <c r="B151" s="475"/>
      <c r="C151" s="475"/>
      <c r="D151" s="475"/>
      <c r="E151" s="475"/>
      <c r="F151" s="475"/>
      <c r="G151" s="475"/>
      <c r="H151" s="475"/>
      <c r="I151" s="475"/>
      <c r="J151" s="475"/>
      <c r="K151" s="475"/>
      <c r="L151" s="475"/>
      <c r="M151" s="475"/>
      <c r="N151" s="475"/>
      <c r="O151" s="475"/>
      <c r="P151" s="475"/>
      <c r="Q151" s="475"/>
      <c r="R151" s="475"/>
      <c r="S151" s="475"/>
      <c r="T151" s="475"/>
      <c r="U151" s="475"/>
      <c r="V151" s="475"/>
      <c r="W151" s="475"/>
      <c r="X151" s="475"/>
      <c r="Y151" s="475"/>
    </row>
    <row r="152" ht="13.5" customHeight="1">
      <c r="A152" s="475"/>
      <c r="B152" s="475"/>
      <c r="C152" s="475"/>
      <c r="D152" s="475"/>
      <c r="E152" s="475"/>
      <c r="F152" s="475"/>
      <c r="G152" s="475"/>
      <c r="H152" s="475"/>
      <c r="I152" s="475"/>
      <c r="J152" s="475"/>
      <c r="K152" s="475"/>
      <c r="L152" s="475"/>
      <c r="M152" s="475"/>
      <c r="N152" s="475"/>
      <c r="O152" s="475"/>
      <c r="P152" s="475"/>
      <c r="Q152" s="475"/>
      <c r="R152" s="475"/>
      <c r="S152" s="475"/>
      <c r="T152" s="475"/>
      <c r="U152" s="475"/>
      <c r="V152" s="475"/>
      <c r="W152" s="475"/>
      <c r="X152" s="475"/>
      <c r="Y152" s="475"/>
    </row>
    <row r="153" ht="13.5" customHeight="1">
      <c r="A153" s="475"/>
      <c r="B153" s="475"/>
      <c r="C153" s="475"/>
      <c r="D153" s="475"/>
      <c r="E153" s="475"/>
      <c r="F153" s="475"/>
      <c r="G153" s="475"/>
      <c r="H153" s="475"/>
      <c r="I153" s="475"/>
      <c r="J153" s="475"/>
      <c r="K153" s="475"/>
      <c r="L153" s="475"/>
      <c r="M153" s="475"/>
      <c r="N153" s="475"/>
      <c r="O153" s="475"/>
      <c r="P153" s="475"/>
      <c r="Q153" s="475"/>
      <c r="R153" s="475"/>
      <c r="S153" s="475"/>
      <c r="T153" s="475"/>
      <c r="U153" s="475"/>
      <c r="V153" s="475"/>
      <c r="W153" s="475"/>
      <c r="X153" s="475"/>
      <c r="Y153" s="475"/>
    </row>
    <row r="154" ht="13.5" customHeight="1">
      <c r="A154" s="475"/>
      <c r="B154" s="475"/>
      <c r="C154" s="475"/>
      <c r="D154" s="475"/>
      <c r="E154" s="475"/>
      <c r="F154" s="475"/>
      <c r="G154" s="475"/>
      <c r="H154" s="475"/>
      <c r="I154" s="475"/>
      <c r="J154" s="475"/>
      <c r="K154" s="475"/>
      <c r="L154" s="475"/>
      <c r="M154" s="475"/>
      <c r="N154" s="475"/>
      <c r="O154" s="475"/>
      <c r="P154" s="475"/>
      <c r="Q154" s="475"/>
      <c r="R154" s="475"/>
      <c r="S154" s="475"/>
      <c r="T154" s="475"/>
      <c r="U154" s="475"/>
      <c r="V154" s="475"/>
      <c r="W154" s="475"/>
      <c r="X154" s="475"/>
      <c r="Y154" s="475"/>
    </row>
    <row r="155" ht="13.5" customHeight="1">
      <c r="A155" s="475"/>
      <c r="B155" s="475"/>
      <c r="C155" s="475"/>
      <c r="D155" s="475"/>
      <c r="E155" s="475"/>
      <c r="F155" s="475"/>
      <c r="G155" s="475"/>
      <c r="H155" s="475"/>
      <c r="I155" s="475"/>
      <c r="J155" s="475"/>
      <c r="K155" s="475"/>
      <c r="L155" s="475"/>
      <c r="M155" s="475"/>
      <c r="N155" s="475"/>
      <c r="O155" s="475"/>
      <c r="P155" s="475"/>
      <c r="Q155" s="475"/>
      <c r="R155" s="475"/>
      <c r="S155" s="475"/>
      <c r="T155" s="475"/>
      <c r="U155" s="475"/>
      <c r="V155" s="475"/>
      <c r="W155" s="475"/>
      <c r="X155" s="475"/>
      <c r="Y155" s="475"/>
    </row>
    <row r="156" ht="13.5" customHeight="1">
      <c r="A156" s="475"/>
      <c r="B156" s="475"/>
      <c r="C156" s="475"/>
      <c r="D156" s="475"/>
      <c r="E156" s="475"/>
      <c r="F156" s="475"/>
      <c r="G156" s="475"/>
      <c r="H156" s="475"/>
      <c r="I156" s="475"/>
      <c r="J156" s="475"/>
      <c r="K156" s="475"/>
      <c r="L156" s="475"/>
      <c r="M156" s="475"/>
      <c r="N156" s="475"/>
      <c r="O156" s="475"/>
      <c r="P156" s="475"/>
      <c r="Q156" s="475"/>
      <c r="R156" s="475"/>
      <c r="S156" s="475"/>
      <c r="T156" s="475"/>
      <c r="U156" s="475"/>
      <c r="V156" s="475"/>
      <c r="W156" s="475"/>
      <c r="X156" s="475"/>
      <c r="Y156" s="475"/>
    </row>
    <row r="157" ht="13.5" customHeight="1">
      <c r="A157" s="475"/>
      <c r="B157" s="475"/>
      <c r="C157" s="475"/>
      <c r="D157" s="475"/>
      <c r="E157" s="475"/>
      <c r="F157" s="475"/>
      <c r="G157" s="475"/>
      <c r="H157" s="475"/>
      <c r="I157" s="475"/>
      <c r="J157" s="475"/>
      <c r="K157" s="475"/>
      <c r="L157" s="475"/>
      <c r="M157" s="475"/>
      <c r="N157" s="475"/>
      <c r="O157" s="475"/>
      <c r="P157" s="475"/>
      <c r="Q157" s="475"/>
      <c r="R157" s="475"/>
      <c r="S157" s="475"/>
      <c r="T157" s="475"/>
      <c r="U157" s="475"/>
      <c r="V157" s="475"/>
      <c r="W157" s="475"/>
      <c r="X157" s="475"/>
      <c r="Y157" s="475"/>
    </row>
    <row r="158" ht="13.5" customHeight="1">
      <c r="A158" s="475"/>
      <c r="B158" s="475"/>
      <c r="C158" s="475"/>
      <c r="D158" s="475"/>
      <c r="E158" s="475"/>
      <c r="F158" s="475"/>
      <c r="G158" s="475"/>
      <c r="H158" s="475"/>
      <c r="I158" s="475"/>
      <c r="J158" s="475"/>
      <c r="K158" s="475"/>
      <c r="L158" s="475"/>
      <c r="M158" s="475"/>
      <c r="N158" s="475"/>
      <c r="O158" s="475"/>
      <c r="P158" s="475"/>
      <c r="Q158" s="475"/>
      <c r="R158" s="475"/>
      <c r="S158" s="475"/>
      <c r="T158" s="475"/>
      <c r="U158" s="475"/>
      <c r="V158" s="475"/>
      <c r="W158" s="475"/>
      <c r="X158" s="475"/>
      <c r="Y158" s="475"/>
    </row>
    <row r="159" ht="13.5" customHeight="1">
      <c r="A159" s="475"/>
      <c r="B159" s="475"/>
      <c r="C159" s="475"/>
      <c r="D159" s="475"/>
      <c r="E159" s="475"/>
      <c r="F159" s="475"/>
      <c r="G159" s="475"/>
      <c r="H159" s="475"/>
      <c r="I159" s="475"/>
      <c r="J159" s="475"/>
      <c r="K159" s="475"/>
      <c r="L159" s="475"/>
      <c r="M159" s="475"/>
      <c r="N159" s="475"/>
      <c r="O159" s="475"/>
      <c r="P159" s="475"/>
      <c r="Q159" s="475"/>
      <c r="R159" s="475"/>
      <c r="S159" s="475"/>
      <c r="T159" s="475"/>
      <c r="U159" s="475"/>
      <c r="V159" s="475"/>
      <c r="W159" s="475"/>
      <c r="X159" s="475"/>
      <c r="Y159" s="475"/>
    </row>
    <row r="160" ht="13.5" customHeight="1">
      <c r="A160" s="475"/>
      <c r="B160" s="475"/>
      <c r="C160" s="475"/>
      <c r="D160" s="475"/>
      <c r="E160" s="475"/>
      <c r="F160" s="475"/>
      <c r="G160" s="475"/>
      <c r="H160" s="475"/>
      <c r="I160" s="475"/>
      <c r="J160" s="475"/>
      <c r="K160" s="475"/>
      <c r="L160" s="475"/>
      <c r="M160" s="475"/>
      <c r="N160" s="475"/>
      <c r="O160" s="475"/>
      <c r="P160" s="475"/>
      <c r="Q160" s="475"/>
      <c r="R160" s="475"/>
      <c r="S160" s="475"/>
      <c r="T160" s="475"/>
      <c r="U160" s="475"/>
      <c r="V160" s="475"/>
      <c r="W160" s="475"/>
      <c r="X160" s="475"/>
      <c r="Y160" s="475"/>
    </row>
    <row r="161" ht="13.5" customHeight="1">
      <c r="A161" s="475"/>
      <c r="B161" s="475"/>
      <c r="C161" s="475"/>
      <c r="D161" s="475"/>
      <c r="E161" s="475"/>
      <c r="F161" s="475"/>
      <c r="G161" s="475"/>
      <c r="H161" s="475"/>
      <c r="I161" s="475"/>
      <c r="J161" s="475"/>
      <c r="K161" s="475"/>
      <c r="L161" s="475"/>
      <c r="M161" s="475"/>
      <c r="N161" s="475"/>
      <c r="O161" s="475"/>
      <c r="P161" s="475"/>
      <c r="Q161" s="475"/>
      <c r="R161" s="475"/>
      <c r="S161" s="475"/>
      <c r="T161" s="475"/>
      <c r="U161" s="475"/>
      <c r="V161" s="475"/>
      <c r="W161" s="475"/>
      <c r="X161" s="475"/>
      <c r="Y161" s="475"/>
    </row>
    <row r="162" ht="13.5" customHeight="1">
      <c r="A162" s="475"/>
      <c r="B162" s="475"/>
      <c r="C162" s="475"/>
      <c r="D162" s="475"/>
      <c r="E162" s="475"/>
      <c r="F162" s="475"/>
      <c r="G162" s="475"/>
      <c r="H162" s="475"/>
      <c r="I162" s="475"/>
      <c r="J162" s="475"/>
      <c r="K162" s="475"/>
      <c r="L162" s="475"/>
      <c r="M162" s="475"/>
      <c r="N162" s="475"/>
      <c r="O162" s="475"/>
      <c r="P162" s="475"/>
      <c r="Q162" s="475"/>
      <c r="R162" s="475"/>
      <c r="S162" s="475"/>
      <c r="T162" s="475"/>
      <c r="U162" s="475"/>
      <c r="V162" s="475"/>
      <c r="W162" s="475"/>
      <c r="X162" s="475"/>
      <c r="Y162" s="475"/>
    </row>
    <row r="163" ht="13.5" customHeight="1">
      <c r="A163" s="475"/>
      <c r="B163" s="475"/>
      <c r="C163" s="475"/>
      <c r="D163" s="475"/>
      <c r="E163" s="475"/>
      <c r="F163" s="475"/>
      <c r="G163" s="475"/>
      <c r="H163" s="475"/>
      <c r="I163" s="475"/>
      <c r="J163" s="475"/>
      <c r="K163" s="475"/>
      <c r="L163" s="475"/>
      <c r="M163" s="475"/>
      <c r="N163" s="475"/>
      <c r="O163" s="475"/>
      <c r="P163" s="475"/>
      <c r="Q163" s="475"/>
      <c r="R163" s="475"/>
      <c r="S163" s="475"/>
      <c r="T163" s="475"/>
      <c r="U163" s="475"/>
      <c r="V163" s="475"/>
      <c r="W163" s="475"/>
      <c r="X163" s="475"/>
      <c r="Y163" s="475"/>
    </row>
    <row r="164" ht="13.5" customHeight="1">
      <c r="A164" s="475"/>
      <c r="B164" s="475"/>
      <c r="C164" s="475"/>
      <c r="D164" s="475"/>
      <c r="E164" s="475"/>
      <c r="F164" s="475"/>
      <c r="G164" s="475"/>
      <c r="H164" s="475"/>
      <c r="I164" s="475"/>
      <c r="J164" s="475"/>
      <c r="K164" s="475"/>
      <c r="L164" s="475"/>
      <c r="M164" s="475"/>
      <c r="N164" s="475"/>
      <c r="O164" s="475"/>
      <c r="P164" s="475"/>
      <c r="Q164" s="475"/>
      <c r="R164" s="475"/>
      <c r="S164" s="475"/>
      <c r="T164" s="475"/>
      <c r="U164" s="475"/>
      <c r="V164" s="475"/>
      <c r="W164" s="475"/>
      <c r="X164" s="475"/>
      <c r="Y164" s="475"/>
    </row>
    <row r="165" ht="13.5" customHeight="1">
      <c r="A165" s="475"/>
      <c r="B165" s="475"/>
      <c r="C165" s="475"/>
      <c r="D165" s="475"/>
      <c r="E165" s="475"/>
      <c r="F165" s="475"/>
      <c r="G165" s="475"/>
      <c r="H165" s="475"/>
      <c r="I165" s="475"/>
      <c r="J165" s="475"/>
      <c r="K165" s="475"/>
      <c r="L165" s="475"/>
      <c r="M165" s="475"/>
      <c r="N165" s="475"/>
      <c r="O165" s="475"/>
      <c r="P165" s="475"/>
      <c r="Q165" s="475"/>
      <c r="R165" s="475"/>
      <c r="S165" s="475"/>
      <c r="T165" s="475"/>
      <c r="U165" s="475"/>
      <c r="V165" s="475"/>
      <c r="W165" s="475"/>
      <c r="X165" s="475"/>
      <c r="Y165" s="475"/>
    </row>
    <row r="166" ht="13.5" customHeight="1">
      <c r="A166" s="475"/>
      <c r="B166" s="475"/>
      <c r="C166" s="475"/>
      <c r="D166" s="475"/>
      <c r="E166" s="475"/>
      <c r="F166" s="475"/>
      <c r="G166" s="475"/>
      <c r="H166" s="475"/>
      <c r="I166" s="475"/>
      <c r="J166" s="475"/>
      <c r="K166" s="475"/>
      <c r="L166" s="475"/>
      <c r="M166" s="475"/>
      <c r="N166" s="475"/>
      <c r="O166" s="475"/>
      <c r="P166" s="475"/>
      <c r="Q166" s="475"/>
      <c r="R166" s="475"/>
      <c r="S166" s="475"/>
      <c r="T166" s="475"/>
      <c r="U166" s="475"/>
      <c r="V166" s="475"/>
      <c r="W166" s="475"/>
      <c r="X166" s="475"/>
      <c r="Y166" s="475"/>
    </row>
    <row r="167" ht="13.5" customHeight="1">
      <c r="A167" s="475"/>
      <c r="B167" s="475"/>
      <c r="C167" s="475"/>
      <c r="D167" s="475"/>
      <c r="E167" s="475"/>
      <c r="F167" s="475"/>
      <c r="G167" s="475"/>
      <c r="H167" s="475"/>
      <c r="I167" s="475"/>
      <c r="J167" s="475"/>
      <c r="K167" s="475"/>
      <c r="L167" s="475"/>
      <c r="M167" s="475"/>
      <c r="N167" s="475"/>
      <c r="O167" s="475"/>
      <c r="P167" s="475"/>
      <c r="Q167" s="475"/>
      <c r="R167" s="475"/>
      <c r="S167" s="475"/>
      <c r="T167" s="475"/>
      <c r="U167" s="475"/>
      <c r="V167" s="475"/>
      <c r="W167" s="475"/>
      <c r="X167" s="475"/>
      <c r="Y167" s="475"/>
    </row>
    <row r="168" ht="13.5" customHeight="1">
      <c r="A168" s="475"/>
      <c r="B168" s="475"/>
      <c r="C168" s="475"/>
      <c r="D168" s="475"/>
      <c r="E168" s="475"/>
      <c r="F168" s="475"/>
      <c r="G168" s="475"/>
      <c r="H168" s="475"/>
      <c r="I168" s="475"/>
      <c r="J168" s="475"/>
      <c r="K168" s="475"/>
      <c r="L168" s="475"/>
      <c r="M168" s="475"/>
      <c r="N168" s="475"/>
      <c r="O168" s="475"/>
      <c r="P168" s="475"/>
      <c r="Q168" s="475"/>
      <c r="R168" s="475"/>
      <c r="S168" s="475"/>
      <c r="T168" s="475"/>
      <c r="U168" s="475"/>
      <c r="V168" s="475"/>
      <c r="W168" s="475"/>
      <c r="X168" s="475"/>
      <c r="Y168" s="475"/>
    </row>
    <row r="169" ht="13.5" customHeight="1">
      <c r="A169" s="475"/>
      <c r="B169" s="475"/>
      <c r="C169" s="475"/>
      <c r="D169" s="475"/>
      <c r="E169" s="475"/>
      <c r="F169" s="475"/>
      <c r="G169" s="475"/>
      <c r="H169" s="475"/>
      <c r="I169" s="475"/>
      <c r="J169" s="475"/>
      <c r="K169" s="475"/>
      <c r="L169" s="475"/>
      <c r="M169" s="475"/>
      <c r="N169" s="475"/>
      <c r="O169" s="475"/>
      <c r="P169" s="475"/>
      <c r="Q169" s="475"/>
      <c r="R169" s="475"/>
      <c r="S169" s="475"/>
      <c r="T169" s="475"/>
      <c r="U169" s="475"/>
      <c r="V169" s="475"/>
      <c r="W169" s="475"/>
      <c r="X169" s="475"/>
      <c r="Y169" s="475"/>
    </row>
    <row r="170" ht="13.5" customHeight="1">
      <c r="A170" s="475"/>
      <c r="B170" s="475"/>
      <c r="C170" s="475"/>
      <c r="D170" s="475"/>
      <c r="E170" s="475"/>
      <c r="F170" s="475"/>
      <c r="G170" s="475"/>
      <c r="H170" s="475"/>
      <c r="I170" s="475"/>
      <c r="J170" s="475"/>
      <c r="K170" s="475"/>
      <c r="L170" s="475"/>
      <c r="M170" s="475"/>
      <c r="N170" s="475"/>
      <c r="O170" s="475"/>
      <c r="P170" s="475"/>
      <c r="Q170" s="475"/>
      <c r="R170" s="475"/>
      <c r="S170" s="475"/>
      <c r="T170" s="475"/>
      <c r="U170" s="475"/>
      <c r="V170" s="475"/>
      <c r="W170" s="475"/>
      <c r="X170" s="475"/>
      <c r="Y170" s="475"/>
    </row>
    <row r="171" ht="13.5" customHeight="1">
      <c r="A171" s="475"/>
      <c r="B171" s="475"/>
      <c r="C171" s="475"/>
      <c r="D171" s="475"/>
      <c r="E171" s="475"/>
      <c r="F171" s="475"/>
      <c r="G171" s="475"/>
      <c r="H171" s="475"/>
      <c r="I171" s="475"/>
      <c r="J171" s="475"/>
      <c r="K171" s="475"/>
      <c r="L171" s="475"/>
      <c r="M171" s="475"/>
      <c r="N171" s="475"/>
      <c r="O171" s="475"/>
      <c r="P171" s="475"/>
      <c r="Q171" s="475"/>
      <c r="R171" s="475"/>
      <c r="S171" s="475"/>
      <c r="T171" s="475"/>
      <c r="U171" s="475"/>
      <c r="V171" s="475"/>
      <c r="W171" s="475"/>
      <c r="X171" s="475"/>
      <c r="Y171" s="475"/>
    </row>
    <row r="172" ht="13.5" customHeight="1">
      <c r="A172" s="475"/>
      <c r="B172" s="475"/>
      <c r="C172" s="475"/>
      <c r="D172" s="475"/>
      <c r="E172" s="475"/>
      <c r="F172" s="475"/>
      <c r="G172" s="475"/>
      <c r="H172" s="475"/>
      <c r="I172" s="475"/>
      <c r="J172" s="475"/>
      <c r="K172" s="475"/>
      <c r="L172" s="475"/>
      <c r="M172" s="475"/>
      <c r="N172" s="475"/>
      <c r="O172" s="475"/>
      <c r="P172" s="475"/>
      <c r="Q172" s="475"/>
      <c r="R172" s="475"/>
      <c r="S172" s="475"/>
      <c r="T172" s="475"/>
      <c r="U172" s="475"/>
      <c r="V172" s="475"/>
      <c r="W172" s="475"/>
      <c r="X172" s="475"/>
      <c r="Y172" s="475"/>
    </row>
    <row r="173" ht="13.5" customHeight="1">
      <c r="A173" s="475"/>
      <c r="B173" s="475"/>
      <c r="C173" s="475"/>
      <c r="D173" s="475"/>
      <c r="E173" s="475"/>
      <c r="F173" s="475"/>
      <c r="G173" s="475"/>
      <c r="H173" s="475"/>
      <c r="I173" s="475"/>
      <c r="J173" s="475"/>
      <c r="K173" s="475"/>
      <c r="L173" s="475"/>
      <c r="M173" s="475"/>
      <c r="N173" s="475"/>
      <c r="O173" s="475"/>
      <c r="P173" s="475"/>
      <c r="Q173" s="475"/>
      <c r="R173" s="475"/>
      <c r="S173" s="475"/>
      <c r="T173" s="475"/>
      <c r="U173" s="475"/>
      <c r="V173" s="475"/>
      <c r="W173" s="475"/>
      <c r="X173" s="475"/>
      <c r="Y173" s="475"/>
    </row>
    <row r="174" ht="13.5" customHeight="1">
      <c r="A174" s="475"/>
      <c r="B174" s="475"/>
      <c r="C174" s="475"/>
      <c r="D174" s="475"/>
      <c r="E174" s="475"/>
      <c r="F174" s="475"/>
      <c r="G174" s="475"/>
      <c r="H174" s="475"/>
      <c r="I174" s="475"/>
      <c r="J174" s="475"/>
      <c r="K174" s="475"/>
      <c r="L174" s="475"/>
      <c r="M174" s="475"/>
      <c r="N174" s="475"/>
      <c r="O174" s="475"/>
      <c r="P174" s="475"/>
      <c r="Q174" s="475"/>
      <c r="R174" s="475"/>
      <c r="S174" s="475"/>
      <c r="T174" s="475"/>
      <c r="U174" s="475"/>
      <c r="V174" s="475"/>
      <c r="W174" s="475"/>
      <c r="X174" s="475"/>
      <c r="Y174" s="475"/>
    </row>
    <row r="175" ht="13.5" customHeight="1">
      <c r="A175" s="475"/>
      <c r="B175" s="475"/>
      <c r="C175" s="475"/>
      <c r="D175" s="475"/>
      <c r="E175" s="475"/>
      <c r="F175" s="475"/>
      <c r="G175" s="475"/>
      <c r="H175" s="475"/>
      <c r="I175" s="475"/>
      <c r="J175" s="475"/>
      <c r="K175" s="475"/>
      <c r="L175" s="475"/>
      <c r="M175" s="475"/>
      <c r="N175" s="475"/>
      <c r="O175" s="475"/>
      <c r="P175" s="475"/>
      <c r="Q175" s="475"/>
      <c r="R175" s="475"/>
      <c r="S175" s="475"/>
      <c r="T175" s="475"/>
      <c r="U175" s="475"/>
      <c r="V175" s="475"/>
      <c r="W175" s="475"/>
      <c r="X175" s="475"/>
      <c r="Y175" s="475"/>
    </row>
    <row r="176" ht="13.5" customHeight="1">
      <c r="A176" s="475"/>
      <c r="B176" s="475"/>
      <c r="C176" s="475"/>
      <c r="D176" s="475"/>
      <c r="E176" s="475"/>
      <c r="F176" s="475"/>
      <c r="G176" s="475"/>
      <c r="H176" s="475"/>
      <c r="I176" s="475"/>
      <c r="J176" s="475"/>
      <c r="K176" s="475"/>
      <c r="L176" s="475"/>
      <c r="M176" s="475"/>
      <c r="N176" s="475"/>
      <c r="O176" s="475"/>
      <c r="P176" s="475"/>
      <c r="Q176" s="475"/>
      <c r="R176" s="475"/>
      <c r="S176" s="475"/>
      <c r="T176" s="475"/>
      <c r="U176" s="475"/>
      <c r="V176" s="475"/>
      <c r="W176" s="475"/>
      <c r="X176" s="475"/>
      <c r="Y176" s="475"/>
    </row>
    <row r="177" ht="13.5" customHeight="1">
      <c r="A177" s="475"/>
      <c r="B177" s="475"/>
      <c r="C177" s="475"/>
      <c r="D177" s="475"/>
      <c r="E177" s="475"/>
      <c r="F177" s="475"/>
      <c r="G177" s="475"/>
      <c r="H177" s="475"/>
      <c r="I177" s="475"/>
      <c r="J177" s="475"/>
      <c r="K177" s="475"/>
      <c r="L177" s="475"/>
      <c r="M177" s="475"/>
      <c r="N177" s="475"/>
      <c r="O177" s="475"/>
      <c r="P177" s="475"/>
      <c r="Q177" s="475"/>
      <c r="R177" s="475"/>
      <c r="S177" s="475"/>
      <c r="T177" s="475"/>
      <c r="U177" s="475"/>
      <c r="V177" s="475"/>
      <c r="W177" s="475"/>
      <c r="X177" s="475"/>
      <c r="Y177" s="475"/>
    </row>
    <row r="178" ht="13.5" customHeight="1">
      <c r="A178" s="475"/>
      <c r="B178" s="475"/>
      <c r="C178" s="475"/>
      <c r="D178" s="475"/>
      <c r="E178" s="475"/>
      <c r="F178" s="475"/>
      <c r="G178" s="475"/>
      <c r="H178" s="475"/>
      <c r="I178" s="475"/>
      <c r="J178" s="475"/>
      <c r="K178" s="475"/>
      <c r="L178" s="475"/>
      <c r="M178" s="475"/>
      <c r="N178" s="475"/>
      <c r="O178" s="475"/>
      <c r="P178" s="475"/>
      <c r="Q178" s="475"/>
      <c r="R178" s="475"/>
      <c r="S178" s="475"/>
      <c r="T178" s="475"/>
      <c r="U178" s="475"/>
      <c r="V178" s="475"/>
      <c r="W178" s="475"/>
      <c r="X178" s="475"/>
      <c r="Y178" s="475"/>
    </row>
    <row r="179" ht="13.5" customHeight="1">
      <c r="A179" s="475"/>
      <c r="B179" s="475"/>
      <c r="C179" s="475"/>
      <c r="D179" s="475"/>
      <c r="E179" s="475"/>
      <c r="F179" s="475"/>
      <c r="G179" s="475"/>
      <c r="H179" s="475"/>
      <c r="I179" s="475"/>
      <c r="J179" s="475"/>
      <c r="K179" s="475"/>
      <c r="L179" s="475"/>
      <c r="M179" s="475"/>
      <c r="N179" s="475"/>
      <c r="O179" s="475"/>
      <c r="P179" s="475"/>
      <c r="Q179" s="475"/>
      <c r="R179" s="475"/>
      <c r="S179" s="475"/>
      <c r="T179" s="475"/>
      <c r="U179" s="475"/>
      <c r="V179" s="475"/>
      <c r="W179" s="475"/>
      <c r="X179" s="475"/>
      <c r="Y179" s="475"/>
    </row>
    <row r="180" ht="13.5" customHeight="1">
      <c r="A180" s="475"/>
      <c r="B180" s="475"/>
      <c r="C180" s="475"/>
      <c r="D180" s="475"/>
      <c r="E180" s="475"/>
      <c r="F180" s="475"/>
      <c r="G180" s="475"/>
      <c r="H180" s="475"/>
      <c r="I180" s="475"/>
      <c r="J180" s="475"/>
      <c r="K180" s="475"/>
      <c r="L180" s="475"/>
      <c r="M180" s="475"/>
      <c r="N180" s="475"/>
      <c r="O180" s="475"/>
      <c r="P180" s="475"/>
      <c r="Q180" s="475"/>
      <c r="R180" s="475"/>
      <c r="S180" s="475"/>
      <c r="T180" s="475"/>
      <c r="U180" s="475"/>
      <c r="V180" s="475"/>
      <c r="W180" s="475"/>
      <c r="X180" s="475"/>
      <c r="Y180" s="475"/>
    </row>
    <row r="181" ht="13.5" customHeight="1">
      <c r="A181" s="475"/>
      <c r="B181" s="475"/>
      <c r="C181" s="475"/>
      <c r="D181" s="475"/>
      <c r="E181" s="475"/>
      <c r="F181" s="475"/>
      <c r="G181" s="475"/>
      <c r="H181" s="475"/>
      <c r="I181" s="475"/>
      <c r="J181" s="475"/>
      <c r="K181" s="475"/>
      <c r="L181" s="475"/>
      <c r="M181" s="475"/>
      <c r="N181" s="475"/>
      <c r="O181" s="475"/>
      <c r="P181" s="475"/>
      <c r="Q181" s="475"/>
      <c r="R181" s="475"/>
      <c r="S181" s="475"/>
      <c r="T181" s="475"/>
      <c r="U181" s="475"/>
      <c r="V181" s="475"/>
      <c r="W181" s="475"/>
      <c r="X181" s="475"/>
      <c r="Y181" s="475"/>
    </row>
    <row r="182" ht="13.5" customHeight="1">
      <c r="A182" s="475"/>
      <c r="B182" s="475"/>
      <c r="C182" s="475"/>
      <c r="D182" s="475"/>
      <c r="E182" s="475"/>
      <c r="F182" s="475"/>
      <c r="G182" s="475"/>
      <c r="H182" s="475"/>
      <c r="I182" s="475"/>
      <c r="J182" s="475"/>
      <c r="K182" s="475"/>
      <c r="L182" s="475"/>
      <c r="M182" s="475"/>
      <c r="N182" s="475"/>
      <c r="O182" s="475"/>
      <c r="P182" s="475"/>
      <c r="Q182" s="475"/>
      <c r="R182" s="475"/>
      <c r="S182" s="475"/>
      <c r="T182" s="475"/>
      <c r="U182" s="475"/>
      <c r="V182" s="475"/>
      <c r="W182" s="475"/>
      <c r="X182" s="475"/>
      <c r="Y182" s="475"/>
    </row>
    <row r="183" ht="13.5" customHeight="1">
      <c r="A183" s="475"/>
      <c r="B183" s="475"/>
      <c r="C183" s="475"/>
      <c r="D183" s="475"/>
      <c r="E183" s="475"/>
      <c r="F183" s="475"/>
      <c r="G183" s="475"/>
      <c r="H183" s="475"/>
      <c r="I183" s="475"/>
      <c r="J183" s="475"/>
      <c r="K183" s="475"/>
      <c r="L183" s="475"/>
      <c r="M183" s="475"/>
      <c r="N183" s="475"/>
      <c r="O183" s="475"/>
      <c r="P183" s="475"/>
      <c r="Q183" s="475"/>
      <c r="R183" s="475"/>
      <c r="S183" s="475"/>
      <c r="T183" s="475"/>
      <c r="U183" s="475"/>
      <c r="V183" s="475"/>
      <c r="W183" s="475"/>
      <c r="X183" s="475"/>
      <c r="Y183" s="475"/>
    </row>
    <row r="184" ht="13.5" customHeight="1">
      <c r="A184" s="475"/>
      <c r="B184" s="475"/>
      <c r="C184" s="475"/>
      <c r="D184" s="475"/>
      <c r="E184" s="475"/>
      <c r="F184" s="475"/>
      <c r="G184" s="475"/>
      <c r="H184" s="475"/>
      <c r="I184" s="475"/>
      <c r="J184" s="475"/>
      <c r="K184" s="475"/>
      <c r="L184" s="475"/>
      <c r="M184" s="475"/>
      <c r="N184" s="475"/>
      <c r="O184" s="475"/>
      <c r="P184" s="475"/>
      <c r="Q184" s="475"/>
      <c r="R184" s="475"/>
      <c r="S184" s="475"/>
      <c r="T184" s="475"/>
      <c r="U184" s="475"/>
      <c r="V184" s="475"/>
      <c r="W184" s="475"/>
      <c r="X184" s="475"/>
      <c r="Y184" s="475"/>
    </row>
    <row r="185" ht="13.5" customHeight="1">
      <c r="A185" s="475"/>
      <c r="B185" s="475"/>
      <c r="C185" s="475"/>
      <c r="D185" s="475"/>
      <c r="E185" s="475"/>
      <c r="F185" s="475"/>
      <c r="G185" s="475"/>
      <c r="H185" s="475"/>
      <c r="I185" s="475"/>
      <c r="J185" s="475"/>
      <c r="K185" s="475"/>
      <c r="L185" s="475"/>
      <c r="M185" s="475"/>
      <c r="N185" s="475"/>
      <c r="O185" s="475"/>
      <c r="P185" s="475"/>
      <c r="Q185" s="475"/>
      <c r="R185" s="475"/>
      <c r="S185" s="475"/>
      <c r="T185" s="475"/>
      <c r="U185" s="475"/>
      <c r="V185" s="475"/>
      <c r="W185" s="475"/>
      <c r="X185" s="475"/>
      <c r="Y185" s="475"/>
    </row>
    <row r="186" ht="13.5" customHeight="1">
      <c r="A186" s="475"/>
      <c r="B186" s="475"/>
      <c r="C186" s="475"/>
      <c r="D186" s="475"/>
      <c r="E186" s="475"/>
      <c r="F186" s="475"/>
      <c r="G186" s="475"/>
      <c r="H186" s="475"/>
      <c r="I186" s="475"/>
      <c r="J186" s="475"/>
      <c r="K186" s="475"/>
      <c r="L186" s="475"/>
      <c r="M186" s="475"/>
      <c r="N186" s="475"/>
      <c r="O186" s="475"/>
      <c r="P186" s="475"/>
      <c r="Q186" s="475"/>
      <c r="R186" s="475"/>
      <c r="S186" s="475"/>
      <c r="T186" s="475"/>
      <c r="U186" s="475"/>
      <c r="V186" s="475"/>
      <c r="W186" s="475"/>
      <c r="X186" s="475"/>
      <c r="Y186" s="475"/>
    </row>
    <row r="187" ht="13.5" customHeight="1">
      <c r="A187" s="475"/>
      <c r="B187" s="475"/>
      <c r="C187" s="475"/>
      <c r="D187" s="475"/>
      <c r="E187" s="475"/>
      <c r="F187" s="475"/>
      <c r="G187" s="475"/>
      <c r="H187" s="475"/>
      <c r="I187" s="475"/>
      <c r="J187" s="475"/>
      <c r="K187" s="475"/>
      <c r="L187" s="475"/>
      <c r="M187" s="475"/>
      <c r="N187" s="475"/>
      <c r="O187" s="475"/>
      <c r="P187" s="475"/>
      <c r="Q187" s="475"/>
      <c r="R187" s="475"/>
      <c r="S187" s="475"/>
      <c r="T187" s="475"/>
      <c r="U187" s="475"/>
      <c r="V187" s="475"/>
      <c r="W187" s="475"/>
      <c r="X187" s="475"/>
      <c r="Y187" s="475"/>
    </row>
    <row r="188" ht="13.5" customHeight="1">
      <c r="A188" s="475"/>
      <c r="B188" s="475"/>
      <c r="C188" s="475"/>
      <c r="D188" s="475"/>
      <c r="E188" s="475"/>
      <c r="F188" s="475"/>
      <c r="G188" s="475"/>
      <c r="H188" s="475"/>
      <c r="I188" s="475"/>
      <c r="J188" s="475"/>
      <c r="K188" s="475"/>
      <c r="L188" s="475"/>
      <c r="M188" s="475"/>
      <c r="N188" s="475"/>
      <c r="O188" s="475"/>
      <c r="P188" s="475"/>
      <c r="Q188" s="475"/>
      <c r="R188" s="475"/>
      <c r="S188" s="475"/>
      <c r="T188" s="475"/>
      <c r="U188" s="475"/>
      <c r="V188" s="475"/>
      <c r="W188" s="475"/>
      <c r="X188" s="475"/>
      <c r="Y188" s="475"/>
    </row>
    <row r="189" ht="13.5" customHeight="1">
      <c r="A189" s="475"/>
      <c r="B189" s="475"/>
      <c r="C189" s="475"/>
      <c r="D189" s="475"/>
      <c r="E189" s="475"/>
      <c r="F189" s="475"/>
      <c r="G189" s="475"/>
      <c r="H189" s="475"/>
      <c r="I189" s="475"/>
      <c r="J189" s="475"/>
      <c r="K189" s="475"/>
      <c r="L189" s="475"/>
      <c r="M189" s="475"/>
      <c r="N189" s="475"/>
      <c r="O189" s="475"/>
      <c r="P189" s="475"/>
      <c r="Q189" s="475"/>
      <c r="R189" s="475"/>
      <c r="S189" s="475"/>
      <c r="T189" s="475"/>
      <c r="U189" s="475"/>
      <c r="V189" s="475"/>
      <c r="W189" s="475"/>
      <c r="X189" s="475"/>
      <c r="Y189" s="475"/>
    </row>
    <row r="190" ht="13.5" customHeight="1">
      <c r="A190" s="475"/>
      <c r="B190" s="475"/>
      <c r="C190" s="475"/>
      <c r="D190" s="475"/>
      <c r="E190" s="475"/>
      <c r="F190" s="475"/>
      <c r="G190" s="475"/>
      <c r="H190" s="475"/>
      <c r="I190" s="475"/>
      <c r="J190" s="475"/>
      <c r="K190" s="475"/>
      <c r="L190" s="475"/>
      <c r="M190" s="475"/>
      <c r="N190" s="475"/>
      <c r="O190" s="475"/>
      <c r="P190" s="475"/>
      <c r="Q190" s="475"/>
      <c r="R190" s="475"/>
      <c r="S190" s="475"/>
      <c r="T190" s="475"/>
      <c r="U190" s="475"/>
      <c r="V190" s="475"/>
      <c r="W190" s="475"/>
      <c r="X190" s="475"/>
      <c r="Y190" s="475"/>
    </row>
    <row r="191" ht="13.5" customHeight="1">
      <c r="A191" s="475"/>
      <c r="B191" s="475"/>
      <c r="C191" s="475"/>
      <c r="D191" s="475"/>
      <c r="E191" s="475"/>
      <c r="F191" s="475"/>
      <c r="G191" s="475"/>
      <c r="H191" s="475"/>
      <c r="I191" s="475"/>
      <c r="J191" s="475"/>
      <c r="K191" s="475"/>
      <c r="L191" s="475"/>
      <c r="M191" s="475"/>
      <c r="N191" s="475"/>
      <c r="O191" s="475"/>
      <c r="P191" s="475"/>
      <c r="Q191" s="475"/>
      <c r="R191" s="475"/>
      <c r="S191" s="475"/>
      <c r="T191" s="475"/>
      <c r="U191" s="475"/>
      <c r="V191" s="475"/>
      <c r="W191" s="475"/>
      <c r="X191" s="475"/>
      <c r="Y191" s="475"/>
    </row>
    <row r="192" ht="13.5" customHeight="1">
      <c r="A192" s="475"/>
      <c r="B192" s="475"/>
      <c r="C192" s="475"/>
      <c r="D192" s="475"/>
      <c r="E192" s="475"/>
      <c r="F192" s="475"/>
      <c r="G192" s="475"/>
      <c r="H192" s="475"/>
      <c r="I192" s="475"/>
      <c r="J192" s="475"/>
      <c r="K192" s="475"/>
      <c r="L192" s="475"/>
      <c r="M192" s="475"/>
      <c r="N192" s="475"/>
      <c r="O192" s="475"/>
      <c r="P192" s="475"/>
      <c r="Q192" s="475"/>
      <c r="R192" s="475"/>
      <c r="S192" s="475"/>
      <c r="T192" s="475"/>
      <c r="U192" s="475"/>
      <c r="V192" s="475"/>
      <c r="W192" s="475"/>
      <c r="X192" s="475"/>
      <c r="Y192" s="475"/>
    </row>
    <row r="193" ht="13.5" customHeight="1">
      <c r="A193" s="475"/>
      <c r="B193" s="475"/>
      <c r="C193" s="475"/>
      <c r="D193" s="475"/>
      <c r="E193" s="475"/>
      <c r="F193" s="475"/>
      <c r="G193" s="475"/>
      <c r="H193" s="475"/>
      <c r="I193" s="475"/>
      <c r="J193" s="475"/>
      <c r="K193" s="475"/>
      <c r="L193" s="475"/>
      <c r="M193" s="475"/>
      <c r="N193" s="475"/>
      <c r="O193" s="475"/>
      <c r="P193" s="475"/>
      <c r="Q193" s="475"/>
      <c r="R193" s="475"/>
      <c r="S193" s="475"/>
      <c r="T193" s="475"/>
      <c r="U193" s="475"/>
      <c r="V193" s="475"/>
      <c r="W193" s="475"/>
      <c r="X193" s="475"/>
      <c r="Y193" s="475"/>
    </row>
    <row r="194" ht="13.5" customHeight="1">
      <c r="A194" s="475"/>
      <c r="B194" s="475"/>
      <c r="C194" s="475"/>
      <c r="D194" s="475"/>
      <c r="E194" s="475"/>
      <c r="F194" s="475"/>
      <c r="G194" s="475"/>
      <c r="H194" s="475"/>
      <c r="I194" s="475"/>
      <c r="J194" s="475"/>
      <c r="K194" s="475"/>
      <c r="L194" s="475"/>
      <c r="M194" s="475"/>
      <c r="N194" s="475"/>
      <c r="O194" s="475"/>
      <c r="P194" s="475"/>
      <c r="Q194" s="475"/>
      <c r="R194" s="475"/>
      <c r="S194" s="475"/>
      <c r="T194" s="475"/>
      <c r="U194" s="475"/>
      <c r="V194" s="475"/>
      <c r="W194" s="475"/>
      <c r="X194" s="475"/>
      <c r="Y194" s="475"/>
    </row>
    <row r="195" ht="13.5" customHeight="1">
      <c r="A195" s="475"/>
      <c r="B195" s="475"/>
      <c r="C195" s="475"/>
      <c r="D195" s="475"/>
      <c r="E195" s="475"/>
      <c r="F195" s="475"/>
      <c r="G195" s="475"/>
      <c r="H195" s="475"/>
      <c r="I195" s="475"/>
      <c r="J195" s="475"/>
      <c r="K195" s="475"/>
      <c r="L195" s="475"/>
      <c r="M195" s="475"/>
      <c r="N195" s="475"/>
      <c r="O195" s="475"/>
      <c r="P195" s="475"/>
      <c r="Q195" s="475"/>
      <c r="R195" s="475"/>
      <c r="S195" s="475"/>
      <c r="T195" s="475"/>
      <c r="U195" s="475"/>
      <c r="V195" s="475"/>
      <c r="W195" s="475"/>
      <c r="X195" s="475"/>
      <c r="Y195" s="475"/>
    </row>
    <row r="196" ht="13.5" customHeight="1">
      <c r="A196" s="475"/>
      <c r="B196" s="475"/>
      <c r="C196" s="475"/>
      <c r="D196" s="475"/>
      <c r="E196" s="475"/>
      <c r="F196" s="475"/>
      <c r="G196" s="475"/>
      <c r="H196" s="475"/>
      <c r="I196" s="475"/>
      <c r="J196" s="475"/>
      <c r="K196" s="475"/>
      <c r="L196" s="475"/>
      <c r="M196" s="475"/>
      <c r="N196" s="475"/>
      <c r="O196" s="475"/>
      <c r="P196" s="475"/>
      <c r="Q196" s="475"/>
      <c r="R196" s="475"/>
      <c r="S196" s="475"/>
      <c r="T196" s="475"/>
      <c r="U196" s="475"/>
      <c r="V196" s="475"/>
      <c r="W196" s="475"/>
      <c r="X196" s="475"/>
      <c r="Y196" s="475"/>
    </row>
    <row r="197" ht="13.5" customHeight="1">
      <c r="A197" s="475"/>
      <c r="B197" s="475"/>
      <c r="C197" s="475"/>
      <c r="D197" s="475"/>
      <c r="E197" s="475"/>
      <c r="F197" s="475"/>
      <c r="G197" s="475"/>
      <c r="H197" s="475"/>
      <c r="I197" s="475"/>
      <c r="J197" s="475"/>
      <c r="K197" s="475"/>
      <c r="L197" s="475"/>
      <c r="M197" s="475"/>
      <c r="N197" s="475"/>
      <c r="O197" s="475"/>
      <c r="P197" s="475"/>
      <c r="Q197" s="475"/>
      <c r="R197" s="475"/>
      <c r="S197" s="475"/>
      <c r="T197" s="475"/>
      <c r="U197" s="475"/>
      <c r="V197" s="475"/>
      <c r="W197" s="475"/>
      <c r="X197" s="475"/>
      <c r="Y197" s="475"/>
    </row>
    <row r="198" ht="13.5" customHeight="1">
      <c r="A198" s="475"/>
      <c r="B198" s="475"/>
      <c r="C198" s="475"/>
      <c r="D198" s="475"/>
      <c r="E198" s="475"/>
      <c r="F198" s="475"/>
      <c r="G198" s="475"/>
      <c r="H198" s="475"/>
      <c r="I198" s="475"/>
      <c r="J198" s="475"/>
      <c r="K198" s="475"/>
      <c r="L198" s="475"/>
      <c r="M198" s="475"/>
      <c r="N198" s="475"/>
      <c r="O198" s="475"/>
      <c r="P198" s="475"/>
      <c r="Q198" s="475"/>
      <c r="R198" s="475"/>
      <c r="S198" s="475"/>
      <c r="T198" s="475"/>
      <c r="U198" s="475"/>
      <c r="V198" s="475"/>
      <c r="W198" s="475"/>
      <c r="X198" s="475"/>
      <c r="Y198" s="475"/>
    </row>
    <row r="199" ht="13.5" customHeight="1">
      <c r="A199" s="475"/>
      <c r="B199" s="475"/>
      <c r="C199" s="475"/>
      <c r="D199" s="475"/>
      <c r="E199" s="475"/>
      <c r="F199" s="475"/>
      <c r="G199" s="475"/>
      <c r="H199" s="475"/>
      <c r="I199" s="475"/>
      <c r="J199" s="475"/>
      <c r="K199" s="475"/>
      <c r="L199" s="475"/>
      <c r="M199" s="475"/>
      <c r="N199" s="475"/>
      <c r="O199" s="475"/>
      <c r="P199" s="475"/>
      <c r="Q199" s="475"/>
      <c r="R199" s="475"/>
      <c r="S199" s="475"/>
      <c r="T199" s="475"/>
      <c r="U199" s="475"/>
      <c r="V199" s="475"/>
      <c r="W199" s="475"/>
      <c r="X199" s="475"/>
      <c r="Y199" s="475"/>
    </row>
    <row r="200" ht="13.5" customHeight="1">
      <c r="A200" s="475"/>
      <c r="B200" s="475"/>
      <c r="C200" s="475"/>
      <c r="D200" s="475"/>
      <c r="E200" s="475"/>
      <c r="F200" s="475"/>
      <c r="G200" s="475"/>
      <c r="H200" s="475"/>
      <c r="I200" s="475"/>
      <c r="J200" s="475"/>
      <c r="K200" s="475"/>
      <c r="L200" s="475"/>
      <c r="M200" s="475"/>
      <c r="N200" s="475"/>
      <c r="O200" s="475"/>
      <c r="P200" s="475"/>
      <c r="Q200" s="475"/>
      <c r="R200" s="475"/>
      <c r="S200" s="475"/>
      <c r="T200" s="475"/>
      <c r="U200" s="475"/>
      <c r="V200" s="475"/>
      <c r="W200" s="475"/>
      <c r="X200" s="475"/>
      <c r="Y200" s="475"/>
    </row>
    <row r="201" ht="13.5" customHeight="1">
      <c r="A201" s="475"/>
      <c r="B201" s="475"/>
      <c r="C201" s="475"/>
      <c r="D201" s="475"/>
      <c r="E201" s="475"/>
      <c r="F201" s="475"/>
      <c r="G201" s="475"/>
      <c r="H201" s="475"/>
      <c r="I201" s="475"/>
      <c r="J201" s="475"/>
      <c r="K201" s="475"/>
      <c r="L201" s="475"/>
      <c r="M201" s="475"/>
      <c r="N201" s="475"/>
      <c r="O201" s="475"/>
      <c r="P201" s="475"/>
      <c r="Q201" s="475"/>
      <c r="R201" s="475"/>
      <c r="S201" s="475"/>
      <c r="T201" s="475"/>
      <c r="U201" s="475"/>
      <c r="V201" s="475"/>
      <c r="W201" s="475"/>
      <c r="X201" s="475"/>
      <c r="Y201" s="475"/>
    </row>
    <row r="202" ht="13.5" customHeight="1">
      <c r="A202" s="475"/>
      <c r="B202" s="475"/>
      <c r="C202" s="475"/>
      <c r="D202" s="475"/>
      <c r="E202" s="475"/>
      <c r="F202" s="475"/>
      <c r="G202" s="475"/>
      <c r="H202" s="475"/>
      <c r="I202" s="475"/>
      <c r="J202" s="475"/>
      <c r="K202" s="475"/>
      <c r="L202" s="475"/>
      <c r="M202" s="475"/>
      <c r="N202" s="475"/>
      <c r="O202" s="475"/>
      <c r="P202" s="475"/>
      <c r="Q202" s="475"/>
      <c r="R202" s="475"/>
      <c r="S202" s="475"/>
      <c r="T202" s="475"/>
      <c r="U202" s="475"/>
      <c r="V202" s="475"/>
      <c r="W202" s="475"/>
      <c r="X202" s="475"/>
      <c r="Y202" s="475"/>
    </row>
    <row r="203" ht="13.5" customHeight="1">
      <c r="A203" s="475"/>
      <c r="B203" s="475"/>
      <c r="C203" s="475"/>
      <c r="D203" s="475"/>
      <c r="E203" s="475"/>
      <c r="F203" s="475"/>
      <c r="G203" s="475"/>
      <c r="H203" s="475"/>
      <c r="I203" s="475"/>
      <c r="J203" s="475"/>
      <c r="K203" s="475"/>
      <c r="L203" s="475"/>
      <c r="M203" s="475"/>
      <c r="N203" s="475"/>
      <c r="O203" s="475"/>
      <c r="P203" s="475"/>
      <c r="Q203" s="475"/>
      <c r="R203" s="475"/>
      <c r="S203" s="475"/>
      <c r="T203" s="475"/>
      <c r="U203" s="475"/>
      <c r="V203" s="475"/>
      <c r="W203" s="475"/>
      <c r="X203" s="475"/>
      <c r="Y203" s="475"/>
    </row>
    <row r="204" ht="13.5" customHeight="1">
      <c r="A204" s="475"/>
      <c r="B204" s="475"/>
      <c r="C204" s="475"/>
      <c r="D204" s="475"/>
      <c r="E204" s="475"/>
      <c r="F204" s="475"/>
      <c r="G204" s="475"/>
      <c r="H204" s="475"/>
      <c r="I204" s="475"/>
      <c r="J204" s="475"/>
      <c r="K204" s="475"/>
      <c r="L204" s="475"/>
      <c r="M204" s="475"/>
      <c r="N204" s="475"/>
      <c r="O204" s="475"/>
      <c r="P204" s="475"/>
      <c r="Q204" s="475"/>
      <c r="R204" s="475"/>
      <c r="S204" s="475"/>
      <c r="T204" s="475"/>
      <c r="U204" s="475"/>
      <c r="V204" s="475"/>
      <c r="W204" s="475"/>
      <c r="X204" s="475"/>
      <c r="Y204" s="475"/>
    </row>
    <row r="205" ht="13.5" customHeight="1">
      <c r="A205" s="475"/>
      <c r="B205" s="475"/>
      <c r="C205" s="475"/>
      <c r="D205" s="475"/>
      <c r="E205" s="475"/>
      <c r="F205" s="475"/>
      <c r="G205" s="475"/>
      <c r="H205" s="475"/>
      <c r="I205" s="475"/>
      <c r="J205" s="475"/>
      <c r="K205" s="475"/>
      <c r="L205" s="475"/>
      <c r="M205" s="475"/>
      <c r="N205" s="475"/>
      <c r="O205" s="475"/>
      <c r="P205" s="475"/>
      <c r="Q205" s="475"/>
      <c r="R205" s="475"/>
      <c r="S205" s="475"/>
      <c r="T205" s="475"/>
      <c r="U205" s="475"/>
      <c r="V205" s="475"/>
      <c r="W205" s="475"/>
      <c r="X205" s="475"/>
      <c r="Y205" s="475"/>
    </row>
    <row r="206" ht="13.5" customHeight="1">
      <c r="A206" s="475"/>
      <c r="B206" s="475"/>
      <c r="C206" s="475"/>
      <c r="D206" s="475"/>
      <c r="E206" s="475"/>
      <c r="F206" s="475"/>
      <c r="G206" s="475"/>
      <c r="H206" s="475"/>
      <c r="I206" s="475"/>
      <c r="J206" s="475"/>
      <c r="K206" s="475"/>
      <c r="L206" s="475"/>
      <c r="M206" s="475"/>
      <c r="N206" s="475"/>
      <c r="O206" s="475"/>
      <c r="P206" s="475"/>
      <c r="Q206" s="475"/>
      <c r="R206" s="475"/>
      <c r="S206" s="475"/>
      <c r="T206" s="475"/>
      <c r="U206" s="475"/>
      <c r="V206" s="475"/>
      <c r="W206" s="475"/>
      <c r="X206" s="475"/>
      <c r="Y206" s="475"/>
    </row>
    <row r="207" ht="13.5" customHeight="1">
      <c r="A207" s="475"/>
      <c r="B207" s="475"/>
      <c r="C207" s="475"/>
      <c r="D207" s="475"/>
      <c r="E207" s="475"/>
      <c r="F207" s="475"/>
      <c r="G207" s="475"/>
      <c r="H207" s="475"/>
      <c r="I207" s="475"/>
      <c r="J207" s="475"/>
      <c r="K207" s="475"/>
      <c r="L207" s="475"/>
      <c r="M207" s="475"/>
      <c r="N207" s="475"/>
      <c r="O207" s="475"/>
      <c r="P207" s="475"/>
      <c r="Q207" s="475"/>
      <c r="R207" s="475"/>
      <c r="S207" s="475"/>
      <c r="T207" s="475"/>
      <c r="U207" s="475"/>
      <c r="V207" s="475"/>
      <c r="W207" s="475"/>
      <c r="X207" s="475"/>
      <c r="Y207" s="475"/>
    </row>
    <row r="208" ht="13.5" customHeight="1">
      <c r="A208" s="475"/>
      <c r="B208" s="475"/>
      <c r="C208" s="475"/>
      <c r="D208" s="475"/>
      <c r="E208" s="475"/>
      <c r="F208" s="475"/>
      <c r="G208" s="475"/>
      <c r="H208" s="475"/>
      <c r="I208" s="475"/>
      <c r="J208" s="475"/>
      <c r="K208" s="475"/>
      <c r="L208" s="475"/>
      <c r="M208" s="475"/>
      <c r="N208" s="475"/>
      <c r="O208" s="475"/>
      <c r="P208" s="475"/>
      <c r="Q208" s="475"/>
      <c r="R208" s="475"/>
      <c r="S208" s="475"/>
      <c r="T208" s="475"/>
      <c r="U208" s="475"/>
      <c r="V208" s="475"/>
      <c r="W208" s="475"/>
      <c r="X208" s="475"/>
      <c r="Y208" s="475"/>
    </row>
    <row r="209" ht="13.5" customHeight="1">
      <c r="A209" s="475"/>
      <c r="B209" s="475"/>
      <c r="C209" s="475"/>
      <c r="D209" s="475"/>
      <c r="E209" s="475"/>
      <c r="F209" s="475"/>
      <c r="G209" s="475"/>
      <c r="H209" s="475"/>
      <c r="I209" s="475"/>
      <c r="J209" s="475"/>
      <c r="K209" s="475"/>
      <c r="L209" s="475"/>
      <c r="M209" s="475"/>
      <c r="N209" s="475"/>
      <c r="O209" s="475"/>
      <c r="P209" s="475"/>
      <c r="Q209" s="475"/>
      <c r="R209" s="475"/>
      <c r="S209" s="475"/>
      <c r="T209" s="475"/>
      <c r="U209" s="475"/>
      <c r="V209" s="475"/>
      <c r="W209" s="475"/>
      <c r="X209" s="475"/>
      <c r="Y209" s="475"/>
    </row>
    <row r="210" ht="13.5" customHeight="1">
      <c r="A210" s="475"/>
      <c r="B210" s="475"/>
      <c r="C210" s="475"/>
      <c r="D210" s="475"/>
      <c r="E210" s="475"/>
      <c r="F210" s="475"/>
      <c r="G210" s="475"/>
      <c r="H210" s="475"/>
      <c r="I210" s="475"/>
      <c r="J210" s="475"/>
      <c r="K210" s="475"/>
      <c r="L210" s="475"/>
      <c r="M210" s="475"/>
      <c r="N210" s="475"/>
      <c r="O210" s="475"/>
      <c r="P210" s="475"/>
      <c r="Q210" s="475"/>
      <c r="R210" s="475"/>
      <c r="S210" s="475"/>
      <c r="T210" s="475"/>
      <c r="U210" s="475"/>
      <c r="V210" s="475"/>
      <c r="W210" s="475"/>
      <c r="X210" s="475"/>
      <c r="Y210" s="475"/>
    </row>
    <row r="211" ht="13.5" customHeight="1">
      <c r="A211" s="475"/>
      <c r="B211" s="475"/>
      <c r="C211" s="475"/>
      <c r="D211" s="475"/>
      <c r="E211" s="475"/>
      <c r="F211" s="475"/>
      <c r="G211" s="475"/>
      <c r="H211" s="475"/>
      <c r="I211" s="475"/>
      <c r="J211" s="475"/>
      <c r="K211" s="475"/>
      <c r="L211" s="475"/>
      <c r="M211" s="475"/>
      <c r="N211" s="475"/>
      <c r="O211" s="475"/>
      <c r="P211" s="475"/>
      <c r="Q211" s="475"/>
      <c r="R211" s="475"/>
      <c r="S211" s="475"/>
      <c r="T211" s="475"/>
      <c r="U211" s="475"/>
      <c r="V211" s="475"/>
      <c r="W211" s="475"/>
      <c r="X211" s="475"/>
      <c r="Y211" s="475"/>
    </row>
    <row r="212" ht="13.5" customHeight="1">
      <c r="A212" s="475"/>
      <c r="B212" s="475"/>
      <c r="C212" s="475"/>
      <c r="D212" s="475"/>
      <c r="E212" s="475"/>
      <c r="F212" s="475"/>
      <c r="G212" s="475"/>
      <c r="H212" s="475"/>
      <c r="I212" s="475"/>
      <c r="J212" s="475"/>
      <c r="K212" s="475"/>
      <c r="L212" s="475"/>
      <c r="M212" s="475"/>
      <c r="N212" s="475"/>
      <c r="O212" s="475"/>
      <c r="P212" s="475"/>
      <c r="Q212" s="475"/>
      <c r="R212" s="475"/>
      <c r="S212" s="475"/>
      <c r="T212" s="475"/>
      <c r="U212" s="475"/>
      <c r="V212" s="475"/>
      <c r="W212" s="475"/>
      <c r="X212" s="475"/>
      <c r="Y212" s="475"/>
    </row>
    <row r="213" ht="13.5" customHeight="1">
      <c r="A213" s="475"/>
      <c r="B213" s="475"/>
      <c r="C213" s="475"/>
      <c r="D213" s="475"/>
      <c r="E213" s="475"/>
      <c r="F213" s="475"/>
      <c r="G213" s="475"/>
      <c r="H213" s="475"/>
      <c r="I213" s="475"/>
      <c r="J213" s="475"/>
      <c r="K213" s="475"/>
      <c r="L213" s="475"/>
      <c r="M213" s="475"/>
      <c r="N213" s="475"/>
      <c r="O213" s="475"/>
      <c r="P213" s="475"/>
      <c r="Q213" s="475"/>
      <c r="R213" s="475"/>
      <c r="S213" s="475"/>
      <c r="T213" s="475"/>
      <c r="U213" s="475"/>
      <c r="V213" s="475"/>
      <c r="W213" s="475"/>
      <c r="X213" s="475"/>
      <c r="Y213" s="475"/>
    </row>
    <row r="214" ht="13.5" customHeight="1">
      <c r="A214" s="475"/>
      <c r="B214" s="475"/>
      <c r="C214" s="475"/>
      <c r="D214" s="475"/>
      <c r="E214" s="475"/>
      <c r="F214" s="475"/>
      <c r="G214" s="475"/>
      <c r="H214" s="475"/>
      <c r="I214" s="475"/>
      <c r="J214" s="475"/>
      <c r="K214" s="475"/>
      <c r="L214" s="475"/>
      <c r="M214" s="475"/>
      <c r="N214" s="475"/>
      <c r="O214" s="475"/>
      <c r="P214" s="475"/>
      <c r="Q214" s="475"/>
      <c r="R214" s="475"/>
      <c r="S214" s="475"/>
      <c r="T214" s="475"/>
      <c r="U214" s="475"/>
      <c r="V214" s="475"/>
      <c r="W214" s="475"/>
      <c r="X214" s="475"/>
      <c r="Y214" s="475"/>
    </row>
    <row r="215" ht="13.5" customHeight="1">
      <c r="A215" s="475"/>
      <c r="B215" s="475"/>
      <c r="C215" s="475"/>
      <c r="D215" s="475"/>
      <c r="E215" s="475"/>
      <c r="F215" s="475"/>
      <c r="G215" s="475"/>
      <c r="H215" s="475"/>
      <c r="I215" s="475"/>
      <c r="J215" s="475"/>
      <c r="K215" s="475"/>
      <c r="L215" s="475"/>
      <c r="M215" s="475"/>
      <c r="N215" s="475"/>
      <c r="O215" s="475"/>
      <c r="P215" s="475"/>
      <c r="Q215" s="475"/>
      <c r="R215" s="475"/>
      <c r="S215" s="475"/>
      <c r="T215" s="475"/>
      <c r="U215" s="475"/>
      <c r="V215" s="475"/>
      <c r="W215" s="475"/>
      <c r="X215" s="475"/>
      <c r="Y215" s="475"/>
    </row>
    <row r="216" ht="13.5" customHeight="1">
      <c r="A216" s="475"/>
      <c r="B216" s="475"/>
      <c r="C216" s="475"/>
      <c r="D216" s="475"/>
      <c r="E216" s="475"/>
      <c r="F216" s="475"/>
      <c r="G216" s="475"/>
      <c r="H216" s="475"/>
      <c r="I216" s="475"/>
      <c r="J216" s="475"/>
      <c r="K216" s="475"/>
      <c r="L216" s="475"/>
      <c r="M216" s="475"/>
      <c r="N216" s="475"/>
      <c r="O216" s="475"/>
      <c r="P216" s="475"/>
      <c r="Q216" s="475"/>
      <c r="R216" s="475"/>
      <c r="S216" s="475"/>
      <c r="T216" s="475"/>
      <c r="U216" s="475"/>
      <c r="V216" s="475"/>
      <c r="W216" s="475"/>
      <c r="X216" s="475"/>
      <c r="Y216" s="475"/>
    </row>
    <row r="217" ht="13.5" customHeight="1">
      <c r="A217" s="475"/>
      <c r="B217" s="475"/>
      <c r="C217" s="475"/>
      <c r="D217" s="475"/>
      <c r="E217" s="475"/>
      <c r="F217" s="475"/>
      <c r="G217" s="475"/>
      <c r="H217" s="475"/>
      <c r="I217" s="475"/>
      <c r="J217" s="475"/>
      <c r="K217" s="475"/>
      <c r="L217" s="475"/>
      <c r="M217" s="475"/>
      <c r="N217" s="475"/>
      <c r="O217" s="475"/>
      <c r="P217" s="475"/>
      <c r="Q217" s="475"/>
      <c r="R217" s="475"/>
      <c r="S217" s="475"/>
      <c r="T217" s="475"/>
      <c r="U217" s="475"/>
      <c r="V217" s="475"/>
      <c r="W217" s="475"/>
      <c r="X217" s="475"/>
      <c r="Y217" s="475"/>
    </row>
    <row r="218" ht="13.5" customHeight="1">
      <c r="A218" s="475"/>
      <c r="B218" s="475"/>
      <c r="C218" s="475"/>
      <c r="D218" s="475"/>
      <c r="E218" s="475"/>
      <c r="F218" s="475"/>
      <c r="G218" s="475"/>
      <c r="H218" s="475"/>
      <c r="I218" s="475"/>
      <c r="J218" s="475"/>
      <c r="K218" s="475"/>
      <c r="L218" s="475"/>
      <c r="M218" s="475"/>
      <c r="N218" s="475"/>
      <c r="O218" s="475"/>
      <c r="P218" s="475"/>
      <c r="Q218" s="475"/>
      <c r="R218" s="475"/>
      <c r="S218" s="475"/>
      <c r="T218" s="475"/>
      <c r="U218" s="475"/>
      <c r="V218" s="475"/>
      <c r="W218" s="475"/>
      <c r="X218" s="475"/>
      <c r="Y218" s="475"/>
    </row>
    <row r="219" ht="13.5" customHeight="1">
      <c r="A219" s="475"/>
      <c r="B219" s="475"/>
      <c r="C219" s="475"/>
      <c r="D219" s="475"/>
      <c r="E219" s="475"/>
      <c r="F219" s="475"/>
      <c r="G219" s="475"/>
      <c r="H219" s="475"/>
      <c r="I219" s="475"/>
      <c r="J219" s="475"/>
      <c r="K219" s="475"/>
      <c r="L219" s="475"/>
      <c r="M219" s="475"/>
      <c r="N219" s="475"/>
      <c r="O219" s="475"/>
      <c r="P219" s="475"/>
      <c r="Q219" s="475"/>
      <c r="R219" s="475"/>
      <c r="S219" s="475"/>
      <c r="T219" s="475"/>
      <c r="U219" s="475"/>
      <c r="V219" s="475"/>
      <c r="W219" s="475"/>
      <c r="X219" s="475"/>
      <c r="Y219" s="475"/>
    </row>
    <row r="220" ht="13.5" customHeight="1">
      <c r="A220" s="475"/>
      <c r="B220" s="475"/>
      <c r="C220" s="475"/>
      <c r="D220" s="475"/>
      <c r="E220" s="475"/>
      <c r="F220" s="475"/>
      <c r="G220" s="475"/>
      <c r="H220" s="475"/>
      <c r="I220" s="475"/>
      <c r="J220" s="475"/>
      <c r="K220" s="475"/>
      <c r="L220" s="475"/>
      <c r="M220" s="475"/>
      <c r="N220" s="475"/>
      <c r="O220" s="475"/>
      <c r="P220" s="475"/>
      <c r="Q220" s="475"/>
      <c r="R220" s="475"/>
      <c r="S220" s="475"/>
      <c r="T220" s="475"/>
      <c r="U220" s="475"/>
      <c r="V220" s="475"/>
      <c r="W220" s="475"/>
      <c r="X220" s="475"/>
      <c r="Y220" s="475"/>
    </row>
    <row r="221" ht="13.5" customHeight="1">
      <c r="A221" s="475"/>
      <c r="B221" s="475"/>
      <c r="C221" s="475"/>
      <c r="D221" s="475"/>
      <c r="E221" s="475"/>
      <c r="F221" s="475"/>
      <c r="G221" s="475"/>
      <c r="H221" s="475"/>
      <c r="I221" s="475"/>
      <c r="J221" s="475"/>
      <c r="K221" s="475"/>
      <c r="L221" s="475"/>
      <c r="M221" s="475"/>
      <c r="N221" s="475"/>
      <c r="O221" s="475"/>
      <c r="P221" s="475"/>
      <c r="Q221" s="475"/>
      <c r="R221" s="475"/>
      <c r="S221" s="475"/>
      <c r="T221" s="475"/>
      <c r="U221" s="475"/>
      <c r="V221" s="475"/>
      <c r="W221" s="475"/>
      <c r="X221" s="475"/>
      <c r="Y221" s="475"/>
    </row>
    <row r="222" ht="13.5" customHeight="1">
      <c r="A222" s="475"/>
      <c r="B222" s="475"/>
      <c r="C222" s="475"/>
      <c r="D222" s="475"/>
      <c r="E222" s="475"/>
      <c r="F222" s="475"/>
      <c r="G222" s="475"/>
      <c r="H222" s="475"/>
      <c r="I222" s="475"/>
      <c r="J222" s="475"/>
      <c r="K222" s="475"/>
      <c r="L222" s="475"/>
      <c r="M222" s="475"/>
      <c r="N222" s="475"/>
      <c r="O222" s="475"/>
      <c r="P222" s="475"/>
      <c r="Q222" s="475"/>
      <c r="R222" s="475"/>
      <c r="S222" s="475"/>
      <c r="T222" s="475"/>
      <c r="U222" s="475"/>
      <c r="V222" s="475"/>
      <c r="W222" s="475"/>
      <c r="X222" s="475"/>
      <c r="Y222" s="475"/>
    </row>
    <row r="223" ht="13.5" customHeight="1">
      <c r="A223" s="475"/>
      <c r="B223" s="475"/>
      <c r="C223" s="475"/>
      <c r="D223" s="475"/>
      <c r="E223" s="475"/>
      <c r="F223" s="475"/>
      <c r="G223" s="475"/>
      <c r="H223" s="475"/>
      <c r="I223" s="475"/>
      <c r="J223" s="475"/>
      <c r="K223" s="475"/>
      <c r="L223" s="475"/>
      <c r="M223" s="475"/>
      <c r="N223" s="475"/>
      <c r="O223" s="475"/>
      <c r="P223" s="475"/>
      <c r="Q223" s="475"/>
      <c r="R223" s="475"/>
      <c r="S223" s="475"/>
      <c r="T223" s="475"/>
      <c r="U223" s="475"/>
      <c r="V223" s="475"/>
      <c r="W223" s="475"/>
      <c r="X223" s="475"/>
      <c r="Y223" s="475"/>
    </row>
    <row r="224" ht="13.5" customHeight="1">
      <c r="A224" s="475"/>
      <c r="B224" s="475"/>
      <c r="C224" s="475"/>
      <c r="D224" s="475"/>
      <c r="E224" s="475"/>
      <c r="F224" s="475"/>
      <c r="G224" s="475"/>
      <c r="H224" s="475"/>
      <c r="I224" s="475"/>
      <c r="J224" s="475"/>
      <c r="K224" s="475"/>
      <c r="L224" s="475"/>
      <c r="M224" s="475"/>
      <c r="N224" s="475"/>
      <c r="O224" s="475"/>
      <c r="P224" s="475"/>
      <c r="Q224" s="475"/>
      <c r="R224" s="475"/>
      <c r="S224" s="475"/>
      <c r="T224" s="475"/>
      <c r="U224" s="475"/>
      <c r="V224" s="475"/>
      <c r="W224" s="475"/>
      <c r="X224" s="475"/>
      <c r="Y224" s="475"/>
    </row>
    <row r="225" ht="13.5" customHeight="1">
      <c r="A225" s="475"/>
      <c r="B225" s="475"/>
      <c r="C225" s="475"/>
      <c r="D225" s="475"/>
      <c r="E225" s="475"/>
      <c r="F225" s="475"/>
      <c r="G225" s="475"/>
      <c r="H225" s="475"/>
      <c r="I225" s="475"/>
      <c r="J225" s="475"/>
      <c r="K225" s="475"/>
      <c r="L225" s="475"/>
      <c r="M225" s="475"/>
      <c r="N225" s="475"/>
      <c r="O225" s="475"/>
      <c r="P225" s="475"/>
      <c r="Q225" s="475"/>
      <c r="R225" s="475"/>
      <c r="S225" s="475"/>
      <c r="T225" s="475"/>
      <c r="U225" s="475"/>
      <c r="V225" s="475"/>
      <c r="W225" s="475"/>
      <c r="X225" s="475"/>
      <c r="Y225" s="475"/>
    </row>
    <row r="226" ht="13.5" customHeight="1">
      <c r="A226" s="475"/>
      <c r="B226" s="475"/>
      <c r="C226" s="475"/>
      <c r="D226" s="475"/>
      <c r="E226" s="475"/>
      <c r="F226" s="475"/>
      <c r="G226" s="475"/>
      <c r="H226" s="475"/>
      <c r="I226" s="475"/>
      <c r="J226" s="475"/>
      <c r="K226" s="475"/>
      <c r="L226" s="475"/>
      <c r="M226" s="475"/>
      <c r="N226" s="475"/>
      <c r="O226" s="475"/>
      <c r="P226" s="475"/>
      <c r="Q226" s="475"/>
      <c r="R226" s="475"/>
      <c r="S226" s="475"/>
      <c r="T226" s="475"/>
      <c r="U226" s="475"/>
      <c r="V226" s="475"/>
      <c r="W226" s="475"/>
      <c r="X226" s="475"/>
      <c r="Y226" s="475"/>
    </row>
    <row r="227" ht="13.5" customHeight="1">
      <c r="A227" s="475"/>
      <c r="B227" s="475"/>
      <c r="C227" s="475"/>
      <c r="D227" s="475"/>
      <c r="E227" s="475"/>
      <c r="F227" s="475"/>
      <c r="G227" s="475"/>
      <c r="H227" s="475"/>
      <c r="I227" s="475"/>
      <c r="J227" s="475"/>
      <c r="K227" s="475"/>
      <c r="L227" s="475"/>
      <c r="M227" s="475"/>
      <c r="N227" s="475"/>
      <c r="O227" s="475"/>
      <c r="P227" s="475"/>
      <c r="Q227" s="475"/>
      <c r="R227" s="475"/>
      <c r="S227" s="475"/>
      <c r="T227" s="475"/>
      <c r="U227" s="475"/>
      <c r="V227" s="475"/>
      <c r="W227" s="475"/>
      <c r="X227" s="475"/>
      <c r="Y227" s="475"/>
    </row>
    <row r="228" ht="13.5" customHeight="1">
      <c r="A228" s="475"/>
      <c r="B228" s="475"/>
      <c r="C228" s="475"/>
      <c r="D228" s="475"/>
      <c r="E228" s="475"/>
      <c r="F228" s="475"/>
      <c r="G228" s="475"/>
      <c r="H228" s="475"/>
      <c r="I228" s="475"/>
      <c r="J228" s="475"/>
      <c r="K228" s="475"/>
      <c r="L228" s="475"/>
      <c r="M228" s="475"/>
      <c r="N228" s="475"/>
      <c r="O228" s="475"/>
      <c r="P228" s="475"/>
      <c r="Q228" s="475"/>
      <c r="R228" s="475"/>
      <c r="S228" s="475"/>
      <c r="T228" s="475"/>
      <c r="U228" s="475"/>
      <c r="V228" s="475"/>
      <c r="W228" s="475"/>
      <c r="X228" s="475"/>
      <c r="Y228" s="475"/>
    </row>
    <row r="229" ht="13.5" customHeight="1">
      <c r="A229" s="475"/>
      <c r="B229" s="475"/>
      <c r="C229" s="475"/>
      <c r="D229" s="475"/>
      <c r="E229" s="475"/>
      <c r="F229" s="475"/>
      <c r="G229" s="475"/>
      <c r="H229" s="475"/>
      <c r="I229" s="475"/>
      <c r="J229" s="475"/>
      <c r="K229" s="475"/>
      <c r="L229" s="475"/>
      <c r="M229" s="475"/>
      <c r="N229" s="475"/>
      <c r="O229" s="475"/>
      <c r="P229" s="475"/>
      <c r="Q229" s="475"/>
      <c r="R229" s="475"/>
      <c r="S229" s="475"/>
      <c r="T229" s="475"/>
      <c r="U229" s="475"/>
      <c r="V229" s="475"/>
      <c r="W229" s="475"/>
      <c r="X229" s="475"/>
      <c r="Y229" s="475"/>
    </row>
    <row r="230" ht="13.5" customHeight="1">
      <c r="A230" s="475"/>
      <c r="B230" s="475"/>
      <c r="C230" s="475"/>
      <c r="D230" s="475"/>
      <c r="E230" s="475"/>
      <c r="F230" s="475"/>
      <c r="G230" s="475"/>
      <c r="H230" s="475"/>
      <c r="I230" s="475"/>
      <c r="J230" s="475"/>
      <c r="K230" s="475"/>
      <c r="L230" s="475"/>
      <c r="M230" s="475"/>
      <c r="N230" s="475"/>
      <c r="O230" s="475"/>
      <c r="P230" s="475"/>
      <c r="Q230" s="475"/>
      <c r="R230" s="475"/>
      <c r="S230" s="475"/>
      <c r="T230" s="475"/>
      <c r="U230" s="475"/>
      <c r="V230" s="475"/>
      <c r="W230" s="475"/>
      <c r="X230" s="475"/>
      <c r="Y230" s="475"/>
    </row>
    <row r="231" ht="13.5" customHeight="1">
      <c r="A231" s="475"/>
      <c r="B231" s="475"/>
      <c r="C231" s="475"/>
      <c r="D231" s="475"/>
      <c r="E231" s="475"/>
      <c r="F231" s="475"/>
      <c r="G231" s="475"/>
      <c r="H231" s="475"/>
      <c r="I231" s="475"/>
      <c r="J231" s="475"/>
      <c r="K231" s="475"/>
      <c r="L231" s="475"/>
      <c r="M231" s="475"/>
      <c r="N231" s="475"/>
      <c r="O231" s="475"/>
      <c r="P231" s="475"/>
      <c r="Q231" s="475"/>
      <c r="R231" s="475"/>
      <c r="S231" s="475"/>
      <c r="T231" s="475"/>
      <c r="U231" s="475"/>
      <c r="V231" s="475"/>
      <c r="W231" s="475"/>
      <c r="X231" s="475"/>
      <c r="Y231" s="475"/>
    </row>
    <row r="232" ht="13.5" customHeight="1">
      <c r="A232" s="475"/>
      <c r="B232" s="475"/>
      <c r="C232" s="475"/>
      <c r="D232" s="475"/>
      <c r="E232" s="475"/>
      <c r="F232" s="475"/>
      <c r="G232" s="475"/>
      <c r="H232" s="475"/>
      <c r="I232" s="475"/>
      <c r="J232" s="475"/>
      <c r="K232" s="475"/>
      <c r="L232" s="475"/>
      <c r="M232" s="475"/>
      <c r="N232" s="475"/>
      <c r="O232" s="475"/>
      <c r="P232" s="475"/>
      <c r="Q232" s="475"/>
      <c r="R232" s="475"/>
      <c r="S232" s="475"/>
      <c r="T232" s="475"/>
      <c r="U232" s="475"/>
      <c r="V232" s="475"/>
      <c r="W232" s="475"/>
      <c r="X232" s="475"/>
      <c r="Y232" s="475"/>
    </row>
    <row r="233" ht="13.5" customHeight="1">
      <c r="A233" s="475"/>
      <c r="B233" s="475"/>
      <c r="C233" s="475"/>
      <c r="D233" s="475"/>
      <c r="E233" s="475"/>
      <c r="F233" s="475"/>
      <c r="G233" s="475"/>
      <c r="H233" s="475"/>
      <c r="I233" s="475"/>
      <c r="J233" s="475"/>
      <c r="K233" s="475"/>
      <c r="L233" s="475"/>
      <c r="M233" s="475"/>
      <c r="N233" s="475"/>
      <c r="O233" s="475"/>
      <c r="P233" s="475"/>
      <c r="Q233" s="475"/>
      <c r="R233" s="475"/>
      <c r="S233" s="475"/>
      <c r="T233" s="475"/>
      <c r="U233" s="475"/>
      <c r="V233" s="475"/>
      <c r="W233" s="475"/>
      <c r="X233" s="475"/>
      <c r="Y233" s="475"/>
    </row>
    <row r="234" ht="13.5" customHeight="1">
      <c r="A234" s="475"/>
      <c r="B234" s="475"/>
      <c r="C234" s="475"/>
      <c r="D234" s="475"/>
      <c r="E234" s="475"/>
      <c r="F234" s="475"/>
      <c r="G234" s="475"/>
      <c r="H234" s="475"/>
      <c r="I234" s="475"/>
      <c r="J234" s="475"/>
      <c r="K234" s="475"/>
      <c r="L234" s="475"/>
      <c r="M234" s="475"/>
      <c r="N234" s="475"/>
      <c r="O234" s="475"/>
      <c r="P234" s="475"/>
      <c r="Q234" s="475"/>
      <c r="R234" s="475"/>
      <c r="S234" s="475"/>
      <c r="T234" s="475"/>
      <c r="U234" s="475"/>
      <c r="V234" s="475"/>
      <c r="W234" s="475"/>
      <c r="X234" s="475"/>
      <c r="Y234" s="475"/>
    </row>
    <row r="235" ht="13.5" customHeight="1">
      <c r="A235" s="475"/>
      <c r="B235" s="475"/>
      <c r="C235" s="475"/>
      <c r="D235" s="475"/>
      <c r="E235" s="475"/>
      <c r="F235" s="475"/>
      <c r="G235" s="475"/>
      <c r="H235" s="475"/>
      <c r="I235" s="475"/>
      <c r="J235" s="475"/>
      <c r="K235" s="475"/>
      <c r="L235" s="475"/>
      <c r="M235" s="475"/>
      <c r="N235" s="475"/>
      <c r="O235" s="475"/>
      <c r="P235" s="475"/>
      <c r="Q235" s="475"/>
      <c r="R235" s="475"/>
      <c r="S235" s="475"/>
      <c r="T235" s="475"/>
      <c r="U235" s="475"/>
      <c r="V235" s="475"/>
      <c r="W235" s="475"/>
      <c r="X235" s="475"/>
      <c r="Y235" s="475"/>
    </row>
    <row r="236" ht="13.5" customHeight="1">
      <c r="A236" s="475"/>
      <c r="B236" s="475"/>
      <c r="C236" s="475"/>
      <c r="D236" s="475"/>
      <c r="E236" s="475"/>
      <c r="F236" s="475"/>
      <c r="G236" s="475"/>
      <c r="H236" s="475"/>
      <c r="I236" s="475"/>
      <c r="J236" s="475"/>
      <c r="K236" s="475"/>
      <c r="L236" s="475"/>
      <c r="M236" s="475"/>
      <c r="N236" s="475"/>
      <c r="O236" s="475"/>
      <c r="P236" s="475"/>
      <c r="Q236" s="475"/>
      <c r="R236" s="475"/>
      <c r="S236" s="475"/>
      <c r="T236" s="475"/>
      <c r="U236" s="475"/>
      <c r="V236" s="475"/>
      <c r="W236" s="475"/>
      <c r="X236" s="475"/>
      <c r="Y236" s="475"/>
    </row>
    <row r="237" ht="13.5" customHeight="1">
      <c r="A237" s="475"/>
      <c r="B237" s="475"/>
      <c r="C237" s="475"/>
      <c r="D237" s="475"/>
      <c r="E237" s="475"/>
      <c r="F237" s="475"/>
      <c r="G237" s="475"/>
      <c r="H237" s="475"/>
      <c r="I237" s="475"/>
      <c r="J237" s="475"/>
      <c r="K237" s="475"/>
      <c r="L237" s="475"/>
      <c r="M237" s="475"/>
      <c r="N237" s="475"/>
      <c r="O237" s="475"/>
      <c r="P237" s="475"/>
      <c r="Q237" s="475"/>
      <c r="R237" s="475"/>
      <c r="S237" s="475"/>
      <c r="T237" s="475"/>
      <c r="U237" s="475"/>
      <c r="V237" s="475"/>
      <c r="W237" s="475"/>
      <c r="X237" s="475"/>
      <c r="Y237" s="475"/>
    </row>
    <row r="238" ht="13.5" customHeight="1">
      <c r="A238" s="475"/>
      <c r="B238" s="475"/>
      <c r="C238" s="475"/>
      <c r="D238" s="475"/>
      <c r="E238" s="475"/>
      <c r="F238" s="475"/>
      <c r="G238" s="475"/>
      <c r="H238" s="475"/>
      <c r="I238" s="475"/>
      <c r="J238" s="475"/>
      <c r="K238" s="475"/>
      <c r="L238" s="475"/>
      <c r="M238" s="475"/>
      <c r="N238" s="475"/>
      <c r="O238" s="475"/>
      <c r="P238" s="475"/>
      <c r="Q238" s="475"/>
      <c r="R238" s="475"/>
      <c r="S238" s="475"/>
      <c r="T238" s="475"/>
      <c r="U238" s="475"/>
      <c r="V238" s="475"/>
      <c r="W238" s="475"/>
      <c r="X238" s="475"/>
      <c r="Y238" s="475"/>
    </row>
    <row r="239" ht="13.5" customHeight="1">
      <c r="A239" s="475"/>
      <c r="B239" s="475"/>
      <c r="C239" s="475"/>
      <c r="D239" s="475"/>
      <c r="E239" s="475"/>
      <c r="F239" s="475"/>
      <c r="G239" s="475"/>
      <c r="H239" s="475"/>
      <c r="I239" s="475"/>
      <c r="J239" s="475"/>
      <c r="K239" s="475"/>
      <c r="L239" s="475"/>
      <c r="M239" s="475"/>
      <c r="N239" s="475"/>
      <c r="O239" s="475"/>
      <c r="P239" s="475"/>
      <c r="Q239" s="475"/>
      <c r="R239" s="475"/>
      <c r="S239" s="475"/>
      <c r="T239" s="475"/>
      <c r="U239" s="475"/>
      <c r="V239" s="475"/>
      <c r="W239" s="475"/>
      <c r="X239" s="475"/>
      <c r="Y239" s="475"/>
    </row>
    <row r="240" ht="13.5" customHeight="1">
      <c r="A240" s="475"/>
      <c r="B240" s="475"/>
      <c r="C240" s="475"/>
      <c r="D240" s="475"/>
      <c r="E240" s="475"/>
      <c r="F240" s="475"/>
      <c r="G240" s="475"/>
      <c r="H240" s="475"/>
      <c r="I240" s="475"/>
      <c r="J240" s="475"/>
      <c r="K240" s="475"/>
      <c r="L240" s="475"/>
      <c r="M240" s="475"/>
      <c r="N240" s="475"/>
      <c r="O240" s="475"/>
      <c r="P240" s="475"/>
      <c r="Q240" s="475"/>
      <c r="R240" s="475"/>
      <c r="S240" s="475"/>
      <c r="T240" s="475"/>
      <c r="U240" s="475"/>
      <c r="V240" s="475"/>
      <c r="W240" s="475"/>
      <c r="X240" s="475"/>
      <c r="Y240" s="475"/>
    </row>
    <row r="241" ht="13.5" customHeight="1">
      <c r="A241" s="475"/>
      <c r="B241" s="475"/>
      <c r="C241" s="475"/>
      <c r="D241" s="475"/>
      <c r="E241" s="475"/>
      <c r="F241" s="475"/>
      <c r="G241" s="475"/>
      <c r="H241" s="475"/>
      <c r="I241" s="475"/>
      <c r="J241" s="475"/>
      <c r="K241" s="475"/>
      <c r="L241" s="475"/>
      <c r="M241" s="475"/>
      <c r="N241" s="475"/>
      <c r="O241" s="475"/>
      <c r="P241" s="475"/>
      <c r="Q241" s="475"/>
      <c r="R241" s="475"/>
      <c r="S241" s="475"/>
      <c r="T241" s="475"/>
      <c r="U241" s="475"/>
      <c r="V241" s="475"/>
      <c r="W241" s="475"/>
      <c r="X241" s="475"/>
      <c r="Y241" s="475"/>
    </row>
    <row r="242" ht="13.5" customHeight="1">
      <c r="A242" s="475"/>
      <c r="B242" s="475"/>
      <c r="C242" s="475"/>
      <c r="D242" s="475"/>
      <c r="E242" s="475"/>
      <c r="F242" s="475"/>
      <c r="G242" s="475"/>
      <c r="H242" s="475"/>
      <c r="I242" s="475"/>
      <c r="J242" s="475"/>
      <c r="K242" s="475"/>
      <c r="L242" s="475"/>
      <c r="M242" s="475"/>
      <c r="N242" s="475"/>
      <c r="O242" s="475"/>
      <c r="P242" s="475"/>
      <c r="Q242" s="475"/>
      <c r="R242" s="475"/>
      <c r="S242" s="475"/>
      <c r="T242" s="475"/>
      <c r="U242" s="475"/>
      <c r="V242" s="475"/>
      <c r="W242" s="475"/>
      <c r="X242" s="475"/>
      <c r="Y242" s="475"/>
    </row>
    <row r="243" ht="13.5" customHeight="1">
      <c r="A243" s="475"/>
      <c r="B243" s="475"/>
      <c r="C243" s="475"/>
      <c r="D243" s="475"/>
      <c r="E243" s="475"/>
      <c r="F243" s="475"/>
      <c r="G243" s="475"/>
      <c r="H243" s="475"/>
      <c r="I243" s="475"/>
      <c r="J243" s="475"/>
      <c r="K243" s="475"/>
      <c r="L243" s="475"/>
      <c r="M243" s="475"/>
      <c r="N243" s="475"/>
      <c r="O243" s="475"/>
      <c r="P243" s="475"/>
      <c r="Q243" s="475"/>
      <c r="R243" s="475"/>
      <c r="S243" s="475"/>
      <c r="T243" s="475"/>
      <c r="U243" s="475"/>
      <c r="V243" s="475"/>
      <c r="W243" s="475"/>
      <c r="X243" s="475"/>
      <c r="Y243" s="475"/>
    </row>
    <row r="244" ht="13.5" customHeight="1">
      <c r="A244" s="475"/>
      <c r="B244" s="475"/>
      <c r="C244" s="475"/>
      <c r="D244" s="475"/>
      <c r="E244" s="475"/>
      <c r="F244" s="475"/>
      <c r="G244" s="475"/>
      <c r="H244" s="475"/>
      <c r="I244" s="475"/>
      <c r="J244" s="475"/>
      <c r="K244" s="475"/>
      <c r="L244" s="475"/>
      <c r="M244" s="475"/>
      <c r="N244" s="475"/>
      <c r="O244" s="475"/>
      <c r="P244" s="475"/>
      <c r="Q244" s="475"/>
      <c r="R244" s="475"/>
      <c r="S244" s="475"/>
      <c r="T244" s="475"/>
      <c r="U244" s="475"/>
      <c r="V244" s="475"/>
      <c r="W244" s="475"/>
      <c r="X244" s="475"/>
      <c r="Y244" s="475"/>
    </row>
    <row r="245" ht="13.5" customHeight="1">
      <c r="A245" s="475"/>
      <c r="B245" s="475"/>
      <c r="C245" s="475"/>
      <c r="D245" s="475"/>
      <c r="E245" s="475"/>
      <c r="F245" s="475"/>
      <c r="G245" s="475"/>
      <c r="H245" s="475"/>
      <c r="I245" s="475"/>
      <c r="J245" s="475"/>
      <c r="K245" s="475"/>
      <c r="L245" s="475"/>
      <c r="M245" s="475"/>
      <c r="N245" s="475"/>
      <c r="O245" s="475"/>
      <c r="P245" s="475"/>
      <c r="Q245" s="475"/>
      <c r="R245" s="475"/>
      <c r="S245" s="475"/>
      <c r="T245" s="475"/>
      <c r="U245" s="475"/>
      <c r="V245" s="475"/>
      <c r="W245" s="475"/>
      <c r="X245" s="475"/>
      <c r="Y245" s="475"/>
    </row>
    <row r="246" ht="13.5" customHeight="1">
      <c r="A246" s="475"/>
      <c r="B246" s="475"/>
      <c r="C246" s="475"/>
      <c r="D246" s="475"/>
      <c r="E246" s="475"/>
      <c r="F246" s="475"/>
      <c r="G246" s="475"/>
      <c r="H246" s="475"/>
      <c r="I246" s="475"/>
      <c r="J246" s="475"/>
      <c r="K246" s="475"/>
      <c r="L246" s="475"/>
      <c r="M246" s="475"/>
      <c r="N246" s="475"/>
      <c r="O246" s="475"/>
      <c r="P246" s="475"/>
      <c r="Q246" s="475"/>
      <c r="R246" s="475"/>
      <c r="S246" s="475"/>
      <c r="T246" s="475"/>
      <c r="U246" s="475"/>
      <c r="V246" s="475"/>
      <c r="W246" s="475"/>
      <c r="X246" s="475"/>
      <c r="Y246" s="475"/>
    </row>
    <row r="247" ht="13.5" customHeight="1">
      <c r="A247" s="475"/>
      <c r="B247" s="475"/>
      <c r="C247" s="475"/>
      <c r="D247" s="475"/>
      <c r="E247" s="475"/>
      <c r="F247" s="475"/>
      <c r="G247" s="475"/>
      <c r="H247" s="475"/>
      <c r="I247" s="475"/>
      <c r="J247" s="475"/>
      <c r="K247" s="475"/>
      <c r="L247" s="475"/>
      <c r="M247" s="475"/>
      <c r="N247" s="475"/>
      <c r="O247" s="475"/>
      <c r="P247" s="475"/>
      <c r="Q247" s="475"/>
      <c r="R247" s="475"/>
      <c r="S247" s="475"/>
      <c r="T247" s="475"/>
      <c r="U247" s="475"/>
      <c r="V247" s="475"/>
      <c r="W247" s="475"/>
      <c r="X247" s="475"/>
      <c r="Y247" s="475"/>
    </row>
    <row r="248" ht="13.5" customHeight="1">
      <c r="A248" s="475"/>
      <c r="B248" s="475"/>
      <c r="C248" s="475"/>
      <c r="D248" s="475"/>
      <c r="E248" s="475"/>
      <c r="F248" s="475"/>
      <c r="G248" s="475"/>
      <c r="H248" s="475"/>
      <c r="I248" s="475"/>
      <c r="J248" s="475"/>
      <c r="K248" s="475"/>
      <c r="L248" s="475"/>
      <c r="M248" s="475"/>
      <c r="N248" s="475"/>
      <c r="O248" s="475"/>
      <c r="P248" s="475"/>
      <c r="Q248" s="475"/>
      <c r="R248" s="475"/>
      <c r="S248" s="475"/>
      <c r="T248" s="475"/>
      <c r="U248" s="475"/>
      <c r="V248" s="475"/>
      <c r="W248" s="475"/>
      <c r="X248" s="475"/>
      <c r="Y248" s="475"/>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D2"/>
    <mergeCell ref="E2:J2"/>
    <mergeCell ref="K2:S2"/>
    <mergeCell ref="C3:D3"/>
    <mergeCell ref="E3:J3"/>
    <mergeCell ref="K3:S3"/>
    <mergeCell ref="A3:B3"/>
    <mergeCell ref="A4:B4"/>
    <mergeCell ref="C4:D4"/>
    <mergeCell ref="E4:J4"/>
    <mergeCell ref="K4:S4"/>
    <mergeCell ref="A5:B5"/>
    <mergeCell ref="C5:S5"/>
    <mergeCell ref="N6:S6"/>
    <mergeCell ref="N7:S7"/>
    <mergeCell ref="B45:D45"/>
    <mergeCell ref="B46:D46"/>
    <mergeCell ref="B47:D47"/>
    <mergeCell ref="B48:D48"/>
    <mergeCell ref="A6:B6"/>
    <mergeCell ref="C6:D6"/>
    <mergeCell ref="E6:J6"/>
    <mergeCell ref="K6:M6"/>
    <mergeCell ref="A7:B7"/>
    <mergeCell ref="C7:D7"/>
    <mergeCell ref="E7:J7"/>
  </mergeCells>
  <dataValidations>
    <dataValidation type="list" allowBlank="1" showInputMessage="1" showErrorMessage="1" prompt=" - " sqref="E46:S46">
      <formula1>"P,F"</formula1>
    </dataValidation>
    <dataValidation type="list" allowBlank="1" showInputMessage="1" showErrorMessage="1" prompt=" - " sqref="E10:S44">
      <formula1>"O"</formula1>
    </dataValidation>
    <dataValidation type="list" allowBlank="1" showInputMessage="1" showErrorMessage="1" prompt=" - " sqref="E45:S45">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5.5"/>
    <col customWidth="1" min="6" max="6" width="4.63"/>
    <col customWidth="1" min="7" max="7" width="4.38"/>
    <col customWidth="1" min="8" max="8" width="5.25"/>
    <col customWidth="1" min="9" max="9" width="5.0"/>
    <col customWidth="1" min="10" max="10" width="4.63"/>
    <col customWidth="1" min="11" max="12" width="5.5"/>
    <col customWidth="1" min="13" max="13" width="3.75"/>
    <col customWidth="1" min="14" max="14" width="3.88"/>
    <col customWidth="1" min="15" max="20" width="2.88"/>
    <col customWidth="1" min="21" max="22" width="9.0"/>
    <col customWidth="1" min="23" max="25" width="10.0"/>
  </cols>
  <sheetData>
    <row r="1" ht="13.5" customHeight="1">
      <c r="A1" s="474"/>
      <c r="B1" s="474"/>
      <c r="C1" s="475"/>
      <c r="D1" s="475"/>
      <c r="E1" s="475"/>
      <c r="F1" s="475"/>
      <c r="G1" s="475"/>
      <c r="H1" s="475"/>
      <c r="I1" s="475"/>
      <c r="J1" s="475"/>
      <c r="K1" s="475"/>
      <c r="L1" s="475"/>
      <c r="M1" s="475"/>
      <c r="N1" s="475"/>
      <c r="O1" s="475"/>
      <c r="P1" s="475"/>
      <c r="Q1" s="475"/>
      <c r="R1" s="475"/>
      <c r="S1" s="475"/>
      <c r="T1" s="475"/>
      <c r="U1" s="475"/>
      <c r="V1" s="475"/>
      <c r="W1" s="475"/>
      <c r="X1" s="475"/>
      <c r="Y1" s="475"/>
    </row>
    <row r="2" ht="13.5" customHeight="1">
      <c r="A2" s="342" t="s">
        <v>337</v>
      </c>
      <c r="B2" s="113"/>
      <c r="C2" s="343" t="str">
        <f>Functions!E47</f>
        <v>F-37</v>
      </c>
      <c r="D2" s="115"/>
      <c r="E2" s="344" t="s">
        <v>71</v>
      </c>
      <c r="F2" s="117"/>
      <c r="G2" s="117"/>
      <c r="H2" s="117"/>
      <c r="I2" s="117"/>
      <c r="J2" s="117"/>
      <c r="K2" s="118" t="str">
        <f>Functions!D47</f>
        <v>Quality/expiry stock lock and role restrictions</v>
      </c>
      <c r="L2" s="113"/>
      <c r="M2" s="113"/>
      <c r="N2" s="113"/>
      <c r="O2" s="113"/>
      <c r="P2" s="113"/>
      <c r="Q2" s="113"/>
      <c r="R2" s="113"/>
      <c r="S2" s="119"/>
      <c r="T2" s="475"/>
      <c r="U2" s="477"/>
      <c r="V2" s="475"/>
      <c r="W2" s="475"/>
      <c r="X2" s="475"/>
      <c r="Y2" s="475"/>
    </row>
    <row r="3" ht="13.5" customHeight="1">
      <c r="A3" s="345" t="s">
        <v>338</v>
      </c>
      <c r="B3" s="13"/>
      <c r="C3" s="321" t="s">
        <v>183</v>
      </c>
      <c r="D3" s="13"/>
      <c r="E3" s="346" t="s">
        <v>339</v>
      </c>
      <c r="F3" s="12"/>
      <c r="G3" s="12"/>
      <c r="H3" s="12"/>
      <c r="I3" s="12"/>
      <c r="J3" s="13"/>
      <c r="K3" s="478"/>
      <c r="L3" s="123"/>
      <c r="M3" s="123"/>
      <c r="N3" s="123"/>
      <c r="O3" s="123"/>
      <c r="P3" s="123"/>
      <c r="Q3" s="123"/>
      <c r="R3" s="123"/>
      <c r="S3" s="279"/>
      <c r="T3" s="475"/>
      <c r="U3" s="475"/>
      <c r="V3" s="475"/>
      <c r="W3" s="475"/>
      <c r="X3" s="475"/>
      <c r="Y3" s="475"/>
    </row>
    <row r="4" ht="13.5" customHeight="1">
      <c r="A4" s="345" t="s">
        <v>340</v>
      </c>
      <c r="B4" s="13"/>
      <c r="C4" s="128"/>
      <c r="D4" s="12"/>
      <c r="E4" s="346" t="s">
        <v>341</v>
      </c>
      <c r="F4" s="12"/>
      <c r="G4" s="12"/>
      <c r="H4" s="12"/>
      <c r="I4" s="12"/>
      <c r="J4" s="13"/>
      <c r="K4" s="130" t="str">
        <f>IF(OR(C4="",Functions!E6="N/A"),"N/A",C4*Functions!E6/1000-N7)</f>
        <v>N/A</v>
      </c>
      <c r="L4" s="12"/>
      <c r="M4" s="12"/>
      <c r="N4" s="12"/>
      <c r="O4" s="12"/>
      <c r="P4" s="12"/>
      <c r="Q4" s="12"/>
      <c r="R4" s="12"/>
      <c r="S4" s="131"/>
      <c r="T4" s="475"/>
      <c r="U4" s="477"/>
      <c r="V4" s="475"/>
      <c r="W4" s="475"/>
      <c r="X4" s="475"/>
      <c r="Y4" s="475"/>
    </row>
    <row r="5" ht="13.5" customHeight="1">
      <c r="A5" s="345" t="s">
        <v>342</v>
      </c>
      <c r="B5" s="13"/>
      <c r="C5" s="321" t="s">
        <v>330</v>
      </c>
      <c r="D5" s="12"/>
      <c r="E5" s="12"/>
      <c r="F5" s="12"/>
      <c r="G5" s="12"/>
      <c r="H5" s="12"/>
      <c r="I5" s="12"/>
      <c r="J5" s="12"/>
      <c r="K5" s="12"/>
      <c r="L5" s="12"/>
      <c r="M5" s="12"/>
      <c r="N5" s="12"/>
      <c r="O5" s="12"/>
      <c r="P5" s="12"/>
      <c r="Q5" s="12"/>
      <c r="R5" s="12"/>
      <c r="S5" s="131"/>
      <c r="T5" s="475"/>
      <c r="U5" s="475"/>
      <c r="V5" s="475"/>
      <c r="W5" s="475"/>
      <c r="X5" s="475"/>
      <c r="Y5" s="475"/>
    </row>
    <row r="6" ht="13.5" customHeight="1">
      <c r="A6" s="357" t="s">
        <v>217</v>
      </c>
      <c r="B6" s="13"/>
      <c r="C6" s="134" t="s">
        <v>218</v>
      </c>
      <c r="D6" s="13"/>
      <c r="E6" s="134" t="s">
        <v>219</v>
      </c>
      <c r="F6" s="12"/>
      <c r="G6" s="12"/>
      <c r="H6" s="12"/>
      <c r="I6" s="12"/>
      <c r="J6" s="13"/>
      <c r="K6" s="135" t="s">
        <v>343</v>
      </c>
      <c r="L6" s="12"/>
      <c r="M6" s="12"/>
      <c r="N6" s="134" t="s">
        <v>222</v>
      </c>
      <c r="O6" s="12"/>
      <c r="P6" s="12"/>
      <c r="Q6" s="12"/>
      <c r="R6" s="12"/>
      <c r="S6" s="131"/>
      <c r="T6" s="475"/>
      <c r="U6" s="477"/>
      <c r="V6" s="475"/>
      <c r="W6" s="475"/>
      <c r="X6" s="475"/>
      <c r="Y6" s="475"/>
    </row>
    <row r="7" ht="13.5" customHeight="1">
      <c r="A7" s="359">
        <f>COUNTIF(E53:N53,"P")</f>
        <v>0</v>
      </c>
      <c r="B7" s="138"/>
      <c r="C7" s="360">
        <f>COUNTIF(E53:N53,"F")</f>
        <v>0</v>
      </c>
      <c r="D7" s="138"/>
      <c r="E7" s="360">
        <f>SUM(N7,-A7,-C7)</f>
        <v>4</v>
      </c>
      <c r="F7" s="140"/>
      <c r="G7" s="140"/>
      <c r="H7" s="140"/>
      <c r="I7" s="140"/>
      <c r="J7" s="138"/>
      <c r="K7" s="361">
        <f>COUNTIF(E52:N52,"N")</f>
        <v>1</v>
      </c>
      <c r="L7" s="361">
        <f>COUNTIF(E52:N52,"A")</f>
        <v>2</v>
      </c>
      <c r="M7" s="361">
        <f>COUNTIF(E52:N52,"B")</f>
        <v>1</v>
      </c>
      <c r="N7" s="360">
        <f>COUNTA(E9:N9)</f>
        <v>4</v>
      </c>
      <c r="O7" s="140"/>
      <c r="P7" s="140"/>
      <c r="Q7" s="140"/>
      <c r="R7" s="140"/>
      <c r="S7" s="284"/>
      <c r="T7" s="480"/>
      <c r="U7" s="475"/>
      <c r="V7" s="475"/>
      <c r="W7" s="475"/>
      <c r="X7" s="475"/>
      <c r="Y7" s="475"/>
    </row>
    <row r="8" ht="12.0" customHeight="1">
      <c r="A8" s="475"/>
      <c r="B8" s="475"/>
      <c r="C8" s="475"/>
      <c r="D8" s="475"/>
      <c r="E8" s="475"/>
      <c r="F8" s="475"/>
      <c r="G8" s="475"/>
      <c r="H8" s="475"/>
      <c r="I8" s="475"/>
      <c r="J8" s="475"/>
      <c r="K8" s="475"/>
      <c r="L8" s="475"/>
      <c r="M8" s="475"/>
      <c r="N8" s="475"/>
      <c r="O8" s="475"/>
      <c r="P8" s="475"/>
      <c r="Q8" s="475"/>
      <c r="R8" s="475"/>
      <c r="S8" s="475"/>
      <c r="T8" s="475"/>
      <c r="U8" s="475"/>
      <c r="V8" s="475"/>
      <c r="W8" s="475"/>
      <c r="X8" s="475"/>
      <c r="Y8" s="475"/>
    </row>
    <row r="9" ht="45.0" customHeight="1">
      <c r="A9" s="481"/>
      <c r="B9" s="482"/>
      <c r="C9" s="482"/>
      <c r="D9" s="482"/>
      <c r="E9" s="369" t="s">
        <v>344</v>
      </c>
      <c r="F9" s="369" t="s">
        <v>345</v>
      </c>
      <c r="G9" s="369" t="s">
        <v>346</v>
      </c>
      <c r="H9" s="369" t="s">
        <v>347</v>
      </c>
      <c r="I9" s="369"/>
      <c r="J9" s="369"/>
      <c r="K9" s="369"/>
      <c r="L9" s="369"/>
      <c r="M9" s="369"/>
      <c r="N9" s="369"/>
      <c r="O9" s="483"/>
      <c r="P9" s="483"/>
      <c r="Q9" s="483"/>
      <c r="R9" s="483"/>
      <c r="S9" s="484"/>
      <c r="T9" s="475"/>
      <c r="U9" s="477"/>
      <c r="V9" s="475"/>
      <c r="W9" s="475"/>
      <c r="X9" s="475"/>
      <c r="Y9" s="475"/>
    </row>
    <row r="10" ht="13.5" customHeight="1">
      <c r="A10" s="485" t="s">
        <v>350</v>
      </c>
      <c r="B10" s="347" t="s">
        <v>351</v>
      </c>
      <c r="C10" s="349"/>
      <c r="D10" s="420"/>
      <c r="E10" s="588"/>
      <c r="F10" s="588"/>
      <c r="G10" s="588"/>
      <c r="H10" s="588"/>
      <c r="I10" s="588"/>
      <c r="J10" s="588"/>
      <c r="K10" s="588"/>
      <c r="L10" s="588"/>
      <c r="M10" s="588"/>
      <c r="N10" s="588"/>
      <c r="O10" s="355"/>
      <c r="P10" s="355"/>
      <c r="Q10" s="355"/>
      <c r="R10" s="355"/>
      <c r="S10" s="541"/>
      <c r="T10" s="475"/>
      <c r="U10" s="475"/>
      <c r="V10" s="475"/>
      <c r="W10" s="475"/>
      <c r="X10" s="475"/>
      <c r="Y10" s="475"/>
    </row>
    <row r="11" ht="13.5" customHeight="1">
      <c r="A11" s="486"/>
      <c r="B11" s="307"/>
      <c r="C11" s="349"/>
      <c r="D11" s="489" t="s">
        <v>744</v>
      </c>
      <c r="E11" s="383" t="s">
        <v>353</v>
      </c>
      <c r="F11" s="588"/>
      <c r="G11" s="383"/>
      <c r="H11" s="383"/>
      <c r="I11" s="383"/>
      <c r="J11" s="383"/>
      <c r="K11" s="383"/>
      <c r="L11" s="383"/>
      <c r="M11" s="383"/>
      <c r="N11" s="383"/>
      <c r="O11" s="355"/>
      <c r="P11" s="355"/>
      <c r="Q11" s="355"/>
      <c r="R11" s="355"/>
      <c r="S11" s="541"/>
      <c r="T11" s="475"/>
      <c r="U11" s="477"/>
      <c r="V11" s="475"/>
      <c r="W11" s="475"/>
      <c r="X11" s="475"/>
      <c r="Y11" s="475"/>
    </row>
    <row r="12" ht="13.5" customHeight="1">
      <c r="A12" s="486"/>
      <c r="B12" s="347"/>
      <c r="C12" s="249"/>
      <c r="D12" s="489" t="s">
        <v>745</v>
      </c>
      <c r="E12" s="588"/>
      <c r="F12" s="383" t="s">
        <v>353</v>
      </c>
      <c r="G12" s="588"/>
      <c r="H12" s="588"/>
      <c r="I12" s="588"/>
      <c r="J12" s="588"/>
      <c r="K12" s="588"/>
      <c r="L12" s="588"/>
      <c r="M12" s="588"/>
      <c r="N12" s="588"/>
      <c r="O12" s="355"/>
      <c r="P12" s="355"/>
      <c r="Q12" s="355"/>
      <c r="R12" s="355"/>
      <c r="S12" s="541"/>
      <c r="T12" s="475"/>
      <c r="U12" s="475"/>
      <c r="V12" s="475"/>
      <c r="W12" s="475"/>
      <c r="X12" s="475"/>
      <c r="Y12" s="475"/>
    </row>
    <row r="13" ht="13.5" customHeight="1">
      <c r="A13" s="486"/>
      <c r="B13" s="307"/>
      <c r="C13" s="349"/>
      <c r="D13" s="489"/>
      <c r="E13" s="588"/>
      <c r="F13" s="588"/>
      <c r="G13" s="588"/>
      <c r="H13" s="588"/>
      <c r="I13" s="588"/>
      <c r="J13" s="588"/>
      <c r="K13" s="588"/>
      <c r="L13" s="588"/>
      <c r="M13" s="588"/>
      <c r="N13" s="588"/>
      <c r="O13" s="355"/>
      <c r="P13" s="355"/>
      <c r="Q13" s="355"/>
      <c r="R13" s="355"/>
      <c r="S13" s="541"/>
      <c r="T13" s="475"/>
      <c r="U13" s="475"/>
      <c r="V13" s="475"/>
      <c r="W13" s="475"/>
      <c r="X13" s="475"/>
      <c r="Y13" s="475"/>
    </row>
    <row r="14" ht="13.5" customHeight="1">
      <c r="A14" s="486"/>
      <c r="B14" s="347"/>
      <c r="C14" s="349"/>
      <c r="D14" s="489" t="s">
        <v>746</v>
      </c>
      <c r="E14" s="383"/>
      <c r="F14" s="588"/>
      <c r="G14" s="588" t="s">
        <v>353</v>
      </c>
      <c r="H14" s="383"/>
      <c r="I14" s="383"/>
      <c r="J14" s="383"/>
      <c r="K14" s="383"/>
      <c r="L14" s="383"/>
      <c r="M14" s="383"/>
      <c r="N14" s="588"/>
      <c r="O14" s="355"/>
      <c r="P14" s="355"/>
      <c r="Q14" s="355"/>
      <c r="R14" s="355"/>
      <c r="S14" s="541"/>
      <c r="T14" s="475"/>
      <c r="U14" s="475"/>
      <c r="V14" s="475"/>
      <c r="W14" s="475"/>
      <c r="X14" s="475"/>
      <c r="Y14" s="475"/>
    </row>
    <row r="15" ht="13.5" customHeight="1">
      <c r="A15" s="486"/>
      <c r="B15" s="347"/>
      <c r="C15" s="349"/>
      <c r="D15" s="489" t="s">
        <v>747</v>
      </c>
      <c r="E15" s="588"/>
      <c r="F15" s="588"/>
      <c r="G15" s="383"/>
      <c r="H15" s="588" t="s">
        <v>353</v>
      </c>
      <c r="I15" s="588"/>
      <c r="J15" s="588"/>
      <c r="K15" s="588"/>
      <c r="L15" s="588"/>
      <c r="M15" s="588"/>
      <c r="N15" s="588"/>
      <c r="O15" s="355"/>
      <c r="P15" s="355"/>
      <c r="Q15" s="355"/>
      <c r="R15" s="355"/>
      <c r="S15" s="541"/>
      <c r="T15" s="475"/>
      <c r="U15" s="475"/>
      <c r="V15" s="475"/>
      <c r="W15" s="475"/>
      <c r="X15" s="475"/>
      <c r="Y15" s="475"/>
    </row>
    <row r="16" ht="13.5" customHeight="1">
      <c r="A16" s="486"/>
      <c r="B16" s="347"/>
      <c r="C16" s="349"/>
      <c r="D16" s="489"/>
      <c r="E16" s="588"/>
      <c r="F16" s="588"/>
      <c r="G16" s="588"/>
      <c r="H16" s="588"/>
      <c r="I16" s="588"/>
      <c r="J16" s="588"/>
      <c r="K16" s="588"/>
      <c r="L16" s="588"/>
      <c r="M16" s="588"/>
      <c r="N16" s="383"/>
      <c r="O16" s="355"/>
      <c r="P16" s="355"/>
      <c r="Q16" s="355"/>
      <c r="R16" s="355"/>
      <c r="S16" s="541"/>
      <c r="T16" s="475"/>
      <c r="U16" s="475"/>
      <c r="V16" s="475"/>
      <c r="W16" s="475"/>
      <c r="X16" s="475"/>
      <c r="Y16" s="475"/>
    </row>
    <row r="17" ht="13.5" customHeight="1">
      <c r="A17" s="486"/>
      <c r="B17" s="347"/>
      <c r="C17" s="349"/>
      <c r="D17" s="489"/>
      <c r="E17" s="588"/>
      <c r="F17" s="383"/>
      <c r="G17" s="588"/>
      <c r="H17" s="588"/>
      <c r="I17" s="588"/>
      <c r="J17" s="588"/>
      <c r="K17" s="588"/>
      <c r="L17" s="588"/>
      <c r="M17" s="588"/>
      <c r="N17" s="588"/>
      <c r="O17" s="355"/>
      <c r="P17" s="355"/>
      <c r="Q17" s="355"/>
      <c r="R17" s="355"/>
      <c r="S17" s="541"/>
      <c r="T17" s="475"/>
      <c r="U17" s="475"/>
      <c r="V17" s="475"/>
      <c r="W17" s="475"/>
      <c r="X17" s="475"/>
      <c r="Y17" s="475"/>
    </row>
    <row r="18" ht="13.5" customHeight="1">
      <c r="A18" s="486"/>
      <c r="B18" s="347"/>
      <c r="C18" s="349"/>
      <c r="D18" s="489"/>
      <c r="E18" s="588"/>
      <c r="F18" s="588"/>
      <c r="G18" s="588"/>
      <c r="H18" s="588"/>
      <c r="I18" s="588"/>
      <c r="J18" s="588"/>
      <c r="K18" s="588"/>
      <c r="L18" s="588"/>
      <c r="M18" s="588"/>
      <c r="N18" s="588"/>
      <c r="O18" s="355"/>
      <c r="P18" s="355"/>
      <c r="Q18" s="355"/>
      <c r="R18" s="355"/>
      <c r="S18" s="541"/>
      <c r="T18" s="475"/>
      <c r="U18" s="475"/>
      <c r="V18" s="475"/>
      <c r="W18" s="475"/>
      <c r="X18" s="475"/>
      <c r="Y18" s="475"/>
    </row>
    <row r="19" ht="13.5" customHeight="1">
      <c r="A19" s="486"/>
      <c r="B19" s="347"/>
      <c r="C19" s="349"/>
      <c r="D19" s="489"/>
      <c r="E19" s="383"/>
      <c r="F19" s="588"/>
      <c r="G19" s="588"/>
      <c r="H19" s="588"/>
      <c r="I19" s="588"/>
      <c r="J19" s="383"/>
      <c r="K19" s="383"/>
      <c r="L19" s="383"/>
      <c r="M19" s="383"/>
      <c r="N19" s="588"/>
      <c r="O19" s="355"/>
      <c r="P19" s="355"/>
      <c r="Q19" s="355"/>
      <c r="R19" s="355"/>
      <c r="S19" s="541"/>
      <c r="T19" s="475"/>
      <c r="U19" s="475"/>
      <c r="V19" s="475"/>
      <c r="W19" s="475"/>
      <c r="X19" s="475"/>
      <c r="Y19" s="475"/>
    </row>
    <row r="20" ht="13.5" customHeight="1">
      <c r="A20" s="486"/>
      <c r="B20" s="347"/>
      <c r="C20" s="349"/>
      <c r="D20" s="489"/>
      <c r="E20" s="588"/>
      <c r="F20" s="588"/>
      <c r="G20" s="588"/>
      <c r="H20" s="383"/>
      <c r="I20" s="588"/>
      <c r="J20" s="588"/>
      <c r="K20" s="588"/>
      <c r="L20" s="588"/>
      <c r="M20" s="588"/>
      <c r="N20" s="588"/>
      <c r="O20" s="355"/>
      <c r="P20" s="355"/>
      <c r="Q20" s="355"/>
      <c r="R20" s="355"/>
      <c r="S20" s="541"/>
      <c r="T20" s="475"/>
      <c r="U20" s="475"/>
      <c r="V20" s="475"/>
      <c r="W20" s="475"/>
      <c r="X20" s="475"/>
      <c r="Y20" s="475"/>
    </row>
    <row r="21" ht="13.5" customHeight="1">
      <c r="A21" s="486"/>
      <c r="B21" s="347"/>
      <c r="C21" s="349"/>
      <c r="D21" s="489"/>
      <c r="E21" s="588"/>
      <c r="F21" s="588"/>
      <c r="G21" s="383"/>
      <c r="H21" s="588"/>
      <c r="I21" s="383"/>
      <c r="J21" s="588"/>
      <c r="K21" s="588"/>
      <c r="L21" s="588"/>
      <c r="M21" s="588"/>
      <c r="N21" s="588"/>
      <c r="O21" s="355"/>
      <c r="P21" s="355"/>
      <c r="Q21" s="355"/>
      <c r="R21" s="355"/>
      <c r="S21" s="541"/>
      <c r="T21" s="475"/>
      <c r="U21" s="475"/>
      <c r="V21" s="475"/>
      <c r="W21" s="475"/>
      <c r="X21" s="475"/>
      <c r="Y21" s="475"/>
    </row>
    <row r="22" ht="13.5" customHeight="1">
      <c r="A22" s="486"/>
      <c r="B22" s="347"/>
      <c r="C22" s="349"/>
      <c r="D22" s="489"/>
      <c r="E22" s="588"/>
      <c r="F22" s="383"/>
      <c r="G22" s="588"/>
      <c r="H22" s="588"/>
      <c r="I22" s="588"/>
      <c r="J22" s="588"/>
      <c r="K22" s="588"/>
      <c r="L22" s="588"/>
      <c r="M22" s="588"/>
      <c r="N22" s="383"/>
      <c r="O22" s="355"/>
      <c r="P22" s="355"/>
      <c r="Q22" s="355"/>
      <c r="R22" s="355"/>
      <c r="S22" s="541"/>
      <c r="T22" s="475"/>
      <c r="U22" s="475"/>
      <c r="V22" s="475"/>
      <c r="W22" s="475"/>
      <c r="X22" s="475"/>
      <c r="Y22" s="475"/>
    </row>
    <row r="23" ht="13.5" customHeight="1">
      <c r="A23" s="486"/>
      <c r="B23" s="347"/>
      <c r="C23" s="349"/>
      <c r="D23" s="354"/>
      <c r="E23" s="588"/>
      <c r="F23" s="588"/>
      <c r="G23" s="588"/>
      <c r="H23" s="588"/>
      <c r="I23" s="588"/>
      <c r="J23" s="588"/>
      <c r="K23" s="588"/>
      <c r="L23" s="588"/>
      <c r="M23" s="588"/>
      <c r="N23" s="588"/>
      <c r="O23" s="355"/>
      <c r="P23" s="355"/>
      <c r="Q23" s="355"/>
      <c r="R23" s="355"/>
      <c r="S23" s="541"/>
      <c r="T23" s="475"/>
      <c r="U23" s="475"/>
      <c r="V23" s="475"/>
      <c r="W23" s="475"/>
      <c r="X23" s="475"/>
      <c r="Y23" s="475"/>
    </row>
    <row r="24" ht="13.5" customHeight="1">
      <c r="A24" s="486"/>
      <c r="B24" s="347"/>
      <c r="C24" s="349"/>
      <c r="D24" s="489"/>
      <c r="E24" s="383"/>
      <c r="F24" s="588"/>
      <c r="G24" s="588"/>
      <c r="H24" s="588"/>
      <c r="I24" s="588"/>
      <c r="J24" s="588"/>
      <c r="K24" s="588"/>
      <c r="L24" s="588"/>
      <c r="M24" s="588"/>
      <c r="N24" s="588"/>
      <c r="O24" s="355"/>
      <c r="P24" s="355"/>
      <c r="Q24" s="355"/>
      <c r="R24" s="355"/>
      <c r="S24" s="541"/>
      <c r="T24" s="475"/>
      <c r="U24" s="475"/>
      <c r="V24" s="475"/>
      <c r="W24" s="475"/>
      <c r="X24" s="475"/>
      <c r="Y24" s="475"/>
    </row>
    <row r="25" ht="13.5" customHeight="1">
      <c r="A25" s="486"/>
      <c r="B25" s="347"/>
      <c r="C25" s="349"/>
      <c r="D25" s="489"/>
      <c r="E25" s="588"/>
      <c r="F25" s="588"/>
      <c r="G25" s="588"/>
      <c r="H25" s="383"/>
      <c r="I25" s="588"/>
      <c r="J25" s="383"/>
      <c r="K25" s="383"/>
      <c r="L25" s="588"/>
      <c r="M25" s="383"/>
      <c r="N25" s="588"/>
      <c r="O25" s="355"/>
      <c r="P25" s="355"/>
      <c r="Q25" s="355"/>
      <c r="R25" s="355"/>
      <c r="S25" s="541"/>
      <c r="T25" s="475"/>
      <c r="U25" s="475"/>
      <c r="V25" s="475"/>
      <c r="W25" s="475"/>
      <c r="X25" s="475"/>
      <c r="Y25" s="475"/>
    </row>
    <row r="26" ht="13.5" customHeight="1">
      <c r="A26" s="486"/>
      <c r="B26" s="347"/>
      <c r="C26" s="349"/>
      <c r="D26" s="489"/>
      <c r="E26" s="588"/>
      <c r="F26" s="588"/>
      <c r="G26" s="588"/>
      <c r="H26" s="588"/>
      <c r="I26" s="383"/>
      <c r="J26" s="588"/>
      <c r="K26" s="588"/>
      <c r="L26" s="588"/>
      <c r="M26" s="588"/>
      <c r="N26" s="588"/>
      <c r="O26" s="355"/>
      <c r="P26" s="355"/>
      <c r="Q26" s="355"/>
      <c r="R26" s="355"/>
      <c r="S26" s="541"/>
      <c r="T26" s="475"/>
      <c r="U26" s="475"/>
      <c r="V26" s="475"/>
      <c r="W26" s="475"/>
      <c r="X26" s="475"/>
      <c r="Y26" s="475"/>
    </row>
    <row r="27" ht="13.5" customHeight="1">
      <c r="A27" s="486"/>
      <c r="B27" s="347"/>
      <c r="C27" s="349"/>
      <c r="D27" s="489"/>
      <c r="E27" s="588"/>
      <c r="F27" s="588"/>
      <c r="G27" s="588"/>
      <c r="H27" s="588"/>
      <c r="I27" s="588"/>
      <c r="J27" s="588"/>
      <c r="K27" s="588"/>
      <c r="L27" s="383"/>
      <c r="M27" s="588"/>
      <c r="N27" s="588"/>
      <c r="O27" s="355"/>
      <c r="P27" s="355"/>
      <c r="Q27" s="355"/>
      <c r="R27" s="355"/>
      <c r="S27" s="541"/>
      <c r="T27" s="475"/>
      <c r="U27" s="475"/>
      <c r="V27" s="475"/>
      <c r="W27" s="475"/>
      <c r="X27" s="475"/>
      <c r="Y27" s="475"/>
    </row>
    <row r="28" ht="13.5" customHeight="1">
      <c r="A28" s="486"/>
      <c r="B28" s="347"/>
      <c r="C28" s="349"/>
      <c r="D28" s="489"/>
      <c r="E28" s="588"/>
      <c r="F28" s="383"/>
      <c r="G28" s="383"/>
      <c r="H28" s="588"/>
      <c r="I28" s="588"/>
      <c r="J28" s="588"/>
      <c r="K28" s="588"/>
      <c r="L28" s="588"/>
      <c r="M28" s="588"/>
      <c r="N28" s="383"/>
      <c r="O28" s="355"/>
      <c r="P28" s="355"/>
      <c r="Q28" s="355"/>
      <c r="R28" s="355"/>
      <c r="S28" s="541"/>
      <c r="T28" s="475"/>
      <c r="U28" s="475"/>
      <c r="V28" s="475"/>
      <c r="W28" s="475"/>
      <c r="X28" s="475"/>
      <c r="Y28" s="475"/>
    </row>
    <row r="29" ht="13.5" customHeight="1">
      <c r="A29" s="486"/>
      <c r="B29" s="347"/>
      <c r="C29" s="349"/>
      <c r="D29" s="354"/>
      <c r="E29" s="588"/>
      <c r="F29" s="588"/>
      <c r="G29" s="588"/>
      <c r="H29" s="588"/>
      <c r="I29" s="588"/>
      <c r="J29" s="588"/>
      <c r="K29" s="588"/>
      <c r="L29" s="588"/>
      <c r="M29" s="588"/>
      <c r="N29" s="588"/>
      <c r="O29" s="355"/>
      <c r="P29" s="355"/>
      <c r="Q29" s="355"/>
      <c r="R29" s="355"/>
      <c r="S29" s="541"/>
      <c r="T29" s="475"/>
      <c r="U29" s="475"/>
      <c r="V29" s="475"/>
      <c r="W29" s="475"/>
      <c r="X29" s="475"/>
      <c r="Y29" s="475"/>
    </row>
    <row r="30" ht="13.5" customHeight="1">
      <c r="A30" s="486"/>
      <c r="B30" s="347"/>
      <c r="C30" s="349"/>
      <c r="D30" s="489"/>
      <c r="E30" s="383"/>
      <c r="F30" s="588"/>
      <c r="G30" s="588"/>
      <c r="H30" s="383"/>
      <c r="I30" s="588"/>
      <c r="J30" s="383"/>
      <c r="K30" s="383"/>
      <c r="L30" s="588"/>
      <c r="M30" s="383"/>
      <c r="N30" s="588"/>
      <c r="O30" s="355"/>
      <c r="P30" s="355"/>
      <c r="Q30" s="355"/>
      <c r="R30" s="355"/>
      <c r="S30" s="541"/>
      <c r="T30" s="475"/>
      <c r="U30" s="475"/>
      <c r="V30" s="475"/>
      <c r="W30" s="475"/>
      <c r="X30" s="475"/>
      <c r="Y30" s="475"/>
    </row>
    <row r="31" ht="13.5" customHeight="1">
      <c r="A31" s="486"/>
      <c r="B31" s="347"/>
      <c r="C31" s="349"/>
      <c r="D31" s="420"/>
      <c r="E31" s="588"/>
      <c r="F31" s="588"/>
      <c r="G31" s="588"/>
      <c r="H31" s="588"/>
      <c r="I31" s="383"/>
      <c r="J31" s="588"/>
      <c r="K31" s="588"/>
      <c r="L31" s="383"/>
      <c r="M31" s="588"/>
      <c r="N31" s="588"/>
      <c r="O31" s="355"/>
      <c r="P31" s="355"/>
      <c r="Q31" s="355"/>
      <c r="R31" s="355"/>
      <c r="S31" s="541"/>
      <c r="T31" s="475"/>
      <c r="U31" s="475"/>
      <c r="V31" s="475"/>
      <c r="W31" s="475"/>
      <c r="X31" s="475"/>
      <c r="Y31" s="475"/>
    </row>
    <row r="32" ht="13.5" customHeight="1">
      <c r="A32" s="486"/>
      <c r="B32" s="347"/>
      <c r="C32" s="349"/>
      <c r="D32" s="489"/>
      <c r="E32" s="588"/>
      <c r="F32" s="383"/>
      <c r="G32" s="383"/>
      <c r="H32" s="588"/>
      <c r="I32" s="588"/>
      <c r="J32" s="588"/>
      <c r="K32" s="588"/>
      <c r="L32" s="588"/>
      <c r="M32" s="588"/>
      <c r="N32" s="383"/>
      <c r="O32" s="355"/>
      <c r="P32" s="355"/>
      <c r="Q32" s="355"/>
      <c r="R32" s="355"/>
      <c r="S32" s="541"/>
      <c r="T32" s="475"/>
      <c r="U32" s="475"/>
      <c r="V32" s="475"/>
      <c r="W32" s="475"/>
      <c r="X32" s="475"/>
      <c r="Y32" s="475"/>
    </row>
    <row r="33" ht="13.5" customHeight="1">
      <c r="A33" s="515"/>
      <c r="B33" s="523"/>
      <c r="C33" s="517"/>
      <c r="D33" s="489"/>
      <c r="E33" s="588"/>
      <c r="F33" s="588"/>
      <c r="G33" s="588"/>
      <c r="H33" s="588"/>
      <c r="I33" s="588"/>
      <c r="J33" s="588"/>
      <c r="K33" s="588"/>
      <c r="L33" s="588"/>
      <c r="M33" s="588"/>
      <c r="N33" s="588"/>
      <c r="O33" s="355"/>
      <c r="P33" s="355"/>
      <c r="Q33" s="355"/>
      <c r="R33" s="355"/>
      <c r="S33" s="541"/>
      <c r="T33" s="475"/>
      <c r="U33" s="475"/>
      <c r="V33" s="475"/>
      <c r="W33" s="475"/>
      <c r="X33" s="475"/>
      <c r="Y33" s="475"/>
    </row>
    <row r="34" ht="13.5" customHeight="1">
      <c r="A34" s="515"/>
      <c r="B34" s="522"/>
      <c r="C34" s="442"/>
      <c r="D34" s="443"/>
      <c r="E34" s="383"/>
      <c r="F34" s="588"/>
      <c r="G34" s="588"/>
      <c r="H34" s="383"/>
      <c r="I34" s="588"/>
      <c r="J34" s="383"/>
      <c r="K34" s="588"/>
      <c r="L34" s="383"/>
      <c r="M34" s="383"/>
      <c r="N34" s="588"/>
      <c r="O34" s="355"/>
      <c r="P34" s="355"/>
      <c r="Q34" s="355"/>
      <c r="R34" s="355"/>
      <c r="S34" s="541"/>
      <c r="T34" s="475"/>
      <c r="U34" s="475"/>
      <c r="V34" s="475"/>
      <c r="W34" s="475"/>
      <c r="X34" s="475"/>
      <c r="Y34" s="475"/>
    </row>
    <row r="35" ht="13.5" customHeight="1">
      <c r="A35" s="515"/>
      <c r="B35" s="522"/>
      <c r="C35" s="442"/>
      <c r="D35" s="443"/>
      <c r="E35" s="588"/>
      <c r="F35" s="588"/>
      <c r="G35" s="588"/>
      <c r="H35" s="588"/>
      <c r="I35" s="383"/>
      <c r="J35" s="588"/>
      <c r="K35" s="383"/>
      <c r="L35" s="588"/>
      <c r="M35" s="588"/>
      <c r="N35" s="588"/>
      <c r="O35" s="355"/>
      <c r="P35" s="355"/>
      <c r="Q35" s="355"/>
      <c r="R35" s="355"/>
      <c r="S35" s="541"/>
      <c r="T35" s="475"/>
      <c r="U35" s="475"/>
      <c r="V35" s="475"/>
      <c r="W35" s="475"/>
      <c r="X35" s="475"/>
      <c r="Y35" s="475"/>
    </row>
    <row r="36" ht="13.5" customHeight="1">
      <c r="A36" s="515"/>
      <c r="B36" s="599"/>
      <c r="C36" s="453"/>
      <c r="D36" s="454"/>
      <c r="E36" s="600"/>
      <c r="F36" s="400"/>
      <c r="G36" s="400"/>
      <c r="H36" s="600"/>
      <c r="I36" s="600"/>
      <c r="J36" s="600"/>
      <c r="K36" s="600"/>
      <c r="L36" s="600"/>
      <c r="M36" s="600"/>
      <c r="N36" s="400"/>
      <c r="O36" s="509"/>
      <c r="P36" s="509"/>
      <c r="Q36" s="509"/>
      <c r="R36" s="509"/>
      <c r="S36" s="580"/>
      <c r="T36" s="475"/>
      <c r="U36" s="475"/>
      <c r="V36" s="475"/>
      <c r="W36" s="475"/>
      <c r="X36" s="475"/>
      <c r="Y36" s="475"/>
    </row>
    <row r="37" ht="13.5" customHeight="1">
      <c r="A37" s="550" t="s">
        <v>359</v>
      </c>
      <c r="B37" s="551" t="s">
        <v>360</v>
      </c>
      <c r="C37" s="433"/>
      <c r="D37" s="506"/>
      <c r="E37" s="601"/>
      <c r="F37" s="601"/>
      <c r="G37" s="601"/>
      <c r="H37" s="601"/>
      <c r="I37" s="601"/>
      <c r="J37" s="601"/>
      <c r="K37" s="601"/>
      <c r="L37" s="601"/>
      <c r="M37" s="601"/>
      <c r="N37" s="601"/>
      <c r="O37" s="514"/>
      <c r="P37" s="514"/>
      <c r="Q37" s="514"/>
      <c r="R37" s="514"/>
      <c r="S37" s="539"/>
      <c r="T37" s="475"/>
      <c r="U37" s="475"/>
      <c r="V37" s="475"/>
      <c r="W37" s="475"/>
      <c r="X37" s="475"/>
      <c r="Y37" s="475"/>
    </row>
    <row r="38" ht="13.5" customHeight="1">
      <c r="A38" s="507"/>
      <c r="B38" s="522"/>
      <c r="C38" s="442"/>
      <c r="D38" s="443" t="s">
        <v>748</v>
      </c>
      <c r="E38" s="383" t="s">
        <v>353</v>
      </c>
      <c r="F38" s="588"/>
      <c r="G38" s="588"/>
      <c r="H38" s="383"/>
      <c r="I38" s="383"/>
      <c r="J38" s="383"/>
      <c r="K38" s="383"/>
      <c r="L38" s="383"/>
      <c r="M38" s="383"/>
      <c r="N38" s="588"/>
      <c r="O38" s="355"/>
      <c r="P38" s="355"/>
      <c r="Q38" s="355"/>
      <c r="R38" s="355"/>
      <c r="S38" s="541"/>
      <c r="T38" s="475"/>
      <c r="U38" s="475"/>
      <c r="V38" s="475"/>
      <c r="W38" s="475"/>
      <c r="X38" s="475"/>
      <c r="Y38" s="475"/>
    </row>
    <row r="39" ht="13.5" customHeight="1">
      <c r="A39" s="507"/>
      <c r="B39" s="522"/>
      <c r="C39" s="442"/>
      <c r="D39" s="443" t="s">
        <v>749</v>
      </c>
      <c r="E39" s="588"/>
      <c r="F39" s="383" t="s">
        <v>353</v>
      </c>
      <c r="G39" s="383"/>
      <c r="H39" s="588"/>
      <c r="I39" s="588"/>
      <c r="J39" s="588"/>
      <c r="K39" s="588"/>
      <c r="L39" s="588"/>
      <c r="M39" s="588"/>
      <c r="N39" s="383"/>
      <c r="O39" s="355"/>
      <c r="P39" s="355"/>
      <c r="Q39" s="355"/>
      <c r="R39" s="355"/>
      <c r="S39" s="541"/>
      <c r="T39" s="475"/>
      <c r="U39" s="475"/>
      <c r="V39" s="475"/>
      <c r="W39" s="475"/>
      <c r="X39" s="475"/>
      <c r="Y39" s="475"/>
    </row>
    <row r="40" ht="13.5" customHeight="1">
      <c r="A40" s="507"/>
      <c r="B40" s="522"/>
      <c r="C40" s="442"/>
      <c r="D40" s="448"/>
      <c r="E40" s="588"/>
      <c r="F40" s="588"/>
      <c r="G40" s="588"/>
      <c r="H40" s="588"/>
      <c r="I40" s="588"/>
      <c r="J40" s="588"/>
      <c r="K40" s="588"/>
      <c r="L40" s="588"/>
      <c r="M40" s="588"/>
      <c r="N40" s="588"/>
      <c r="O40" s="355"/>
      <c r="P40" s="355"/>
      <c r="Q40" s="355"/>
      <c r="R40" s="355"/>
      <c r="S40" s="541"/>
      <c r="T40" s="475"/>
      <c r="U40" s="475"/>
      <c r="V40" s="475"/>
      <c r="W40" s="475"/>
      <c r="X40" s="475"/>
      <c r="Y40" s="475"/>
    </row>
    <row r="41" ht="13.5" customHeight="1">
      <c r="A41" s="507"/>
      <c r="B41" s="522"/>
      <c r="C41" s="442"/>
      <c r="D41" s="443" t="s">
        <v>750</v>
      </c>
      <c r="E41" s="383"/>
      <c r="F41" s="588"/>
      <c r="G41" s="588" t="s">
        <v>353</v>
      </c>
      <c r="H41" s="383"/>
      <c r="I41" s="383"/>
      <c r="J41" s="383"/>
      <c r="K41" s="383"/>
      <c r="L41" s="383"/>
      <c r="M41" s="383"/>
      <c r="N41" s="588"/>
      <c r="O41" s="355"/>
      <c r="P41" s="355"/>
      <c r="Q41" s="355"/>
      <c r="R41" s="355"/>
      <c r="S41" s="541"/>
      <c r="T41" s="475"/>
      <c r="U41" s="475"/>
      <c r="V41" s="475"/>
      <c r="W41" s="475"/>
      <c r="X41" s="475"/>
      <c r="Y41" s="475"/>
    </row>
    <row r="42" ht="13.5" customHeight="1">
      <c r="A42" s="507"/>
      <c r="B42" s="522"/>
      <c r="C42" s="442"/>
      <c r="D42" s="443" t="s">
        <v>751</v>
      </c>
      <c r="E42" s="588"/>
      <c r="F42" s="383"/>
      <c r="G42" s="383"/>
      <c r="H42" s="588" t="s">
        <v>353</v>
      </c>
      <c r="I42" s="588"/>
      <c r="J42" s="588"/>
      <c r="K42" s="588"/>
      <c r="L42" s="588"/>
      <c r="M42" s="588"/>
      <c r="N42" s="383"/>
      <c r="O42" s="355"/>
      <c r="P42" s="355"/>
      <c r="Q42" s="355"/>
      <c r="R42" s="355"/>
      <c r="S42" s="541"/>
      <c r="T42" s="475"/>
      <c r="U42" s="475"/>
      <c r="V42" s="475"/>
      <c r="W42" s="475"/>
      <c r="X42" s="475"/>
      <c r="Y42" s="475"/>
    </row>
    <row r="43" ht="13.5" customHeight="1">
      <c r="A43" s="507"/>
      <c r="B43" s="522"/>
      <c r="C43" s="442"/>
      <c r="D43" s="443"/>
      <c r="E43" s="588"/>
      <c r="F43" s="588"/>
      <c r="G43" s="588"/>
      <c r="H43" s="588"/>
      <c r="I43" s="588"/>
      <c r="J43" s="588"/>
      <c r="K43" s="588"/>
      <c r="L43" s="588"/>
      <c r="M43" s="588"/>
      <c r="N43" s="588"/>
      <c r="O43" s="355"/>
      <c r="P43" s="355"/>
      <c r="Q43" s="355"/>
      <c r="R43" s="355"/>
      <c r="S43" s="541"/>
      <c r="T43" s="475"/>
      <c r="U43" s="475"/>
      <c r="V43" s="475"/>
      <c r="W43" s="475"/>
      <c r="X43" s="475"/>
      <c r="Y43" s="475"/>
    </row>
    <row r="44" ht="13.5" customHeight="1">
      <c r="A44" s="507"/>
      <c r="B44" s="307"/>
      <c r="C44" s="442"/>
      <c r="D44" s="443"/>
      <c r="E44" s="383"/>
      <c r="F44" s="588"/>
      <c r="G44" s="588"/>
      <c r="H44" s="383"/>
      <c r="I44" s="383"/>
      <c r="J44" s="383"/>
      <c r="K44" s="383"/>
      <c r="L44" s="383"/>
      <c r="M44" s="383"/>
      <c r="N44" s="588"/>
      <c r="O44" s="355"/>
      <c r="P44" s="355"/>
      <c r="Q44" s="355"/>
      <c r="R44" s="355"/>
      <c r="S44" s="541"/>
      <c r="T44" s="475"/>
      <c r="U44" s="475"/>
      <c r="V44" s="475"/>
      <c r="W44" s="475"/>
      <c r="X44" s="475"/>
      <c r="Y44" s="475"/>
    </row>
    <row r="45" ht="13.5" customHeight="1">
      <c r="A45" s="507"/>
      <c r="B45" s="522"/>
      <c r="C45" s="442"/>
      <c r="D45" s="443"/>
      <c r="E45" s="588"/>
      <c r="F45" s="383"/>
      <c r="G45" s="383"/>
      <c r="H45" s="588"/>
      <c r="I45" s="588"/>
      <c r="J45" s="588"/>
      <c r="K45" s="588"/>
      <c r="L45" s="588"/>
      <c r="M45" s="588"/>
      <c r="N45" s="383"/>
      <c r="O45" s="355"/>
      <c r="P45" s="355"/>
      <c r="Q45" s="355"/>
      <c r="R45" s="355"/>
      <c r="S45" s="541"/>
      <c r="T45" s="475"/>
      <c r="U45" s="475"/>
      <c r="V45" s="475"/>
      <c r="W45" s="475"/>
      <c r="X45" s="475"/>
      <c r="Y45" s="475"/>
    </row>
    <row r="46" ht="13.5" customHeight="1">
      <c r="A46" s="507"/>
      <c r="B46" s="522"/>
      <c r="C46" s="442"/>
      <c r="D46" s="443"/>
      <c r="E46" s="588"/>
      <c r="F46" s="588"/>
      <c r="G46" s="588"/>
      <c r="H46" s="588"/>
      <c r="I46" s="588"/>
      <c r="J46" s="588"/>
      <c r="K46" s="588"/>
      <c r="L46" s="588"/>
      <c r="M46" s="588"/>
      <c r="N46" s="588"/>
      <c r="O46" s="355"/>
      <c r="P46" s="355"/>
      <c r="Q46" s="355"/>
      <c r="R46" s="355"/>
      <c r="S46" s="541"/>
      <c r="T46" s="475"/>
      <c r="U46" s="475"/>
      <c r="V46" s="475"/>
      <c r="W46" s="475"/>
      <c r="X46" s="475"/>
      <c r="Y46" s="475"/>
    </row>
    <row r="47" ht="13.5" customHeight="1">
      <c r="A47" s="507"/>
      <c r="B47" s="579"/>
      <c r="C47" s="442"/>
      <c r="D47" s="443"/>
      <c r="E47" s="383"/>
      <c r="F47" s="588"/>
      <c r="G47" s="588"/>
      <c r="H47" s="383"/>
      <c r="I47" s="383"/>
      <c r="J47" s="383"/>
      <c r="K47" s="383"/>
      <c r="L47" s="383"/>
      <c r="M47" s="383"/>
      <c r="N47" s="588"/>
      <c r="O47" s="355"/>
      <c r="P47" s="355"/>
      <c r="Q47" s="355"/>
      <c r="R47" s="355"/>
      <c r="S47" s="541"/>
      <c r="T47" s="475"/>
      <c r="U47" s="475"/>
      <c r="V47" s="475"/>
      <c r="W47" s="475"/>
      <c r="X47" s="475"/>
      <c r="Y47" s="475"/>
    </row>
    <row r="48" ht="13.5" customHeight="1">
      <c r="A48" s="507"/>
      <c r="B48" s="554"/>
      <c r="C48" s="442"/>
      <c r="D48" s="443"/>
      <c r="E48" s="602"/>
      <c r="F48" s="396"/>
      <c r="G48" s="396"/>
      <c r="H48" s="602"/>
      <c r="I48" s="602"/>
      <c r="J48" s="602"/>
      <c r="K48" s="588"/>
      <c r="L48" s="602"/>
      <c r="M48" s="602"/>
      <c r="N48" s="396"/>
      <c r="O48" s="525"/>
      <c r="P48" s="525"/>
      <c r="Q48" s="525"/>
      <c r="R48" s="525"/>
      <c r="S48" s="553"/>
      <c r="T48" s="475"/>
      <c r="U48" s="475"/>
      <c r="V48" s="475"/>
      <c r="W48" s="475"/>
      <c r="X48" s="475"/>
      <c r="Y48" s="475"/>
    </row>
    <row r="49" ht="12.0" customHeight="1">
      <c r="A49" s="507"/>
      <c r="B49" s="522"/>
      <c r="C49" s="442"/>
      <c r="D49" s="443"/>
      <c r="E49" s="588"/>
      <c r="F49" s="588"/>
      <c r="G49" s="588"/>
      <c r="H49" s="588"/>
      <c r="I49" s="588"/>
      <c r="J49" s="588"/>
      <c r="K49" s="588"/>
      <c r="L49" s="588"/>
      <c r="M49" s="588"/>
      <c r="N49" s="588"/>
      <c r="O49" s="355"/>
      <c r="P49" s="355"/>
      <c r="Q49" s="355"/>
      <c r="R49" s="355"/>
      <c r="S49" s="541"/>
      <c r="T49" s="475"/>
      <c r="U49" s="475"/>
      <c r="V49" s="475"/>
      <c r="W49" s="475"/>
      <c r="X49" s="475"/>
      <c r="Y49" s="475"/>
    </row>
    <row r="50" ht="12.0" customHeight="1">
      <c r="A50" s="555"/>
      <c r="B50" s="594"/>
      <c r="C50" s="557"/>
      <c r="D50" s="558"/>
      <c r="E50" s="383"/>
      <c r="F50" s="588"/>
      <c r="G50" s="588"/>
      <c r="H50" s="383"/>
      <c r="I50" s="383"/>
      <c r="J50" s="383"/>
      <c r="K50" s="383"/>
      <c r="L50" s="383"/>
      <c r="M50" s="383"/>
      <c r="N50" s="588"/>
      <c r="O50" s="355"/>
      <c r="P50" s="355"/>
      <c r="Q50" s="355"/>
      <c r="R50" s="355"/>
      <c r="S50" s="541"/>
      <c r="T50" s="475"/>
      <c r="U50" s="475"/>
      <c r="V50" s="475"/>
      <c r="W50" s="475"/>
      <c r="X50" s="475"/>
      <c r="Y50" s="475"/>
    </row>
    <row r="51" ht="13.5" customHeight="1">
      <c r="A51" s="507"/>
      <c r="B51" s="554"/>
      <c r="C51" s="453"/>
      <c r="D51" s="454"/>
      <c r="E51" s="588"/>
      <c r="F51" s="383"/>
      <c r="G51" s="383"/>
      <c r="H51" s="588"/>
      <c r="I51" s="588"/>
      <c r="J51" s="588"/>
      <c r="K51" s="588"/>
      <c r="L51" s="588"/>
      <c r="M51" s="588"/>
      <c r="N51" s="383"/>
      <c r="O51" s="509"/>
      <c r="P51" s="509"/>
      <c r="Q51" s="509"/>
      <c r="R51" s="509"/>
      <c r="S51" s="580"/>
      <c r="T51" s="475"/>
      <c r="U51" s="475"/>
      <c r="V51" s="475"/>
      <c r="W51" s="475"/>
      <c r="X51" s="475"/>
      <c r="Y51" s="475"/>
    </row>
    <row r="52" ht="13.5" customHeight="1">
      <c r="A52" s="550" t="s">
        <v>367</v>
      </c>
      <c r="B52" s="459" t="s">
        <v>704</v>
      </c>
      <c r="C52" s="198"/>
      <c r="D52" s="199"/>
      <c r="E52" s="527" t="s">
        <v>220</v>
      </c>
      <c r="F52" s="527" t="s">
        <v>38</v>
      </c>
      <c r="G52" s="527" t="s">
        <v>221</v>
      </c>
      <c r="H52" s="527" t="s">
        <v>38</v>
      </c>
      <c r="I52" s="527"/>
      <c r="J52" s="527"/>
      <c r="K52" s="527"/>
      <c r="L52" s="527"/>
      <c r="M52" s="527"/>
      <c r="N52" s="527"/>
      <c r="O52" s="514"/>
      <c r="P52" s="514"/>
      <c r="Q52" s="514"/>
      <c r="R52" s="514"/>
      <c r="S52" s="539"/>
      <c r="T52" s="475"/>
      <c r="U52" s="475"/>
      <c r="V52" s="475"/>
      <c r="W52" s="475"/>
      <c r="X52" s="475"/>
      <c r="Y52" s="475"/>
    </row>
    <row r="53" ht="13.5" customHeight="1">
      <c r="A53" s="532"/>
      <c r="B53" s="463" t="s">
        <v>705</v>
      </c>
      <c r="C53" s="12"/>
      <c r="D53" s="13"/>
      <c r="E53" s="533"/>
      <c r="F53" s="533"/>
      <c r="G53" s="533"/>
      <c r="H53" s="533"/>
      <c r="I53" s="355"/>
      <c r="J53" s="533"/>
      <c r="K53" s="533"/>
      <c r="L53" s="533"/>
      <c r="M53" s="533"/>
      <c r="N53" s="533"/>
      <c r="O53" s="355"/>
      <c r="P53" s="355"/>
      <c r="Q53" s="355"/>
      <c r="R53" s="355"/>
      <c r="S53" s="541"/>
      <c r="T53" s="475"/>
      <c r="U53" s="475"/>
      <c r="V53" s="475"/>
      <c r="W53" s="475"/>
      <c r="X53" s="475"/>
      <c r="Y53" s="475"/>
    </row>
    <row r="54" ht="13.5" customHeight="1">
      <c r="A54" s="532"/>
      <c r="B54" s="465" t="s">
        <v>706</v>
      </c>
      <c r="C54" s="12"/>
      <c r="D54" s="13"/>
      <c r="E54" s="448"/>
      <c r="F54" s="448"/>
      <c r="G54" s="448"/>
      <c r="H54" s="448"/>
      <c r="I54" s="448"/>
      <c r="J54" s="448"/>
      <c r="K54" s="448"/>
      <c r="L54" s="448"/>
      <c r="M54" s="448"/>
      <c r="N54" s="448"/>
      <c r="O54" s="537"/>
      <c r="P54" s="537"/>
      <c r="Q54" s="537"/>
      <c r="R54" s="537"/>
      <c r="S54" s="542"/>
      <c r="T54" s="475"/>
      <c r="U54" s="475"/>
      <c r="V54" s="475"/>
      <c r="W54" s="475"/>
      <c r="X54" s="475"/>
      <c r="Y54" s="475"/>
    </row>
    <row r="55" ht="13.5" customHeight="1">
      <c r="A55" s="538"/>
      <c r="B55" s="470" t="s">
        <v>372</v>
      </c>
      <c r="C55" s="216"/>
      <c r="D55" s="217"/>
      <c r="E55" s="540"/>
      <c r="F55" s="540"/>
      <c r="G55" s="540"/>
      <c r="H55" s="540"/>
      <c r="I55" s="540"/>
      <c r="J55" s="540"/>
      <c r="K55" s="540"/>
      <c r="L55" s="540"/>
      <c r="M55" s="540"/>
      <c r="N55" s="540"/>
      <c r="O55" s="540"/>
      <c r="P55" s="540"/>
      <c r="Q55" s="540"/>
      <c r="R55" s="540"/>
      <c r="S55" s="543"/>
      <c r="T55" s="475"/>
      <c r="U55" s="475"/>
      <c r="V55" s="475"/>
      <c r="W55" s="475"/>
      <c r="X55" s="475"/>
      <c r="Y55" s="475"/>
    </row>
    <row r="56" ht="13.5" customHeight="1">
      <c r="A56" s="475"/>
      <c r="B56" s="475"/>
      <c r="C56" s="475"/>
      <c r="D56" s="475"/>
      <c r="E56" s="475"/>
      <c r="F56" s="475"/>
      <c r="G56" s="475"/>
      <c r="H56" s="475"/>
      <c r="I56" s="475"/>
      <c r="J56" s="475"/>
      <c r="K56" s="475"/>
      <c r="L56" s="475"/>
      <c r="M56" s="475"/>
      <c r="N56" s="475"/>
      <c r="O56" s="475"/>
      <c r="P56" s="475"/>
      <c r="Q56" s="475"/>
      <c r="R56" s="475"/>
      <c r="S56" s="475"/>
      <c r="T56" s="475"/>
      <c r="U56" s="475"/>
      <c r="V56" s="475"/>
      <c r="W56" s="475"/>
      <c r="X56" s="475"/>
      <c r="Y56" s="475"/>
    </row>
    <row r="57" ht="13.5" customHeight="1">
      <c r="A57" s="475"/>
      <c r="B57" s="475"/>
      <c r="C57" s="475"/>
      <c r="D57" s="475"/>
      <c r="E57" s="475"/>
      <c r="F57" s="475"/>
      <c r="G57" s="475"/>
      <c r="H57" s="475"/>
      <c r="I57" s="475"/>
      <c r="J57" s="475"/>
      <c r="K57" s="475"/>
      <c r="L57" s="475"/>
      <c r="M57" s="475"/>
      <c r="N57" s="475"/>
      <c r="O57" s="475"/>
      <c r="P57" s="475"/>
      <c r="Q57" s="475"/>
      <c r="R57" s="475"/>
      <c r="S57" s="475"/>
      <c r="T57" s="475"/>
      <c r="U57" s="475"/>
      <c r="V57" s="475"/>
      <c r="W57" s="475"/>
      <c r="X57" s="475"/>
      <c r="Y57" s="475"/>
    </row>
    <row r="58" ht="13.5" customHeight="1">
      <c r="A58" s="475"/>
      <c r="B58" s="475"/>
      <c r="C58" s="475"/>
      <c r="D58" s="475"/>
      <c r="E58" s="475"/>
      <c r="F58" s="475"/>
      <c r="G58" s="475"/>
      <c r="H58" s="475"/>
      <c r="I58" s="475"/>
      <c r="J58" s="475"/>
      <c r="K58" s="475"/>
      <c r="L58" s="475"/>
      <c r="M58" s="475"/>
      <c r="N58" s="475"/>
      <c r="O58" s="475"/>
      <c r="P58" s="475"/>
      <c r="Q58" s="475"/>
      <c r="R58" s="475"/>
      <c r="S58" s="475"/>
      <c r="T58" s="475"/>
      <c r="U58" s="475"/>
      <c r="V58" s="475"/>
      <c r="W58" s="475"/>
      <c r="X58" s="475"/>
      <c r="Y58" s="475"/>
    </row>
    <row r="59" ht="13.5" customHeight="1">
      <c r="A59" s="475"/>
      <c r="B59" s="475"/>
      <c r="C59" s="475"/>
      <c r="D59" s="475"/>
      <c r="E59" s="475"/>
      <c r="F59" s="475"/>
      <c r="G59" s="475"/>
      <c r="H59" s="475"/>
      <c r="I59" s="475"/>
      <c r="J59" s="475"/>
      <c r="K59" s="475"/>
      <c r="L59" s="475"/>
      <c r="M59" s="475"/>
      <c r="N59" s="475"/>
      <c r="O59" s="475"/>
      <c r="P59" s="475"/>
      <c r="Q59" s="475"/>
      <c r="R59" s="475"/>
      <c r="S59" s="475"/>
      <c r="T59" s="475"/>
      <c r="U59" s="475"/>
      <c r="V59" s="475"/>
      <c r="W59" s="475"/>
      <c r="X59" s="475"/>
      <c r="Y59" s="475"/>
    </row>
    <row r="60" ht="13.5" customHeight="1">
      <c r="A60" s="475"/>
      <c r="B60" s="475"/>
      <c r="C60" s="475"/>
      <c r="D60" s="475"/>
      <c r="E60" s="475"/>
      <c r="F60" s="475"/>
      <c r="G60" s="475"/>
      <c r="H60" s="475"/>
      <c r="I60" s="475"/>
      <c r="J60" s="475"/>
      <c r="K60" s="475"/>
      <c r="L60" s="475"/>
      <c r="M60" s="475"/>
      <c r="N60" s="475"/>
      <c r="O60" s="475"/>
      <c r="P60" s="475"/>
      <c r="Q60" s="475"/>
      <c r="R60" s="475"/>
      <c r="S60" s="475"/>
      <c r="T60" s="475"/>
      <c r="U60" s="475"/>
      <c r="V60" s="475"/>
      <c r="W60" s="475"/>
      <c r="X60" s="475"/>
      <c r="Y60" s="475"/>
    </row>
    <row r="61" ht="13.5" customHeight="1">
      <c r="A61" s="475"/>
      <c r="B61" s="475"/>
      <c r="C61" s="475"/>
      <c r="D61" s="475"/>
      <c r="E61" s="475"/>
      <c r="F61" s="475"/>
      <c r="G61" s="475"/>
      <c r="H61" s="475"/>
      <c r="I61" s="475"/>
      <c r="J61" s="475"/>
      <c r="K61" s="475"/>
      <c r="L61" s="475"/>
      <c r="M61" s="475"/>
      <c r="N61" s="475"/>
      <c r="O61" s="475"/>
      <c r="P61" s="475"/>
      <c r="Q61" s="475"/>
      <c r="R61" s="475"/>
      <c r="S61" s="475"/>
      <c r="T61" s="475"/>
      <c r="U61" s="475"/>
      <c r="V61" s="475"/>
      <c r="W61" s="475"/>
      <c r="X61" s="475"/>
      <c r="Y61" s="475"/>
    </row>
    <row r="62" ht="13.5" customHeight="1">
      <c r="A62" s="475"/>
      <c r="B62" s="475"/>
      <c r="C62" s="475"/>
      <c r="D62" s="475"/>
      <c r="E62" s="475"/>
      <c r="F62" s="475"/>
      <c r="G62" s="475"/>
      <c r="H62" s="475"/>
      <c r="I62" s="475"/>
      <c r="J62" s="475"/>
      <c r="K62" s="475"/>
      <c r="L62" s="475"/>
      <c r="M62" s="475"/>
      <c r="N62" s="475"/>
      <c r="O62" s="475"/>
      <c r="P62" s="475"/>
      <c r="Q62" s="475"/>
      <c r="R62" s="475"/>
      <c r="S62" s="475"/>
      <c r="T62" s="475"/>
      <c r="U62" s="475"/>
      <c r="V62" s="475"/>
      <c r="W62" s="475"/>
      <c r="X62" s="475"/>
      <c r="Y62" s="475"/>
    </row>
    <row r="63" ht="13.5" customHeight="1">
      <c r="A63" s="475"/>
      <c r="B63" s="475"/>
      <c r="C63" s="475"/>
      <c r="D63" s="475"/>
      <c r="E63" s="475"/>
      <c r="F63" s="475"/>
      <c r="G63" s="475"/>
      <c r="H63" s="475"/>
      <c r="I63" s="475"/>
      <c r="J63" s="475"/>
      <c r="K63" s="475"/>
      <c r="L63" s="475"/>
      <c r="M63" s="475"/>
      <c r="N63" s="475"/>
      <c r="O63" s="475"/>
      <c r="P63" s="475"/>
      <c r="Q63" s="475"/>
      <c r="R63" s="475"/>
      <c r="S63" s="475"/>
      <c r="T63" s="475"/>
      <c r="U63" s="475"/>
      <c r="V63" s="475"/>
      <c r="W63" s="475"/>
      <c r="X63" s="475"/>
      <c r="Y63" s="475"/>
    </row>
    <row r="64" ht="13.5" customHeight="1">
      <c r="A64" s="475"/>
      <c r="B64" s="475"/>
      <c r="C64" s="475"/>
      <c r="D64" s="475"/>
      <c r="E64" s="475"/>
      <c r="F64" s="475"/>
      <c r="G64" s="475"/>
      <c r="H64" s="475"/>
      <c r="I64" s="475"/>
      <c r="J64" s="475"/>
      <c r="K64" s="475"/>
      <c r="L64" s="475"/>
      <c r="M64" s="475"/>
      <c r="N64" s="475"/>
      <c r="O64" s="475"/>
      <c r="P64" s="475"/>
      <c r="Q64" s="475"/>
      <c r="R64" s="475"/>
      <c r="S64" s="475"/>
      <c r="T64" s="475"/>
      <c r="U64" s="475"/>
      <c r="V64" s="475"/>
      <c r="W64" s="475"/>
      <c r="X64" s="475"/>
      <c r="Y64" s="475"/>
    </row>
    <row r="65" ht="13.5" customHeight="1">
      <c r="A65" s="475"/>
      <c r="B65" s="475"/>
      <c r="C65" s="475"/>
      <c r="D65" s="475"/>
      <c r="E65" s="475"/>
      <c r="F65" s="475"/>
      <c r="G65" s="475"/>
      <c r="H65" s="475"/>
      <c r="I65" s="475"/>
      <c r="J65" s="475"/>
      <c r="K65" s="475"/>
      <c r="L65" s="475"/>
      <c r="M65" s="475"/>
      <c r="N65" s="475"/>
      <c r="O65" s="475"/>
      <c r="P65" s="475"/>
      <c r="Q65" s="475"/>
      <c r="R65" s="475"/>
      <c r="S65" s="475"/>
      <c r="T65" s="475"/>
      <c r="U65" s="475"/>
      <c r="V65" s="475"/>
      <c r="W65" s="475"/>
      <c r="X65" s="475"/>
      <c r="Y65" s="475"/>
    </row>
    <row r="66" ht="13.5" customHeight="1">
      <c r="A66" s="475"/>
      <c r="B66" s="475"/>
      <c r="C66" s="475"/>
      <c r="D66" s="475"/>
      <c r="E66" s="475"/>
      <c r="F66" s="475"/>
      <c r="G66" s="475"/>
      <c r="H66" s="475"/>
      <c r="I66" s="475"/>
      <c r="J66" s="475"/>
      <c r="K66" s="475"/>
      <c r="L66" s="475"/>
      <c r="M66" s="475"/>
      <c r="N66" s="475"/>
      <c r="O66" s="475"/>
      <c r="P66" s="475"/>
      <c r="Q66" s="475"/>
      <c r="R66" s="475"/>
      <c r="S66" s="475"/>
      <c r="T66" s="475"/>
      <c r="U66" s="475"/>
      <c r="V66" s="475"/>
      <c r="W66" s="475"/>
      <c r="X66" s="475"/>
      <c r="Y66" s="475"/>
    </row>
    <row r="67" ht="13.5" customHeight="1">
      <c r="A67" s="475"/>
      <c r="B67" s="475"/>
      <c r="C67" s="475"/>
      <c r="D67" s="475"/>
      <c r="E67" s="475"/>
      <c r="F67" s="475"/>
      <c r="G67" s="475"/>
      <c r="H67" s="475"/>
      <c r="I67" s="475"/>
      <c r="J67" s="475"/>
      <c r="K67" s="475"/>
      <c r="L67" s="475"/>
      <c r="M67" s="475"/>
      <c r="N67" s="475"/>
      <c r="O67" s="475"/>
      <c r="P67" s="475"/>
      <c r="Q67" s="475"/>
      <c r="R67" s="475"/>
      <c r="S67" s="475"/>
      <c r="T67" s="475"/>
      <c r="U67" s="475"/>
      <c r="V67" s="475"/>
      <c r="W67" s="475"/>
      <c r="X67" s="475"/>
      <c r="Y67" s="475"/>
    </row>
    <row r="68" ht="13.5" customHeight="1">
      <c r="A68" s="475"/>
      <c r="B68" s="475"/>
      <c r="C68" s="475"/>
      <c r="D68" s="475"/>
      <c r="E68" s="475"/>
      <c r="F68" s="475"/>
      <c r="G68" s="475"/>
      <c r="H68" s="475"/>
      <c r="I68" s="475"/>
      <c r="J68" s="475"/>
      <c r="K68" s="475"/>
      <c r="L68" s="475"/>
      <c r="M68" s="475"/>
      <c r="N68" s="475"/>
      <c r="O68" s="475"/>
      <c r="P68" s="475"/>
      <c r="Q68" s="475"/>
      <c r="R68" s="475"/>
      <c r="S68" s="475"/>
      <c r="T68" s="475"/>
      <c r="U68" s="475"/>
      <c r="V68" s="475"/>
      <c r="W68" s="475"/>
      <c r="X68" s="475"/>
      <c r="Y68" s="475"/>
    </row>
    <row r="69" ht="13.5" customHeight="1">
      <c r="A69" s="475"/>
      <c r="B69" s="475"/>
      <c r="C69" s="475"/>
      <c r="D69" s="475"/>
      <c r="E69" s="475"/>
      <c r="F69" s="475"/>
      <c r="G69" s="475"/>
      <c r="H69" s="475"/>
      <c r="I69" s="475"/>
      <c r="J69" s="475"/>
      <c r="K69" s="475"/>
      <c r="L69" s="475"/>
      <c r="M69" s="475"/>
      <c r="N69" s="475"/>
      <c r="O69" s="475"/>
      <c r="P69" s="475"/>
      <c r="Q69" s="475"/>
      <c r="R69" s="475"/>
      <c r="S69" s="475"/>
      <c r="T69" s="475"/>
      <c r="U69" s="475"/>
      <c r="V69" s="475"/>
      <c r="W69" s="475"/>
      <c r="X69" s="475"/>
      <c r="Y69" s="475"/>
    </row>
    <row r="70" ht="13.5" customHeight="1">
      <c r="A70" s="475"/>
      <c r="B70" s="475"/>
      <c r="C70" s="475"/>
      <c r="D70" s="475"/>
      <c r="E70" s="475"/>
      <c r="F70" s="475"/>
      <c r="G70" s="475"/>
      <c r="H70" s="475"/>
      <c r="I70" s="475"/>
      <c r="J70" s="475"/>
      <c r="K70" s="475"/>
      <c r="L70" s="475"/>
      <c r="M70" s="475"/>
      <c r="N70" s="475"/>
      <c r="O70" s="475"/>
      <c r="P70" s="475"/>
      <c r="Q70" s="475"/>
      <c r="R70" s="475"/>
      <c r="S70" s="475"/>
      <c r="T70" s="475"/>
      <c r="U70" s="475"/>
      <c r="V70" s="475"/>
      <c r="W70" s="475"/>
      <c r="X70" s="475"/>
      <c r="Y70" s="475"/>
    </row>
    <row r="71" ht="13.5" customHeight="1">
      <c r="A71" s="475"/>
      <c r="B71" s="475"/>
      <c r="C71" s="475"/>
      <c r="D71" s="475"/>
      <c r="E71" s="475"/>
      <c r="F71" s="475"/>
      <c r="G71" s="475"/>
      <c r="H71" s="475"/>
      <c r="I71" s="475"/>
      <c r="J71" s="475"/>
      <c r="K71" s="475"/>
      <c r="L71" s="475"/>
      <c r="M71" s="475"/>
      <c r="N71" s="475"/>
      <c r="O71" s="475"/>
      <c r="P71" s="475"/>
      <c r="Q71" s="475"/>
      <c r="R71" s="475"/>
      <c r="S71" s="475"/>
      <c r="T71" s="475"/>
      <c r="U71" s="475"/>
      <c r="V71" s="475"/>
      <c r="W71" s="475"/>
      <c r="X71" s="475"/>
      <c r="Y71" s="475"/>
    </row>
    <row r="72" ht="13.5" customHeight="1">
      <c r="A72" s="475"/>
      <c r="B72" s="475"/>
      <c r="C72" s="475"/>
      <c r="D72" s="475"/>
      <c r="E72" s="475"/>
      <c r="F72" s="475"/>
      <c r="G72" s="475"/>
      <c r="H72" s="475"/>
      <c r="I72" s="475"/>
      <c r="J72" s="475"/>
      <c r="K72" s="475"/>
      <c r="L72" s="475"/>
      <c r="M72" s="475"/>
      <c r="N72" s="475"/>
      <c r="O72" s="475"/>
      <c r="P72" s="475"/>
      <c r="Q72" s="475"/>
      <c r="R72" s="475"/>
      <c r="S72" s="475"/>
      <c r="T72" s="475"/>
      <c r="U72" s="475"/>
      <c r="V72" s="475"/>
      <c r="W72" s="475"/>
      <c r="X72" s="475"/>
      <c r="Y72" s="475"/>
    </row>
    <row r="73" ht="13.5" customHeight="1">
      <c r="A73" s="475"/>
      <c r="B73" s="475"/>
      <c r="C73" s="475"/>
      <c r="D73" s="475"/>
      <c r="E73" s="475"/>
      <c r="F73" s="475"/>
      <c r="G73" s="475"/>
      <c r="H73" s="475"/>
      <c r="I73" s="475"/>
      <c r="J73" s="475"/>
      <c r="K73" s="475"/>
      <c r="L73" s="475"/>
      <c r="M73" s="475"/>
      <c r="N73" s="475"/>
      <c r="O73" s="475"/>
      <c r="P73" s="475"/>
      <c r="Q73" s="475"/>
      <c r="R73" s="475"/>
      <c r="S73" s="475"/>
      <c r="T73" s="475"/>
      <c r="U73" s="475"/>
      <c r="V73" s="475"/>
      <c r="W73" s="475"/>
      <c r="X73" s="475"/>
      <c r="Y73" s="475"/>
    </row>
    <row r="74" ht="13.5" customHeight="1">
      <c r="A74" s="475"/>
      <c r="B74" s="475"/>
      <c r="C74" s="475"/>
      <c r="D74" s="475"/>
      <c r="E74" s="475"/>
      <c r="F74" s="475"/>
      <c r="G74" s="475"/>
      <c r="H74" s="475"/>
      <c r="I74" s="475"/>
      <c r="J74" s="475"/>
      <c r="K74" s="475"/>
      <c r="L74" s="475"/>
      <c r="M74" s="475"/>
      <c r="N74" s="475"/>
      <c r="O74" s="475"/>
      <c r="P74" s="475"/>
      <c r="Q74" s="475"/>
      <c r="R74" s="475"/>
      <c r="S74" s="475"/>
      <c r="T74" s="475"/>
      <c r="U74" s="475"/>
      <c r="V74" s="475"/>
      <c r="W74" s="475"/>
      <c r="X74" s="475"/>
      <c r="Y74" s="475"/>
    </row>
    <row r="75" ht="13.5" customHeight="1">
      <c r="A75" s="475"/>
      <c r="B75" s="475"/>
      <c r="C75" s="475"/>
      <c r="D75" s="475"/>
      <c r="E75" s="475"/>
      <c r="F75" s="475"/>
      <c r="G75" s="475"/>
      <c r="H75" s="475"/>
      <c r="I75" s="475"/>
      <c r="J75" s="475"/>
      <c r="K75" s="475"/>
      <c r="L75" s="475"/>
      <c r="M75" s="475"/>
      <c r="N75" s="475"/>
      <c r="O75" s="475"/>
      <c r="P75" s="475"/>
      <c r="Q75" s="475"/>
      <c r="R75" s="475"/>
      <c r="S75" s="475"/>
      <c r="T75" s="475"/>
      <c r="U75" s="475"/>
      <c r="V75" s="475"/>
      <c r="W75" s="475"/>
      <c r="X75" s="475"/>
      <c r="Y75" s="475"/>
    </row>
    <row r="76" ht="13.5" customHeight="1">
      <c r="A76" s="475"/>
      <c r="B76" s="475"/>
      <c r="C76" s="475"/>
      <c r="D76" s="475"/>
      <c r="E76" s="475"/>
      <c r="F76" s="475"/>
      <c r="G76" s="475"/>
      <c r="H76" s="475"/>
      <c r="I76" s="475"/>
      <c r="J76" s="475"/>
      <c r="K76" s="475"/>
      <c r="L76" s="475"/>
      <c r="M76" s="475"/>
      <c r="N76" s="475"/>
      <c r="O76" s="475"/>
      <c r="P76" s="475"/>
      <c r="Q76" s="475"/>
      <c r="R76" s="475"/>
      <c r="S76" s="475"/>
      <c r="T76" s="475"/>
      <c r="U76" s="475"/>
      <c r="V76" s="475"/>
      <c r="W76" s="475"/>
      <c r="X76" s="475"/>
      <c r="Y76" s="475"/>
    </row>
    <row r="77" ht="13.5" customHeight="1">
      <c r="A77" s="475"/>
      <c r="B77" s="475"/>
      <c r="C77" s="475"/>
      <c r="D77" s="475"/>
      <c r="E77" s="475"/>
      <c r="F77" s="475"/>
      <c r="G77" s="475"/>
      <c r="H77" s="475"/>
      <c r="I77" s="475"/>
      <c r="J77" s="475"/>
      <c r="K77" s="475"/>
      <c r="L77" s="475"/>
      <c r="M77" s="475"/>
      <c r="N77" s="475"/>
      <c r="O77" s="475"/>
      <c r="P77" s="475"/>
      <c r="Q77" s="475"/>
      <c r="R77" s="475"/>
      <c r="S77" s="475"/>
      <c r="T77" s="475"/>
      <c r="U77" s="475"/>
      <c r="V77" s="475"/>
      <c r="W77" s="475"/>
      <c r="X77" s="475"/>
      <c r="Y77" s="475"/>
    </row>
    <row r="78" ht="13.5" customHeight="1">
      <c r="A78" s="475"/>
      <c r="B78" s="475"/>
      <c r="C78" s="475"/>
      <c r="D78" s="475"/>
      <c r="E78" s="475"/>
      <c r="F78" s="475"/>
      <c r="G78" s="475"/>
      <c r="H78" s="475"/>
      <c r="I78" s="475"/>
      <c r="J78" s="475"/>
      <c r="K78" s="475"/>
      <c r="L78" s="475"/>
      <c r="M78" s="475"/>
      <c r="N78" s="475"/>
      <c r="O78" s="475"/>
      <c r="P78" s="475"/>
      <c r="Q78" s="475"/>
      <c r="R78" s="475"/>
      <c r="S78" s="475"/>
      <c r="T78" s="475"/>
      <c r="U78" s="475"/>
      <c r="V78" s="475"/>
      <c r="W78" s="475"/>
      <c r="X78" s="475"/>
      <c r="Y78" s="475"/>
    </row>
    <row r="79" ht="13.5" customHeight="1">
      <c r="A79" s="475"/>
      <c r="B79" s="475"/>
      <c r="C79" s="475"/>
      <c r="D79" s="475"/>
      <c r="E79" s="475"/>
      <c r="F79" s="475"/>
      <c r="G79" s="475"/>
      <c r="H79" s="475"/>
      <c r="I79" s="475"/>
      <c r="J79" s="475"/>
      <c r="K79" s="475"/>
      <c r="L79" s="475"/>
      <c r="M79" s="475"/>
      <c r="N79" s="475"/>
      <c r="O79" s="475"/>
      <c r="P79" s="475"/>
      <c r="Q79" s="475"/>
      <c r="R79" s="475"/>
      <c r="S79" s="475"/>
      <c r="T79" s="475"/>
      <c r="U79" s="475"/>
      <c r="V79" s="475"/>
      <c r="W79" s="475"/>
      <c r="X79" s="475"/>
      <c r="Y79" s="475"/>
    </row>
    <row r="80" ht="13.5" customHeight="1">
      <c r="A80" s="475"/>
      <c r="B80" s="475"/>
      <c r="C80" s="475"/>
      <c r="D80" s="475"/>
      <c r="E80" s="475"/>
      <c r="F80" s="475"/>
      <c r="G80" s="475"/>
      <c r="H80" s="475"/>
      <c r="I80" s="475"/>
      <c r="J80" s="475"/>
      <c r="K80" s="475"/>
      <c r="L80" s="475"/>
      <c r="M80" s="475"/>
      <c r="N80" s="475"/>
      <c r="O80" s="475"/>
      <c r="P80" s="475"/>
      <c r="Q80" s="475"/>
      <c r="R80" s="475"/>
      <c r="S80" s="475"/>
      <c r="T80" s="475"/>
      <c r="U80" s="475"/>
      <c r="V80" s="475"/>
      <c r="W80" s="475"/>
      <c r="X80" s="475"/>
      <c r="Y80" s="475"/>
    </row>
    <row r="81" ht="13.5" customHeight="1">
      <c r="A81" s="475"/>
      <c r="B81" s="475"/>
      <c r="C81" s="475"/>
      <c r="D81" s="475"/>
      <c r="E81" s="475"/>
      <c r="F81" s="475"/>
      <c r="G81" s="475"/>
      <c r="H81" s="475"/>
      <c r="I81" s="475"/>
      <c r="J81" s="475"/>
      <c r="K81" s="475"/>
      <c r="L81" s="475"/>
      <c r="M81" s="475"/>
      <c r="N81" s="475"/>
      <c r="O81" s="475"/>
      <c r="P81" s="475"/>
      <c r="Q81" s="475"/>
      <c r="R81" s="475"/>
      <c r="S81" s="475"/>
      <c r="T81" s="475"/>
      <c r="U81" s="475"/>
      <c r="V81" s="475"/>
      <c r="W81" s="475"/>
      <c r="X81" s="475"/>
      <c r="Y81" s="475"/>
    </row>
    <row r="82" ht="13.5" customHeight="1">
      <c r="A82" s="475"/>
      <c r="B82" s="475"/>
      <c r="C82" s="475"/>
      <c r="D82" s="475"/>
      <c r="E82" s="475"/>
      <c r="F82" s="475"/>
      <c r="G82" s="475"/>
      <c r="H82" s="475"/>
      <c r="I82" s="475"/>
      <c r="J82" s="475"/>
      <c r="K82" s="475"/>
      <c r="L82" s="475"/>
      <c r="M82" s="475"/>
      <c r="N82" s="475"/>
      <c r="O82" s="475"/>
      <c r="P82" s="475"/>
      <c r="Q82" s="475"/>
      <c r="R82" s="475"/>
      <c r="S82" s="475"/>
      <c r="T82" s="475"/>
      <c r="U82" s="475"/>
      <c r="V82" s="475"/>
      <c r="W82" s="475"/>
      <c r="X82" s="475"/>
      <c r="Y82" s="475"/>
    </row>
    <row r="83" ht="13.5" customHeight="1">
      <c r="A83" s="475"/>
      <c r="B83" s="475"/>
      <c r="C83" s="475"/>
      <c r="D83" s="475"/>
      <c r="E83" s="475"/>
      <c r="F83" s="475"/>
      <c r="G83" s="475"/>
      <c r="H83" s="475"/>
      <c r="I83" s="475"/>
      <c r="J83" s="475"/>
      <c r="K83" s="475"/>
      <c r="L83" s="475"/>
      <c r="M83" s="475"/>
      <c r="N83" s="475"/>
      <c r="O83" s="475"/>
      <c r="P83" s="475"/>
      <c r="Q83" s="475"/>
      <c r="R83" s="475"/>
      <c r="S83" s="475"/>
      <c r="T83" s="475"/>
      <c r="U83" s="475"/>
      <c r="V83" s="475"/>
      <c r="W83" s="475"/>
      <c r="X83" s="475"/>
      <c r="Y83" s="475"/>
    </row>
    <row r="84" ht="13.5" customHeight="1">
      <c r="A84" s="475"/>
      <c r="B84" s="475"/>
      <c r="C84" s="475"/>
      <c r="D84" s="475"/>
      <c r="E84" s="475"/>
      <c r="F84" s="475"/>
      <c r="G84" s="475"/>
      <c r="H84" s="475"/>
      <c r="I84" s="475"/>
      <c r="J84" s="475"/>
      <c r="K84" s="475"/>
      <c r="L84" s="475"/>
      <c r="M84" s="475"/>
      <c r="N84" s="475"/>
      <c r="O84" s="475"/>
      <c r="P84" s="475"/>
      <c r="Q84" s="475"/>
      <c r="R84" s="475"/>
      <c r="S84" s="475"/>
      <c r="T84" s="475"/>
      <c r="U84" s="475"/>
      <c r="V84" s="475"/>
      <c r="W84" s="475"/>
      <c r="X84" s="475"/>
      <c r="Y84" s="475"/>
    </row>
    <row r="85" ht="13.5" customHeight="1">
      <c r="A85" s="475"/>
      <c r="B85" s="475"/>
      <c r="C85" s="475"/>
      <c r="D85" s="475"/>
      <c r="E85" s="475"/>
      <c r="F85" s="475"/>
      <c r="G85" s="475"/>
      <c r="H85" s="475"/>
      <c r="I85" s="475"/>
      <c r="J85" s="475"/>
      <c r="K85" s="475"/>
      <c r="L85" s="475"/>
      <c r="M85" s="475"/>
      <c r="N85" s="475"/>
      <c r="O85" s="475"/>
      <c r="P85" s="475"/>
      <c r="Q85" s="475"/>
      <c r="R85" s="475"/>
      <c r="S85" s="475"/>
      <c r="T85" s="475"/>
      <c r="U85" s="475"/>
      <c r="V85" s="475"/>
      <c r="W85" s="475"/>
      <c r="X85" s="475"/>
      <c r="Y85" s="475"/>
    </row>
    <row r="86" ht="13.5" customHeight="1">
      <c r="A86" s="475"/>
      <c r="B86" s="475"/>
      <c r="C86" s="475"/>
      <c r="D86" s="475"/>
      <c r="E86" s="475"/>
      <c r="F86" s="475"/>
      <c r="G86" s="475"/>
      <c r="H86" s="475"/>
      <c r="I86" s="475"/>
      <c r="J86" s="475"/>
      <c r="K86" s="475"/>
      <c r="L86" s="475"/>
      <c r="M86" s="475"/>
      <c r="N86" s="475"/>
      <c r="O86" s="475"/>
      <c r="P86" s="475"/>
      <c r="Q86" s="475"/>
      <c r="R86" s="475"/>
      <c r="S86" s="475"/>
      <c r="T86" s="475"/>
      <c r="U86" s="475"/>
      <c r="V86" s="475"/>
      <c r="W86" s="475"/>
      <c r="X86" s="475"/>
      <c r="Y86" s="475"/>
    </row>
    <row r="87" ht="13.5" customHeight="1">
      <c r="A87" s="475"/>
      <c r="B87" s="475"/>
      <c r="C87" s="475"/>
      <c r="D87" s="475"/>
      <c r="E87" s="475"/>
      <c r="F87" s="475"/>
      <c r="G87" s="475"/>
      <c r="H87" s="475"/>
      <c r="I87" s="475"/>
      <c r="J87" s="475"/>
      <c r="K87" s="475"/>
      <c r="L87" s="475"/>
      <c r="M87" s="475"/>
      <c r="N87" s="475"/>
      <c r="O87" s="475"/>
      <c r="P87" s="475"/>
      <c r="Q87" s="475"/>
      <c r="R87" s="475"/>
      <c r="S87" s="475"/>
      <c r="T87" s="475"/>
      <c r="U87" s="475"/>
      <c r="V87" s="475"/>
      <c r="W87" s="475"/>
      <c r="X87" s="475"/>
      <c r="Y87" s="475"/>
    </row>
    <row r="88" ht="13.5" customHeight="1">
      <c r="A88" s="475"/>
      <c r="B88" s="475"/>
      <c r="C88" s="475"/>
      <c r="D88" s="475"/>
      <c r="E88" s="475"/>
      <c r="F88" s="475"/>
      <c r="G88" s="475"/>
      <c r="H88" s="475"/>
      <c r="I88" s="475"/>
      <c r="J88" s="475"/>
      <c r="K88" s="475"/>
      <c r="L88" s="475"/>
      <c r="M88" s="475"/>
      <c r="N88" s="475"/>
      <c r="O88" s="475"/>
      <c r="P88" s="475"/>
      <c r="Q88" s="475"/>
      <c r="R88" s="475"/>
      <c r="S88" s="475"/>
      <c r="T88" s="475"/>
      <c r="U88" s="475"/>
      <c r="V88" s="475"/>
      <c r="W88" s="475"/>
      <c r="X88" s="475"/>
      <c r="Y88" s="475"/>
    </row>
    <row r="89" ht="13.5" customHeight="1">
      <c r="A89" s="475"/>
      <c r="B89" s="475"/>
      <c r="C89" s="475"/>
      <c r="D89" s="475"/>
      <c r="E89" s="475"/>
      <c r="F89" s="475"/>
      <c r="G89" s="475"/>
      <c r="H89" s="475"/>
      <c r="I89" s="475"/>
      <c r="J89" s="475"/>
      <c r="K89" s="475"/>
      <c r="L89" s="475"/>
      <c r="M89" s="475"/>
      <c r="N89" s="475"/>
      <c r="O89" s="475"/>
      <c r="P89" s="475"/>
      <c r="Q89" s="475"/>
      <c r="R89" s="475"/>
      <c r="S89" s="475"/>
      <c r="T89" s="475"/>
      <c r="U89" s="475"/>
      <c r="V89" s="475"/>
      <c r="W89" s="475"/>
      <c r="X89" s="475"/>
      <c r="Y89" s="475"/>
    </row>
    <row r="90" ht="13.5" customHeight="1">
      <c r="A90" s="475"/>
      <c r="B90" s="475"/>
      <c r="C90" s="475"/>
      <c r="D90" s="475"/>
      <c r="E90" s="475"/>
      <c r="F90" s="475"/>
      <c r="G90" s="475"/>
      <c r="H90" s="475"/>
      <c r="I90" s="475"/>
      <c r="J90" s="475"/>
      <c r="K90" s="475"/>
      <c r="L90" s="475"/>
      <c r="M90" s="475"/>
      <c r="N90" s="475"/>
      <c r="O90" s="475"/>
      <c r="P90" s="475"/>
      <c r="Q90" s="475"/>
      <c r="R90" s="475"/>
      <c r="S90" s="475"/>
      <c r="T90" s="475"/>
      <c r="U90" s="475"/>
      <c r="V90" s="475"/>
      <c r="W90" s="475"/>
      <c r="X90" s="475"/>
      <c r="Y90" s="475"/>
    </row>
    <row r="91" ht="13.5" customHeight="1">
      <c r="A91" s="475"/>
      <c r="B91" s="475"/>
      <c r="C91" s="475"/>
      <c r="D91" s="475"/>
      <c r="E91" s="475"/>
      <c r="F91" s="475"/>
      <c r="G91" s="475"/>
      <c r="H91" s="475"/>
      <c r="I91" s="475"/>
      <c r="J91" s="475"/>
      <c r="K91" s="475"/>
      <c r="L91" s="475"/>
      <c r="M91" s="475"/>
      <c r="N91" s="475"/>
      <c r="O91" s="475"/>
      <c r="P91" s="475"/>
      <c r="Q91" s="475"/>
      <c r="R91" s="475"/>
      <c r="S91" s="475"/>
      <c r="T91" s="475"/>
      <c r="U91" s="475"/>
      <c r="V91" s="475"/>
      <c r="W91" s="475"/>
      <c r="X91" s="475"/>
      <c r="Y91" s="475"/>
    </row>
    <row r="92" ht="13.5" customHeight="1">
      <c r="A92" s="475"/>
      <c r="B92" s="475"/>
      <c r="C92" s="475"/>
      <c r="D92" s="475"/>
      <c r="E92" s="475"/>
      <c r="F92" s="475"/>
      <c r="G92" s="475"/>
      <c r="H92" s="475"/>
      <c r="I92" s="475"/>
      <c r="J92" s="475"/>
      <c r="K92" s="475"/>
      <c r="L92" s="475"/>
      <c r="M92" s="475"/>
      <c r="N92" s="475"/>
      <c r="O92" s="475"/>
      <c r="P92" s="475"/>
      <c r="Q92" s="475"/>
      <c r="R92" s="475"/>
      <c r="S92" s="475"/>
      <c r="T92" s="475"/>
      <c r="U92" s="475"/>
      <c r="V92" s="475"/>
      <c r="W92" s="475"/>
      <c r="X92" s="475"/>
      <c r="Y92" s="475"/>
    </row>
    <row r="93" ht="13.5" customHeight="1">
      <c r="A93" s="475"/>
      <c r="B93" s="475"/>
      <c r="C93" s="475"/>
      <c r="D93" s="475"/>
      <c r="E93" s="475"/>
      <c r="F93" s="475"/>
      <c r="G93" s="475"/>
      <c r="H93" s="475"/>
      <c r="I93" s="475"/>
      <c r="J93" s="475"/>
      <c r="K93" s="475"/>
      <c r="L93" s="475"/>
      <c r="M93" s="475"/>
      <c r="N93" s="475"/>
      <c r="O93" s="475"/>
      <c r="P93" s="475"/>
      <c r="Q93" s="475"/>
      <c r="R93" s="475"/>
      <c r="S93" s="475"/>
      <c r="T93" s="475"/>
      <c r="U93" s="475"/>
      <c r="V93" s="475"/>
      <c r="W93" s="475"/>
      <c r="X93" s="475"/>
      <c r="Y93" s="475"/>
    </row>
    <row r="94" ht="13.5" customHeight="1">
      <c r="A94" s="475"/>
      <c r="B94" s="475"/>
      <c r="C94" s="475"/>
      <c r="D94" s="475"/>
      <c r="E94" s="475"/>
      <c r="F94" s="475"/>
      <c r="G94" s="475"/>
      <c r="H94" s="475"/>
      <c r="I94" s="475"/>
      <c r="J94" s="475"/>
      <c r="K94" s="475"/>
      <c r="L94" s="475"/>
      <c r="M94" s="475"/>
      <c r="N94" s="475"/>
      <c r="O94" s="475"/>
      <c r="P94" s="475"/>
      <c r="Q94" s="475"/>
      <c r="R94" s="475"/>
      <c r="S94" s="475"/>
      <c r="T94" s="475"/>
      <c r="U94" s="475"/>
      <c r="V94" s="475"/>
      <c r="W94" s="475"/>
      <c r="X94" s="475"/>
      <c r="Y94" s="475"/>
    </row>
    <row r="95" ht="13.5" customHeight="1">
      <c r="A95" s="475"/>
      <c r="B95" s="475"/>
      <c r="C95" s="475"/>
      <c r="D95" s="475"/>
      <c r="E95" s="475"/>
      <c r="F95" s="475"/>
      <c r="G95" s="475"/>
      <c r="H95" s="475"/>
      <c r="I95" s="475"/>
      <c r="J95" s="475"/>
      <c r="K95" s="475"/>
      <c r="L95" s="475"/>
      <c r="M95" s="475"/>
      <c r="N95" s="475"/>
      <c r="O95" s="475"/>
      <c r="P95" s="475"/>
      <c r="Q95" s="475"/>
      <c r="R95" s="475"/>
      <c r="S95" s="475"/>
      <c r="T95" s="475"/>
      <c r="U95" s="475"/>
      <c r="V95" s="475"/>
      <c r="W95" s="475"/>
      <c r="X95" s="475"/>
      <c r="Y95" s="475"/>
    </row>
    <row r="96" ht="13.5" customHeight="1">
      <c r="A96" s="475"/>
      <c r="B96" s="475"/>
      <c r="C96" s="475"/>
      <c r="D96" s="475"/>
      <c r="E96" s="475"/>
      <c r="F96" s="475"/>
      <c r="G96" s="475"/>
      <c r="H96" s="475"/>
      <c r="I96" s="475"/>
      <c r="J96" s="475"/>
      <c r="K96" s="475"/>
      <c r="L96" s="475"/>
      <c r="M96" s="475"/>
      <c r="N96" s="475"/>
      <c r="O96" s="475"/>
      <c r="P96" s="475"/>
      <c r="Q96" s="475"/>
      <c r="R96" s="475"/>
      <c r="S96" s="475"/>
      <c r="T96" s="475"/>
      <c r="U96" s="475"/>
      <c r="V96" s="475"/>
      <c r="W96" s="475"/>
      <c r="X96" s="475"/>
      <c r="Y96" s="475"/>
    </row>
    <row r="97" ht="13.5" customHeight="1">
      <c r="A97" s="475"/>
      <c r="B97" s="475"/>
      <c r="C97" s="475"/>
      <c r="D97" s="475"/>
      <c r="E97" s="475"/>
      <c r="F97" s="475"/>
      <c r="G97" s="475"/>
      <c r="H97" s="475"/>
      <c r="I97" s="475"/>
      <c r="J97" s="475"/>
      <c r="K97" s="475"/>
      <c r="L97" s="475"/>
      <c r="M97" s="475"/>
      <c r="N97" s="475"/>
      <c r="O97" s="475"/>
      <c r="P97" s="475"/>
      <c r="Q97" s="475"/>
      <c r="R97" s="475"/>
      <c r="S97" s="475"/>
      <c r="T97" s="475"/>
      <c r="U97" s="475"/>
      <c r="V97" s="475"/>
      <c r="W97" s="475"/>
      <c r="X97" s="475"/>
      <c r="Y97" s="475"/>
    </row>
    <row r="98" ht="13.5" customHeight="1">
      <c r="A98" s="475"/>
      <c r="B98" s="475"/>
      <c r="C98" s="475"/>
      <c r="D98" s="475"/>
      <c r="E98" s="475"/>
      <c r="F98" s="475"/>
      <c r="G98" s="475"/>
      <c r="H98" s="475"/>
      <c r="I98" s="475"/>
      <c r="J98" s="475"/>
      <c r="K98" s="475"/>
      <c r="L98" s="475"/>
      <c r="M98" s="475"/>
      <c r="N98" s="475"/>
      <c r="O98" s="475"/>
      <c r="P98" s="475"/>
      <c r="Q98" s="475"/>
      <c r="R98" s="475"/>
      <c r="S98" s="475"/>
      <c r="T98" s="475"/>
      <c r="U98" s="475"/>
      <c r="V98" s="475"/>
      <c r="W98" s="475"/>
      <c r="X98" s="475"/>
      <c r="Y98" s="475"/>
    </row>
    <row r="99" ht="13.5" customHeight="1">
      <c r="A99" s="475"/>
      <c r="B99" s="475"/>
      <c r="C99" s="475"/>
      <c r="D99" s="475"/>
      <c r="E99" s="475"/>
      <c r="F99" s="475"/>
      <c r="G99" s="475"/>
      <c r="H99" s="475"/>
      <c r="I99" s="475"/>
      <c r="J99" s="475"/>
      <c r="K99" s="475"/>
      <c r="L99" s="475"/>
      <c r="M99" s="475"/>
      <c r="N99" s="475"/>
      <c r="O99" s="475"/>
      <c r="P99" s="475"/>
      <c r="Q99" s="475"/>
      <c r="R99" s="475"/>
      <c r="S99" s="475"/>
      <c r="T99" s="475"/>
      <c r="U99" s="475"/>
      <c r="V99" s="475"/>
      <c r="W99" s="475"/>
      <c r="X99" s="475"/>
      <c r="Y99" s="475"/>
    </row>
    <row r="100" ht="13.5" customHeight="1">
      <c r="A100" s="475"/>
      <c r="B100" s="475"/>
      <c r="C100" s="475"/>
      <c r="D100" s="475"/>
      <c r="E100" s="475"/>
      <c r="F100" s="475"/>
      <c r="G100" s="475"/>
      <c r="H100" s="475"/>
      <c r="I100" s="475"/>
      <c r="J100" s="475"/>
      <c r="K100" s="475"/>
      <c r="L100" s="475"/>
      <c r="M100" s="475"/>
      <c r="N100" s="475"/>
      <c r="O100" s="475"/>
      <c r="P100" s="475"/>
      <c r="Q100" s="475"/>
      <c r="R100" s="475"/>
      <c r="S100" s="475"/>
      <c r="T100" s="475"/>
      <c r="U100" s="475"/>
      <c r="V100" s="475"/>
      <c r="W100" s="475"/>
      <c r="X100" s="475"/>
      <c r="Y100" s="475"/>
    </row>
    <row r="101" ht="13.5" customHeight="1">
      <c r="A101" s="475"/>
      <c r="B101" s="475"/>
      <c r="C101" s="475"/>
      <c r="D101" s="475"/>
      <c r="E101" s="475"/>
      <c r="F101" s="475"/>
      <c r="G101" s="475"/>
      <c r="H101" s="475"/>
      <c r="I101" s="475"/>
      <c r="J101" s="475"/>
      <c r="K101" s="475"/>
      <c r="L101" s="475"/>
      <c r="M101" s="475"/>
      <c r="N101" s="475"/>
      <c r="O101" s="475"/>
      <c r="P101" s="475"/>
      <c r="Q101" s="475"/>
      <c r="R101" s="475"/>
      <c r="S101" s="475"/>
      <c r="T101" s="475"/>
      <c r="U101" s="475"/>
      <c r="V101" s="475"/>
      <c r="W101" s="475"/>
      <c r="X101" s="475"/>
      <c r="Y101" s="475"/>
    </row>
    <row r="102" ht="13.5" customHeight="1">
      <c r="A102" s="475"/>
      <c r="B102" s="475"/>
      <c r="C102" s="475"/>
      <c r="D102" s="475"/>
      <c r="E102" s="475"/>
      <c r="F102" s="475"/>
      <c r="G102" s="475"/>
      <c r="H102" s="475"/>
      <c r="I102" s="475"/>
      <c r="J102" s="475"/>
      <c r="K102" s="475"/>
      <c r="L102" s="475"/>
      <c r="M102" s="475"/>
      <c r="N102" s="475"/>
      <c r="O102" s="475"/>
      <c r="P102" s="475"/>
      <c r="Q102" s="475"/>
      <c r="R102" s="475"/>
      <c r="S102" s="475"/>
      <c r="T102" s="475"/>
      <c r="U102" s="475"/>
      <c r="V102" s="475"/>
      <c r="W102" s="475"/>
      <c r="X102" s="475"/>
      <c r="Y102" s="475"/>
    </row>
    <row r="103" ht="13.5" customHeight="1">
      <c r="A103" s="475"/>
      <c r="B103" s="475"/>
      <c r="C103" s="475"/>
      <c r="D103" s="475"/>
      <c r="E103" s="475"/>
      <c r="F103" s="475"/>
      <c r="G103" s="475"/>
      <c r="H103" s="475"/>
      <c r="I103" s="475"/>
      <c r="J103" s="475"/>
      <c r="K103" s="475"/>
      <c r="L103" s="475"/>
      <c r="M103" s="475"/>
      <c r="N103" s="475"/>
      <c r="O103" s="475"/>
      <c r="P103" s="475"/>
      <c r="Q103" s="475"/>
      <c r="R103" s="475"/>
      <c r="S103" s="475"/>
      <c r="T103" s="475"/>
      <c r="U103" s="475"/>
      <c r="V103" s="475"/>
      <c r="W103" s="475"/>
      <c r="X103" s="475"/>
      <c r="Y103" s="475"/>
    </row>
    <row r="104" ht="13.5" customHeight="1">
      <c r="A104" s="475"/>
      <c r="B104" s="475"/>
      <c r="C104" s="475"/>
      <c r="D104" s="475"/>
      <c r="E104" s="475"/>
      <c r="F104" s="475"/>
      <c r="G104" s="475"/>
      <c r="H104" s="475"/>
      <c r="I104" s="475"/>
      <c r="J104" s="475"/>
      <c r="K104" s="475"/>
      <c r="L104" s="475"/>
      <c r="M104" s="475"/>
      <c r="N104" s="475"/>
      <c r="O104" s="475"/>
      <c r="P104" s="475"/>
      <c r="Q104" s="475"/>
      <c r="R104" s="475"/>
      <c r="S104" s="475"/>
      <c r="T104" s="475"/>
      <c r="U104" s="475"/>
      <c r="V104" s="475"/>
      <c r="W104" s="475"/>
      <c r="X104" s="475"/>
      <c r="Y104" s="475"/>
    </row>
    <row r="105" ht="13.5" customHeight="1">
      <c r="A105" s="475"/>
      <c r="B105" s="475"/>
      <c r="C105" s="475"/>
      <c r="D105" s="475"/>
      <c r="E105" s="475"/>
      <c r="F105" s="475"/>
      <c r="G105" s="475"/>
      <c r="H105" s="475"/>
      <c r="I105" s="475"/>
      <c r="J105" s="475"/>
      <c r="K105" s="475"/>
      <c r="L105" s="475"/>
      <c r="M105" s="475"/>
      <c r="N105" s="475"/>
      <c r="O105" s="475"/>
      <c r="P105" s="475"/>
      <c r="Q105" s="475"/>
      <c r="R105" s="475"/>
      <c r="S105" s="475"/>
      <c r="T105" s="475"/>
      <c r="U105" s="475"/>
      <c r="V105" s="475"/>
      <c r="W105" s="475"/>
      <c r="X105" s="475"/>
      <c r="Y105" s="475"/>
    </row>
    <row r="106" ht="13.5" customHeight="1">
      <c r="A106" s="475"/>
      <c r="B106" s="475"/>
      <c r="C106" s="475"/>
      <c r="D106" s="475"/>
      <c r="E106" s="475"/>
      <c r="F106" s="475"/>
      <c r="G106" s="475"/>
      <c r="H106" s="475"/>
      <c r="I106" s="475"/>
      <c r="J106" s="475"/>
      <c r="K106" s="475"/>
      <c r="L106" s="475"/>
      <c r="M106" s="475"/>
      <c r="N106" s="475"/>
      <c r="O106" s="475"/>
      <c r="P106" s="475"/>
      <c r="Q106" s="475"/>
      <c r="R106" s="475"/>
      <c r="S106" s="475"/>
      <c r="T106" s="475"/>
      <c r="U106" s="475"/>
      <c r="V106" s="475"/>
      <c r="W106" s="475"/>
      <c r="X106" s="475"/>
      <c r="Y106" s="475"/>
    </row>
    <row r="107" ht="13.5" customHeight="1">
      <c r="A107" s="475"/>
      <c r="B107" s="475"/>
      <c r="C107" s="475"/>
      <c r="D107" s="475"/>
      <c r="E107" s="475"/>
      <c r="F107" s="475"/>
      <c r="G107" s="475"/>
      <c r="H107" s="475"/>
      <c r="I107" s="475"/>
      <c r="J107" s="475"/>
      <c r="K107" s="475"/>
      <c r="L107" s="475"/>
      <c r="M107" s="475"/>
      <c r="N107" s="475"/>
      <c r="O107" s="475"/>
      <c r="P107" s="475"/>
      <c r="Q107" s="475"/>
      <c r="R107" s="475"/>
      <c r="S107" s="475"/>
      <c r="T107" s="475"/>
      <c r="U107" s="475"/>
      <c r="V107" s="475"/>
      <c r="W107" s="475"/>
      <c r="X107" s="475"/>
      <c r="Y107" s="475"/>
    </row>
    <row r="108" ht="13.5" customHeight="1">
      <c r="A108" s="475"/>
      <c r="B108" s="475"/>
      <c r="C108" s="475"/>
      <c r="D108" s="475"/>
      <c r="E108" s="475"/>
      <c r="F108" s="475"/>
      <c r="G108" s="475"/>
      <c r="H108" s="475"/>
      <c r="I108" s="475"/>
      <c r="J108" s="475"/>
      <c r="K108" s="475"/>
      <c r="L108" s="475"/>
      <c r="M108" s="475"/>
      <c r="N108" s="475"/>
      <c r="O108" s="475"/>
      <c r="P108" s="475"/>
      <c r="Q108" s="475"/>
      <c r="R108" s="475"/>
      <c r="S108" s="475"/>
      <c r="T108" s="475"/>
      <c r="U108" s="475"/>
      <c r="V108" s="475"/>
      <c r="W108" s="475"/>
      <c r="X108" s="475"/>
      <c r="Y108" s="475"/>
    </row>
    <row r="109" ht="13.5" customHeight="1">
      <c r="A109" s="475"/>
      <c r="B109" s="475"/>
      <c r="C109" s="475"/>
      <c r="D109" s="475"/>
      <c r="E109" s="475"/>
      <c r="F109" s="475"/>
      <c r="G109" s="475"/>
      <c r="H109" s="475"/>
      <c r="I109" s="475"/>
      <c r="J109" s="475"/>
      <c r="K109" s="475"/>
      <c r="L109" s="475"/>
      <c r="M109" s="475"/>
      <c r="N109" s="475"/>
      <c r="O109" s="475"/>
      <c r="P109" s="475"/>
      <c r="Q109" s="475"/>
      <c r="R109" s="475"/>
      <c r="S109" s="475"/>
      <c r="T109" s="475"/>
      <c r="U109" s="475"/>
      <c r="V109" s="475"/>
      <c r="W109" s="475"/>
      <c r="X109" s="475"/>
      <c r="Y109" s="475"/>
    </row>
    <row r="110" ht="13.5" customHeight="1">
      <c r="A110" s="475"/>
      <c r="B110" s="475"/>
      <c r="C110" s="475"/>
      <c r="D110" s="475"/>
      <c r="E110" s="475"/>
      <c r="F110" s="475"/>
      <c r="G110" s="475"/>
      <c r="H110" s="475"/>
      <c r="I110" s="475"/>
      <c r="J110" s="475"/>
      <c r="K110" s="475"/>
      <c r="L110" s="475"/>
      <c r="M110" s="475"/>
      <c r="N110" s="475"/>
      <c r="O110" s="475"/>
      <c r="P110" s="475"/>
      <c r="Q110" s="475"/>
      <c r="R110" s="475"/>
      <c r="S110" s="475"/>
      <c r="T110" s="475"/>
      <c r="U110" s="475"/>
      <c r="V110" s="475"/>
      <c r="W110" s="475"/>
      <c r="X110" s="475"/>
      <c r="Y110" s="475"/>
    </row>
    <row r="111" ht="13.5" customHeight="1">
      <c r="A111" s="475"/>
      <c r="B111" s="475"/>
      <c r="C111" s="475"/>
      <c r="D111" s="475"/>
      <c r="E111" s="475"/>
      <c r="F111" s="475"/>
      <c r="G111" s="475"/>
      <c r="H111" s="475"/>
      <c r="I111" s="475"/>
      <c r="J111" s="475"/>
      <c r="K111" s="475"/>
      <c r="L111" s="475"/>
      <c r="M111" s="475"/>
      <c r="N111" s="475"/>
      <c r="O111" s="475"/>
      <c r="P111" s="475"/>
      <c r="Q111" s="475"/>
      <c r="R111" s="475"/>
      <c r="S111" s="475"/>
      <c r="T111" s="475"/>
      <c r="U111" s="475"/>
      <c r="V111" s="475"/>
      <c r="W111" s="475"/>
      <c r="X111" s="475"/>
      <c r="Y111" s="475"/>
    </row>
    <row r="112" ht="13.5" customHeight="1">
      <c r="A112" s="47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row>
    <row r="113" ht="13.5" customHeight="1">
      <c r="A113" s="475"/>
      <c r="B113" s="475"/>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row>
    <row r="114" ht="13.5" customHeight="1">
      <c r="A114" s="475"/>
      <c r="B114" s="475"/>
      <c r="C114" s="475"/>
      <c r="D114" s="475"/>
      <c r="E114" s="475"/>
      <c r="F114" s="475"/>
      <c r="G114" s="475"/>
      <c r="H114" s="475"/>
      <c r="I114" s="475"/>
      <c r="J114" s="475"/>
      <c r="K114" s="475"/>
      <c r="L114" s="475"/>
      <c r="M114" s="475"/>
      <c r="N114" s="475"/>
      <c r="O114" s="475"/>
      <c r="P114" s="475"/>
      <c r="Q114" s="475"/>
      <c r="R114" s="475"/>
      <c r="S114" s="475"/>
      <c r="T114" s="475"/>
      <c r="U114" s="475"/>
      <c r="V114" s="475"/>
      <c r="W114" s="475"/>
      <c r="X114" s="475"/>
      <c r="Y114" s="475"/>
    </row>
    <row r="115" ht="13.5" customHeight="1">
      <c r="A115" s="475"/>
      <c r="B115" s="475"/>
      <c r="C115" s="475"/>
      <c r="D115" s="475"/>
      <c r="E115" s="475"/>
      <c r="F115" s="475"/>
      <c r="G115" s="475"/>
      <c r="H115" s="475"/>
      <c r="I115" s="475"/>
      <c r="J115" s="475"/>
      <c r="K115" s="475"/>
      <c r="L115" s="475"/>
      <c r="M115" s="475"/>
      <c r="N115" s="475"/>
      <c r="O115" s="475"/>
      <c r="P115" s="475"/>
      <c r="Q115" s="475"/>
      <c r="R115" s="475"/>
      <c r="S115" s="475"/>
      <c r="T115" s="475"/>
      <c r="U115" s="475"/>
      <c r="V115" s="475"/>
      <c r="W115" s="475"/>
      <c r="X115" s="475"/>
      <c r="Y115" s="475"/>
    </row>
    <row r="116" ht="13.5" customHeight="1">
      <c r="A116" s="475"/>
      <c r="B116" s="475"/>
      <c r="C116" s="475"/>
      <c r="D116" s="475"/>
      <c r="E116" s="475"/>
      <c r="F116" s="475"/>
      <c r="G116" s="475"/>
      <c r="H116" s="475"/>
      <c r="I116" s="475"/>
      <c r="J116" s="475"/>
      <c r="K116" s="475"/>
      <c r="L116" s="475"/>
      <c r="M116" s="475"/>
      <c r="N116" s="475"/>
      <c r="O116" s="475"/>
      <c r="P116" s="475"/>
      <c r="Q116" s="475"/>
      <c r="R116" s="475"/>
      <c r="S116" s="475"/>
      <c r="T116" s="475"/>
      <c r="U116" s="475"/>
      <c r="V116" s="475"/>
      <c r="W116" s="475"/>
      <c r="X116" s="475"/>
      <c r="Y116" s="475"/>
    </row>
    <row r="117" ht="13.5" customHeight="1">
      <c r="A117" s="475"/>
      <c r="B117" s="475"/>
      <c r="C117" s="475"/>
      <c r="D117" s="475"/>
      <c r="E117" s="475"/>
      <c r="F117" s="475"/>
      <c r="G117" s="475"/>
      <c r="H117" s="475"/>
      <c r="I117" s="475"/>
      <c r="J117" s="475"/>
      <c r="K117" s="475"/>
      <c r="L117" s="475"/>
      <c r="M117" s="475"/>
      <c r="N117" s="475"/>
      <c r="O117" s="475"/>
      <c r="P117" s="475"/>
      <c r="Q117" s="475"/>
      <c r="R117" s="475"/>
      <c r="S117" s="475"/>
      <c r="T117" s="475"/>
      <c r="U117" s="475"/>
      <c r="V117" s="475"/>
      <c r="W117" s="475"/>
      <c r="X117" s="475"/>
      <c r="Y117" s="475"/>
    </row>
    <row r="118" ht="13.5" customHeight="1">
      <c r="A118" s="475"/>
      <c r="B118" s="475"/>
      <c r="C118" s="475"/>
      <c r="D118" s="475"/>
      <c r="E118" s="475"/>
      <c r="F118" s="475"/>
      <c r="G118" s="475"/>
      <c r="H118" s="475"/>
      <c r="I118" s="475"/>
      <c r="J118" s="475"/>
      <c r="K118" s="475"/>
      <c r="L118" s="475"/>
      <c r="M118" s="475"/>
      <c r="N118" s="475"/>
      <c r="O118" s="475"/>
      <c r="P118" s="475"/>
      <c r="Q118" s="475"/>
      <c r="R118" s="475"/>
      <c r="S118" s="475"/>
      <c r="T118" s="475"/>
      <c r="U118" s="475"/>
      <c r="V118" s="475"/>
      <c r="W118" s="475"/>
      <c r="X118" s="475"/>
      <c r="Y118" s="475"/>
    </row>
    <row r="119" ht="13.5" customHeight="1">
      <c r="A119" s="475"/>
      <c r="B119" s="475"/>
      <c r="C119" s="475"/>
      <c r="D119" s="475"/>
      <c r="E119" s="475"/>
      <c r="F119" s="475"/>
      <c r="G119" s="475"/>
      <c r="H119" s="475"/>
      <c r="I119" s="475"/>
      <c r="J119" s="475"/>
      <c r="K119" s="475"/>
      <c r="L119" s="475"/>
      <c r="M119" s="475"/>
      <c r="N119" s="475"/>
      <c r="O119" s="475"/>
      <c r="P119" s="475"/>
      <c r="Q119" s="475"/>
      <c r="R119" s="475"/>
      <c r="S119" s="475"/>
      <c r="T119" s="475"/>
      <c r="U119" s="475"/>
      <c r="V119" s="475"/>
      <c r="W119" s="475"/>
      <c r="X119" s="475"/>
      <c r="Y119" s="475"/>
    </row>
    <row r="120" ht="13.5" customHeight="1">
      <c r="A120" s="475"/>
      <c r="B120" s="475"/>
      <c r="C120" s="475"/>
      <c r="D120" s="475"/>
      <c r="E120" s="475"/>
      <c r="F120" s="475"/>
      <c r="G120" s="475"/>
      <c r="H120" s="475"/>
      <c r="I120" s="475"/>
      <c r="J120" s="475"/>
      <c r="K120" s="475"/>
      <c r="L120" s="475"/>
      <c r="M120" s="475"/>
      <c r="N120" s="475"/>
      <c r="O120" s="475"/>
      <c r="P120" s="475"/>
      <c r="Q120" s="475"/>
      <c r="R120" s="475"/>
      <c r="S120" s="475"/>
      <c r="T120" s="475"/>
      <c r="U120" s="475"/>
      <c r="V120" s="475"/>
      <c r="W120" s="475"/>
      <c r="X120" s="475"/>
      <c r="Y120" s="475"/>
    </row>
    <row r="121" ht="13.5" customHeight="1">
      <c r="A121" s="475"/>
      <c r="B121" s="475"/>
      <c r="C121" s="475"/>
      <c r="D121" s="475"/>
      <c r="E121" s="475"/>
      <c r="F121" s="475"/>
      <c r="G121" s="475"/>
      <c r="H121" s="475"/>
      <c r="I121" s="475"/>
      <c r="J121" s="475"/>
      <c r="K121" s="475"/>
      <c r="L121" s="475"/>
      <c r="M121" s="475"/>
      <c r="N121" s="475"/>
      <c r="O121" s="475"/>
      <c r="P121" s="475"/>
      <c r="Q121" s="475"/>
      <c r="R121" s="475"/>
      <c r="S121" s="475"/>
      <c r="T121" s="475"/>
      <c r="U121" s="475"/>
      <c r="V121" s="475"/>
      <c r="W121" s="475"/>
      <c r="X121" s="475"/>
      <c r="Y121" s="475"/>
    </row>
    <row r="122" ht="13.5" customHeight="1">
      <c r="A122" s="475"/>
      <c r="B122" s="475"/>
      <c r="C122" s="475"/>
      <c r="D122" s="475"/>
      <c r="E122" s="475"/>
      <c r="F122" s="475"/>
      <c r="G122" s="475"/>
      <c r="H122" s="475"/>
      <c r="I122" s="475"/>
      <c r="J122" s="475"/>
      <c r="K122" s="475"/>
      <c r="L122" s="475"/>
      <c r="M122" s="475"/>
      <c r="N122" s="475"/>
      <c r="O122" s="475"/>
      <c r="P122" s="475"/>
      <c r="Q122" s="475"/>
      <c r="R122" s="475"/>
      <c r="S122" s="475"/>
      <c r="T122" s="475"/>
      <c r="U122" s="475"/>
      <c r="V122" s="475"/>
      <c r="W122" s="475"/>
      <c r="X122" s="475"/>
      <c r="Y122" s="475"/>
    </row>
    <row r="123" ht="13.5" customHeight="1">
      <c r="A123" s="475"/>
      <c r="B123" s="475"/>
      <c r="C123" s="475"/>
      <c r="D123" s="475"/>
      <c r="E123" s="475"/>
      <c r="F123" s="475"/>
      <c r="G123" s="475"/>
      <c r="H123" s="475"/>
      <c r="I123" s="475"/>
      <c r="J123" s="475"/>
      <c r="K123" s="475"/>
      <c r="L123" s="475"/>
      <c r="M123" s="475"/>
      <c r="N123" s="475"/>
      <c r="O123" s="475"/>
      <c r="P123" s="475"/>
      <c r="Q123" s="475"/>
      <c r="R123" s="475"/>
      <c r="S123" s="475"/>
      <c r="T123" s="475"/>
      <c r="U123" s="475"/>
      <c r="V123" s="475"/>
      <c r="W123" s="475"/>
      <c r="X123" s="475"/>
      <c r="Y123" s="475"/>
    </row>
    <row r="124" ht="13.5" customHeight="1">
      <c r="A124" s="475"/>
      <c r="B124" s="475"/>
      <c r="C124" s="475"/>
      <c r="D124" s="475"/>
      <c r="E124" s="475"/>
      <c r="F124" s="475"/>
      <c r="G124" s="475"/>
      <c r="H124" s="475"/>
      <c r="I124" s="475"/>
      <c r="J124" s="475"/>
      <c r="K124" s="475"/>
      <c r="L124" s="475"/>
      <c r="M124" s="475"/>
      <c r="N124" s="475"/>
      <c r="O124" s="475"/>
      <c r="P124" s="475"/>
      <c r="Q124" s="475"/>
      <c r="R124" s="475"/>
      <c r="S124" s="475"/>
      <c r="T124" s="475"/>
      <c r="U124" s="475"/>
      <c r="V124" s="475"/>
      <c r="W124" s="475"/>
      <c r="X124" s="475"/>
      <c r="Y124" s="475"/>
    </row>
    <row r="125" ht="13.5" customHeight="1">
      <c r="A125" s="475"/>
      <c r="B125" s="475"/>
      <c r="C125" s="475"/>
      <c r="D125" s="475"/>
      <c r="E125" s="475"/>
      <c r="F125" s="475"/>
      <c r="G125" s="475"/>
      <c r="H125" s="475"/>
      <c r="I125" s="475"/>
      <c r="J125" s="475"/>
      <c r="K125" s="475"/>
      <c r="L125" s="475"/>
      <c r="M125" s="475"/>
      <c r="N125" s="475"/>
      <c r="O125" s="475"/>
      <c r="P125" s="475"/>
      <c r="Q125" s="475"/>
      <c r="R125" s="475"/>
      <c r="S125" s="475"/>
      <c r="T125" s="475"/>
      <c r="U125" s="475"/>
      <c r="V125" s="475"/>
      <c r="W125" s="475"/>
      <c r="X125" s="475"/>
      <c r="Y125" s="475"/>
    </row>
    <row r="126" ht="13.5" customHeight="1">
      <c r="A126" s="475"/>
      <c r="B126" s="475"/>
      <c r="C126" s="475"/>
      <c r="D126" s="475"/>
      <c r="E126" s="475"/>
      <c r="F126" s="475"/>
      <c r="G126" s="475"/>
      <c r="H126" s="475"/>
      <c r="I126" s="475"/>
      <c r="J126" s="475"/>
      <c r="K126" s="475"/>
      <c r="L126" s="475"/>
      <c r="M126" s="475"/>
      <c r="N126" s="475"/>
      <c r="O126" s="475"/>
      <c r="P126" s="475"/>
      <c r="Q126" s="475"/>
      <c r="R126" s="475"/>
      <c r="S126" s="475"/>
      <c r="T126" s="475"/>
      <c r="U126" s="475"/>
      <c r="V126" s="475"/>
      <c r="W126" s="475"/>
      <c r="X126" s="475"/>
      <c r="Y126" s="475"/>
    </row>
    <row r="127" ht="13.5" customHeight="1">
      <c r="A127" s="475"/>
      <c r="B127" s="475"/>
      <c r="C127" s="475"/>
      <c r="D127" s="475"/>
      <c r="E127" s="475"/>
      <c r="F127" s="475"/>
      <c r="G127" s="475"/>
      <c r="H127" s="475"/>
      <c r="I127" s="475"/>
      <c r="J127" s="475"/>
      <c r="K127" s="475"/>
      <c r="L127" s="475"/>
      <c r="M127" s="475"/>
      <c r="N127" s="475"/>
      <c r="O127" s="475"/>
      <c r="P127" s="475"/>
      <c r="Q127" s="475"/>
      <c r="R127" s="475"/>
      <c r="S127" s="475"/>
      <c r="T127" s="475"/>
      <c r="U127" s="475"/>
      <c r="V127" s="475"/>
      <c r="W127" s="475"/>
      <c r="X127" s="475"/>
      <c r="Y127" s="475"/>
    </row>
    <row r="128" ht="13.5" customHeight="1">
      <c r="A128" s="475"/>
      <c r="B128" s="475"/>
      <c r="C128" s="475"/>
      <c r="D128" s="475"/>
      <c r="E128" s="475"/>
      <c r="F128" s="475"/>
      <c r="G128" s="475"/>
      <c r="H128" s="475"/>
      <c r="I128" s="475"/>
      <c r="J128" s="475"/>
      <c r="K128" s="475"/>
      <c r="L128" s="475"/>
      <c r="M128" s="475"/>
      <c r="N128" s="475"/>
      <c r="O128" s="475"/>
      <c r="P128" s="475"/>
      <c r="Q128" s="475"/>
      <c r="R128" s="475"/>
      <c r="S128" s="475"/>
      <c r="T128" s="475"/>
      <c r="U128" s="475"/>
      <c r="V128" s="475"/>
      <c r="W128" s="475"/>
      <c r="X128" s="475"/>
      <c r="Y128" s="475"/>
    </row>
    <row r="129" ht="13.5" customHeight="1">
      <c r="A129" s="475"/>
      <c r="B129" s="475"/>
      <c r="C129" s="475"/>
      <c r="D129" s="475"/>
      <c r="E129" s="475"/>
      <c r="F129" s="475"/>
      <c r="G129" s="475"/>
      <c r="H129" s="475"/>
      <c r="I129" s="475"/>
      <c r="J129" s="475"/>
      <c r="K129" s="475"/>
      <c r="L129" s="475"/>
      <c r="M129" s="475"/>
      <c r="N129" s="475"/>
      <c r="O129" s="475"/>
      <c r="P129" s="475"/>
      <c r="Q129" s="475"/>
      <c r="R129" s="475"/>
      <c r="S129" s="475"/>
      <c r="T129" s="475"/>
      <c r="U129" s="475"/>
      <c r="V129" s="475"/>
      <c r="W129" s="475"/>
      <c r="X129" s="475"/>
      <c r="Y129" s="475"/>
    </row>
    <row r="130" ht="13.5" customHeight="1">
      <c r="A130" s="475"/>
      <c r="B130" s="475"/>
      <c r="C130" s="475"/>
      <c r="D130" s="475"/>
      <c r="E130" s="475"/>
      <c r="F130" s="475"/>
      <c r="G130" s="475"/>
      <c r="H130" s="475"/>
      <c r="I130" s="475"/>
      <c r="J130" s="475"/>
      <c r="K130" s="475"/>
      <c r="L130" s="475"/>
      <c r="M130" s="475"/>
      <c r="N130" s="475"/>
      <c r="O130" s="475"/>
      <c r="P130" s="475"/>
      <c r="Q130" s="475"/>
      <c r="R130" s="475"/>
      <c r="S130" s="475"/>
      <c r="T130" s="475"/>
      <c r="U130" s="475"/>
      <c r="V130" s="475"/>
      <c r="W130" s="475"/>
      <c r="X130" s="475"/>
      <c r="Y130" s="475"/>
    </row>
    <row r="131" ht="13.5" customHeight="1">
      <c r="A131" s="475"/>
      <c r="B131" s="475"/>
      <c r="C131" s="475"/>
      <c r="D131" s="475"/>
      <c r="E131" s="475"/>
      <c r="F131" s="475"/>
      <c r="G131" s="475"/>
      <c r="H131" s="475"/>
      <c r="I131" s="475"/>
      <c r="J131" s="475"/>
      <c r="K131" s="475"/>
      <c r="L131" s="475"/>
      <c r="M131" s="475"/>
      <c r="N131" s="475"/>
      <c r="O131" s="475"/>
      <c r="P131" s="475"/>
      <c r="Q131" s="475"/>
      <c r="R131" s="475"/>
      <c r="S131" s="475"/>
      <c r="T131" s="475"/>
      <c r="U131" s="475"/>
      <c r="V131" s="475"/>
      <c r="W131" s="475"/>
      <c r="X131" s="475"/>
      <c r="Y131" s="475"/>
    </row>
    <row r="132" ht="13.5" customHeight="1">
      <c r="A132" s="475"/>
      <c r="B132" s="475"/>
      <c r="C132" s="475"/>
      <c r="D132" s="475"/>
      <c r="E132" s="475"/>
      <c r="F132" s="475"/>
      <c r="G132" s="475"/>
      <c r="H132" s="475"/>
      <c r="I132" s="475"/>
      <c r="J132" s="475"/>
      <c r="K132" s="475"/>
      <c r="L132" s="475"/>
      <c r="M132" s="475"/>
      <c r="N132" s="475"/>
      <c r="O132" s="475"/>
      <c r="P132" s="475"/>
      <c r="Q132" s="475"/>
      <c r="R132" s="475"/>
      <c r="S132" s="475"/>
      <c r="T132" s="475"/>
      <c r="U132" s="475"/>
      <c r="V132" s="475"/>
      <c r="W132" s="475"/>
      <c r="X132" s="475"/>
      <c r="Y132" s="475"/>
    </row>
    <row r="133" ht="13.5" customHeight="1">
      <c r="A133" s="475"/>
      <c r="B133" s="475"/>
      <c r="C133" s="475"/>
      <c r="D133" s="475"/>
      <c r="E133" s="475"/>
      <c r="F133" s="475"/>
      <c r="G133" s="475"/>
      <c r="H133" s="475"/>
      <c r="I133" s="475"/>
      <c r="J133" s="475"/>
      <c r="K133" s="475"/>
      <c r="L133" s="475"/>
      <c r="M133" s="475"/>
      <c r="N133" s="475"/>
      <c r="O133" s="475"/>
      <c r="P133" s="475"/>
      <c r="Q133" s="475"/>
      <c r="R133" s="475"/>
      <c r="S133" s="475"/>
      <c r="T133" s="475"/>
      <c r="U133" s="475"/>
      <c r="V133" s="475"/>
      <c r="W133" s="475"/>
      <c r="X133" s="475"/>
      <c r="Y133" s="475"/>
    </row>
    <row r="134" ht="13.5" customHeight="1">
      <c r="A134" s="475"/>
      <c r="B134" s="475"/>
      <c r="C134" s="475"/>
      <c r="D134" s="475"/>
      <c r="E134" s="475"/>
      <c r="F134" s="475"/>
      <c r="G134" s="475"/>
      <c r="H134" s="475"/>
      <c r="I134" s="475"/>
      <c r="J134" s="475"/>
      <c r="K134" s="475"/>
      <c r="L134" s="475"/>
      <c r="M134" s="475"/>
      <c r="N134" s="475"/>
      <c r="O134" s="475"/>
      <c r="P134" s="475"/>
      <c r="Q134" s="475"/>
      <c r="R134" s="475"/>
      <c r="S134" s="475"/>
      <c r="T134" s="475"/>
      <c r="U134" s="475"/>
      <c r="V134" s="475"/>
      <c r="W134" s="475"/>
      <c r="X134" s="475"/>
      <c r="Y134" s="475"/>
    </row>
    <row r="135" ht="13.5" customHeight="1">
      <c r="A135" s="475"/>
      <c r="B135" s="475"/>
      <c r="C135" s="475"/>
      <c r="D135" s="475"/>
      <c r="E135" s="475"/>
      <c r="F135" s="475"/>
      <c r="G135" s="475"/>
      <c r="H135" s="475"/>
      <c r="I135" s="475"/>
      <c r="J135" s="475"/>
      <c r="K135" s="475"/>
      <c r="L135" s="475"/>
      <c r="M135" s="475"/>
      <c r="N135" s="475"/>
      <c r="O135" s="475"/>
      <c r="P135" s="475"/>
      <c r="Q135" s="475"/>
      <c r="R135" s="475"/>
      <c r="S135" s="475"/>
      <c r="T135" s="475"/>
      <c r="U135" s="475"/>
      <c r="V135" s="475"/>
      <c r="W135" s="475"/>
      <c r="X135" s="475"/>
      <c r="Y135" s="475"/>
    </row>
    <row r="136" ht="13.5" customHeight="1">
      <c r="A136" s="475"/>
      <c r="B136" s="475"/>
      <c r="C136" s="475"/>
      <c r="D136" s="475"/>
      <c r="E136" s="475"/>
      <c r="F136" s="475"/>
      <c r="G136" s="475"/>
      <c r="H136" s="475"/>
      <c r="I136" s="475"/>
      <c r="J136" s="475"/>
      <c r="K136" s="475"/>
      <c r="L136" s="475"/>
      <c r="M136" s="475"/>
      <c r="N136" s="475"/>
      <c r="O136" s="475"/>
      <c r="P136" s="475"/>
      <c r="Q136" s="475"/>
      <c r="R136" s="475"/>
      <c r="S136" s="475"/>
      <c r="T136" s="475"/>
      <c r="U136" s="475"/>
      <c r="V136" s="475"/>
      <c r="W136" s="475"/>
      <c r="X136" s="475"/>
      <c r="Y136" s="475"/>
    </row>
    <row r="137" ht="13.5" customHeight="1">
      <c r="A137" s="475"/>
      <c r="B137" s="475"/>
      <c r="C137" s="475"/>
      <c r="D137" s="475"/>
      <c r="E137" s="475"/>
      <c r="F137" s="475"/>
      <c r="G137" s="475"/>
      <c r="H137" s="475"/>
      <c r="I137" s="475"/>
      <c r="J137" s="475"/>
      <c r="K137" s="475"/>
      <c r="L137" s="475"/>
      <c r="M137" s="475"/>
      <c r="N137" s="475"/>
      <c r="O137" s="475"/>
      <c r="P137" s="475"/>
      <c r="Q137" s="475"/>
      <c r="R137" s="475"/>
      <c r="S137" s="475"/>
      <c r="T137" s="475"/>
      <c r="U137" s="475"/>
      <c r="V137" s="475"/>
      <c r="W137" s="475"/>
      <c r="X137" s="475"/>
      <c r="Y137" s="475"/>
    </row>
    <row r="138" ht="13.5" customHeight="1">
      <c r="A138" s="475"/>
      <c r="B138" s="475"/>
      <c r="C138" s="475"/>
      <c r="D138" s="475"/>
      <c r="E138" s="475"/>
      <c r="F138" s="475"/>
      <c r="G138" s="475"/>
      <c r="H138" s="475"/>
      <c r="I138" s="475"/>
      <c r="J138" s="475"/>
      <c r="K138" s="475"/>
      <c r="L138" s="475"/>
      <c r="M138" s="475"/>
      <c r="N138" s="475"/>
      <c r="O138" s="475"/>
      <c r="P138" s="475"/>
      <c r="Q138" s="475"/>
      <c r="R138" s="475"/>
      <c r="S138" s="475"/>
      <c r="T138" s="475"/>
      <c r="U138" s="475"/>
      <c r="V138" s="475"/>
      <c r="W138" s="475"/>
      <c r="X138" s="475"/>
      <c r="Y138" s="475"/>
    </row>
    <row r="139" ht="13.5" customHeight="1">
      <c r="A139" s="475"/>
      <c r="B139" s="475"/>
      <c r="C139" s="475"/>
      <c r="D139" s="475"/>
      <c r="E139" s="475"/>
      <c r="F139" s="475"/>
      <c r="G139" s="475"/>
      <c r="H139" s="475"/>
      <c r="I139" s="475"/>
      <c r="J139" s="475"/>
      <c r="K139" s="475"/>
      <c r="L139" s="475"/>
      <c r="M139" s="475"/>
      <c r="N139" s="475"/>
      <c r="O139" s="475"/>
      <c r="P139" s="475"/>
      <c r="Q139" s="475"/>
      <c r="R139" s="475"/>
      <c r="S139" s="475"/>
      <c r="T139" s="475"/>
      <c r="U139" s="475"/>
      <c r="V139" s="475"/>
      <c r="W139" s="475"/>
      <c r="X139" s="475"/>
      <c r="Y139" s="475"/>
    </row>
    <row r="140" ht="13.5" customHeight="1">
      <c r="A140" s="475"/>
      <c r="B140" s="475"/>
      <c r="C140" s="475"/>
      <c r="D140" s="475"/>
      <c r="E140" s="475"/>
      <c r="F140" s="475"/>
      <c r="G140" s="475"/>
      <c r="H140" s="475"/>
      <c r="I140" s="475"/>
      <c r="J140" s="475"/>
      <c r="K140" s="475"/>
      <c r="L140" s="475"/>
      <c r="M140" s="475"/>
      <c r="N140" s="475"/>
      <c r="O140" s="475"/>
      <c r="P140" s="475"/>
      <c r="Q140" s="475"/>
      <c r="R140" s="475"/>
      <c r="S140" s="475"/>
      <c r="T140" s="475"/>
      <c r="U140" s="475"/>
      <c r="V140" s="475"/>
      <c r="W140" s="475"/>
      <c r="X140" s="475"/>
      <c r="Y140" s="475"/>
    </row>
    <row r="141" ht="13.5" customHeight="1">
      <c r="A141" s="475"/>
      <c r="B141" s="475"/>
      <c r="C141" s="475"/>
      <c r="D141" s="475"/>
      <c r="E141" s="475"/>
      <c r="F141" s="475"/>
      <c r="G141" s="475"/>
      <c r="H141" s="475"/>
      <c r="I141" s="475"/>
      <c r="J141" s="475"/>
      <c r="K141" s="475"/>
      <c r="L141" s="475"/>
      <c r="M141" s="475"/>
      <c r="N141" s="475"/>
      <c r="O141" s="475"/>
      <c r="P141" s="475"/>
      <c r="Q141" s="475"/>
      <c r="R141" s="475"/>
      <c r="S141" s="475"/>
      <c r="T141" s="475"/>
      <c r="U141" s="475"/>
      <c r="V141" s="475"/>
      <c r="W141" s="475"/>
      <c r="X141" s="475"/>
      <c r="Y141" s="475"/>
    </row>
    <row r="142" ht="13.5" customHeight="1">
      <c r="A142" s="475"/>
      <c r="B142" s="475"/>
      <c r="C142" s="475"/>
      <c r="D142" s="475"/>
      <c r="E142" s="475"/>
      <c r="F142" s="475"/>
      <c r="G142" s="475"/>
      <c r="H142" s="475"/>
      <c r="I142" s="475"/>
      <c r="J142" s="475"/>
      <c r="K142" s="475"/>
      <c r="L142" s="475"/>
      <c r="M142" s="475"/>
      <c r="N142" s="475"/>
      <c r="O142" s="475"/>
      <c r="P142" s="475"/>
      <c r="Q142" s="475"/>
      <c r="R142" s="475"/>
      <c r="S142" s="475"/>
      <c r="T142" s="475"/>
      <c r="U142" s="475"/>
      <c r="V142" s="475"/>
      <c r="W142" s="475"/>
      <c r="X142" s="475"/>
      <c r="Y142" s="475"/>
    </row>
    <row r="143" ht="13.5" customHeight="1">
      <c r="A143" s="475"/>
      <c r="B143" s="475"/>
      <c r="C143" s="475"/>
      <c r="D143" s="475"/>
      <c r="E143" s="475"/>
      <c r="F143" s="475"/>
      <c r="G143" s="475"/>
      <c r="H143" s="475"/>
      <c r="I143" s="475"/>
      <c r="J143" s="475"/>
      <c r="K143" s="475"/>
      <c r="L143" s="475"/>
      <c r="M143" s="475"/>
      <c r="N143" s="475"/>
      <c r="O143" s="475"/>
      <c r="P143" s="475"/>
      <c r="Q143" s="475"/>
      <c r="R143" s="475"/>
      <c r="S143" s="475"/>
      <c r="T143" s="475"/>
      <c r="U143" s="475"/>
      <c r="V143" s="475"/>
      <c r="W143" s="475"/>
      <c r="X143" s="475"/>
      <c r="Y143" s="475"/>
    </row>
    <row r="144" ht="13.5" customHeight="1">
      <c r="A144" s="475"/>
      <c r="B144" s="475"/>
      <c r="C144" s="475"/>
      <c r="D144" s="475"/>
      <c r="E144" s="475"/>
      <c r="F144" s="475"/>
      <c r="G144" s="475"/>
      <c r="H144" s="475"/>
      <c r="I144" s="475"/>
      <c r="J144" s="475"/>
      <c r="K144" s="475"/>
      <c r="L144" s="475"/>
      <c r="M144" s="475"/>
      <c r="N144" s="475"/>
      <c r="O144" s="475"/>
      <c r="P144" s="475"/>
      <c r="Q144" s="475"/>
      <c r="R144" s="475"/>
      <c r="S144" s="475"/>
      <c r="T144" s="475"/>
      <c r="U144" s="475"/>
      <c r="V144" s="475"/>
      <c r="W144" s="475"/>
      <c r="X144" s="475"/>
      <c r="Y144" s="475"/>
    </row>
    <row r="145" ht="13.5" customHeight="1">
      <c r="A145" s="475"/>
      <c r="B145" s="475"/>
      <c r="C145" s="475"/>
      <c r="D145" s="475"/>
      <c r="E145" s="475"/>
      <c r="F145" s="475"/>
      <c r="G145" s="475"/>
      <c r="H145" s="475"/>
      <c r="I145" s="475"/>
      <c r="J145" s="475"/>
      <c r="K145" s="475"/>
      <c r="L145" s="475"/>
      <c r="M145" s="475"/>
      <c r="N145" s="475"/>
      <c r="O145" s="475"/>
      <c r="P145" s="475"/>
      <c r="Q145" s="475"/>
      <c r="R145" s="475"/>
      <c r="S145" s="475"/>
      <c r="T145" s="475"/>
      <c r="U145" s="475"/>
      <c r="V145" s="475"/>
      <c r="W145" s="475"/>
      <c r="X145" s="475"/>
      <c r="Y145" s="475"/>
    </row>
    <row r="146" ht="13.5" customHeight="1">
      <c r="A146" s="475"/>
      <c r="B146" s="475"/>
      <c r="C146" s="475"/>
      <c r="D146" s="475"/>
      <c r="E146" s="475"/>
      <c r="F146" s="475"/>
      <c r="G146" s="475"/>
      <c r="H146" s="475"/>
      <c r="I146" s="475"/>
      <c r="J146" s="475"/>
      <c r="K146" s="475"/>
      <c r="L146" s="475"/>
      <c r="M146" s="475"/>
      <c r="N146" s="475"/>
      <c r="O146" s="475"/>
      <c r="P146" s="475"/>
      <c r="Q146" s="475"/>
      <c r="R146" s="475"/>
      <c r="S146" s="475"/>
      <c r="T146" s="475"/>
      <c r="U146" s="475"/>
      <c r="V146" s="475"/>
      <c r="W146" s="475"/>
      <c r="X146" s="475"/>
      <c r="Y146" s="475"/>
    </row>
    <row r="147" ht="13.5" customHeight="1">
      <c r="A147" s="475"/>
      <c r="B147" s="475"/>
      <c r="C147" s="475"/>
      <c r="D147" s="475"/>
      <c r="E147" s="475"/>
      <c r="F147" s="475"/>
      <c r="G147" s="475"/>
      <c r="H147" s="475"/>
      <c r="I147" s="475"/>
      <c r="J147" s="475"/>
      <c r="K147" s="475"/>
      <c r="L147" s="475"/>
      <c r="M147" s="475"/>
      <c r="N147" s="475"/>
      <c r="O147" s="475"/>
      <c r="P147" s="475"/>
      <c r="Q147" s="475"/>
      <c r="R147" s="475"/>
      <c r="S147" s="475"/>
      <c r="T147" s="475"/>
      <c r="U147" s="475"/>
      <c r="V147" s="475"/>
      <c r="W147" s="475"/>
      <c r="X147" s="475"/>
      <c r="Y147" s="475"/>
    </row>
    <row r="148" ht="13.5" customHeight="1">
      <c r="A148" s="475"/>
      <c r="B148" s="475"/>
      <c r="C148" s="475"/>
      <c r="D148" s="475"/>
      <c r="E148" s="475"/>
      <c r="F148" s="475"/>
      <c r="G148" s="475"/>
      <c r="H148" s="475"/>
      <c r="I148" s="475"/>
      <c r="J148" s="475"/>
      <c r="K148" s="475"/>
      <c r="L148" s="475"/>
      <c r="M148" s="475"/>
      <c r="N148" s="475"/>
      <c r="O148" s="475"/>
      <c r="P148" s="475"/>
      <c r="Q148" s="475"/>
      <c r="R148" s="475"/>
      <c r="S148" s="475"/>
      <c r="T148" s="475"/>
      <c r="U148" s="475"/>
      <c r="V148" s="475"/>
      <c r="W148" s="475"/>
      <c r="X148" s="475"/>
      <c r="Y148" s="475"/>
    </row>
    <row r="149" ht="13.5" customHeight="1">
      <c r="A149" s="475"/>
      <c r="B149" s="475"/>
      <c r="C149" s="475"/>
      <c r="D149" s="475"/>
      <c r="E149" s="475"/>
      <c r="F149" s="475"/>
      <c r="G149" s="475"/>
      <c r="H149" s="475"/>
      <c r="I149" s="475"/>
      <c r="J149" s="475"/>
      <c r="K149" s="475"/>
      <c r="L149" s="475"/>
      <c r="M149" s="475"/>
      <c r="N149" s="475"/>
      <c r="O149" s="475"/>
      <c r="P149" s="475"/>
      <c r="Q149" s="475"/>
      <c r="R149" s="475"/>
      <c r="S149" s="475"/>
      <c r="T149" s="475"/>
      <c r="U149" s="475"/>
      <c r="V149" s="475"/>
      <c r="W149" s="475"/>
      <c r="X149" s="475"/>
      <c r="Y149" s="475"/>
    </row>
    <row r="150" ht="13.5" customHeight="1">
      <c r="A150" s="475"/>
      <c r="B150" s="475"/>
      <c r="C150" s="475"/>
      <c r="D150" s="475"/>
      <c r="E150" s="475"/>
      <c r="F150" s="475"/>
      <c r="G150" s="475"/>
      <c r="H150" s="475"/>
      <c r="I150" s="475"/>
      <c r="J150" s="475"/>
      <c r="K150" s="475"/>
      <c r="L150" s="475"/>
      <c r="M150" s="475"/>
      <c r="N150" s="475"/>
      <c r="O150" s="475"/>
      <c r="P150" s="475"/>
      <c r="Q150" s="475"/>
      <c r="R150" s="475"/>
      <c r="S150" s="475"/>
      <c r="T150" s="475"/>
      <c r="U150" s="475"/>
      <c r="V150" s="475"/>
      <c r="W150" s="475"/>
      <c r="X150" s="475"/>
      <c r="Y150" s="475"/>
    </row>
    <row r="151" ht="13.5" customHeight="1">
      <c r="A151" s="475"/>
      <c r="B151" s="475"/>
      <c r="C151" s="475"/>
      <c r="D151" s="475"/>
      <c r="E151" s="475"/>
      <c r="F151" s="475"/>
      <c r="G151" s="475"/>
      <c r="H151" s="475"/>
      <c r="I151" s="475"/>
      <c r="J151" s="475"/>
      <c r="K151" s="475"/>
      <c r="L151" s="475"/>
      <c r="M151" s="475"/>
      <c r="N151" s="475"/>
      <c r="O151" s="475"/>
      <c r="P151" s="475"/>
      <c r="Q151" s="475"/>
      <c r="R151" s="475"/>
      <c r="S151" s="475"/>
      <c r="T151" s="475"/>
      <c r="U151" s="475"/>
      <c r="V151" s="475"/>
      <c r="W151" s="475"/>
      <c r="X151" s="475"/>
      <c r="Y151" s="475"/>
    </row>
    <row r="152" ht="13.5" customHeight="1">
      <c r="A152" s="475"/>
      <c r="B152" s="475"/>
      <c r="C152" s="475"/>
      <c r="D152" s="475"/>
      <c r="E152" s="475"/>
      <c r="F152" s="475"/>
      <c r="G152" s="475"/>
      <c r="H152" s="475"/>
      <c r="I152" s="475"/>
      <c r="J152" s="475"/>
      <c r="K152" s="475"/>
      <c r="L152" s="475"/>
      <c r="M152" s="475"/>
      <c r="N152" s="475"/>
      <c r="O152" s="475"/>
      <c r="P152" s="475"/>
      <c r="Q152" s="475"/>
      <c r="R152" s="475"/>
      <c r="S152" s="475"/>
      <c r="T152" s="475"/>
      <c r="U152" s="475"/>
      <c r="V152" s="475"/>
      <c r="W152" s="475"/>
      <c r="X152" s="475"/>
      <c r="Y152" s="475"/>
    </row>
    <row r="153" ht="13.5" customHeight="1">
      <c r="A153" s="475"/>
      <c r="B153" s="475"/>
      <c r="C153" s="475"/>
      <c r="D153" s="475"/>
      <c r="E153" s="475"/>
      <c r="F153" s="475"/>
      <c r="G153" s="475"/>
      <c r="H153" s="475"/>
      <c r="I153" s="475"/>
      <c r="J153" s="475"/>
      <c r="K153" s="475"/>
      <c r="L153" s="475"/>
      <c r="M153" s="475"/>
      <c r="N153" s="475"/>
      <c r="O153" s="475"/>
      <c r="P153" s="475"/>
      <c r="Q153" s="475"/>
      <c r="R153" s="475"/>
      <c r="S153" s="475"/>
      <c r="T153" s="475"/>
      <c r="U153" s="475"/>
      <c r="V153" s="475"/>
      <c r="W153" s="475"/>
      <c r="X153" s="475"/>
      <c r="Y153" s="475"/>
    </row>
    <row r="154" ht="13.5" customHeight="1">
      <c r="A154" s="475"/>
      <c r="B154" s="475"/>
      <c r="C154" s="475"/>
      <c r="D154" s="475"/>
      <c r="E154" s="475"/>
      <c r="F154" s="475"/>
      <c r="G154" s="475"/>
      <c r="H154" s="475"/>
      <c r="I154" s="475"/>
      <c r="J154" s="475"/>
      <c r="K154" s="475"/>
      <c r="L154" s="475"/>
      <c r="M154" s="475"/>
      <c r="N154" s="475"/>
      <c r="O154" s="475"/>
      <c r="P154" s="475"/>
      <c r="Q154" s="475"/>
      <c r="R154" s="475"/>
      <c r="S154" s="475"/>
      <c r="T154" s="475"/>
      <c r="U154" s="475"/>
      <c r="V154" s="475"/>
      <c r="W154" s="475"/>
      <c r="X154" s="475"/>
      <c r="Y154" s="475"/>
    </row>
    <row r="155" ht="13.5" customHeight="1">
      <c r="A155" s="475"/>
      <c r="B155" s="475"/>
      <c r="C155" s="475"/>
      <c r="D155" s="475"/>
      <c r="E155" s="475"/>
      <c r="F155" s="475"/>
      <c r="G155" s="475"/>
      <c r="H155" s="475"/>
      <c r="I155" s="475"/>
      <c r="J155" s="475"/>
      <c r="K155" s="475"/>
      <c r="L155" s="475"/>
      <c r="M155" s="475"/>
      <c r="N155" s="475"/>
      <c r="O155" s="475"/>
      <c r="P155" s="475"/>
      <c r="Q155" s="475"/>
      <c r="R155" s="475"/>
      <c r="S155" s="475"/>
      <c r="T155" s="475"/>
      <c r="U155" s="475"/>
      <c r="V155" s="475"/>
      <c r="W155" s="475"/>
      <c r="X155" s="475"/>
      <c r="Y155" s="475"/>
    </row>
    <row r="156" ht="13.5" customHeight="1">
      <c r="A156" s="475"/>
      <c r="B156" s="475"/>
      <c r="C156" s="475"/>
      <c r="D156" s="475"/>
      <c r="E156" s="475"/>
      <c r="F156" s="475"/>
      <c r="G156" s="475"/>
      <c r="H156" s="475"/>
      <c r="I156" s="475"/>
      <c r="J156" s="475"/>
      <c r="K156" s="475"/>
      <c r="L156" s="475"/>
      <c r="M156" s="475"/>
      <c r="N156" s="475"/>
      <c r="O156" s="475"/>
      <c r="P156" s="475"/>
      <c r="Q156" s="475"/>
      <c r="R156" s="475"/>
      <c r="S156" s="475"/>
      <c r="T156" s="475"/>
      <c r="U156" s="475"/>
      <c r="V156" s="475"/>
      <c r="W156" s="475"/>
      <c r="X156" s="475"/>
      <c r="Y156" s="475"/>
    </row>
    <row r="157" ht="13.5" customHeight="1">
      <c r="A157" s="475"/>
      <c r="B157" s="475"/>
      <c r="C157" s="475"/>
      <c r="D157" s="475"/>
      <c r="E157" s="475"/>
      <c r="F157" s="475"/>
      <c r="G157" s="475"/>
      <c r="H157" s="475"/>
      <c r="I157" s="475"/>
      <c r="J157" s="475"/>
      <c r="K157" s="475"/>
      <c r="L157" s="475"/>
      <c r="M157" s="475"/>
      <c r="N157" s="475"/>
      <c r="O157" s="475"/>
      <c r="P157" s="475"/>
      <c r="Q157" s="475"/>
      <c r="R157" s="475"/>
      <c r="S157" s="475"/>
      <c r="T157" s="475"/>
      <c r="U157" s="475"/>
      <c r="V157" s="475"/>
      <c r="W157" s="475"/>
      <c r="X157" s="475"/>
      <c r="Y157" s="475"/>
    </row>
    <row r="158" ht="13.5" customHeight="1">
      <c r="A158" s="475"/>
      <c r="B158" s="475"/>
      <c r="C158" s="475"/>
      <c r="D158" s="475"/>
      <c r="E158" s="475"/>
      <c r="F158" s="475"/>
      <c r="G158" s="475"/>
      <c r="H158" s="475"/>
      <c r="I158" s="475"/>
      <c r="J158" s="475"/>
      <c r="K158" s="475"/>
      <c r="L158" s="475"/>
      <c r="M158" s="475"/>
      <c r="N158" s="475"/>
      <c r="O158" s="475"/>
      <c r="P158" s="475"/>
      <c r="Q158" s="475"/>
      <c r="R158" s="475"/>
      <c r="S158" s="475"/>
      <c r="T158" s="475"/>
      <c r="U158" s="475"/>
      <c r="V158" s="475"/>
      <c r="W158" s="475"/>
      <c r="X158" s="475"/>
      <c r="Y158" s="475"/>
    </row>
    <row r="159" ht="13.5" customHeight="1">
      <c r="A159" s="475"/>
      <c r="B159" s="475"/>
      <c r="C159" s="475"/>
      <c r="D159" s="475"/>
      <c r="E159" s="475"/>
      <c r="F159" s="475"/>
      <c r="G159" s="475"/>
      <c r="H159" s="475"/>
      <c r="I159" s="475"/>
      <c r="J159" s="475"/>
      <c r="K159" s="475"/>
      <c r="L159" s="475"/>
      <c r="M159" s="475"/>
      <c r="N159" s="475"/>
      <c r="O159" s="475"/>
      <c r="P159" s="475"/>
      <c r="Q159" s="475"/>
      <c r="R159" s="475"/>
      <c r="S159" s="475"/>
      <c r="T159" s="475"/>
      <c r="U159" s="475"/>
      <c r="V159" s="475"/>
      <c r="W159" s="475"/>
      <c r="X159" s="475"/>
      <c r="Y159" s="475"/>
    </row>
    <row r="160" ht="13.5" customHeight="1">
      <c r="A160" s="475"/>
      <c r="B160" s="475"/>
      <c r="C160" s="475"/>
      <c r="D160" s="475"/>
      <c r="E160" s="475"/>
      <c r="F160" s="475"/>
      <c r="G160" s="475"/>
      <c r="H160" s="475"/>
      <c r="I160" s="475"/>
      <c r="J160" s="475"/>
      <c r="K160" s="475"/>
      <c r="L160" s="475"/>
      <c r="M160" s="475"/>
      <c r="N160" s="475"/>
      <c r="O160" s="475"/>
      <c r="P160" s="475"/>
      <c r="Q160" s="475"/>
      <c r="R160" s="475"/>
      <c r="S160" s="475"/>
      <c r="T160" s="475"/>
      <c r="U160" s="475"/>
      <c r="V160" s="475"/>
      <c r="W160" s="475"/>
      <c r="X160" s="475"/>
      <c r="Y160" s="475"/>
    </row>
    <row r="161" ht="13.5" customHeight="1">
      <c r="A161" s="475"/>
      <c r="B161" s="475"/>
      <c r="C161" s="475"/>
      <c r="D161" s="475"/>
      <c r="E161" s="475"/>
      <c r="F161" s="475"/>
      <c r="G161" s="475"/>
      <c r="H161" s="475"/>
      <c r="I161" s="475"/>
      <c r="J161" s="475"/>
      <c r="K161" s="475"/>
      <c r="L161" s="475"/>
      <c r="M161" s="475"/>
      <c r="N161" s="475"/>
      <c r="O161" s="475"/>
      <c r="P161" s="475"/>
      <c r="Q161" s="475"/>
      <c r="R161" s="475"/>
      <c r="S161" s="475"/>
      <c r="T161" s="475"/>
      <c r="U161" s="475"/>
      <c r="V161" s="475"/>
      <c r="W161" s="475"/>
      <c r="X161" s="475"/>
      <c r="Y161" s="475"/>
    </row>
    <row r="162" ht="13.5" customHeight="1">
      <c r="A162" s="475"/>
      <c r="B162" s="475"/>
      <c r="C162" s="475"/>
      <c r="D162" s="475"/>
      <c r="E162" s="475"/>
      <c r="F162" s="475"/>
      <c r="G162" s="475"/>
      <c r="H162" s="475"/>
      <c r="I162" s="475"/>
      <c r="J162" s="475"/>
      <c r="K162" s="475"/>
      <c r="L162" s="475"/>
      <c r="M162" s="475"/>
      <c r="N162" s="475"/>
      <c r="O162" s="475"/>
      <c r="P162" s="475"/>
      <c r="Q162" s="475"/>
      <c r="R162" s="475"/>
      <c r="S162" s="475"/>
      <c r="T162" s="475"/>
      <c r="U162" s="475"/>
      <c r="V162" s="475"/>
      <c r="W162" s="475"/>
      <c r="X162" s="475"/>
      <c r="Y162" s="475"/>
    </row>
    <row r="163" ht="13.5" customHeight="1">
      <c r="A163" s="475"/>
      <c r="B163" s="475"/>
      <c r="C163" s="475"/>
      <c r="D163" s="475"/>
      <c r="E163" s="475"/>
      <c r="F163" s="475"/>
      <c r="G163" s="475"/>
      <c r="H163" s="475"/>
      <c r="I163" s="475"/>
      <c r="J163" s="475"/>
      <c r="K163" s="475"/>
      <c r="L163" s="475"/>
      <c r="M163" s="475"/>
      <c r="N163" s="475"/>
      <c r="O163" s="475"/>
      <c r="P163" s="475"/>
      <c r="Q163" s="475"/>
      <c r="R163" s="475"/>
      <c r="S163" s="475"/>
      <c r="T163" s="475"/>
      <c r="U163" s="475"/>
      <c r="V163" s="475"/>
      <c r="W163" s="475"/>
      <c r="X163" s="475"/>
      <c r="Y163" s="475"/>
    </row>
    <row r="164" ht="13.5" customHeight="1">
      <c r="A164" s="475"/>
      <c r="B164" s="475"/>
      <c r="C164" s="475"/>
      <c r="D164" s="475"/>
      <c r="E164" s="475"/>
      <c r="F164" s="475"/>
      <c r="G164" s="475"/>
      <c r="H164" s="475"/>
      <c r="I164" s="475"/>
      <c r="J164" s="475"/>
      <c r="K164" s="475"/>
      <c r="L164" s="475"/>
      <c r="M164" s="475"/>
      <c r="N164" s="475"/>
      <c r="O164" s="475"/>
      <c r="P164" s="475"/>
      <c r="Q164" s="475"/>
      <c r="R164" s="475"/>
      <c r="S164" s="475"/>
      <c r="T164" s="475"/>
      <c r="U164" s="475"/>
      <c r="V164" s="475"/>
      <c r="W164" s="475"/>
      <c r="X164" s="475"/>
      <c r="Y164" s="475"/>
    </row>
    <row r="165" ht="13.5" customHeight="1">
      <c r="A165" s="475"/>
      <c r="B165" s="475"/>
      <c r="C165" s="475"/>
      <c r="D165" s="475"/>
      <c r="E165" s="475"/>
      <c r="F165" s="475"/>
      <c r="G165" s="475"/>
      <c r="H165" s="475"/>
      <c r="I165" s="475"/>
      <c r="J165" s="475"/>
      <c r="K165" s="475"/>
      <c r="L165" s="475"/>
      <c r="M165" s="475"/>
      <c r="N165" s="475"/>
      <c r="O165" s="475"/>
      <c r="P165" s="475"/>
      <c r="Q165" s="475"/>
      <c r="R165" s="475"/>
      <c r="S165" s="475"/>
      <c r="T165" s="475"/>
      <c r="U165" s="475"/>
      <c r="V165" s="475"/>
      <c r="W165" s="475"/>
      <c r="X165" s="475"/>
      <c r="Y165" s="475"/>
    </row>
    <row r="166" ht="13.5" customHeight="1">
      <c r="A166" s="475"/>
      <c r="B166" s="475"/>
      <c r="C166" s="475"/>
      <c r="D166" s="475"/>
      <c r="E166" s="475"/>
      <c r="F166" s="475"/>
      <c r="G166" s="475"/>
      <c r="H166" s="475"/>
      <c r="I166" s="475"/>
      <c r="J166" s="475"/>
      <c r="K166" s="475"/>
      <c r="L166" s="475"/>
      <c r="M166" s="475"/>
      <c r="N166" s="475"/>
      <c r="O166" s="475"/>
      <c r="P166" s="475"/>
      <c r="Q166" s="475"/>
      <c r="R166" s="475"/>
      <c r="S166" s="475"/>
      <c r="T166" s="475"/>
      <c r="U166" s="475"/>
      <c r="V166" s="475"/>
      <c r="W166" s="475"/>
      <c r="X166" s="475"/>
      <c r="Y166" s="475"/>
    </row>
    <row r="167" ht="13.5" customHeight="1">
      <c r="A167" s="475"/>
      <c r="B167" s="475"/>
      <c r="C167" s="475"/>
      <c r="D167" s="475"/>
      <c r="E167" s="475"/>
      <c r="F167" s="475"/>
      <c r="G167" s="475"/>
      <c r="H167" s="475"/>
      <c r="I167" s="475"/>
      <c r="J167" s="475"/>
      <c r="K167" s="475"/>
      <c r="L167" s="475"/>
      <c r="M167" s="475"/>
      <c r="N167" s="475"/>
      <c r="O167" s="475"/>
      <c r="P167" s="475"/>
      <c r="Q167" s="475"/>
      <c r="R167" s="475"/>
      <c r="S167" s="475"/>
      <c r="T167" s="475"/>
      <c r="U167" s="475"/>
      <c r="V167" s="475"/>
      <c r="W167" s="475"/>
      <c r="X167" s="475"/>
      <c r="Y167" s="475"/>
    </row>
    <row r="168" ht="13.5" customHeight="1">
      <c r="A168" s="475"/>
      <c r="B168" s="475"/>
      <c r="C168" s="475"/>
      <c r="D168" s="475"/>
      <c r="E168" s="475"/>
      <c r="F168" s="475"/>
      <c r="G168" s="475"/>
      <c r="H168" s="475"/>
      <c r="I168" s="475"/>
      <c r="J168" s="475"/>
      <c r="K168" s="475"/>
      <c r="L168" s="475"/>
      <c r="M168" s="475"/>
      <c r="N168" s="475"/>
      <c r="O168" s="475"/>
      <c r="P168" s="475"/>
      <c r="Q168" s="475"/>
      <c r="R168" s="475"/>
      <c r="S168" s="475"/>
      <c r="T168" s="475"/>
      <c r="U168" s="475"/>
      <c r="V168" s="475"/>
      <c r="W168" s="475"/>
      <c r="X168" s="475"/>
      <c r="Y168" s="475"/>
    </row>
    <row r="169" ht="13.5" customHeight="1">
      <c r="A169" s="475"/>
      <c r="B169" s="475"/>
      <c r="C169" s="475"/>
      <c r="D169" s="475"/>
      <c r="E169" s="475"/>
      <c r="F169" s="475"/>
      <c r="G169" s="475"/>
      <c r="H169" s="475"/>
      <c r="I169" s="475"/>
      <c r="J169" s="475"/>
      <c r="K169" s="475"/>
      <c r="L169" s="475"/>
      <c r="M169" s="475"/>
      <c r="N169" s="475"/>
      <c r="O169" s="475"/>
      <c r="P169" s="475"/>
      <c r="Q169" s="475"/>
      <c r="R169" s="475"/>
      <c r="S169" s="475"/>
      <c r="T169" s="475"/>
      <c r="U169" s="475"/>
      <c r="V169" s="475"/>
      <c r="W169" s="475"/>
      <c r="X169" s="475"/>
      <c r="Y169" s="475"/>
    </row>
    <row r="170" ht="13.5" customHeight="1">
      <c r="A170" s="475"/>
      <c r="B170" s="475"/>
      <c r="C170" s="475"/>
      <c r="D170" s="475"/>
      <c r="E170" s="475"/>
      <c r="F170" s="475"/>
      <c r="G170" s="475"/>
      <c r="H170" s="475"/>
      <c r="I170" s="475"/>
      <c r="J170" s="475"/>
      <c r="K170" s="475"/>
      <c r="L170" s="475"/>
      <c r="M170" s="475"/>
      <c r="N170" s="475"/>
      <c r="O170" s="475"/>
      <c r="P170" s="475"/>
      <c r="Q170" s="475"/>
      <c r="R170" s="475"/>
      <c r="S170" s="475"/>
      <c r="T170" s="475"/>
      <c r="U170" s="475"/>
      <c r="V170" s="475"/>
      <c r="W170" s="475"/>
      <c r="X170" s="475"/>
      <c r="Y170" s="475"/>
    </row>
    <row r="171" ht="13.5" customHeight="1">
      <c r="A171" s="475"/>
      <c r="B171" s="475"/>
      <c r="C171" s="475"/>
      <c r="D171" s="475"/>
      <c r="E171" s="475"/>
      <c r="F171" s="475"/>
      <c r="G171" s="475"/>
      <c r="H171" s="475"/>
      <c r="I171" s="475"/>
      <c r="J171" s="475"/>
      <c r="K171" s="475"/>
      <c r="L171" s="475"/>
      <c r="M171" s="475"/>
      <c r="N171" s="475"/>
      <c r="O171" s="475"/>
      <c r="P171" s="475"/>
      <c r="Q171" s="475"/>
      <c r="R171" s="475"/>
      <c r="S171" s="475"/>
      <c r="T171" s="475"/>
      <c r="U171" s="475"/>
      <c r="V171" s="475"/>
      <c r="W171" s="475"/>
      <c r="X171" s="475"/>
      <c r="Y171" s="475"/>
    </row>
    <row r="172" ht="13.5" customHeight="1">
      <c r="A172" s="475"/>
      <c r="B172" s="475"/>
      <c r="C172" s="475"/>
      <c r="D172" s="475"/>
      <c r="E172" s="475"/>
      <c r="F172" s="475"/>
      <c r="G172" s="475"/>
      <c r="H172" s="475"/>
      <c r="I172" s="475"/>
      <c r="J172" s="475"/>
      <c r="K172" s="475"/>
      <c r="L172" s="475"/>
      <c r="M172" s="475"/>
      <c r="N172" s="475"/>
      <c r="O172" s="475"/>
      <c r="P172" s="475"/>
      <c r="Q172" s="475"/>
      <c r="R172" s="475"/>
      <c r="S172" s="475"/>
      <c r="T172" s="475"/>
      <c r="U172" s="475"/>
      <c r="V172" s="475"/>
      <c r="W172" s="475"/>
      <c r="X172" s="475"/>
      <c r="Y172" s="475"/>
    </row>
    <row r="173" ht="13.5" customHeight="1">
      <c r="A173" s="475"/>
      <c r="B173" s="475"/>
      <c r="C173" s="475"/>
      <c r="D173" s="475"/>
      <c r="E173" s="475"/>
      <c r="F173" s="475"/>
      <c r="G173" s="475"/>
      <c r="H173" s="475"/>
      <c r="I173" s="475"/>
      <c r="J173" s="475"/>
      <c r="K173" s="475"/>
      <c r="L173" s="475"/>
      <c r="M173" s="475"/>
      <c r="N173" s="475"/>
      <c r="O173" s="475"/>
      <c r="P173" s="475"/>
      <c r="Q173" s="475"/>
      <c r="R173" s="475"/>
      <c r="S173" s="475"/>
      <c r="T173" s="475"/>
      <c r="U173" s="475"/>
      <c r="V173" s="475"/>
      <c r="W173" s="475"/>
      <c r="X173" s="475"/>
      <c r="Y173" s="475"/>
    </row>
    <row r="174" ht="13.5" customHeight="1">
      <c r="A174" s="475"/>
      <c r="B174" s="475"/>
      <c r="C174" s="475"/>
      <c r="D174" s="475"/>
      <c r="E174" s="475"/>
      <c r="F174" s="475"/>
      <c r="G174" s="475"/>
      <c r="H174" s="475"/>
      <c r="I174" s="475"/>
      <c r="J174" s="475"/>
      <c r="K174" s="475"/>
      <c r="L174" s="475"/>
      <c r="M174" s="475"/>
      <c r="N174" s="475"/>
      <c r="O174" s="475"/>
      <c r="P174" s="475"/>
      <c r="Q174" s="475"/>
      <c r="R174" s="475"/>
      <c r="S174" s="475"/>
      <c r="T174" s="475"/>
      <c r="U174" s="475"/>
      <c r="V174" s="475"/>
      <c r="W174" s="475"/>
      <c r="X174" s="475"/>
      <c r="Y174" s="475"/>
    </row>
    <row r="175" ht="13.5" customHeight="1">
      <c r="A175" s="475"/>
      <c r="B175" s="475"/>
      <c r="C175" s="475"/>
      <c r="D175" s="475"/>
      <c r="E175" s="475"/>
      <c r="F175" s="475"/>
      <c r="G175" s="475"/>
      <c r="H175" s="475"/>
      <c r="I175" s="475"/>
      <c r="J175" s="475"/>
      <c r="K175" s="475"/>
      <c r="L175" s="475"/>
      <c r="M175" s="475"/>
      <c r="N175" s="475"/>
      <c r="O175" s="475"/>
      <c r="P175" s="475"/>
      <c r="Q175" s="475"/>
      <c r="R175" s="475"/>
      <c r="S175" s="475"/>
      <c r="T175" s="475"/>
      <c r="U175" s="475"/>
      <c r="V175" s="475"/>
      <c r="W175" s="475"/>
      <c r="X175" s="475"/>
      <c r="Y175" s="475"/>
    </row>
    <row r="176" ht="13.5" customHeight="1">
      <c r="A176" s="475"/>
      <c r="B176" s="475"/>
      <c r="C176" s="475"/>
      <c r="D176" s="475"/>
      <c r="E176" s="475"/>
      <c r="F176" s="475"/>
      <c r="G176" s="475"/>
      <c r="H176" s="475"/>
      <c r="I176" s="475"/>
      <c r="J176" s="475"/>
      <c r="K176" s="475"/>
      <c r="L176" s="475"/>
      <c r="M176" s="475"/>
      <c r="N176" s="475"/>
      <c r="O176" s="475"/>
      <c r="P176" s="475"/>
      <c r="Q176" s="475"/>
      <c r="R176" s="475"/>
      <c r="S176" s="475"/>
      <c r="T176" s="475"/>
      <c r="U176" s="475"/>
      <c r="V176" s="475"/>
      <c r="W176" s="475"/>
      <c r="X176" s="475"/>
      <c r="Y176" s="475"/>
    </row>
    <row r="177" ht="13.5" customHeight="1">
      <c r="A177" s="475"/>
      <c r="B177" s="475"/>
      <c r="C177" s="475"/>
      <c r="D177" s="475"/>
      <c r="E177" s="475"/>
      <c r="F177" s="475"/>
      <c r="G177" s="475"/>
      <c r="H177" s="475"/>
      <c r="I177" s="475"/>
      <c r="J177" s="475"/>
      <c r="K177" s="475"/>
      <c r="L177" s="475"/>
      <c r="M177" s="475"/>
      <c r="N177" s="475"/>
      <c r="O177" s="475"/>
      <c r="P177" s="475"/>
      <c r="Q177" s="475"/>
      <c r="R177" s="475"/>
      <c r="S177" s="475"/>
      <c r="T177" s="475"/>
      <c r="U177" s="475"/>
      <c r="V177" s="475"/>
      <c r="W177" s="475"/>
      <c r="X177" s="475"/>
      <c r="Y177" s="475"/>
    </row>
    <row r="178" ht="13.5" customHeight="1">
      <c r="A178" s="475"/>
      <c r="B178" s="475"/>
      <c r="C178" s="475"/>
      <c r="D178" s="475"/>
      <c r="E178" s="475"/>
      <c r="F178" s="475"/>
      <c r="G178" s="475"/>
      <c r="H178" s="475"/>
      <c r="I178" s="475"/>
      <c r="J178" s="475"/>
      <c r="K178" s="475"/>
      <c r="L178" s="475"/>
      <c r="M178" s="475"/>
      <c r="N178" s="475"/>
      <c r="O178" s="475"/>
      <c r="P178" s="475"/>
      <c r="Q178" s="475"/>
      <c r="R178" s="475"/>
      <c r="S178" s="475"/>
      <c r="T178" s="475"/>
      <c r="U178" s="475"/>
      <c r="V178" s="475"/>
      <c r="W178" s="475"/>
      <c r="X178" s="475"/>
      <c r="Y178" s="475"/>
    </row>
    <row r="179" ht="13.5" customHeight="1">
      <c r="A179" s="475"/>
      <c r="B179" s="475"/>
      <c r="C179" s="475"/>
      <c r="D179" s="475"/>
      <c r="E179" s="475"/>
      <c r="F179" s="475"/>
      <c r="G179" s="475"/>
      <c r="H179" s="475"/>
      <c r="I179" s="475"/>
      <c r="J179" s="475"/>
      <c r="K179" s="475"/>
      <c r="L179" s="475"/>
      <c r="M179" s="475"/>
      <c r="N179" s="475"/>
      <c r="O179" s="475"/>
      <c r="P179" s="475"/>
      <c r="Q179" s="475"/>
      <c r="R179" s="475"/>
      <c r="S179" s="475"/>
      <c r="T179" s="475"/>
      <c r="U179" s="475"/>
      <c r="V179" s="475"/>
      <c r="W179" s="475"/>
      <c r="X179" s="475"/>
      <c r="Y179" s="475"/>
    </row>
    <row r="180" ht="13.5" customHeight="1">
      <c r="A180" s="475"/>
      <c r="B180" s="475"/>
      <c r="C180" s="475"/>
      <c r="D180" s="475"/>
      <c r="E180" s="475"/>
      <c r="F180" s="475"/>
      <c r="G180" s="475"/>
      <c r="H180" s="475"/>
      <c r="I180" s="475"/>
      <c r="J180" s="475"/>
      <c r="K180" s="475"/>
      <c r="L180" s="475"/>
      <c r="M180" s="475"/>
      <c r="N180" s="475"/>
      <c r="O180" s="475"/>
      <c r="P180" s="475"/>
      <c r="Q180" s="475"/>
      <c r="R180" s="475"/>
      <c r="S180" s="475"/>
      <c r="T180" s="475"/>
      <c r="U180" s="475"/>
      <c r="V180" s="475"/>
      <c r="W180" s="475"/>
      <c r="X180" s="475"/>
      <c r="Y180" s="475"/>
    </row>
    <row r="181" ht="13.5" customHeight="1">
      <c r="A181" s="475"/>
      <c r="B181" s="475"/>
      <c r="C181" s="475"/>
      <c r="D181" s="475"/>
      <c r="E181" s="475"/>
      <c r="F181" s="475"/>
      <c r="G181" s="475"/>
      <c r="H181" s="475"/>
      <c r="I181" s="475"/>
      <c r="J181" s="475"/>
      <c r="K181" s="475"/>
      <c r="L181" s="475"/>
      <c r="M181" s="475"/>
      <c r="N181" s="475"/>
      <c r="O181" s="475"/>
      <c r="P181" s="475"/>
      <c r="Q181" s="475"/>
      <c r="R181" s="475"/>
      <c r="S181" s="475"/>
      <c r="T181" s="475"/>
      <c r="U181" s="475"/>
      <c r="V181" s="475"/>
      <c r="W181" s="475"/>
      <c r="X181" s="475"/>
      <c r="Y181" s="475"/>
    </row>
    <row r="182" ht="13.5" customHeight="1">
      <c r="A182" s="475"/>
      <c r="B182" s="475"/>
      <c r="C182" s="475"/>
      <c r="D182" s="475"/>
      <c r="E182" s="475"/>
      <c r="F182" s="475"/>
      <c r="G182" s="475"/>
      <c r="H182" s="475"/>
      <c r="I182" s="475"/>
      <c r="J182" s="475"/>
      <c r="K182" s="475"/>
      <c r="L182" s="475"/>
      <c r="M182" s="475"/>
      <c r="N182" s="475"/>
      <c r="O182" s="475"/>
      <c r="P182" s="475"/>
      <c r="Q182" s="475"/>
      <c r="R182" s="475"/>
      <c r="S182" s="475"/>
      <c r="T182" s="475"/>
      <c r="U182" s="475"/>
      <c r="V182" s="475"/>
      <c r="W182" s="475"/>
      <c r="X182" s="475"/>
      <c r="Y182" s="475"/>
    </row>
    <row r="183" ht="13.5" customHeight="1">
      <c r="A183" s="475"/>
      <c r="B183" s="475"/>
      <c r="C183" s="475"/>
      <c r="D183" s="475"/>
      <c r="E183" s="475"/>
      <c r="F183" s="475"/>
      <c r="G183" s="475"/>
      <c r="H183" s="475"/>
      <c r="I183" s="475"/>
      <c r="J183" s="475"/>
      <c r="K183" s="475"/>
      <c r="L183" s="475"/>
      <c r="M183" s="475"/>
      <c r="N183" s="475"/>
      <c r="O183" s="475"/>
      <c r="P183" s="475"/>
      <c r="Q183" s="475"/>
      <c r="R183" s="475"/>
      <c r="S183" s="475"/>
      <c r="T183" s="475"/>
      <c r="U183" s="475"/>
      <c r="V183" s="475"/>
      <c r="W183" s="475"/>
      <c r="X183" s="475"/>
      <c r="Y183" s="475"/>
    </row>
    <row r="184" ht="13.5" customHeight="1">
      <c r="A184" s="475"/>
      <c r="B184" s="475"/>
      <c r="C184" s="475"/>
      <c r="D184" s="475"/>
      <c r="E184" s="475"/>
      <c r="F184" s="475"/>
      <c r="G184" s="475"/>
      <c r="H184" s="475"/>
      <c r="I184" s="475"/>
      <c r="J184" s="475"/>
      <c r="K184" s="475"/>
      <c r="L184" s="475"/>
      <c r="M184" s="475"/>
      <c r="N184" s="475"/>
      <c r="O184" s="475"/>
      <c r="P184" s="475"/>
      <c r="Q184" s="475"/>
      <c r="R184" s="475"/>
      <c r="S184" s="475"/>
      <c r="T184" s="475"/>
      <c r="U184" s="475"/>
      <c r="V184" s="475"/>
      <c r="W184" s="475"/>
      <c r="X184" s="475"/>
      <c r="Y184" s="475"/>
    </row>
    <row r="185" ht="13.5" customHeight="1">
      <c r="A185" s="475"/>
      <c r="B185" s="475"/>
      <c r="C185" s="475"/>
      <c r="D185" s="475"/>
      <c r="E185" s="475"/>
      <c r="F185" s="475"/>
      <c r="G185" s="475"/>
      <c r="H185" s="475"/>
      <c r="I185" s="475"/>
      <c r="J185" s="475"/>
      <c r="K185" s="475"/>
      <c r="L185" s="475"/>
      <c r="M185" s="475"/>
      <c r="N185" s="475"/>
      <c r="O185" s="475"/>
      <c r="P185" s="475"/>
      <c r="Q185" s="475"/>
      <c r="R185" s="475"/>
      <c r="S185" s="475"/>
      <c r="T185" s="475"/>
      <c r="U185" s="475"/>
      <c r="V185" s="475"/>
      <c r="W185" s="475"/>
      <c r="X185" s="475"/>
      <c r="Y185" s="475"/>
    </row>
    <row r="186" ht="13.5" customHeight="1">
      <c r="A186" s="475"/>
      <c r="B186" s="475"/>
      <c r="C186" s="475"/>
      <c r="D186" s="475"/>
      <c r="E186" s="475"/>
      <c r="F186" s="475"/>
      <c r="G186" s="475"/>
      <c r="H186" s="475"/>
      <c r="I186" s="475"/>
      <c r="J186" s="475"/>
      <c r="K186" s="475"/>
      <c r="L186" s="475"/>
      <c r="M186" s="475"/>
      <c r="N186" s="475"/>
      <c r="O186" s="475"/>
      <c r="P186" s="475"/>
      <c r="Q186" s="475"/>
      <c r="R186" s="475"/>
      <c r="S186" s="475"/>
      <c r="T186" s="475"/>
      <c r="U186" s="475"/>
      <c r="V186" s="475"/>
      <c r="W186" s="475"/>
      <c r="X186" s="475"/>
      <c r="Y186" s="475"/>
    </row>
    <row r="187" ht="13.5" customHeight="1">
      <c r="A187" s="475"/>
      <c r="B187" s="475"/>
      <c r="C187" s="475"/>
      <c r="D187" s="475"/>
      <c r="E187" s="475"/>
      <c r="F187" s="475"/>
      <c r="G187" s="475"/>
      <c r="H187" s="475"/>
      <c r="I187" s="475"/>
      <c r="J187" s="475"/>
      <c r="K187" s="475"/>
      <c r="L187" s="475"/>
      <c r="M187" s="475"/>
      <c r="N187" s="475"/>
      <c r="O187" s="475"/>
      <c r="P187" s="475"/>
      <c r="Q187" s="475"/>
      <c r="R187" s="475"/>
      <c r="S187" s="475"/>
      <c r="T187" s="475"/>
      <c r="U187" s="475"/>
      <c r="V187" s="475"/>
      <c r="W187" s="475"/>
      <c r="X187" s="475"/>
      <c r="Y187" s="475"/>
    </row>
    <row r="188" ht="13.5" customHeight="1">
      <c r="A188" s="475"/>
      <c r="B188" s="475"/>
      <c r="C188" s="475"/>
      <c r="D188" s="475"/>
      <c r="E188" s="475"/>
      <c r="F188" s="475"/>
      <c r="G188" s="475"/>
      <c r="H188" s="475"/>
      <c r="I188" s="475"/>
      <c r="J188" s="475"/>
      <c r="K188" s="475"/>
      <c r="L188" s="475"/>
      <c r="M188" s="475"/>
      <c r="N188" s="475"/>
      <c r="O188" s="475"/>
      <c r="P188" s="475"/>
      <c r="Q188" s="475"/>
      <c r="R188" s="475"/>
      <c r="S188" s="475"/>
      <c r="T188" s="475"/>
      <c r="U188" s="475"/>
      <c r="V188" s="475"/>
      <c r="W188" s="475"/>
      <c r="X188" s="475"/>
      <c r="Y188" s="475"/>
    </row>
    <row r="189" ht="13.5" customHeight="1">
      <c r="A189" s="475"/>
      <c r="B189" s="475"/>
      <c r="C189" s="475"/>
      <c r="D189" s="475"/>
      <c r="E189" s="475"/>
      <c r="F189" s="475"/>
      <c r="G189" s="475"/>
      <c r="H189" s="475"/>
      <c r="I189" s="475"/>
      <c r="J189" s="475"/>
      <c r="K189" s="475"/>
      <c r="L189" s="475"/>
      <c r="M189" s="475"/>
      <c r="N189" s="475"/>
      <c r="O189" s="475"/>
      <c r="P189" s="475"/>
      <c r="Q189" s="475"/>
      <c r="R189" s="475"/>
      <c r="S189" s="475"/>
      <c r="T189" s="475"/>
      <c r="U189" s="475"/>
      <c r="V189" s="475"/>
      <c r="W189" s="475"/>
      <c r="X189" s="475"/>
      <c r="Y189" s="475"/>
    </row>
    <row r="190" ht="13.5" customHeight="1">
      <c r="A190" s="475"/>
      <c r="B190" s="475"/>
      <c r="C190" s="475"/>
      <c r="D190" s="475"/>
      <c r="E190" s="475"/>
      <c r="F190" s="475"/>
      <c r="G190" s="475"/>
      <c r="H190" s="475"/>
      <c r="I190" s="475"/>
      <c r="J190" s="475"/>
      <c r="K190" s="475"/>
      <c r="L190" s="475"/>
      <c r="M190" s="475"/>
      <c r="N190" s="475"/>
      <c r="O190" s="475"/>
      <c r="P190" s="475"/>
      <c r="Q190" s="475"/>
      <c r="R190" s="475"/>
      <c r="S190" s="475"/>
      <c r="T190" s="475"/>
      <c r="U190" s="475"/>
      <c r="V190" s="475"/>
      <c r="W190" s="475"/>
      <c r="X190" s="475"/>
      <c r="Y190" s="475"/>
    </row>
    <row r="191" ht="13.5" customHeight="1">
      <c r="A191" s="475"/>
      <c r="B191" s="475"/>
      <c r="C191" s="475"/>
      <c r="D191" s="475"/>
      <c r="E191" s="475"/>
      <c r="F191" s="475"/>
      <c r="G191" s="475"/>
      <c r="H191" s="475"/>
      <c r="I191" s="475"/>
      <c r="J191" s="475"/>
      <c r="K191" s="475"/>
      <c r="L191" s="475"/>
      <c r="M191" s="475"/>
      <c r="N191" s="475"/>
      <c r="O191" s="475"/>
      <c r="P191" s="475"/>
      <c r="Q191" s="475"/>
      <c r="R191" s="475"/>
      <c r="S191" s="475"/>
      <c r="T191" s="475"/>
      <c r="U191" s="475"/>
      <c r="V191" s="475"/>
      <c r="W191" s="475"/>
      <c r="X191" s="475"/>
      <c r="Y191" s="475"/>
    </row>
    <row r="192" ht="13.5" customHeight="1">
      <c r="A192" s="475"/>
      <c r="B192" s="475"/>
      <c r="C192" s="475"/>
      <c r="D192" s="475"/>
      <c r="E192" s="475"/>
      <c r="F192" s="475"/>
      <c r="G192" s="475"/>
      <c r="H192" s="475"/>
      <c r="I192" s="475"/>
      <c r="J192" s="475"/>
      <c r="K192" s="475"/>
      <c r="L192" s="475"/>
      <c r="M192" s="475"/>
      <c r="N192" s="475"/>
      <c r="O192" s="475"/>
      <c r="P192" s="475"/>
      <c r="Q192" s="475"/>
      <c r="R192" s="475"/>
      <c r="S192" s="475"/>
      <c r="T192" s="475"/>
      <c r="U192" s="475"/>
      <c r="V192" s="475"/>
      <c r="W192" s="475"/>
      <c r="X192" s="475"/>
      <c r="Y192" s="475"/>
    </row>
    <row r="193" ht="13.5" customHeight="1">
      <c r="A193" s="475"/>
      <c r="B193" s="475"/>
      <c r="C193" s="475"/>
      <c r="D193" s="475"/>
      <c r="E193" s="475"/>
      <c r="F193" s="475"/>
      <c r="G193" s="475"/>
      <c r="H193" s="475"/>
      <c r="I193" s="475"/>
      <c r="J193" s="475"/>
      <c r="K193" s="475"/>
      <c r="L193" s="475"/>
      <c r="M193" s="475"/>
      <c r="N193" s="475"/>
      <c r="O193" s="475"/>
      <c r="P193" s="475"/>
      <c r="Q193" s="475"/>
      <c r="R193" s="475"/>
      <c r="S193" s="475"/>
      <c r="T193" s="475"/>
      <c r="U193" s="475"/>
      <c r="V193" s="475"/>
      <c r="W193" s="475"/>
      <c r="X193" s="475"/>
      <c r="Y193" s="475"/>
    </row>
    <row r="194" ht="13.5" customHeight="1">
      <c r="A194" s="475"/>
      <c r="B194" s="475"/>
      <c r="C194" s="475"/>
      <c r="D194" s="475"/>
      <c r="E194" s="475"/>
      <c r="F194" s="475"/>
      <c r="G194" s="475"/>
      <c r="H194" s="475"/>
      <c r="I194" s="475"/>
      <c r="J194" s="475"/>
      <c r="K194" s="475"/>
      <c r="L194" s="475"/>
      <c r="M194" s="475"/>
      <c r="N194" s="475"/>
      <c r="O194" s="475"/>
      <c r="P194" s="475"/>
      <c r="Q194" s="475"/>
      <c r="R194" s="475"/>
      <c r="S194" s="475"/>
      <c r="T194" s="475"/>
      <c r="U194" s="475"/>
      <c r="V194" s="475"/>
      <c r="W194" s="475"/>
      <c r="X194" s="475"/>
      <c r="Y194" s="475"/>
    </row>
    <row r="195" ht="13.5" customHeight="1">
      <c r="A195" s="475"/>
      <c r="B195" s="475"/>
      <c r="C195" s="475"/>
      <c r="D195" s="475"/>
      <c r="E195" s="475"/>
      <c r="F195" s="475"/>
      <c r="G195" s="475"/>
      <c r="H195" s="475"/>
      <c r="I195" s="475"/>
      <c r="J195" s="475"/>
      <c r="K195" s="475"/>
      <c r="L195" s="475"/>
      <c r="M195" s="475"/>
      <c r="N195" s="475"/>
      <c r="O195" s="475"/>
      <c r="P195" s="475"/>
      <c r="Q195" s="475"/>
      <c r="R195" s="475"/>
      <c r="S195" s="475"/>
      <c r="T195" s="475"/>
      <c r="U195" s="475"/>
      <c r="V195" s="475"/>
      <c r="W195" s="475"/>
      <c r="X195" s="475"/>
      <c r="Y195" s="475"/>
    </row>
    <row r="196" ht="13.5" customHeight="1">
      <c r="A196" s="475"/>
      <c r="B196" s="475"/>
      <c r="C196" s="475"/>
      <c r="D196" s="475"/>
      <c r="E196" s="475"/>
      <c r="F196" s="475"/>
      <c r="G196" s="475"/>
      <c r="H196" s="475"/>
      <c r="I196" s="475"/>
      <c r="J196" s="475"/>
      <c r="K196" s="475"/>
      <c r="L196" s="475"/>
      <c r="M196" s="475"/>
      <c r="N196" s="475"/>
      <c r="O196" s="475"/>
      <c r="P196" s="475"/>
      <c r="Q196" s="475"/>
      <c r="R196" s="475"/>
      <c r="S196" s="475"/>
      <c r="T196" s="475"/>
      <c r="U196" s="475"/>
      <c r="V196" s="475"/>
      <c r="W196" s="475"/>
      <c r="X196" s="475"/>
      <c r="Y196" s="475"/>
    </row>
    <row r="197" ht="13.5" customHeight="1">
      <c r="A197" s="475"/>
      <c r="B197" s="475"/>
      <c r="C197" s="475"/>
      <c r="D197" s="475"/>
      <c r="E197" s="475"/>
      <c r="F197" s="475"/>
      <c r="G197" s="475"/>
      <c r="H197" s="475"/>
      <c r="I197" s="475"/>
      <c r="J197" s="475"/>
      <c r="K197" s="475"/>
      <c r="L197" s="475"/>
      <c r="M197" s="475"/>
      <c r="N197" s="475"/>
      <c r="O197" s="475"/>
      <c r="P197" s="475"/>
      <c r="Q197" s="475"/>
      <c r="R197" s="475"/>
      <c r="S197" s="475"/>
      <c r="T197" s="475"/>
      <c r="U197" s="475"/>
      <c r="V197" s="475"/>
      <c r="W197" s="475"/>
      <c r="X197" s="475"/>
      <c r="Y197" s="475"/>
    </row>
    <row r="198" ht="13.5" customHeight="1">
      <c r="A198" s="475"/>
      <c r="B198" s="475"/>
      <c r="C198" s="475"/>
      <c r="D198" s="475"/>
      <c r="E198" s="475"/>
      <c r="F198" s="475"/>
      <c r="G198" s="475"/>
      <c r="H198" s="475"/>
      <c r="I198" s="475"/>
      <c r="J198" s="475"/>
      <c r="K198" s="475"/>
      <c r="L198" s="475"/>
      <c r="M198" s="475"/>
      <c r="N198" s="475"/>
      <c r="O198" s="475"/>
      <c r="P198" s="475"/>
      <c r="Q198" s="475"/>
      <c r="R198" s="475"/>
      <c r="S198" s="475"/>
      <c r="T198" s="475"/>
      <c r="U198" s="475"/>
      <c r="V198" s="475"/>
      <c r="W198" s="475"/>
      <c r="X198" s="475"/>
      <c r="Y198" s="475"/>
    </row>
    <row r="199" ht="13.5" customHeight="1">
      <c r="A199" s="475"/>
      <c r="B199" s="475"/>
      <c r="C199" s="475"/>
      <c r="D199" s="475"/>
      <c r="E199" s="475"/>
      <c r="F199" s="475"/>
      <c r="G199" s="475"/>
      <c r="H199" s="475"/>
      <c r="I199" s="475"/>
      <c r="J199" s="475"/>
      <c r="K199" s="475"/>
      <c r="L199" s="475"/>
      <c r="M199" s="475"/>
      <c r="N199" s="475"/>
      <c r="O199" s="475"/>
      <c r="P199" s="475"/>
      <c r="Q199" s="475"/>
      <c r="R199" s="475"/>
      <c r="S199" s="475"/>
      <c r="T199" s="475"/>
      <c r="U199" s="475"/>
      <c r="V199" s="475"/>
      <c r="W199" s="475"/>
      <c r="X199" s="475"/>
      <c r="Y199" s="475"/>
    </row>
    <row r="200" ht="13.5" customHeight="1">
      <c r="A200" s="475"/>
      <c r="B200" s="475"/>
      <c r="C200" s="475"/>
      <c r="D200" s="475"/>
      <c r="E200" s="475"/>
      <c r="F200" s="475"/>
      <c r="G200" s="475"/>
      <c r="H200" s="475"/>
      <c r="I200" s="475"/>
      <c r="J200" s="475"/>
      <c r="K200" s="475"/>
      <c r="L200" s="475"/>
      <c r="M200" s="475"/>
      <c r="N200" s="475"/>
      <c r="O200" s="475"/>
      <c r="P200" s="475"/>
      <c r="Q200" s="475"/>
      <c r="R200" s="475"/>
      <c r="S200" s="475"/>
      <c r="T200" s="475"/>
      <c r="U200" s="475"/>
      <c r="V200" s="475"/>
      <c r="W200" s="475"/>
      <c r="X200" s="475"/>
      <c r="Y200" s="475"/>
    </row>
    <row r="201" ht="13.5" customHeight="1">
      <c r="A201" s="475"/>
      <c r="B201" s="475"/>
      <c r="C201" s="475"/>
      <c r="D201" s="475"/>
      <c r="E201" s="475"/>
      <c r="F201" s="475"/>
      <c r="G201" s="475"/>
      <c r="H201" s="475"/>
      <c r="I201" s="475"/>
      <c r="J201" s="475"/>
      <c r="K201" s="475"/>
      <c r="L201" s="475"/>
      <c r="M201" s="475"/>
      <c r="N201" s="475"/>
      <c r="O201" s="475"/>
      <c r="P201" s="475"/>
      <c r="Q201" s="475"/>
      <c r="R201" s="475"/>
      <c r="S201" s="475"/>
      <c r="T201" s="475"/>
      <c r="U201" s="475"/>
      <c r="V201" s="475"/>
      <c r="W201" s="475"/>
      <c r="X201" s="475"/>
      <c r="Y201" s="475"/>
    </row>
    <row r="202" ht="13.5" customHeight="1">
      <c r="A202" s="475"/>
      <c r="B202" s="475"/>
      <c r="C202" s="475"/>
      <c r="D202" s="475"/>
      <c r="E202" s="475"/>
      <c r="F202" s="475"/>
      <c r="G202" s="475"/>
      <c r="H202" s="475"/>
      <c r="I202" s="475"/>
      <c r="J202" s="475"/>
      <c r="K202" s="475"/>
      <c r="L202" s="475"/>
      <c r="M202" s="475"/>
      <c r="N202" s="475"/>
      <c r="O202" s="475"/>
      <c r="P202" s="475"/>
      <c r="Q202" s="475"/>
      <c r="R202" s="475"/>
      <c r="S202" s="475"/>
      <c r="T202" s="475"/>
      <c r="U202" s="475"/>
      <c r="V202" s="475"/>
      <c r="W202" s="475"/>
      <c r="X202" s="475"/>
      <c r="Y202" s="475"/>
    </row>
    <row r="203" ht="13.5" customHeight="1">
      <c r="A203" s="475"/>
      <c r="B203" s="475"/>
      <c r="C203" s="475"/>
      <c r="D203" s="475"/>
      <c r="E203" s="475"/>
      <c r="F203" s="475"/>
      <c r="G203" s="475"/>
      <c r="H203" s="475"/>
      <c r="I203" s="475"/>
      <c r="J203" s="475"/>
      <c r="K203" s="475"/>
      <c r="L203" s="475"/>
      <c r="M203" s="475"/>
      <c r="N203" s="475"/>
      <c r="O203" s="475"/>
      <c r="P203" s="475"/>
      <c r="Q203" s="475"/>
      <c r="R203" s="475"/>
      <c r="S203" s="475"/>
      <c r="T203" s="475"/>
      <c r="U203" s="475"/>
      <c r="V203" s="475"/>
      <c r="W203" s="475"/>
      <c r="X203" s="475"/>
      <c r="Y203" s="475"/>
    </row>
    <row r="204" ht="13.5" customHeight="1">
      <c r="A204" s="475"/>
      <c r="B204" s="475"/>
      <c r="C204" s="475"/>
      <c r="D204" s="475"/>
      <c r="E204" s="475"/>
      <c r="F204" s="475"/>
      <c r="G204" s="475"/>
      <c r="H204" s="475"/>
      <c r="I204" s="475"/>
      <c r="J204" s="475"/>
      <c r="K204" s="475"/>
      <c r="L204" s="475"/>
      <c r="M204" s="475"/>
      <c r="N204" s="475"/>
      <c r="O204" s="475"/>
      <c r="P204" s="475"/>
      <c r="Q204" s="475"/>
      <c r="R204" s="475"/>
      <c r="S204" s="475"/>
      <c r="T204" s="475"/>
      <c r="U204" s="475"/>
      <c r="V204" s="475"/>
      <c r="W204" s="475"/>
      <c r="X204" s="475"/>
      <c r="Y204" s="475"/>
    </row>
    <row r="205" ht="13.5" customHeight="1">
      <c r="A205" s="475"/>
      <c r="B205" s="475"/>
      <c r="C205" s="475"/>
      <c r="D205" s="475"/>
      <c r="E205" s="475"/>
      <c r="F205" s="475"/>
      <c r="G205" s="475"/>
      <c r="H205" s="475"/>
      <c r="I205" s="475"/>
      <c r="J205" s="475"/>
      <c r="K205" s="475"/>
      <c r="L205" s="475"/>
      <c r="M205" s="475"/>
      <c r="N205" s="475"/>
      <c r="O205" s="475"/>
      <c r="P205" s="475"/>
      <c r="Q205" s="475"/>
      <c r="R205" s="475"/>
      <c r="S205" s="475"/>
      <c r="T205" s="475"/>
      <c r="U205" s="475"/>
      <c r="V205" s="475"/>
      <c r="W205" s="475"/>
      <c r="X205" s="475"/>
      <c r="Y205" s="475"/>
    </row>
    <row r="206" ht="13.5" customHeight="1">
      <c r="A206" s="475"/>
      <c r="B206" s="475"/>
      <c r="C206" s="475"/>
      <c r="D206" s="475"/>
      <c r="E206" s="475"/>
      <c r="F206" s="475"/>
      <c r="G206" s="475"/>
      <c r="H206" s="475"/>
      <c r="I206" s="475"/>
      <c r="J206" s="475"/>
      <c r="K206" s="475"/>
      <c r="L206" s="475"/>
      <c r="M206" s="475"/>
      <c r="N206" s="475"/>
      <c r="O206" s="475"/>
      <c r="P206" s="475"/>
      <c r="Q206" s="475"/>
      <c r="R206" s="475"/>
      <c r="S206" s="475"/>
      <c r="T206" s="475"/>
      <c r="U206" s="475"/>
      <c r="V206" s="475"/>
      <c r="W206" s="475"/>
      <c r="X206" s="475"/>
      <c r="Y206" s="475"/>
    </row>
    <row r="207" ht="13.5" customHeight="1">
      <c r="A207" s="475"/>
      <c r="B207" s="475"/>
      <c r="C207" s="475"/>
      <c r="D207" s="475"/>
      <c r="E207" s="475"/>
      <c r="F207" s="475"/>
      <c r="G207" s="475"/>
      <c r="H207" s="475"/>
      <c r="I207" s="475"/>
      <c r="J207" s="475"/>
      <c r="K207" s="475"/>
      <c r="L207" s="475"/>
      <c r="M207" s="475"/>
      <c r="N207" s="475"/>
      <c r="O207" s="475"/>
      <c r="P207" s="475"/>
      <c r="Q207" s="475"/>
      <c r="R207" s="475"/>
      <c r="S207" s="475"/>
      <c r="T207" s="475"/>
      <c r="U207" s="475"/>
      <c r="V207" s="475"/>
      <c r="W207" s="475"/>
      <c r="X207" s="475"/>
      <c r="Y207" s="475"/>
    </row>
    <row r="208" ht="13.5" customHeight="1">
      <c r="A208" s="475"/>
      <c r="B208" s="475"/>
      <c r="C208" s="475"/>
      <c r="D208" s="475"/>
      <c r="E208" s="475"/>
      <c r="F208" s="475"/>
      <c r="G208" s="475"/>
      <c r="H208" s="475"/>
      <c r="I208" s="475"/>
      <c r="J208" s="475"/>
      <c r="K208" s="475"/>
      <c r="L208" s="475"/>
      <c r="M208" s="475"/>
      <c r="N208" s="475"/>
      <c r="O208" s="475"/>
      <c r="P208" s="475"/>
      <c r="Q208" s="475"/>
      <c r="R208" s="475"/>
      <c r="S208" s="475"/>
      <c r="T208" s="475"/>
      <c r="U208" s="475"/>
      <c r="V208" s="475"/>
      <c r="W208" s="475"/>
      <c r="X208" s="475"/>
      <c r="Y208" s="475"/>
    </row>
    <row r="209" ht="13.5" customHeight="1">
      <c r="A209" s="475"/>
      <c r="B209" s="475"/>
      <c r="C209" s="475"/>
      <c r="D209" s="475"/>
      <c r="E209" s="475"/>
      <c r="F209" s="475"/>
      <c r="G209" s="475"/>
      <c r="H209" s="475"/>
      <c r="I209" s="475"/>
      <c r="J209" s="475"/>
      <c r="K209" s="475"/>
      <c r="L209" s="475"/>
      <c r="M209" s="475"/>
      <c r="N209" s="475"/>
      <c r="O209" s="475"/>
      <c r="P209" s="475"/>
      <c r="Q209" s="475"/>
      <c r="R209" s="475"/>
      <c r="S209" s="475"/>
      <c r="T209" s="475"/>
      <c r="U209" s="475"/>
      <c r="V209" s="475"/>
      <c r="W209" s="475"/>
      <c r="X209" s="475"/>
      <c r="Y209" s="475"/>
    </row>
    <row r="210" ht="13.5" customHeight="1">
      <c r="A210" s="475"/>
      <c r="B210" s="475"/>
      <c r="C210" s="475"/>
      <c r="D210" s="475"/>
      <c r="E210" s="475"/>
      <c r="F210" s="475"/>
      <c r="G210" s="475"/>
      <c r="H210" s="475"/>
      <c r="I210" s="475"/>
      <c r="J210" s="475"/>
      <c r="K210" s="475"/>
      <c r="L210" s="475"/>
      <c r="M210" s="475"/>
      <c r="N210" s="475"/>
      <c r="O210" s="475"/>
      <c r="P210" s="475"/>
      <c r="Q210" s="475"/>
      <c r="R210" s="475"/>
      <c r="S210" s="475"/>
      <c r="T210" s="475"/>
      <c r="U210" s="475"/>
      <c r="V210" s="475"/>
      <c r="W210" s="475"/>
      <c r="X210" s="475"/>
      <c r="Y210" s="475"/>
    </row>
    <row r="211" ht="13.5" customHeight="1">
      <c r="A211" s="475"/>
      <c r="B211" s="475"/>
      <c r="C211" s="475"/>
      <c r="D211" s="475"/>
      <c r="E211" s="475"/>
      <c r="F211" s="475"/>
      <c r="G211" s="475"/>
      <c r="H211" s="475"/>
      <c r="I211" s="475"/>
      <c r="J211" s="475"/>
      <c r="K211" s="475"/>
      <c r="L211" s="475"/>
      <c r="M211" s="475"/>
      <c r="N211" s="475"/>
      <c r="O211" s="475"/>
      <c r="P211" s="475"/>
      <c r="Q211" s="475"/>
      <c r="R211" s="475"/>
      <c r="S211" s="475"/>
      <c r="T211" s="475"/>
      <c r="U211" s="475"/>
      <c r="V211" s="475"/>
      <c r="W211" s="475"/>
      <c r="X211" s="475"/>
      <c r="Y211" s="475"/>
    </row>
    <row r="212" ht="13.5" customHeight="1">
      <c r="A212" s="475"/>
      <c r="B212" s="475"/>
      <c r="C212" s="475"/>
      <c r="D212" s="475"/>
      <c r="E212" s="475"/>
      <c r="F212" s="475"/>
      <c r="G212" s="475"/>
      <c r="H212" s="475"/>
      <c r="I212" s="475"/>
      <c r="J212" s="475"/>
      <c r="K212" s="475"/>
      <c r="L212" s="475"/>
      <c r="M212" s="475"/>
      <c r="N212" s="475"/>
      <c r="O212" s="475"/>
      <c r="P212" s="475"/>
      <c r="Q212" s="475"/>
      <c r="R212" s="475"/>
      <c r="S212" s="475"/>
      <c r="T212" s="475"/>
      <c r="U212" s="475"/>
      <c r="V212" s="475"/>
      <c r="W212" s="475"/>
      <c r="X212" s="475"/>
      <c r="Y212" s="475"/>
    </row>
    <row r="213" ht="13.5" customHeight="1">
      <c r="A213" s="475"/>
      <c r="B213" s="475"/>
      <c r="C213" s="475"/>
      <c r="D213" s="475"/>
      <c r="E213" s="475"/>
      <c r="F213" s="475"/>
      <c r="G213" s="475"/>
      <c r="H213" s="475"/>
      <c r="I213" s="475"/>
      <c r="J213" s="475"/>
      <c r="K213" s="475"/>
      <c r="L213" s="475"/>
      <c r="M213" s="475"/>
      <c r="N213" s="475"/>
      <c r="O213" s="475"/>
      <c r="P213" s="475"/>
      <c r="Q213" s="475"/>
      <c r="R213" s="475"/>
      <c r="S213" s="475"/>
      <c r="T213" s="475"/>
      <c r="U213" s="475"/>
      <c r="V213" s="475"/>
      <c r="W213" s="475"/>
      <c r="X213" s="475"/>
      <c r="Y213" s="475"/>
    </row>
    <row r="214" ht="13.5" customHeight="1">
      <c r="A214" s="475"/>
      <c r="B214" s="475"/>
      <c r="C214" s="475"/>
      <c r="D214" s="475"/>
      <c r="E214" s="475"/>
      <c r="F214" s="475"/>
      <c r="G214" s="475"/>
      <c r="H214" s="475"/>
      <c r="I214" s="475"/>
      <c r="J214" s="475"/>
      <c r="K214" s="475"/>
      <c r="L214" s="475"/>
      <c r="M214" s="475"/>
      <c r="N214" s="475"/>
      <c r="O214" s="475"/>
      <c r="P214" s="475"/>
      <c r="Q214" s="475"/>
      <c r="R214" s="475"/>
      <c r="S214" s="475"/>
      <c r="T214" s="475"/>
      <c r="U214" s="475"/>
      <c r="V214" s="475"/>
      <c r="W214" s="475"/>
      <c r="X214" s="475"/>
      <c r="Y214" s="475"/>
    </row>
    <row r="215" ht="13.5" customHeight="1">
      <c r="A215" s="475"/>
      <c r="B215" s="475"/>
      <c r="C215" s="475"/>
      <c r="D215" s="475"/>
      <c r="E215" s="475"/>
      <c r="F215" s="475"/>
      <c r="G215" s="475"/>
      <c r="H215" s="475"/>
      <c r="I215" s="475"/>
      <c r="J215" s="475"/>
      <c r="K215" s="475"/>
      <c r="L215" s="475"/>
      <c r="M215" s="475"/>
      <c r="N215" s="475"/>
      <c r="O215" s="475"/>
      <c r="P215" s="475"/>
      <c r="Q215" s="475"/>
      <c r="R215" s="475"/>
      <c r="S215" s="475"/>
      <c r="T215" s="475"/>
      <c r="U215" s="475"/>
      <c r="V215" s="475"/>
      <c r="W215" s="475"/>
      <c r="X215" s="475"/>
      <c r="Y215" s="475"/>
    </row>
    <row r="216" ht="13.5" customHeight="1">
      <c r="A216" s="475"/>
      <c r="B216" s="475"/>
      <c r="C216" s="475"/>
      <c r="D216" s="475"/>
      <c r="E216" s="475"/>
      <c r="F216" s="475"/>
      <c r="G216" s="475"/>
      <c r="H216" s="475"/>
      <c r="I216" s="475"/>
      <c r="J216" s="475"/>
      <c r="K216" s="475"/>
      <c r="L216" s="475"/>
      <c r="M216" s="475"/>
      <c r="N216" s="475"/>
      <c r="O216" s="475"/>
      <c r="P216" s="475"/>
      <c r="Q216" s="475"/>
      <c r="R216" s="475"/>
      <c r="S216" s="475"/>
      <c r="T216" s="475"/>
      <c r="U216" s="475"/>
      <c r="V216" s="475"/>
      <c r="W216" s="475"/>
      <c r="X216" s="475"/>
      <c r="Y216" s="475"/>
    </row>
    <row r="217" ht="13.5" customHeight="1">
      <c r="A217" s="475"/>
      <c r="B217" s="475"/>
      <c r="C217" s="475"/>
      <c r="D217" s="475"/>
      <c r="E217" s="475"/>
      <c r="F217" s="475"/>
      <c r="G217" s="475"/>
      <c r="H217" s="475"/>
      <c r="I217" s="475"/>
      <c r="J217" s="475"/>
      <c r="K217" s="475"/>
      <c r="L217" s="475"/>
      <c r="M217" s="475"/>
      <c r="N217" s="475"/>
      <c r="O217" s="475"/>
      <c r="P217" s="475"/>
      <c r="Q217" s="475"/>
      <c r="R217" s="475"/>
      <c r="S217" s="475"/>
      <c r="T217" s="475"/>
      <c r="U217" s="475"/>
      <c r="V217" s="475"/>
      <c r="W217" s="475"/>
      <c r="X217" s="475"/>
      <c r="Y217" s="475"/>
    </row>
    <row r="218" ht="13.5" customHeight="1">
      <c r="A218" s="475"/>
      <c r="B218" s="475"/>
      <c r="C218" s="475"/>
      <c r="D218" s="475"/>
      <c r="E218" s="475"/>
      <c r="F218" s="475"/>
      <c r="G218" s="475"/>
      <c r="H218" s="475"/>
      <c r="I218" s="475"/>
      <c r="J218" s="475"/>
      <c r="K218" s="475"/>
      <c r="L218" s="475"/>
      <c r="M218" s="475"/>
      <c r="N218" s="475"/>
      <c r="O218" s="475"/>
      <c r="P218" s="475"/>
      <c r="Q218" s="475"/>
      <c r="R218" s="475"/>
      <c r="S218" s="475"/>
      <c r="T218" s="475"/>
      <c r="U218" s="475"/>
      <c r="V218" s="475"/>
      <c r="W218" s="475"/>
      <c r="X218" s="475"/>
      <c r="Y218" s="475"/>
    </row>
    <row r="219" ht="13.5" customHeight="1">
      <c r="A219" s="475"/>
      <c r="B219" s="475"/>
      <c r="C219" s="475"/>
      <c r="D219" s="475"/>
      <c r="E219" s="475"/>
      <c r="F219" s="475"/>
      <c r="G219" s="475"/>
      <c r="H219" s="475"/>
      <c r="I219" s="475"/>
      <c r="J219" s="475"/>
      <c r="K219" s="475"/>
      <c r="L219" s="475"/>
      <c r="M219" s="475"/>
      <c r="N219" s="475"/>
      <c r="O219" s="475"/>
      <c r="P219" s="475"/>
      <c r="Q219" s="475"/>
      <c r="R219" s="475"/>
      <c r="S219" s="475"/>
      <c r="T219" s="475"/>
      <c r="U219" s="475"/>
      <c r="V219" s="475"/>
      <c r="W219" s="475"/>
      <c r="X219" s="475"/>
      <c r="Y219" s="475"/>
    </row>
    <row r="220" ht="13.5" customHeight="1">
      <c r="A220" s="475"/>
      <c r="B220" s="475"/>
      <c r="C220" s="475"/>
      <c r="D220" s="475"/>
      <c r="E220" s="475"/>
      <c r="F220" s="475"/>
      <c r="G220" s="475"/>
      <c r="H220" s="475"/>
      <c r="I220" s="475"/>
      <c r="J220" s="475"/>
      <c r="K220" s="475"/>
      <c r="L220" s="475"/>
      <c r="M220" s="475"/>
      <c r="N220" s="475"/>
      <c r="O220" s="475"/>
      <c r="P220" s="475"/>
      <c r="Q220" s="475"/>
      <c r="R220" s="475"/>
      <c r="S220" s="475"/>
      <c r="T220" s="475"/>
      <c r="U220" s="475"/>
      <c r="V220" s="475"/>
      <c r="W220" s="475"/>
      <c r="X220" s="475"/>
      <c r="Y220" s="475"/>
    </row>
    <row r="221" ht="13.5" customHeight="1">
      <c r="A221" s="475"/>
      <c r="B221" s="475"/>
      <c r="C221" s="475"/>
      <c r="D221" s="475"/>
      <c r="E221" s="475"/>
      <c r="F221" s="475"/>
      <c r="G221" s="475"/>
      <c r="H221" s="475"/>
      <c r="I221" s="475"/>
      <c r="J221" s="475"/>
      <c r="K221" s="475"/>
      <c r="L221" s="475"/>
      <c r="M221" s="475"/>
      <c r="N221" s="475"/>
      <c r="O221" s="475"/>
      <c r="P221" s="475"/>
      <c r="Q221" s="475"/>
      <c r="R221" s="475"/>
      <c r="S221" s="475"/>
      <c r="T221" s="475"/>
      <c r="U221" s="475"/>
      <c r="V221" s="475"/>
      <c r="W221" s="475"/>
      <c r="X221" s="475"/>
      <c r="Y221" s="475"/>
    </row>
    <row r="222" ht="13.5" customHeight="1">
      <c r="A222" s="475"/>
      <c r="B222" s="475"/>
      <c r="C222" s="475"/>
      <c r="D222" s="475"/>
      <c r="E222" s="475"/>
      <c r="F222" s="475"/>
      <c r="G222" s="475"/>
      <c r="H222" s="475"/>
      <c r="I222" s="475"/>
      <c r="J222" s="475"/>
      <c r="K222" s="475"/>
      <c r="L222" s="475"/>
      <c r="M222" s="475"/>
      <c r="N222" s="475"/>
      <c r="O222" s="475"/>
      <c r="P222" s="475"/>
      <c r="Q222" s="475"/>
      <c r="R222" s="475"/>
      <c r="S222" s="475"/>
      <c r="T222" s="475"/>
      <c r="U222" s="475"/>
      <c r="V222" s="475"/>
      <c r="W222" s="475"/>
      <c r="X222" s="475"/>
      <c r="Y222" s="475"/>
    </row>
    <row r="223" ht="13.5" customHeight="1">
      <c r="A223" s="475"/>
      <c r="B223" s="475"/>
      <c r="C223" s="475"/>
      <c r="D223" s="475"/>
      <c r="E223" s="475"/>
      <c r="F223" s="475"/>
      <c r="G223" s="475"/>
      <c r="H223" s="475"/>
      <c r="I223" s="475"/>
      <c r="J223" s="475"/>
      <c r="K223" s="475"/>
      <c r="L223" s="475"/>
      <c r="M223" s="475"/>
      <c r="N223" s="475"/>
      <c r="O223" s="475"/>
      <c r="P223" s="475"/>
      <c r="Q223" s="475"/>
      <c r="R223" s="475"/>
      <c r="S223" s="475"/>
      <c r="T223" s="475"/>
      <c r="U223" s="475"/>
      <c r="V223" s="475"/>
      <c r="W223" s="475"/>
      <c r="X223" s="475"/>
      <c r="Y223" s="475"/>
    </row>
    <row r="224" ht="13.5" customHeight="1">
      <c r="A224" s="475"/>
      <c r="B224" s="475"/>
      <c r="C224" s="475"/>
      <c r="D224" s="475"/>
      <c r="E224" s="475"/>
      <c r="F224" s="475"/>
      <c r="G224" s="475"/>
      <c r="H224" s="475"/>
      <c r="I224" s="475"/>
      <c r="J224" s="475"/>
      <c r="K224" s="475"/>
      <c r="L224" s="475"/>
      <c r="M224" s="475"/>
      <c r="N224" s="475"/>
      <c r="O224" s="475"/>
      <c r="P224" s="475"/>
      <c r="Q224" s="475"/>
      <c r="R224" s="475"/>
      <c r="S224" s="475"/>
      <c r="T224" s="475"/>
      <c r="U224" s="475"/>
      <c r="V224" s="475"/>
      <c r="W224" s="475"/>
      <c r="X224" s="475"/>
      <c r="Y224" s="475"/>
    </row>
    <row r="225" ht="13.5" customHeight="1">
      <c r="A225" s="475"/>
      <c r="B225" s="475"/>
      <c r="C225" s="475"/>
      <c r="D225" s="475"/>
      <c r="E225" s="475"/>
      <c r="F225" s="475"/>
      <c r="G225" s="475"/>
      <c r="H225" s="475"/>
      <c r="I225" s="475"/>
      <c r="J225" s="475"/>
      <c r="K225" s="475"/>
      <c r="L225" s="475"/>
      <c r="M225" s="475"/>
      <c r="N225" s="475"/>
      <c r="O225" s="475"/>
      <c r="P225" s="475"/>
      <c r="Q225" s="475"/>
      <c r="R225" s="475"/>
      <c r="S225" s="475"/>
      <c r="T225" s="475"/>
      <c r="U225" s="475"/>
      <c r="V225" s="475"/>
      <c r="W225" s="475"/>
      <c r="X225" s="475"/>
      <c r="Y225" s="475"/>
    </row>
    <row r="226" ht="13.5" customHeight="1">
      <c r="A226" s="475"/>
      <c r="B226" s="475"/>
      <c r="C226" s="475"/>
      <c r="D226" s="475"/>
      <c r="E226" s="475"/>
      <c r="F226" s="475"/>
      <c r="G226" s="475"/>
      <c r="H226" s="475"/>
      <c r="I226" s="475"/>
      <c r="J226" s="475"/>
      <c r="K226" s="475"/>
      <c r="L226" s="475"/>
      <c r="M226" s="475"/>
      <c r="N226" s="475"/>
      <c r="O226" s="475"/>
      <c r="P226" s="475"/>
      <c r="Q226" s="475"/>
      <c r="R226" s="475"/>
      <c r="S226" s="475"/>
      <c r="T226" s="475"/>
      <c r="U226" s="475"/>
      <c r="V226" s="475"/>
      <c r="W226" s="475"/>
      <c r="X226" s="475"/>
      <c r="Y226" s="475"/>
    </row>
    <row r="227" ht="13.5" customHeight="1">
      <c r="A227" s="475"/>
      <c r="B227" s="475"/>
      <c r="C227" s="475"/>
      <c r="D227" s="475"/>
      <c r="E227" s="475"/>
      <c r="F227" s="475"/>
      <c r="G227" s="475"/>
      <c r="H227" s="475"/>
      <c r="I227" s="475"/>
      <c r="J227" s="475"/>
      <c r="K227" s="475"/>
      <c r="L227" s="475"/>
      <c r="M227" s="475"/>
      <c r="N227" s="475"/>
      <c r="O227" s="475"/>
      <c r="P227" s="475"/>
      <c r="Q227" s="475"/>
      <c r="R227" s="475"/>
      <c r="S227" s="475"/>
      <c r="T227" s="475"/>
      <c r="U227" s="475"/>
      <c r="V227" s="475"/>
      <c r="W227" s="475"/>
      <c r="X227" s="475"/>
      <c r="Y227" s="475"/>
    </row>
    <row r="228" ht="13.5" customHeight="1">
      <c r="A228" s="475"/>
      <c r="B228" s="475"/>
      <c r="C228" s="475"/>
      <c r="D228" s="475"/>
      <c r="E228" s="475"/>
      <c r="F228" s="475"/>
      <c r="G228" s="475"/>
      <c r="H228" s="475"/>
      <c r="I228" s="475"/>
      <c r="J228" s="475"/>
      <c r="K228" s="475"/>
      <c r="L228" s="475"/>
      <c r="M228" s="475"/>
      <c r="N228" s="475"/>
      <c r="O228" s="475"/>
      <c r="P228" s="475"/>
      <c r="Q228" s="475"/>
      <c r="R228" s="475"/>
      <c r="S228" s="475"/>
      <c r="T228" s="475"/>
      <c r="U228" s="475"/>
      <c r="V228" s="475"/>
      <c r="W228" s="475"/>
      <c r="X228" s="475"/>
      <c r="Y228" s="475"/>
    </row>
    <row r="229" ht="13.5" customHeight="1">
      <c r="A229" s="475"/>
      <c r="B229" s="475"/>
      <c r="C229" s="475"/>
      <c r="D229" s="475"/>
      <c r="E229" s="475"/>
      <c r="F229" s="475"/>
      <c r="G229" s="475"/>
      <c r="H229" s="475"/>
      <c r="I229" s="475"/>
      <c r="J229" s="475"/>
      <c r="K229" s="475"/>
      <c r="L229" s="475"/>
      <c r="M229" s="475"/>
      <c r="N229" s="475"/>
      <c r="O229" s="475"/>
      <c r="P229" s="475"/>
      <c r="Q229" s="475"/>
      <c r="R229" s="475"/>
      <c r="S229" s="475"/>
      <c r="T229" s="475"/>
      <c r="U229" s="475"/>
      <c r="V229" s="475"/>
      <c r="W229" s="475"/>
      <c r="X229" s="475"/>
      <c r="Y229" s="475"/>
    </row>
    <row r="230" ht="13.5" customHeight="1">
      <c r="A230" s="475"/>
      <c r="B230" s="475"/>
      <c r="C230" s="475"/>
      <c r="D230" s="475"/>
      <c r="E230" s="475"/>
      <c r="F230" s="475"/>
      <c r="G230" s="475"/>
      <c r="H230" s="475"/>
      <c r="I230" s="475"/>
      <c r="J230" s="475"/>
      <c r="K230" s="475"/>
      <c r="L230" s="475"/>
      <c r="M230" s="475"/>
      <c r="N230" s="475"/>
      <c r="O230" s="475"/>
      <c r="P230" s="475"/>
      <c r="Q230" s="475"/>
      <c r="R230" s="475"/>
      <c r="S230" s="475"/>
      <c r="T230" s="475"/>
      <c r="U230" s="475"/>
      <c r="V230" s="475"/>
      <c r="W230" s="475"/>
      <c r="X230" s="475"/>
      <c r="Y230" s="475"/>
    </row>
    <row r="231" ht="13.5" customHeight="1">
      <c r="A231" s="475"/>
      <c r="B231" s="475"/>
      <c r="C231" s="475"/>
      <c r="D231" s="475"/>
      <c r="E231" s="475"/>
      <c r="F231" s="475"/>
      <c r="G231" s="475"/>
      <c r="H231" s="475"/>
      <c r="I231" s="475"/>
      <c r="J231" s="475"/>
      <c r="K231" s="475"/>
      <c r="L231" s="475"/>
      <c r="M231" s="475"/>
      <c r="N231" s="475"/>
      <c r="O231" s="475"/>
      <c r="P231" s="475"/>
      <c r="Q231" s="475"/>
      <c r="R231" s="475"/>
      <c r="S231" s="475"/>
      <c r="T231" s="475"/>
      <c r="U231" s="475"/>
      <c r="V231" s="475"/>
      <c r="W231" s="475"/>
      <c r="X231" s="475"/>
      <c r="Y231" s="475"/>
    </row>
    <row r="232" ht="13.5" customHeight="1">
      <c r="A232" s="475"/>
      <c r="B232" s="475"/>
      <c r="C232" s="475"/>
      <c r="D232" s="475"/>
      <c r="E232" s="475"/>
      <c r="F232" s="475"/>
      <c r="G232" s="475"/>
      <c r="H232" s="475"/>
      <c r="I232" s="475"/>
      <c r="J232" s="475"/>
      <c r="K232" s="475"/>
      <c r="L232" s="475"/>
      <c r="M232" s="475"/>
      <c r="N232" s="475"/>
      <c r="O232" s="475"/>
      <c r="P232" s="475"/>
      <c r="Q232" s="475"/>
      <c r="R232" s="475"/>
      <c r="S232" s="475"/>
      <c r="T232" s="475"/>
      <c r="U232" s="475"/>
      <c r="V232" s="475"/>
      <c r="W232" s="475"/>
      <c r="X232" s="475"/>
      <c r="Y232" s="475"/>
    </row>
    <row r="233" ht="13.5" customHeight="1">
      <c r="A233" s="475"/>
      <c r="B233" s="475"/>
      <c r="C233" s="475"/>
      <c r="D233" s="475"/>
      <c r="E233" s="475"/>
      <c r="F233" s="475"/>
      <c r="G233" s="475"/>
      <c r="H233" s="475"/>
      <c r="I233" s="475"/>
      <c r="J233" s="475"/>
      <c r="K233" s="475"/>
      <c r="L233" s="475"/>
      <c r="M233" s="475"/>
      <c r="N233" s="475"/>
      <c r="O233" s="475"/>
      <c r="P233" s="475"/>
      <c r="Q233" s="475"/>
      <c r="R233" s="475"/>
      <c r="S233" s="475"/>
      <c r="T233" s="475"/>
      <c r="U233" s="475"/>
      <c r="V233" s="475"/>
      <c r="W233" s="475"/>
      <c r="X233" s="475"/>
      <c r="Y233" s="475"/>
    </row>
    <row r="234" ht="13.5" customHeight="1">
      <c r="A234" s="475"/>
      <c r="B234" s="475"/>
      <c r="C234" s="475"/>
      <c r="D234" s="475"/>
      <c r="E234" s="475"/>
      <c r="F234" s="475"/>
      <c r="G234" s="475"/>
      <c r="H234" s="475"/>
      <c r="I234" s="475"/>
      <c r="J234" s="475"/>
      <c r="K234" s="475"/>
      <c r="L234" s="475"/>
      <c r="M234" s="475"/>
      <c r="N234" s="475"/>
      <c r="O234" s="475"/>
      <c r="P234" s="475"/>
      <c r="Q234" s="475"/>
      <c r="R234" s="475"/>
      <c r="S234" s="475"/>
      <c r="T234" s="475"/>
      <c r="U234" s="475"/>
      <c r="V234" s="475"/>
      <c r="W234" s="475"/>
      <c r="X234" s="475"/>
      <c r="Y234" s="475"/>
    </row>
    <row r="235" ht="13.5" customHeight="1">
      <c r="A235" s="475"/>
      <c r="B235" s="475"/>
      <c r="C235" s="475"/>
      <c r="D235" s="475"/>
      <c r="E235" s="475"/>
      <c r="F235" s="475"/>
      <c r="G235" s="475"/>
      <c r="H235" s="475"/>
      <c r="I235" s="475"/>
      <c r="J235" s="475"/>
      <c r="K235" s="475"/>
      <c r="L235" s="475"/>
      <c r="M235" s="475"/>
      <c r="N235" s="475"/>
      <c r="O235" s="475"/>
      <c r="P235" s="475"/>
      <c r="Q235" s="475"/>
      <c r="R235" s="475"/>
      <c r="S235" s="475"/>
      <c r="T235" s="475"/>
      <c r="U235" s="475"/>
      <c r="V235" s="475"/>
      <c r="W235" s="475"/>
      <c r="X235" s="475"/>
      <c r="Y235" s="475"/>
    </row>
    <row r="236" ht="13.5" customHeight="1">
      <c r="A236" s="475"/>
      <c r="B236" s="475"/>
      <c r="C236" s="475"/>
      <c r="D236" s="475"/>
      <c r="E236" s="475"/>
      <c r="F236" s="475"/>
      <c r="G236" s="475"/>
      <c r="H236" s="475"/>
      <c r="I236" s="475"/>
      <c r="J236" s="475"/>
      <c r="K236" s="475"/>
      <c r="L236" s="475"/>
      <c r="M236" s="475"/>
      <c r="N236" s="475"/>
      <c r="O236" s="475"/>
      <c r="P236" s="475"/>
      <c r="Q236" s="475"/>
      <c r="R236" s="475"/>
      <c r="S236" s="475"/>
      <c r="T236" s="475"/>
      <c r="U236" s="475"/>
      <c r="V236" s="475"/>
      <c r="W236" s="475"/>
      <c r="X236" s="475"/>
      <c r="Y236" s="475"/>
    </row>
    <row r="237" ht="13.5" customHeight="1">
      <c r="A237" s="475"/>
      <c r="B237" s="475"/>
      <c r="C237" s="475"/>
      <c r="D237" s="475"/>
      <c r="E237" s="475"/>
      <c r="F237" s="475"/>
      <c r="G237" s="475"/>
      <c r="H237" s="475"/>
      <c r="I237" s="475"/>
      <c r="J237" s="475"/>
      <c r="K237" s="475"/>
      <c r="L237" s="475"/>
      <c r="M237" s="475"/>
      <c r="N237" s="475"/>
      <c r="O237" s="475"/>
      <c r="P237" s="475"/>
      <c r="Q237" s="475"/>
      <c r="R237" s="475"/>
      <c r="S237" s="475"/>
      <c r="T237" s="475"/>
      <c r="U237" s="475"/>
      <c r="V237" s="475"/>
      <c r="W237" s="475"/>
      <c r="X237" s="475"/>
      <c r="Y237" s="475"/>
    </row>
    <row r="238" ht="13.5" customHeight="1">
      <c r="A238" s="475"/>
      <c r="B238" s="475"/>
      <c r="C238" s="475"/>
      <c r="D238" s="475"/>
      <c r="E238" s="475"/>
      <c r="F238" s="475"/>
      <c r="G238" s="475"/>
      <c r="H238" s="475"/>
      <c r="I238" s="475"/>
      <c r="J238" s="475"/>
      <c r="K238" s="475"/>
      <c r="L238" s="475"/>
      <c r="M238" s="475"/>
      <c r="N238" s="475"/>
      <c r="O238" s="475"/>
      <c r="P238" s="475"/>
      <c r="Q238" s="475"/>
      <c r="R238" s="475"/>
      <c r="S238" s="475"/>
      <c r="T238" s="475"/>
      <c r="U238" s="475"/>
      <c r="V238" s="475"/>
      <c r="W238" s="475"/>
      <c r="X238" s="475"/>
      <c r="Y238" s="475"/>
    </row>
    <row r="239" ht="13.5" customHeight="1">
      <c r="A239" s="475"/>
      <c r="B239" s="475"/>
      <c r="C239" s="475"/>
      <c r="D239" s="475"/>
      <c r="E239" s="475"/>
      <c r="F239" s="475"/>
      <c r="G239" s="475"/>
      <c r="H239" s="475"/>
      <c r="I239" s="475"/>
      <c r="J239" s="475"/>
      <c r="K239" s="475"/>
      <c r="L239" s="475"/>
      <c r="M239" s="475"/>
      <c r="N239" s="475"/>
      <c r="O239" s="475"/>
      <c r="P239" s="475"/>
      <c r="Q239" s="475"/>
      <c r="R239" s="475"/>
      <c r="S239" s="475"/>
      <c r="T239" s="475"/>
      <c r="U239" s="475"/>
      <c r="V239" s="475"/>
      <c r="W239" s="475"/>
      <c r="X239" s="475"/>
      <c r="Y239" s="475"/>
    </row>
    <row r="240" ht="13.5" customHeight="1">
      <c r="A240" s="475"/>
      <c r="B240" s="475"/>
      <c r="C240" s="475"/>
      <c r="D240" s="475"/>
      <c r="E240" s="475"/>
      <c r="F240" s="475"/>
      <c r="G240" s="475"/>
      <c r="H240" s="475"/>
      <c r="I240" s="475"/>
      <c r="J240" s="475"/>
      <c r="K240" s="475"/>
      <c r="L240" s="475"/>
      <c r="M240" s="475"/>
      <c r="N240" s="475"/>
      <c r="O240" s="475"/>
      <c r="P240" s="475"/>
      <c r="Q240" s="475"/>
      <c r="R240" s="475"/>
      <c r="S240" s="475"/>
      <c r="T240" s="475"/>
      <c r="U240" s="475"/>
      <c r="V240" s="475"/>
      <c r="W240" s="475"/>
      <c r="X240" s="475"/>
      <c r="Y240" s="475"/>
    </row>
    <row r="241" ht="13.5" customHeight="1">
      <c r="A241" s="475"/>
      <c r="B241" s="475"/>
      <c r="C241" s="475"/>
      <c r="D241" s="475"/>
      <c r="E241" s="475"/>
      <c r="F241" s="475"/>
      <c r="G241" s="475"/>
      <c r="H241" s="475"/>
      <c r="I241" s="475"/>
      <c r="J241" s="475"/>
      <c r="K241" s="475"/>
      <c r="L241" s="475"/>
      <c r="M241" s="475"/>
      <c r="N241" s="475"/>
      <c r="O241" s="475"/>
      <c r="P241" s="475"/>
      <c r="Q241" s="475"/>
      <c r="R241" s="475"/>
      <c r="S241" s="475"/>
      <c r="T241" s="475"/>
      <c r="U241" s="475"/>
      <c r="V241" s="475"/>
      <c r="W241" s="475"/>
      <c r="X241" s="475"/>
      <c r="Y241" s="475"/>
    </row>
    <row r="242" ht="13.5" customHeight="1">
      <c r="A242" s="475"/>
      <c r="B242" s="475"/>
      <c r="C242" s="475"/>
      <c r="D242" s="475"/>
      <c r="E242" s="475"/>
      <c r="F242" s="475"/>
      <c r="G242" s="475"/>
      <c r="H242" s="475"/>
      <c r="I242" s="475"/>
      <c r="J242" s="475"/>
      <c r="K242" s="475"/>
      <c r="L242" s="475"/>
      <c r="M242" s="475"/>
      <c r="N242" s="475"/>
      <c r="O242" s="475"/>
      <c r="P242" s="475"/>
      <c r="Q242" s="475"/>
      <c r="R242" s="475"/>
      <c r="S242" s="475"/>
      <c r="T242" s="475"/>
      <c r="U242" s="475"/>
      <c r="V242" s="475"/>
      <c r="W242" s="475"/>
      <c r="X242" s="475"/>
      <c r="Y242" s="475"/>
    </row>
    <row r="243" ht="13.5" customHeight="1">
      <c r="A243" s="475"/>
      <c r="B243" s="475"/>
      <c r="C243" s="475"/>
      <c r="D243" s="475"/>
      <c r="E243" s="475"/>
      <c r="F243" s="475"/>
      <c r="G243" s="475"/>
      <c r="H243" s="475"/>
      <c r="I243" s="475"/>
      <c r="J243" s="475"/>
      <c r="K243" s="475"/>
      <c r="L243" s="475"/>
      <c r="M243" s="475"/>
      <c r="N243" s="475"/>
      <c r="O243" s="475"/>
      <c r="P243" s="475"/>
      <c r="Q243" s="475"/>
      <c r="R243" s="475"/>
      <c r="S243" s="475"/>
      <c r="T243" s="475"/>
      <c r="U243" s="475"/>
      <c r="V243" s="475"/>
      <c r="W243" s="475"/>
      <c r="X243" s="475"/>
      <c r="Y243" s="475"/>
    </row>
    <row r="244" ht="13.5" customHeight="1">
      <c r="A244" s="475"/>
      <c r="B244" s="475"/>
      <c r="C244" s="475"/>
      <c r="D244" s="475"/>
      <c r="E244" s="475"/>
      <c r="F244" s="475"/>
      <c r="G244" s="475"/>
      <c r="H244" s="475"/>
      <c r="I244" s="475"/>
      <c r="J244" s="475"/>
      <c r="K244" s="475"/>
      <c r="L244" s="475"/>
      <c r="M244" s="475"/>
      <c r="N244" s="475"/>
      <c r="O244" s="475"/>
      <c r="P244" s="475"/>
      <c r="Q244" s="475"/>
      <c r="R244" s="475"/>
      <c r="S244" s="475"/>
      <c r="T244" s="475"/>
      <c r="U244" s="475"/>
      <c r="V244" s="475"/>
      <c r="W244" s="475"/>
      <c r="X244" s="475"/>
      <c r="Y244" s="475"/>
    </row>
    <row r="245" ht="13.5" customHeight="1">
      <c r="A245" s="475"/>
      <c r="B245" s="475"/>
      <c r="C245" s="475"/>
      <c r="D245" s="475"/>
      <c r="E245" s="475"/>
      <c r="F245" s="475"/>
      <c r="G245" s="475"/>
      <c r="H245" s="475"/>
      <c r="I245" s="475"/>
      <c r="J245" s="475"/>
      <c r="K245" s="475"/>
      <c r="L245" s="475"/>
      <c r="M245" s="475"/>
      <c r="N245" s="475"/>
      <c r="O245" s="475"/>
      <c r="P245" s="475"/>
      <c r="Q245" s="475"/>
      <c r="R245" s="475"/>
      <c r="S245" s="475"/>
      <c r="T245" s="475"/>
      <c r="U245" s="475"/>
      <c r="V245" s="475"/>
      <c r="W245" s="475"/>
      <c r="X245" s="475"/>
      <c r="Y245" s="475"/>
    </row>
    <row r="246" ht="13.5" customHeight="1">
      <c r="A246" s="475"/>
      <c r="B246" s="475"/>
      <c r="C246" s="475"/>
      <c r="D246" s="475"/>
      <c r="E246" s="475"/>
      <c r="F246" s="475"/>
      <c r="G246" s="475"/>
      <c r="H246" s="475"/>
      <c r="I246" s="475"/>
      <c r="J246" s="475"/>
      <c r="K246" s="475"/>
      <c r="L246" s="475"/>
      <c r="M246" s="475"/>
      <c r="N246" s="475"/>
      <c r="O246" s="475"/>
      <c r="P246" s="475"/>
      <c r="Q246" s="475"/>
      <c r="R246" s="475"/>
      <c r="S246" s="475"/>
      <c r="T246" s="475"/>
      <c r="U246" s="475"/>
      <c r="V246" s="475"/>
      <c r="W246" s="475"/>
      <c r="X246" s="475"/>
      <c r="Y246" s="475"/>
    </row>
    <row r="247" ht="13.5" customHeight="1">
      <c r="A247" s="475"/>
      <c r="B247" s="475"/>
      <c r="C247" s="475"/>
      <c r="D247" s="475"/>
      <c r="E247" s="475"/>
      <c r="F247" s="475"/>
      <c r="G247" s="475"/>
      <c r="H247" s="475"/>
      <c r="I247" s="475"/>
      <c r="J247" s="475"/>
      <c r="K247" s="475"/>
      <c r="L247" s="475"/>
      <c r="M247" s="475"/>
      <c r="N247" s="475"/>
      <c r="O247" s="475"/>
      <c r="P247" s="475"/>
      <c r="Q247" s="475"/>
      <c r="R247" s="475"/>
      <c r="S247" s="475"/>
      <c r="T247" s="475"/>
      <c r="U247" s="475"/>
      <c r="V247" s="475"/>
      <c r="W247" s="475"/>
      <c r="X247" s="475"/>
      <c r="Y247" s="475"/>
    </row>
    <row r="248" ht="13.5" customHeight="1">
      <c r="A248" s="475"/>
      <c r="B248" s="475"/>
      <c r="C248" s="475"/>
      <c r="D248" s="475"/>
      <c r="E248" s="475"/>
      <c r="F248" s="475"/>
      <c r="G248" s="475"/>
      <c r="H248" s="475"/>
      <c r="I248" s="475"/>
      <c r="J248" s="475"/>
      <c r="K248" s="475"/>
      <c r="L248" s="475"/>
      <c r="M248" s="475"/>
      <c r="N248" s="475"/>
      <c r="O248" s="475"/>
      <c r="P248" s="475"/>
      <c r="Q248" s="475"/>
      <c r="R248" s="475"/>
      <c r="S248" s="475"/>
      <c r="T248" s="475"/>
      <c r="U248" s="475"/>
      <c r="V248" s="475"/>
      <c r="W248" s="475"/>
      <c r="X248" s="475"/>
      <c r="Y248" s="475"/>
    </row>
    <row r="249" ht="13.5" customHeight="1">
      <c r="A249" s="475"/>
      <c r="B249" s="475"/>
      <c r="C249" s="475"/>
      <c r="D249" s="475"/>
      <c r="E249" s="475"/>
      <c r="F249" s="475"/>
      <c r="G249" s="475"/>
      <c r="H249" s="475"/>
      <c r="I249" s="475"/>
      <c r="J249" s="475"/>
      <c r="K249" s="475"/>
      <c r="L249" s="475"/>
      <c r="M249" s="475"/>
      <c r="N249" s="475"/>
      <c r="O249" s="475"/>
      <c r="P249" s="475"/>
      <c r="Q249" s="475"/>
      <c r="R249" s="475"/>
      <c r="S249" s="475"/>
      <c r="T249" s="475"/>
      <c r="U249" s="475"/>
      <c r="V249" s="475"/>
      <c r="W249" s="475"/>
      <c r="X249" s="475"/>
      <c r="Y249" s="475"/>
    </row>
    <row r="250" ht="13.5" customHeight="1">
      <c r="A250" s="475"/>
      <c r="B250" s="475"/>
      <c r="C250" s="475"/>
      <c r="D250" s="475"/>
      <c r="E250" s="475"/>
      <c r="F250" s="475"/>
      <c r="G250" s="475"/>
      <c r="H250" s="475"/>
      <c r="I250" s="475"/>
      <c r="J250" s="475"/>
      <c r="K250" s="475"/>
      <c r="L250" s="475"/>
      <c r="M250" s="475"/>
      <c r="N250" s="475"/>
      <c r="O250" s="475"/>
      <c r="P250" s="475"/>
      <c r="Q250" s="475"/>
      <c r="R250" s="475"/>
      <c r="S250" s="475"/>
      <c r="T250" s="475"/>
      <c r="U250" s="475"/>
      <c r="V250" s="475"/>
      <c r="W250" s="475"/>
      <c r="X250" s="475"/>
      <c r="Y250" s="475"/>
    </row>
    <row r="251" ht="13.5" customHeight="1">
      <c r="A251" s="475"/>
      <c r="B251" s="475"/>
      <c r="C251" s="475"/>
      <c r="D251" s="475"/>
      <c r="E251" s="475"/>
      <c r="F251" s="475"/>
      <c r="G251" s="475"/>
      <c r="H251" s="475"/>
      <c r="I251" s="475"/>
      <c r="J251" s="475"/>
      <c r="K251" s="475"/>
      <c r="L251" s="475"/>
      <c r="M251" s="475"/>
      <c r="N251" s="475"/>
      <c r="O251" s="475"/>
      <c r="P251" s="475"/>
      <c r="Q251" s="475"/>
      <c r="R251" s="475"/>
      <c r="S251" s="475"/>
      <c r="T251" s="475"/>
      <c r="U251" s="475"/>
      <c r="V251" s="475"/>
      <c r="W251" s="475"/>
      <c r="X251" s="475"/>
      <c r="Y251" s="475"/>
    </row>
    <row r="252" ht="13.5" customHeight="1">
      <c r="A252" s="475"/>
      <c r="B252" s="475"/>
      <c r="C252" s="475"/>
      <c r="D252" s="475"/>
      <c r="E252" s="475"/>
      <c r="F252" s="475"/>
      <c r="G252" s="475"/>
      <c r="H252" s="475"/>
      <c r="I252" s="475"/>
      <c r="J252" s="475"/>
      <c r="K252" s="475"/>
      <c r="L252" s="475"/>
      <c r="M252" s="475"/>
      <c r="N252" s="475"/>
      <c r="O252" s="475"/>
      <c r="P252" s="475"/>
      <c r="Q252" s="475"/>
      <c r="R252" s="475"/>
      <c r="S252" s="475"/>
      <c r="T252" s="475"/>
      <c r="U252" s="475"/>
      <c r="V252" s="475"/>
      <c r="W252" s="475"/>
      <c r="X252" s="475"/>
      <c r="Y252" s="475"/>
    </row>
    <row r="253" ht="13.5" customHeight="1">
      <c r="A253" s="475"/>
      <c r="B253" s="475"/>
      <c r="C253" s="475"/>
      <c r="D253" s="475"/>
      <c r="E253" s="475"/>
      <c r="F253" s="475"/>
      <c r="G253" s="475"/>
      <c r="H253" s="475"/>
      <c r="I253" s="475"/>
      <c r="J253" s="475"/>
      <c r="K253" s="475"/>
      <c r="L253" s="475"/>
      <c r="M253" s="475"/>
      <c r="N253" s="475"/>
      <c r="O253" s="475"/>
      <c r="P253" s="475"/>
      <c r="Q253" s="475"/>
      <c r="R253" s="475"/>
      <c r="S253" s="475"/>
      <c r="T253" s="475"/>
      <c r="U253" s="475"/>
      <c r="V253" s="475"/>
      <c r="W253" s="475"/>
      <c r="X253" s="475"/>
      <c r="Y253" s="475"/>
    </row>
    <row r="254" ht="13.5" customHeight="1">
      <c r="A254" s="475"/>
      <c r="B254" s="475"/>
      <c r="C254" s="475"/>
      <c r="D254" s="475"/>
      <c r="E254" s="475"/>
      <c r="F254" s="475"/>
      <c r="G254" s="475"/>
      <c r="H254" s="475"/>
      <c r="I254" s="475"/>
      <c r="J254" s="475"/>
      <c r="K254" s="475"/>
      <c r="L254" s="475"/>
      <c r="M254" s="475"/>
      <c r="N254" s="475"/>
      <c r="O254" s="475"/>
      <c r="P254" s="475"/>
      <c r="Q254" s="475"/>
      <c r="R254" s="475"/>
      <c r="S254" s="475"/>
      <c r="T254" s="475"/>
      <c r="U254" s="475"/>
      <c r="V254" s="475"/>
      <c r="W254" s="475"/>
      <c r="X254" s="475"/>
      <c r="Y254" s="475"/>
    </row>
    <row r="255" ht="13.5" customHeight="1">
      <c r="A255" s="475"/>
      <c r="B255" s="475"/>
      <c r="C255" s="475"/>
      <c r="D255" s="475"/>
      <c r="E255" s="475"/>
      <c r="F255" s="475"/>
      <c r="G255" s="475"/>
      <c r="H255" s="475"/>
      <c r="I255" s="475"/>
      <c r="J255" s="475"/>
      <c r="K255" s="475"/>
      <c r="L255" s="475"/>
      <c r="M255" s="475"/>
      <c r="N255" s="475"/>
      <c r="O255" s="475"/>
      <c r="P255" s="475"/>
      <c r="Q255" s="475"/>
      <c r="R255" s="475"/>
      <c r="S255" s="475"/>
      <c r="T255" s="475"/>
      <c r="U255" s="475"/>
      <c r="V255" s="475"/>
      <c r="W255" s="475"/>
      <c r="X255" s="475"/>
      <c r="Y255" s="475"/>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D2"/>
    <mergeCell ref="E2:J2"/>
    <mergeCell ref="K2:S2"/>
    <mergeCell ref="C3:D3"/>
    <mergeCell ref="E3:J3"/>
    <mergeCell ref="K3:S3"/>
    <mergeCell ref="A3:B3"/>
    <mergeCell ref="A4:B4"/>
    <mergeCell ref="C4:D4"/>
    <mergeCell ref="E4:J4"/>
    <mergeCell ref="K4:S4"/>
    <mergeCell ref="A5:B5"/>
    <mergeCell ref="C5:S5"/>
    <mergeCell ref="N6:S6"/>
    <mergeCell ref="N7:S7"/>
    <mergeCell ref="B52:D52"/>
    <mergeCell ref="B53:D53"/>
    <mergeCell ref="B54:D54"/>
    <mergeCell ref="B55:D55"/>
    <mergeCell ref="A6:B6"/>
    <mergeCell ref="C6:D6"/>
    <mergeCell ref="E6:J6"/>
    <mergeCell ref="K6:M6"/>
    <mergeCell ref="A7:B7"/>
    <mergeCell ref="C7:D7"/>
    <mergeCell ref="E7:J7"/>
  </mergeCells>
  <dataValidations>
    <dataValidation type="list" allowBlank="1" showInputMessage="1" showErrorMessage="1" prompt=" - " sqref="E53:S53">
      <formula1>"P,F"</formula1>
    </dataValidation>
    <dataValidation type="list" allowBlank="1" showInputMessage="1" showErrorMessage="1" prompt=" - " sqref="E10:S51">
      <formula1>"O"</formula1>
    </dataValidation>
    <dataValidation type="list" allowBlank="1" showInputMessage="1" showErrorMessage="1" prompt=" - " sqref="E52:S52">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3.38"/>
    <col customWidth="1" min="3" max="3" width="10.88"/>
    <col customWidth="1" min="4" max="4" width="11.38"/>
    <col customWidth="1" min="5" max="5" width="5.5"/>
    <col customWidth="1" min="6" max="6" width="4.63"/>
    <col customWidth="1" min="7" max="7" width="4.38"/>
    <col customWidth="1" min="8" max="8" width="5.25"/>
    <col customWidth="1" min="9" max="9" width="5.0"/>
    <col customWidth="1" min="10" max="10" width="4.63"/>
    <col customWidth="1" min="11" max="12" width="5.5"/>
    <col customWidth="1" min="13" max="13" width="5.25"/>
    <col customWidth="1" min="14" max="14" width="6.63"/>
    <col customWidth="1" min="15" max="20" width="2.88"/>
    <col customWidth="1" min="21" max="22" width="9.0"/>
    <col customWidth="1" min="23" max="25" width="10.0"/>
  </cols>
  <sheetData>
    <row r="1" ht="13.5" customHeight="1">
      <c r="A1" s="474"/>
      <c r="B1" s="474"/>
      <c r="C1" s="475"/>
      <c r="D1" s="475"/>
      <c r="E1" s="475"/>
      <c r="F1" s="475"/>
      <c r="G1" s="475"/>
      <c r="H1" s="475"/>
      <c r="I1" s="475"/>
      <c r="J1" s="475"/>
      <c r="K1" s="475"/>
      <c r="L1" s="475"/>
      <c r="M1" s="475"/>
      <c r="N1" s="475"/>
      <c r="O1" s="475"/>
      <c r="P1" s="475"/>
      <c r="Q1" s="475"/>
      <c r="R1" s="475"/>
      <c r="S1" s="475"/>
      <c r="T1" s="475"/>
      <c r="U1" s="475"/>
      <c r="V1" s="475"/>
      <c r="W1" s="475"/>
      <c r="X1" s="475"/>
      <c r="Y1" s="475"/>
    </row>
    <row r="2" ht="13.5" customHeight="1">
      <c r="A2" s="342" t="s">
        <v>337</v>
      </c>
      <c r="B2" s="113"/>
      <c r="C2" s="343" t="str">
        <f>Functions!E48</f>
        <v>F-38</v>
      </c>
      <c r="D2" s="115"/>
      <c r="E2" s="344" t="s">
        <v>71</v>
      </c>
      <c r="F2" s="117"/>
      <c r="G2" s="117"/>
      <c r="H2" s="117"/>
      <c r="I2" s="117"/>
      <c r="J2" s="117"/>
      <c r="K2" s="118" t="str">
        <f>Functions!D48</f>
        <v>Category hierarchy and product publish/clone lifecycle</v>
      </c>
      <c r="L2" s="113"/>
      <c r="M2" s="113"/>
      <c r="N2" s="113"/>
      <c r="O2" s="113"/>
      <c r="P2" s="113"/>
      <c r="Q2" s="113"/>
      <c r="R2" s="113"/>
      <c r="S2" s="119"/>
      <c r="T2" s="475"/>
      <c r="U2" s="477"/>
      <c r="V2" s="475"/>
      <c r="W2" s="475"/>
      <c r="X2" s="475"/>
      <c r="Y2" s="475"/>
    </row>
    <row r="3" ht="13.5" customHeight="1">
      <c r="A3" s="345" t="s">
        <v>338</v>
      </c>
      <c r="B3" s="13"/>
      <c r="C3" s="321" t="s">
        <v>183</v>
      </c>
      <c r="D3" s="13"/>
      <c r="E3" s="346" t="s">
        <v>339</v>
      </c>
      <c r="F3" s="12"/>
      <c r="G3" s="12"/>
      <c r="H3" s="12"/>
      <c r="I3" s="12"/>
      <c r="J3" s="13"/>
      <c r="K3" s="478"/>
      <c r="L3" s="123"/>
      <c r="M3" s="123"/>
      <c r="N3" s="123"/>
      <c r="O3" s="123"/>
      <c r="P3" s="123"/>
      <c r="Q3" s="123"/>
      <c r="R3" s="123"/>
      <c r="S3" s="279"/>
      <c r="T3" s="475"/>
      <c r="U3" s="475"/>
      <c r="V3" s="475"/>
      <c r="W3" s="475"/>
      <c r="X3" s="475"/>
      <c r="Y3" s="475"/>
    </row>
    <row r="4" ht="13.5" customHeight="1">
      <c r="A4" s="345" t="s">
        <v>340</v>
      </c>
      <c r="B4" s="13"/>
      <c r="C4" s="128"/>
      <c r="D4" s="12"/>
      <c r="E4" s="346" t="s">
        <v>341</v>
      </c>
      <c r="F4" s="12"/>
      <c r="G4" s="12"/>
      <c r="H4" s="12"/>
      <c r="I4" s="12"/>
      <c r="J4" s="13"/>
      <c r="K4" s="130" t="str">
        <f>IF(OR(C4="",Functions!E6="N/A"),"N/A",C4*Functions!E6/1000-N7)</f>
        <v>N/A</v>
      </c>
      <c r="L4" s="12"/>
      <c r="M4" s="12"/>
      <c r="N4" s="12"/>
      <c r="O4" s="12"/>
      <c r="P4" s="12"/>
      <c r="Q4" s="12"/>
      <c r="R4" s="12"/>
      <c r="S4" s="131"/>
      <c r="T4" s="475"/>
      <c r="U4" s="477"/>
      <c r="V4" s="475"/>
      <c r="W4" s="475"/>
      <c r="X4" s="475"/>
      <c r="Y4" s="475"/>
    </row>
    <row r="5" ht="13.5" customHeight="1">
      <c r="A5" s="345" t="s">
        <v>342</v>
      </c>
      <c r="B5" s="13"/>
      <c r="C5" s="321" t="s">
        <v>336</v>
      </c>
      <c r="D5" s="12"/>
      <c r="E5" s="12"/>
      <c r="F5" s="12"/>
      <c r="G5" s="12"/>
      <c r="H5" s="12"/>
      <c r="I5" s="12"/>
      <c r="J5" s="12"/>
      <c r="K5" s="12"/>
      <c r="L5" s="12"/>
      <c r="M5" s="12"/>
      <c r="N5" s="12"/>
      <c r="O5" s="12"/>
      <c r="P5" s="12"/>
      <c r="Q5" s="12"/>
      <c r="R5" s="12"/>
      <c r="S5" s="131"/>
      <c r="T5" s="475"/>
      <c r="U5" s="475"/>
      <c r="V5" s="475"/>
      <c r="W5" s="475"/>
      <c r="X5" s="475"/>
      <c r="Y5" s="475"/>
    </row>
    <row r="6" ht="13.5" customHeight="1">
      <c r="A6" s="357" t="s">
        <v>217</v>
      </c>
      <c r="B6" s="13"/>
      <c r="C6" s="134" t="s">
        <v>218</v>
      </c>
      <c r="D6" s="13"/>
      <c r="E6" s="134" t="s">
        <v>219</v>
      </c>
      <c r="F6" s="12"/>
      <c r="G6" s="12"/>
      <c r="H6" s="12"/>
      <c r="I6" s="12"/>
      <c r="J6" s="13"/>
      <c r="K6" s="135" t="s">
        <v>343</v>
      </c>
      <c r="L6" s="12"/>
      <c r="M6" s="12"/>
      <c r="N6" s="134" t="s">
        <v>222</v>
      </c>
      <c r="O6" s="12"/>
      <c r="P6" s="12"/>
      <c r="Q6" s="12"/>
      <c r="R6" s="12"/>
      <c r="S6" s="131"/>
      <c r="T6" s="475"/>
      <c r="U6" s="477"/>
      <c r="V6" s="475"/>
      <c r="W6" s="475"/>
      <c r="X6" s="475"/>
      <c r="Y6" s="475"/>
    </row>
    <row r="7" ht="13.5" customHeight="1">
      <c r="A7" s="359">
        <f>COUNTIF(E40:N40,"P")</f>
        <v>0</v>
      </c>
      <c r="B7" s="138"/>
      <c r="C7" s="360">
        <f>COUNTIF(E40:N40,"F")</f>
        <v>0</v>
      </c>
      <c r="D7" s="138"/>
      <c r="E7" s="360">
        <f>SUM(N7,-A7,-C7)</f>
        <v>5</v>
      </c>
      <c r="F7" s="140"/>
      <c r="G7" s="140"/>
      <c r="H7" s="140"/>
      <c r="I7" s="140"/>
      <c r="J7" s="138"/>
      <c r="K7" s="361">
        <f>COUNTIF(E39:N39,"N")</f>
        <v>3</v>
      </c>
      <c r="L7" s="361">
        <f>COUNTIF(E39:N39,"A")</f>
        <v>2</v>
      </c>
      <c r="M7" s="361">
        <f>COUNTIF(E39:N39,"B")</f>
        <v>0</v>
      </c>
      <c r="N7" s="360">
        <f>COUNTA(E9:N9)</f>
        <v>5</v>
      </c>
      <c r="O7" s="140"/>
      <c r="P7" s="140"/>
      <c r="Q7" s="140"/>
      <c r="R7" s="140"/>
      <c r="S7" s="284"/>
      <c r="T7" s="480"/>
      <c r="U7" s="475"/>
      <c r="V7" s="475"/>
      <c r="W7" s="475"/>
      <c r="X7" s="475"/>
      <c r="Y7" s="475"/>
    </row>
    <row r="8" ht="12.0" customHeight="1">
      <c r="A8" s="475"/>
      <c r="B8" s="475"/>
      <c r="C8" s="475"/>
      <c r="D8" s="475"/>
      <c r="E8" s="475"/>
      <c r="F8" s="475"/>
      <c r="G8" s="475"/>
      <c r="H8" s="475"/>
      <c r="I8" s="475"/>
      <c r="J8" s="475"/>
      <c r="K8" s="475"/>
      <c r="L8" s="475"/>
      <c r="M8" s="475"/>
      <c r="N8" s="475"/>
      <c r="O8" s="475"/>
      <c r="P8" s="475"/>
      <c r="Q8" s="475"/>
      <c r="R8" s="475"/>
      <c r="S8" s="475"/>
      <c r="T8" s="475"/>
      <c r="U8" s="475"/>
      <c r="V8" s="475"/>
      <c r="W8" s="475"/>
      <c r="X8" s="475"/>
      <c r="Y8" s="475"/>
    </row>
    <row r="9" ht="45.0" customHeight="1">
      <c r="A9" s="481"/>
      <c r="B9" s="482"/>
      <c r="C9" s="482"/>
      <c r="D9" s="482"/>
      <c r="E9" s="369" t="s">
        <v>344</v>
      </c>
      <c r="F9" s="369" t="s">
        <v>345</v>
      </c>
      <c r="G9" s="369" t="s">
        <v>346</v>
      </c>
      <c r="H9" s="369" t="s">
        <v>347</v>
      </c>
      <c r="I9" s="369" t="s">
        <v>348</v>
      </c>
      <c r="J9" s="369"/>
      <c r="K9" s="369"/>
      <c r="L9" s="369"/>
      <c r="M9" s="369"/>
      <c r="N9" s="369"/>
      <c r="O9" s="483"/>
      <c r="P9" s="483"/>
      <c r="Q9" s="483"/>
      <c r="R9" s="483"/>
      <c r="S9" s="484"/>
      <c r="T9" s="475"/>
      <c r="U9" s="477"/>
      <c r="V9" s="475"/>
      <c r="W9" s="475"/>
      <c r="X9" s="475"/>
      <c r="Y9" s="475"/>
    </row>
    <row r="10" ht="13.5" customHeight="1">
      <c r="A10" s="485" t="s">
        <v>350</v>
      </c>
      <c r="B10" s="347" t="s">
        <v>351</v>
      </c>
      <c r="C10" s="349"/>
      <c r="D10" s="420"/>
      <c r="E10" s="464"/>
      <c r="F10" s="464"/>
      <c r="G10" s="464"/>
      <c r="H10" s="464"/>
      <c r="I10" s="464"/>
      <c r="J10" s="464"/>
      <c r="K10" s="464"/>
      <c r="L10" s="464"/>
      <c r="M10" s="464"/>
      <c r="N10" s="464"/>
      <c r="O10" s="355"/>
      <c r="P10" s="355"/>
      <c r="Q10" s="355"/>
      <c r="R10" s="355"/>
      <c r="S10" s="355"/>
      <c r="T10" s="475"/>
      <c r="U10" s="475"/>
      <c r="V10" s="475"/>
      <c r="W10" s="475"/>
      <c r="X10" s="475"/>
      <c r="Y10" s="475"/>
    </row>
    <row r="11" ht="13.5" customHeight="1">
      <c r="A11" s="486"/>
      <c r="B11" s="307"/>
      <c r="C11" s="249"/>
      <c r="D11" s="489" t="s">
        <v>752</v>
      </c>
      <c r="E11" s="383" t="s">
        <v>353</v>
      </c>
      <c r="F11" s="464"/>
      <c r="G11" s="383"/>
      <c r="H11" s="383"/>
      <c r="I11" s="383"/>
      <c r="J11" s="383"/>
      <c r="K11" s="383"/>
      <c r="L11" s="383"/>
      <c r="M11" s="383"/>
      <c r="N11" s="464"/>
      <c r="O11" s="355"/>
      <c r="P11" s="355"/>
      <c r="Q11" s="355"/>
      <c r="R11" s="355"/>
      <c r="S11" s="541"/>
      <c r="T11" s="475"/>
      <c r="U11" s="477"/>
      <c r="V11" s="475"/>
      <c r="W11" s="475"/>
      <c r="X11" s="475"/>
      <c r="Y11" s="475"/>
    </row>
    <row r="12" ht="13.5" customHeight="1">
      <c r="A12" s="486"/>
      <c r="B12" s="347"/>
      <c r="C12" s="349"/>
      <c r="D12" s="489" t="s">
        <v>753</v>
      </c>
      <c r="E12" s="464"/>
      <c r="F12" s="383" t="s">
        <v>353</v>
      </c>
      <c r="G12" s="464"/>
      <c r="H12" s="464"/>
      <c r="I12" s="464"/>
      <c r="J12" s="464"/>
      <c r="K12" s="464"/>
      <c r="L12" s="464"/>
      <c r="M12" s="464"/>
      <c r="N12" s="383"/>
      <c r="O12" s="355"/>
      <c r="P12" s="355"/>
      <c r="Q12" s="355"/>
      <c r="R12" s="355"/>
      <c r="S12" s="541"/>
      <c r="T12" s="475"/>
      <c r="U12" s="475"/>
      <c r="V12" s="475"/>
      <c r="W12" s="475"/>
      <c r="X12" s="475"/>
      <c r="Y12" s="475"/>
    </row>
    <row r="13" ht="13.5" customHeight="1">
      <c r="A13" s="486"/>
      <c r="B13" s="307"/>
      <c r="C13" s="349"/>
      <c r="D13" s="489"/>
      <c r="E13" s="464"/>
      <c r="F13" s="464"/>
      <c r="G13" s="464"/>
      <c r="H13" s="464"/>
      <c r="I13" s="464"/>
      <c r="J13" s="464"/>
      <c r="K13" s="464"/>
      <c r="L13" s="464"/>
      <c r="M13" s="464"/>
      <c r="N13" s="464"/>
      <c r="O13" s="355"/>
      <c r="P13" s="355"/>
      <c r="Q13" s="355"/>
      <c r="R13" s="355"/>
      <c r="S13" s="541"/>
      <c r="T13" s="475"/>
      <c r="U13" s="475"/>
      <c r="V13" s="475"/>
      <c r="W13" s="475"/>
      <c r="X13" s="475"/>
      <c r="Y13" s="475"/>
    </row>
    <row r="14" ht="13.5" customHeight="1">
      <c r="A14" s="486"/>
      <c r="B14" s="347"/>
      <c r="C14" s="349"/>
      <c r="D14" s="489" t="s">
        <v>754</v>
      </c>
      <c r="E14" s="383"/>
      <c r="F14" s="464"/>
      <c r="G14" s="464" t="s">
        <v>353</v>
      </c>
      <c r="H14" s="383"/>
      <c r="I14" s="383"/>
      <c r="J14" s="383"/>
      <c r="K14" s="464"/>
      <c r="L14" s="383"/>
      <c r="M14" s="383"/>
      <c r="N14" s="464"/>
      <c r="O14" s="355"/>
      <c r="P14" s="355"/>
      <c r="Q14" s="355"/>
      <c r="R14" s="355"/>
      <c r="S14" s="541"/>
      <c r="T14" s="475"/>
      <c r="U14" s="475"/>
      <c r="V14" s="475"/>
      <c r="W14" s="475"/>
      <c r="X14" s="475"/>
      <c r="Y14" s="475"/>
    </row>
    <row r="15" ht="13.5" customHeight="1">
      <c r="A15" s="486"/>
      <c r="B15" s="347"/>
      <c r="C15" s="349"/>
      <c r="D15" s="489" t="s">
        <v>755</v>
      </c>
      <c r="E15" s="464"/>
      <c r="F15" s="464"/>
      <c r="G15" s="383"/>
      <c r="H15" s="464" t="s">
        <v>353</v>
      </c>
      <c r="I15" s="464"/>
      <c r="J15" s="464"/>
      <c r="K15" s="383"/>
      <c r="L15" s="464"/>
      <c r="M15" s="464"/>
      <c r="N15" s="464"/>
      <c r="O15" s="355"/>
      <c r="P15" s="355"/>
      <c r="Q15" s="355"/>
      <c r="R15" s="355"/>
      <c r="S15" s="541"/>
      <c r="T15" s="475"/>
      <c r="U15" s="475"/>
      <c r="V15" s="475"/>
      <c r="W15" s="475"/>
      <c r="X15" s="475"/>
      <c r="Y15" s="475"/>
    </row>
    <row r="16" ht="13.5" customHeight="1">
      <c r="A16" s="486"/>
      <c r="B16" s="347"/>
      <c r="C16" s="349"/>
      <c r="D16" s="489" t="s">
        <v>756</v>
      </c>
      <c r="E16" s="464"/>
      <c r="F16" s="383"/>
      <c r="G16" s="464"/>
      <c r="H16" s="464"/>
      <c r="I16" s="464" t="s">
        <v>353</v>
      </c>
      <c r="J16" s="464"/>
      <c r="K16" s="464"/>
      <c r="L16" s="464"/>
      <c r="M16" s="464"/>
      <c r="N16" s="383"/>
      <c r="O16" s="355"/>
      <c r="P16" s="355"/>
      <c r="Q16" s="355"/>
      <c r="R16" s="355"/>
      <c r="S16" s="541"/>
      <c r="T16" s="475"/>
      <c r="U16" s="475"/>
      <c r="V16" s="475"/>
      <c r="W16" s="475"/>
      <c r="X16" s="475"/>
      <c r="Y16" s="475"/>
    </row>
    <row r="17" ht="13.5" customHeight="1">
      <c r="A17" s="486"/>
      <c r="B17" s="347"/>
      <c r="C17" s="349"/>
      <c r="D17" s="489"/>
      <c r="E17" s="464"/>
      <c r="F17" s="464"/>
      <c r="G17" s="464"/>
      <c r="H17" s="464"/>
      <c r="I17" s="464"/>
      <c r="J17" s="464"/>
      <c r="K17" s="464"/>
      <c r="L17" s="464"/>
      <c r="M17" s="464"/>
      <c r="N17" s="464"/>
      <c r="O17" s="355"/>
      <c r="P17" s="355"/>
      <c r="Q17" s="355"/>
      <c r="R17" s="355"/>
      <c r="S17" s="541"/>
      <c r="T17" s="475"/>
      <c r="U17" s="475"/>
      <c r="V17" s="475"/>
      <c r="W17" s="475"/>
      <c r="X17" s="475"/>
      <c r="Y17" s="475"/>
    </row>
    <row r="18" ht="13.5" customHeight="1">
      <c r="A18" s="486"/>
      <c r="B18" s="347"/>
      <c r="C18" s="349"/>
      <c r="D18" s="489"/>
      <c r="E18" s="383"/>
      <c r="F18" s="464"/>
      <c r="G18" s="383"/>
      <c r="H18" s="383"/>
      <c r="I18" s="383"/>
      <c r="J18" s="383"/>
      <c r="K18" s="383"/>
      <c r="L18" s="383"/>
      <c r="M18" s="464"/>
      <c r="N18" s="464"/>
      <c r="O18" s="355"/>
      <c r="P18" s="355"/>
      <c r="Q18" s="355"/>
      <c r="R18" s="355"/>
      <c r="S18" s="541"/>
      <c r="T18" s="475"/>
      <c r="U18" s="475"/>
      <c r="V18" s="475"/>
      <c r="W18" s="475"/>
      <c r="X18" s="475"/>
      <c r="Y18" s="475"/>
    </row>
    <row r="19" ht="13.5" customHeight="1">
      <c r="A19" s="486"/>
      <c r="B19" s="347"/>
      <c r="C19" s="349"/>
      <c r="D19" s="489"/>
      <c r="E19" s="464"/>
      <c r="F19" s="464"/>
      <c r="G19" s="464"/>
      <c r="H19" s="464"/>
      <c r="I19" s="464"/>
      <c r="J19" s="464"/>
      <c r="K19" s="464"/>
      <c r="L19" s="464"/>
      <c r="M19" s="383"/>
      <c r="N19" s="464"/>
      <c r="O19" s="355"/>
      <c r="P19" s="355"/>
      <c r="Q19" s="355"/>
      <c r="R19" s="355"/>
      <c r="S19" s="541"/>
      <c r="T19" s="475"/>
      <c r="U19" s="475"/>
      <c r="V19" s="475"/>
      <c r="W19" s="475"/>
      <c r="X19" s="475"/>
      <c r="Y19" s="475"/>
    </row>
    <row r="20" ht="13.5" customHeight="1">
      <c r="A20" s="486"/>
      <c r="B20" s="347"/>
      <c r="C20" s="349"/>
      <c r="D20" s="489"/>
      <c r="E20" s="464"/>
      <c r="F20" s="383"/>
      <c r="G20" s="464"/>
      <c r="H20" s="464"/>
      <c r="I20" s="464"/>
      <c r="J20" s="464"/>
      <c r="K20" s="464"/>
      <c r="L20" s="464"/>
      <c r="M20" s="464"/>
      <c r="N20" s="383"/>
      <c r="O20" s="355"/>
      <c r="P20" s="355"/>
      <c r="Q20" s="355"/>
      <c r="R20" s="355"/>
      <c r="S20" s="541"/>
      <c r="T20" s="475"/>
      <c r="U20" s="475"/>
      <c r="V20" s="475"/>
      <c r="W20" s="475"/>
      <c r="X20" s="475"/>
      <c r="Y20" s="475"/>
    </row>
    <row r="21" ht="13.5" customHeight="1">
      <c r="A21" s="486"/>
      <c r="B21" s="347"/>
      <c r="C21" s="349"/>
      <c r="D21" s="354"/>
      <c r="E21" s="464"/>
      <c r="F21" s="464"/>
      <c r="G21" s="464"/>
      <c r="H21" s="464"/>
      <c r="I21" s="464"/>
      <c r="J21" s="464"/>
      <c r="K21" s="464"/>
      <c r="L21" s="464"/>
      <c r="M21" s="464"/>
      <c r="N21" s="464"/>
      <c r="O21" s="355"/>
      <c r="P21" s="355"/>
      <c r="Q21" s="355"/>
      <c r="R21" s="355"/>
      <c r="S21" s="541"/>
      <c r="T21" s="475"/>
      <c r="U21" s="475"/>
      <c r="V21" s="475"/>
      <c r="W21" s="475"/>
      <c r="X21" s="475"/>
      <c r="Y21" s="475"/>
    </row>
    <row r="22" ht="13.5" customHeight="1">
      <c r="A22" s="486"/>
      <c r="B22" s="347"/>
      <c r="C22" s="349"/>
      <c r="D22" s="489"/>
      <c r="E22" s="383"/>
      <c r="F22" s="383"/>
      <c r="G22" s="383"/>
      <c r="H22" s="383"/>
      <c r="I22" s="464"/>
      <c r="J22" s="464"/>
      <c r="K22" s="464"/>
      <c r="L22" s="383"/>
      <c r="M22" s="383"/>
      <c r="N22" s="383"/>
      <c r="O22" s="355"/>
      <c r="P22" s="355"/>
      <c r="Q22" s="355"/>
      <c r="R22" s="355"/>
      <c r="S22" s="541"/>
      <c r="T22" s="475"/>
      <c r="U22" s="475"/>
      <c r="V22" s="475"/>
      <c r="W22" s="475"/>
      <c r="X22" s="475"/>
      <c r="Y22" s="475"/>
    </row>
    <row r="23" ht="13.5" customHeight="1">
      <c r="A23" s="486"/>
      <c r="B23" s="347"/>
      <c r="C23" s="349"/>
      <c r="D23" s="489"/>
      <c r="E23" s="464"/>
      <c r="F23" s="464"/>
      <c r="G23" s="464"/>
      <c r="H23" s="464"/>
      <c r="I23" s="464"/>
      <c r="J23" s="383"/>
      <c r="K23" s="464"/>
      <c r="L23" s="464"/>
      <c r="M23" s="464"/>
      <c r="N23" s="464"/>
      <c r="O23" s="355"/>
      <c r="P23" s="355"/>
      <c r="Q23" s="355"/>
      <c r="R23" s="355"/>
      <c r="S23" s="541"/>
      <c r="T23" s="475"/>
      <c r="U23" s="475"/>
      <c r="V23" s="475"/>
      <c r="W23" s="475"/>
      <c r="X23" s="475"/>
      <c r="Y23" s="475"/>
    </row>
    <row r="24" ht="13.5" customHeight="1">
      <c r="A24" s="486"/>
      <c r="B24" s="347"/>
      <c r="C24" s="349"/>
      <c r="D24" s="489"/>
      <c r="E24" s="464"/>
      <c r="F24" s="464"/>
      <c r="G24" s="464"/>
      <c r="H24" s="464"/>
      <c r="I24" s="464"/>
      <c r="J24" s="464"/>
      <c r="K24" s="383"/>
      <c r="L24" s="464"/>
      <c r="M24" s="464"/>
      <c r="N24" s="464"/>
      <c r="O24" s="355"/>
      <c r="P24" s="355"/>
      <c r="Q24" s="355"/>
      <c r="R24" s="355"/>
      <c r="S24" s="541"/>
      <c r="T24" s="475"/>
      <c r="U24" s="475"/>
      <c r="V24" s="475"/>
      <c r="W24" s="475"/>
      <c r="X24" s="475"/>
      <c r="Y24" s="475"/>
    </row>
    <row r="25" ht="13.5" customHeight="1">
      <c r="A25" s="486"/>
      <c r="B25" s="347"/>
      <c r="C25" s="349"/>
      <c r="D25" s="354"/>
      <c r="E25" s="464"/>
      <c r="F25" s="464"/>
      <c r="G25" s="464"/>
      <c r="H25" s="464"/>
      <c r="I25" s="464"/>
      <c r="J25" s="464"/>
      <c r="K25" s="464"/>
      <c r="L25" s="464"/>
      <c r="M25" s="464"/>
      <c r="N25" s="464"/>
      <c r="O25" s="355"/>
      <c r="P25" s="355"/>
      <c r="Q25" s="355"/>
      <c r="R25" s="355"/>
      <c r="S25" s="541"/>
      <c r="T25" s="475"/>
      <c r="U25" s="475"/>
      <c r="V25" s="475"/>
      <c r="W25" s="475"/>
      <c r="X25" s="475"/>
      <c r="Y25" s="475"/>
    </row>
    <row r="26" ht="13.5" customHeight="1">
      <c r="A26" s="486"/>
      <c r="B26" s="347"/>
      <c r="C26" s="349"/>
      <c r="D26" s="489"/>
      <c r="E26" s="383"/>
      <c r="F26" s="464"/>
      <c r="G26" s="383"/>
      <c r="H26" s="383"/>
      <c r="I26" s="464"/>
      <c r="J26" s="383"/>
      <c r="K26" s="383"/>
      <c r="L26" s="383"/>
      <c r="M26" s="383"/>
      <c r="N26" s="464"/>
      <c r="O26" s="355"/>
      <c r="P26" s="355"/>
      <c r="Q26" s="355"/>
      <c r="R26" s="355"/>
      <c r="S26" s="541"/>
      <c r="T26" s="475"/>
      <c r="U26" s="475"/>
      <c r="V26" s="475"/>
      <c r="W26" s="475"/>
      <c r="X26" s="475"/>
      <c r="Y26" s="475"/>
    </row>
    <row r="27" ht="13.5" customHeight="1">
      <c r="A27" s="486"/>
      <c r="B27" s="347"/>
      <c r="C27" s="349"/>
      <c r="D27" s="489"/>
      <c r="E27" s="464"/>
      <c r="F27" s="464"/>
      <c r="G27" s="464"/>
      <c r="H27" s="464"/>
      <c r="I27" s="383"/>
      <c r="J27" s="464"/>
      <c r="K27" s="464"/>
      <c r="L27" s="464"/>
      <c r="M27" s="464"/>
      <c r="N27" s="464"/>
      <c r="O27" s="355"/>
      <c r="P27" s="355"/>
      <c r="Q27" s="355"/>
      <c r="R27" s="355"/>
      <c r="S27" s="541"/>
      <c r="T27" s="475"/>
      <c r="U27" s="475"/>
      <c r="V27" s="475"/>
      <c r="W27" s="475"/>
      <c r="X27" s="475"/>
      <c r="Y27" s="475"/>
    </row>
    <row r="28" ht="13.5" customHeight="1">
      <c r="A28" s="486"/>
      <c r="B28" s="347"/>
      <c r="C28" s="349"/>
      <c r="D28" s="489"/>
      <c r="E28" s="464"/>
      <c r="F28" s="383"/>
      <c r="G28" s="464"/>
      <c r="H28" s="464"/>
      <c r="I28" s="464"/>
      <c r="J28" s="464"/>
      <c r="K28" s="464"/>
      <c r="L28" s="464"/>
      <c r="M28" s="464"/>
      <c r="N28" s="383"/>
      <c r="O28" s="355"/>
      <c r="P28" s="355"/>
      <c r="Q28" s="355"/>
      <c r="R28" s="355"/>
      <c r="S28" s="541"/>
      <c r="T28" s="475"/>
      <c r="U28" s="475"/>
      <c r="V28" s="475"/>
      <c r="W28" s="475"/>
      <c r="X28" s="475"/>
      <c r="Y28" s="475"/>
    </row>
    <row r="29" ht="13.5" customHeight="1">
      <c r="A29" s="550" t="s">
        <v>359</v>
      </c>
      <c r="B29" s="523" t="s">
        <v>360</v>
      </c>
      <c r="C29" s="517"/>
      <c r="D29" s="354"/>
      <c r="E29" s="464"/>
      <c r="F29" s="464"/>
      <c r="G29" s="464"/>
      <c r="H29" s="464"/>
      <c r="I29" s="464"/>
      <c r="J29" s="464"/>
      <c r="K29" s="464"/>
      <c r="L29" s="464"/>
      <c r="M29" s="464"/>
      <c r="N29" s="464"/>
      <c r="O29" s="565"/>
      <c r="P29" s="565"/>
      <c r="Q29" s="565"/>
      <c r="R29" s="565"/>
      <c r="S29" s="566"/>
      <c r="T29" s="475"/>
      <c r="U29" s="475"/>
      <c r="V29" s="475"/>
      <c r="W29" s="475"/>
      <c r="X29" s="475"/>
      <c r="Y29" s="475"/>
    </row>
    <row r="30" ht="13.5" customHeight="1">
      <c r="A30" s="507"/>
      <c r="B30" s="522"/>
      <c r="C30" s="442"/>
      <c r="D30" s="443" t="s">
        <v>757</v>
      </c>
      <c r="E30" s="383" t="s">
        <v>353</v>
      </c>
      <c r="F30" s="464"/>
      <c r="G30" s="464"/>
      <c r="H30" s="383"/>
      <c r="I30" s="383"/>
      <c r="J30" s="383"/>
      <c r="K30" s="464"/>
      <c r="L30" s="383"/>
      <c r="M30" s="383"/>
      <c r="N30" s="464"/>
      <c r="O30" s="355"/>
      <c r="P30" s="355"/>
      <c r="Q30" s="355"/>
      <c r="R30" s="355"/>
      <c r="S30" s="541"/>
      <c r="T30" s="475"/>
      <c r="U30" s="475"/>
      <c r="V30" s="475"/>
      <c r="W30" s="475"/>
      <c r="X30" s="475"/>
      <c r="Y30" s="475"/>
    </row>
    <row r="31" ht="13.5" customHeight="1">
      <c r="A31" s="507"/>
      <c r="B31" s="522"/>
      <c r="C31" s="442"/>
      <c r="D31" s="443" t="s">
        <v>758</v>
      </c>
      <c r="E31" s="464"/>
      <c r="F31" s="383" t="s">
        <v>353</v>
      </c>
      <c r="G31" s="383"/>
      <c r="H31" s="464"/>
      <c r="I31" s="464"/>
      <c r="J31" s="464"/>
      <c r="K31" s="383"/>
      <c r="L31" s="464"/>
      <c r="M31" s="464"/>
      <c r="N31" s="383"/>
      <c r="O31" s="355"/>
      <c r="P31" s="355"/>
      <c r="Q31" s="355"/>
      <c r="R31" s="355"/>
      <c r="S31" s="541"/>
      <c r="T31" s="475"/>
      <c r="U31" s="475"/>
      <c r="V31" s="475"/>
      <c r="W31" s="475"/>
      <c r="X31" s="475"/>
      <c r="Y31" s="475"/>
    </row>
    <row r="32" ht="13.5" customHeight="1">
      <c r="A32" s="507"/>
      <c r="B32" s="522"/>
      <c r="C32" s="442"/>
      <c r="D32" s="443"/>
      <c r="E32" s="464"/>
      <c r="F32" s="464"/>
      <c r="G32" s="464"/>
      <c r="H32" s="464"/>
      <c r="I32" s="464"/>
      <c r="J32" s="464"/>
      <c r="K32" s="464"/>
      <c r="L32" s="464"/>
      <c r="M32" s="464"/>
      <c r="N32" s="464"/>
      <c r="O32" s="355"/>
      <c r="P32" s="355"/>
      <c r="Q32" s="355"/>
      <c r="R32" s="355"/>
      <c r="S32" s="541"/>
      <c r="T32" s="475"/>
      <c r="U32" s="475"/>
      <c r="V32" s="475"/>
      <c r="W32" s="475"/>
      <c r="X32" s="475"/>
      <c r="Y32" s="475"/>
    </row>
    <row r="33" ht="13.5" customHeight="1">
      <c r="A33" s="507"/>
      <c r="B33" s="522"/>
      <c r="C33" s="442"/>
      <c r="D33" s="443" t="s">
        <v>759</v>
      </c>
      <c r="E33" s="383"/>
      <c r="F33" s="464"/>
      <c r="G33" s="464" t="s">
        <v>353</v>
      </c>
      <c r="H33" s="383"/>
      <c r="I33" s="383"/>
      <c r="J33" s="383"/>
      <c r="K33" s="464"/>
      <c r="L33" s="383"/>
      <c r="M33" s="383"/>
      <c r="N33" s="464"/>
      <c r="O33" s="355"/>
      <c r="P33" s="355"/>
      <c r="Q33" s="355"/>
      <c r="R33" s="355"/>
      <c r="S33" s="541"/>
      <c r="T33" s="475"/>
      <c r="U33" s="475"/>
      <c r="V33" s="475"/>
      <c r="W33" s="475"/>
      <c r="X33" s="475"/>
      <c r="Y33" s="475"/>
    </row>
    <row r="34" ht="13.5" customHeight="1">
      <c r="A34" s="507"/>
      <c r="B34" s="522"/>
      <c r="C34" s="442"/>
      <c r="D34" s="443" t="s">
        <v>760</v>
      </c>
      <c r="E34" s="464"/>
      <c r="F34" s="383"/>
      <c r="G34" s="383"/>
      <c r="H34" s="464" t="s">
        <v>353</v>
      </c>
      <c r="I34" s="464"/>
      <c r="J34" s="464"/>
      <c r="K34" s="383"/>
      <c r="L34" s="464"/>
      <c r="M34" s="464"/>
      <c r="N34" s="383"/>
      <c r="O34" s="355"/>
      <c r="P34" s="355"/>
      <c r="Q34" s="355"/>
      <c r="R34" s="355"/>
      <c r="S34" s="541"/>
      <c r="T34" s="475"/>
      <c r="U34" s="475"/>
      <c r="V34" s="475"/>
      <c r="W34" s="475"/>
      <c r="X34" s="475"/>
      <c r="Y34" s="475"/>
    </row>
    <row r="35" ht="13.5" customHeight="1">
      <c r="A35" s="507"/>
      <c r="B35" s="522"/>
      <c r="C35" s="442"/>
      <c r="D35" s="443"/>
      <c r="E35" s="464"/>
      <c r="F35" s="464"/>
      <c r="G35" s="464"/>
      <c r="H35" s="464"/>
      <c r="I35" s="464"/>
      <c r="J35" s="464"/>
      <c r="K35" s="464"/>
      <c r="L35" s="464"/>
      <c r="M35" s="464"/>
      <c r="N35" s="464"/>
      <c r="O35" s="355"/>
      <c r="P35" s="355"/>
      <c r="Q35" s="355"/>
      <c r="R35" s="355"/>
      <c r="S35" s="541"/>
      <c r="T35" s="475"/>
      <c r="U35" s="475"/>
      <c r="V35" s="475"/>
      <c r="W35" s="475"/>
      <c r="X35" s="475"/>
      <c r="Y35" s="475"/>
    </row>
    <row r="36" ht="13.5" customHeight="1">
      <c r="A36" s="507"/>
      <c r="B36" s="307"/>
      <c r="C36" s="442"/>
      <c r="D36" s="443" t="s">
        <v>761</v>
      </c>
      <c r="E36" s="383"/>
      <c r="F36" s="383"/>
      <c r="G36" s="383"/>
      <c r="H36" s="383"/>
      <c r="I36" s="383" t="s">
        <v>353</v>
      </c>
      <c r="J36" s="383"/>
      <c r="K36" s="383"/>
      <c r="L36" s="383"/>
      <c r="M36" s="383"/>
      <c r="N36" s="383"/>
      <c r="O36" s="355"/>
      <c r="P36" s="355"/>
      <c r="Q36" s="355"/>
      <c r="R36" s="355"/>
      <c r="S36" s="541"/>
      <c r="T36" s="475"/>
      <c r="U36" s="475"/>
      <c r="V36" s="475"/>
      <c r="W36" s="475"/>
      <c r="X36" s="475"/>
      <c r="Y36" s="475"/>
    </row>
    <row r="37" ht="13.5" customHeight="1">
      <c r="A37" s="507"/>
      <c r="B37" s="522"/>
      <c r="C37" s="442"/>
      <c r="D37" s="443"/>
      <c r="E37" s="592"/>
      <c r="F37" s="592"/>
      <c r="G37" s="592"/>
      <c r="H37" s="592"/>
      <c r="I37" s="592"/>
      <c r="J37" s="592"/>
      <c r="K37" s="464"/>
      <c r="L37" s="592"/>
      <c r="M37" s="592"/>
      <c r="N37" s="592"/>
      <c r="O37" s="525"/>
      <c r="P37" s="525"/>
      <c r="Q37" s="525"/>
      <c r="R37" s="525"/>
      <c r="S37" s="553"/>
      <c r="T37" s="475"/>
      <c r="U37" s="475"/>
      <c r="V37" s="475"/>
      <c r="W37" s="475"/>
      <c r="X37" s="475"/>
      <c r="Y37" s="475"/>
    </row>
    <row r="38" ht="12.0" customHeight="1">
      <c r="A38" s="507"/>
      <c r="B38" s="599"/>
      <c r="C38" s="453"/>
      <c r="D38" s="454"/>
      <c r="E38" s="383"/>
      <c r="F38" s="383"/>
      <c r="G38" s="383"/>
      <c r="H38" s="383"/>
      <c r="I38" s="383"/>
      <c r="J38" s="383"/>
      <c r="K38" s="383"/>
      <c r="L38" s="383"/>
      <c r="M38" s="383"/>
      <c r="N38" s="383"/>
      <c r="O38" s="509"/>
      <c r="P38" s="509"/>
      <c r="Q38" s="509"/>
      <c r="R38" s="509"/>
      <c r="S38" s="541"/>
      <c r="T38" s="475"/>
      <c r="U38" s="475"/>
      <c r="V38" s="475"/>
      <c r="W38" s="475"/>
      <c r="X38" s="475"/>
      <c r="Y38" s="475"/>
    </row>
    <row r="39" ht="13.5" customHeight="1">
      <c r="A39" s="550" t="s">
        <v>367</v>
      </c>
      <c r="B39" s="459" t="s">
        <v>704</v>
      </c>
      <c r="C39" s="198"/>
      <c r="D39" s="199"/>
      <c r="E39" s="527" t="s">
        <v>220</v>
      </c>
      <c r="F39" s="527" t="s">
        <v>220</v>
      </c>
      <c r="G39" s="527" t="s">
        <v>220</v>
      </c>
      <c r="H39" s="527" t="s">
        <v>38</v>
      </c>
      <c r="I39" s="527" t="s">
        <v>38</v>
      </c>
      <c r="J39" s="527"/>
      <c r="K39" s="527"/>
      <c r="L39" s="527"/>
      <c r="M39" s="527"/>
      <c r="N39" s="527"/>
      <c r="O39" s="514"/>
      <c r="P39" s="514"/>
      <c r="Q39" s="514"/>
      <c r="R39" s="514"/>
      <c r="S39" s="539"/>
      <c r="T39" s="475"/>
      <c r="U39" s="475"/>
      <c r="V39" s="475"/>
      <c r="W39" s="475"/>
      <c r="X39" s="475"/>
      <c r="Y39" s="475"/>
    </row>
    <row r="40" ht="13.5" customHeight="1">
      <c r="A40" s="532"/>
      <c r="B40" s="463" t="s">
        <v>705</v>
      </c>
      <c r="C40" s="12"/>
      <c r="D40" s="13"/>
      <c r="E40" s="533"/>
      <c r="F40" s="533"/>
      <c r="G40" s="533"/>
      <c r="H40" s="533"/>
      <c r="I40" s="355"/>
      <c r="J40" s="533"/>
      <c r="K40" s="533"/>
      <c r="L40" s="533"/>
      <c r="M40" s="533"/>
      <c r="N40" s="533"/>
      <c r="O40" s="355"/>
      <c r="P40" s="355"/>
      <c r="Q40" s="355"/>
      <c r="R40" s="355"/>
      <c r="S40" s="541"/>
      <c r="T40" s="475"/>
      <c r="U40" s="475"/>
      <c r="V40" s="475"/>
      <c r="W40" s="475"/>
      <c r="X40" s="475"/>
      <c r="Y40" s="475"/>
    </row>
    <row r="41" ht="13.5" customHeight="1">
      <c r="A41" s="532"/>
      <c r="B41" s="465" t="s">
        <v>706</v>
      </c>
      <c r="C41" s="12"/>
      <c r="D41" s="13"/>
      <c r="E41" s="448"/>
      <c r="F41" s="448"/>
      <c r="G41" s="448"/>
      <c r="H41" s="448"/>
      <c r="I41" s="448"/>
      <c r="J41" s="448"/>
      <c r="K41" s="448"/>
      <c r="L41" s="448"/>
      <c r="M41" s="448"/>
      <c r="N41" s="448"/>
      <c r="O41" s="537"/>
      <c r="P41" s="537"/>
      <c r="Q41" s="537"/>
      <c r="R41" s="537"/>
      <c r="S41" s="542"/>
      <c r="T41" s="475"/>
      <c r="U41" s="475"/>
      <c r="V41" s="475"/>
      <c r="W41" s="475"/>
      <c r="X41" s="475"/>
      <c r="Y41" s="475"/>
    </row>
    <row r="42" ht="13.5" customHeight="1">
      <c r="A42" s="538"/>
      <c r="B42" s="470" t="s">
        <v>372</v>
      </c>
      <c r="C42" s="216"/>
      <c r="D42" s="217"/>
      <c r="E42" s="540"/>
      <c r="F42" s="540"/>
      <c r="G42" s="540"/>
      <c r="H42" s="540"/>
      <c r="I42" s="540"/>
      <c r="J42" s="540"/>
      <c r="K42" s="540"/>
      <c r="L42" s="540"/>
      <c r="M42" s="540"/>
      <c r="N42" s="540"/>
      <c r="O42" s="540"/>
      <c r="P42" s="540"/>
      <c r="Q42" s="540"/>
      <c r="R42" s="540"/>
      <c r="S42" s="543"/>
      <c r="T42" s="475"/>
      <c r="U42" s="475"/>
      <c r="V42" s="475"/>
      <c r="W42" s="475"/>
      <c r="X42" s="475"/>
      <c r="Y42" s="475"/>
    </row>
    <row r="43" ht="13.5" customHeight="1">
      <c r="A43" s="475"/>
      <c r="B43" s="475"/>
      <c r="C43" s="475"/>
      <c r="D43" s="475"/>
      <c r="E43" s="475"/>
      <c r="F43" s="475"/>
      <c r="G43" s="475"/>
      <c r="H43" s="475"/>
      <c r="I43" s="475"/>
      <c r="J43" s="475"/>
      <c r="K43" s="475"/>
      <c r="L43" s="475"/>
      <c r="M43" s="475"/>
      <c r="N43" s="475"/>
      <c r="O43" s="475"/>
      <c r="P43" s="475"/>
      <c r="Q43" s="475"/>
      <c r="R43" s="475"/>
      <c r="S43" s="475"/>
      <c r="T43" s="475"/>
      <c r="U43" s="475"/>
      <c r="V43" s="475"/>
      <c r="W43" s="475"/>
      <c r="X43" s="475"/>
      <c r="Y43" s="475"/>
    </row>
    <row r="44" ht="13.5" customHeight="1">
      <c r="A44" s="475"/>
      <c r="B44" s="475"/>
      <c r="C44" s="475"/>
      <c r="D44" s="475"/>
      <c r="E44" s="475"/>
      <c r="F44" s="475"/>
      <c r="G44" s="475"/>
      <c r="H44" s="475"/>
      <c r="I44" s="475"/>
      <c r="J44" s="475"/>
      <c r="K44" s="475"/>
      <c r="L44" s="475"/>
      <c r="M44" s="475"/>
      <c r="N44" s="475"/>
      <c r="O44" s="475"/>
      <c r="P44" s="475"/>
      <c r="Q44" s="475"/>
      <c r="R44" s="475"/>
      <c r="S44" s="475"/>
      <c r="T44" s="475"/>
      <c r="U44" s="475"/>
      <c r="V44" s="475"/>
      <c r="W44" s="475"/>
      <c r="X44" s="475"/>
      <c r="Y44" s="475"/>
    </row>
    <row r="45" ht="13.5" customHeight="1">
      <c r="A45" s="475"/>
      <c r="B45" s="475"/>
      <c r="C45" s="475"/>
      <c r="D45" s="475"/>
      <c r="E45" s="475"/>
      <c r="F45" s="475"/>
      <c r="G45" s="475"/>
      <c r="H45" s="475"/>
      <c r="I45" s="475"/>
      <c r="J45" s="475"/>
      <c r="K45" s="475"/>
      <c r="L45" s="475"/>
      <c r="M45" s="475"/>
      <c r="N45" s="475"/>
      <c r="O45" s="475"/>
      <c r="P45" s="475"/>
      <c r="Q45" s="475"/>
      <c r="R45" s="475"/>
      <c r="S45" s="475"/>
      <c r="T45" s="475"/>
      <c r="U45" s="475"/>
      <c r="V45" s="475"/>
      <c r="W45" s="475"/>
      <c r="X45" s="475"/>
      <c r="Y45" s="475"/>
    </row>
    <row r="46" ht="13.5" customHeight="1">
      <c r="A46" s="475"/>
      <c r="B46" s="475"/>
      <c r="C46" s="475"/>
      <c r="D46" s="475"/>
      <c r="E46" s="475"/>
      <c r="F46" s="475"/>
      <c r="G46" s="475"/>
      <c r="H46" s="475"/>
      <c r="I46" s="475"/>
      <c r="J46" s="475"/>
      <c r="K46" s="475"/>
      <c r="L46" s="475"/>
      <c r="M46" s="475"/>
      <c r="N46" s="475"/>
      <c r="O46" s="475"/>
      <c r="P46" s="475"/>
      <c r="Q46" s="475"/>
      <c r="R46" s="475"/>
      <c r="S46" s="475"/>
      <c r="T46" s="475"/>
      <c r="U46" s="475"/>
      <c r="V46" s="475"/>
      <c r="W46" s="475"/>
      <c r="X46" s="475"/>
      <c r="Y46" s="475"/>
    </row>
    <row r="47" ht="13.5" customHeight="1">
      <c r="A47" s="475"/>
      <c r="B47" s="475"/>
      <c r="C47" s="475"/>
      <c r="D47" s="475"/>
      <c r="E47" s="475"/>
      <c r="F47" s="475"/>
      <c r="G47" s="475"/>
      <c r="H47" s="475"/>
      <c r="I47" s="475"/>
      <c r="J47" s="475"/>
      <c r="K47" s="475"/>
      <c r="L47" s="475"/>
      <c r="M47" s="475"/>
      <c r="N47" s="475"/>
      <c r="O47" s="475"/>
      <c r="P47" s="475"/>
      <c r="Q47" s="475"/>
      <c r="R47" s="475"/>
      <c r="S47" s="475"/>
      <c r="T47" s="475"/>
      <c r="U47" s="475"/>
      <c r="V47" s="475"/>
      <c r="W47" s="475"/>
      <c r="X47" s="475"/>
      <c r="Y47" s="475"/>
    </row>
    <row r="48" ht="13.5" customHeight="1">
      <c r="A48" s="475"/>
      <c r="B48" s="475"/>
      <c r="C48" s="475"/>
      <c r="D48" s="475"/>
      <c r="E48" s="475"/>
      <c r="F48" s="475"/>
      <c r="G48" s="475"/>
      <c r="H48" s="475"/>
      <c r="I48" s="475"/>
      <c r="J48" s="475"/>
      <c r="K48" s="475"/>
      <c r="L48" s="475"/>
      <c r="M48" s="475"/>
      <c r="N48" s="475"/>
      <c r="O48" s="475"/>
      <c r="P48" s="475"/>
      <c r="Q48" s="475"/>
      <c r="R48" s="475"/>
      <c r="S48" s="475"/>
      <c r="T48" s="475"/>
      <c r="U48" s="475"/>
      <c r="V48" s="475"/>
      <c r="W48" s="475"/>
      <c r="X48" s="475"/>
      <c r="Y48" s="475"/>
    </row>
    <row r="49" ht="13.5" customHeight="1">
      <c r="A49" s="475"/>
      <c r="B49" s="475"/>
      <c r="C49" s="475"/>
      <c r="D49" s="475"/>
      <c r="E49" s="475"/>
      <c r="F49" s="475"/>
      <c r="G49" s="475"/>
      <c r="H49" s="475"/>
      <c r="I49" s="475"/>
      <c r="J49" s="475"/>
      <c r="K49" s="475"/>
      <c r="L49" s="475"/>
      <c r="M49" s="475"/>
      <c r="N49" s="475"/>
      <c r="O49" s="475"/>
      <c r="P49" s="475"/>
      <c r="Q49" s="475"/>
      <c r="R49" s="475"/>
      <c r="S49" s="475"/>
      <c r="T49" s="475"/>
      <c r="U49" s="475"/>
      <c r="V49" s="475"/>
      <c r="W49" s="475"/>
      <c r="X49" s="475"/>
      <c r="Y49" s="475"/>
    </row>
    <row r="50" ht="13.5" customHeight="1">
      <c r="A50" s="475"/>
      <c r="B50" s="475"/>
      <c r="C50" s="475"/>
      <c r="D50" s="475"/>
      <c r="E50" s="475"/>
      <c r="F50" s="475"/>
      <c r="G50" s="475"/>
      <c r="H50" s="475"/>
      <c r="I50" s="475"/>
      <c r="J50" s="475"/>
      <c r="K50" s="475"/>
      <c r="L50" s="475"/>
      <c r="M50" s="475"/>
      <c r="N50" s="475"/>
      <c r="O50" s="475"/>
      <c r="P50" s="475"/>
      <c r="Q50" s="475"/>
      <c r="R50" s="475"/>
      <c r="S50" s="475"/>
      <c r="T50" s="475"/>
      <c r="U50" s="475"/>
      <c r="V50" s="475"/>
      <c r="W50" s="475"/>
      <c r="X50" s="475"/>
      <c r="Y50" s="475"/>
    </row>
    <row r="51" ht="13.5" customHeight="1">
      <c r="A51" s="475"/>
      <c r="B51" s="475"/>
      <c r="C51" s="475"/>
      <c r="D51" s="475"/>
      <c r="E51" s="475"/>
      <c r="F51" s="475"/>
      <c r="G51" s="475"/>
      <c r="H51" s="475"/>
      <c r="I51" s="475"/>
      <c r="J51" s="475"/>
      <c r="K51" s="475"/>
      <c r="L51" s="475"/>
      <c r="M51" s="475"/>
      <c r="N51" s="475"/>
      <c r="O51" s="475"/>
      <c r="P51" s="475"/>
      <c r="Q51" s="475"/>
      <c r="R51" s="475"/>
      <c r="S51" s="475"/>
      <c r="T51" s="475"/>
      <c r="U51" s="475"/>
      <c r="V51" s="475"/>
      <c r="W51" s="475"/>
      <c r="X51" s="475"/>
      <c r="Y51" s="475"/>
    </row>
    <row r="52" ht="13.5" customHeight="1">
      <c r="A52" s="475"/>
      <c r="B52" s="475"/>
      <c r="C52" s="475"/>
      <c r="D52" s="475"/>
      <c r="E52" s="475"/>
      <c r="F52" s="475"/>
      <c r="G52" s="475"/>
      <c r="H52" s="475"/>
      <c r="I52" s="475"/>
      <c r="J52" s="475"/>
      <c r="K52" s="475"/>
      <c r="L52" s="475"/>
      <c r="M52" s="475"/>
      <c r="N52" s="475"/>
      <c r="O52" s="475"/>
      <c r="P52" s="475"/>
      <c r="Q52" s="475"/>
      <c r="R52" s="475"/>
      <c r="S52" s="475"/>
      <c r="T52" s="475"/>
      <c r="U52" s="475"/>
      <c r="V52" s="475"/>
      <c r="W52" s="475"/>
      <c r="X52" s="475"/>
      <c r="Y52" s="475"/>
    </row>
    <row r="53" ht="13.5" customHeight="1">
      <c r="A53" s="475"/>
      <c r="B53" s="475"/>
      <c r="C53" s="475"/>
      <c r="D53" s="475"/>
      <c r="E53" s="475"/>
      <c r="F53" s="475"/>
      <c r="G53" s="475"/>
      <c r="H53" s="475"/>
      <c r="I53" s="475"/>
      <c r="J53" s="475"/>
      <c r="K53" s="475"/>
      <c r="L53" s="475"/>
      <c r="M53" s="475"/>
      <c r="N53" s="475"/>
      <c r="O53" s="475"/>
      <c r="P53" s="475"/>
      <c r="Q53" s="475"/>
      <c r="R53" s="475"/>
      <c r="S53" s="475"/>
      <c r="T53" s="475"/>
      <c r="U53" s="475"/>
      <c r="V53" s="475"/>
      <c r="W53" s="475"/>
      <c r="X53" s="475"/>
      <c r="Y53" s="475"/>
    </row>
    <row r="54" ht="13.5" customHeight="1">
      <c r="A54" s="475"/>
      <c r="B54" s="475"/>
      <c r="C54" s="475"/>
      <c r="D54" s="475"/>
      <c r="E54" s="475"/>
      <c r="F54" s="475"/>
      <c r="G54" s="475"/>
      <c r="H54" s="475"/>
      <c r="I54" s="475"/>
      <c r="J54" s="475"/>
      <c r="K54" s="475"/>
      <c r="L54" s="475"/>
      <c r="M54" s="475"/>
      <c r="N54" s="475"/>
      <c r="O54" s="475"/>
      <c r="P54" s="475"/>
      <c r="Q54" s="475"/>
      <c r="R54" s="475"/>
      <c r="S54" s="475"/>
      <c r="T54" s="475"/>
      <c r="U54" s="475"/>
      <c r="V54" s="475"/>
      <c r="W54" s="475"/>
      <c r="X54" s="475"/>
      <c r="Y54" s="475"/>
    </row>
    <row r="55" ht="13.5" customHeight="1">
      <c r="A55" s="475"/>
      <c r="B55" s="475"/>
      <c r="C55" s="475"/>
      <c r="D55" s="475"/>
      <c r="E55" s="475"/>
      <c r="F55" s="475"/>
      <c r="G55" s="475"/>
      <c r="H55" s="475"/>
      <c r="I55" s="475"/>
      <c r="J55" s="475"/>
      <c r="K55" s="475"/>
      <c r="L55" s="475"/>
      <c r="M55" s="475"/>
      <c r="N55" s="475"/>
      <c r="O55" s="475"/>
      <c r="P55" s="475"/>
      <c r="Q55" s="475"/>
      <c r="R55" s="475"/>
      <c r="S55" s="475"/>
      <c r="T55" s="475"/>
      <c r="U55" s="475"/>
      <c r="V55" s="475"/>
      <c r="W55" s="475"/>
      <c r="X55" s="475"/>
      <c r="Y55" s="475"/>
    </row>
    <row r="56" ht="13.5" customHeight="1">
      <c r="A56" s="475"/>
      <c r="B56" s="475"/>
      <c r="C56" s="475"/>
      <c r="D56" s="475"/>
      <c r="E56" s="475"/>
      <c r="F56" s="475"/>
      <c r="G56" s="475"/>
      <c r="H56" s="475"/>
      <c r="I56" s="475"/>
      <c r="J56" s="475"/>
      <c r="K56" s="475"/>
      <c r="L56" s="475"/>
      <c r="M56" s="475"/>
      <c r="N56" s="475"/>
      <c r="O56" s="475"/>
      <c r="P56" s="475"/>
      <c r="Q56" s="475"/>
      <c r="R56" s="475"/>
      <c r="S56" s="475"/>
      <c r="T56" s="475"/>
      <c r="U56" s="475"/>
      <c r="V56" s="475"/>
      <c r="W56" s="475"/>
      <c r="X56" s="475"/>
      <c r="Y56" s="475"/>
    </row>
    <row r="57" ht="13.5" customHeight="1">
      <c r="A57" s="475"/>
      <c r="B57" s="475"/>
      <c r="C57" s="475"/>
      <c r="D57" s="475"/>
      <c r="E57" s="475"/>
      <c r="F57" s="475"/>
      <c r="G57" s="475"/>
      <c r="H57" s="475"/>
      <c r="I57" s="475"/>
      <c r="J57" s="475"/>
      <c r="K57" s="475"/>
      <c r="L57" s="475"/>
      <c r="M57" s="475"/>
      <c r="N57" s="475"/>
      <c r="O57" s="475"/>
      <c r="P57" s="475"/>
      <c r="Q57" s="475"/>
      <c r="R57" s="475"/>
      <c r="S57" s="475"/>
      <c r="T57" s="475"/>
      <c r="U57" s="475"/>
      <c r="V57" s="475"/>
      <c r="W57" s="475"/>
      <c r="X57" s="475"/>
      <c r="Y57" s="475"/>
    </row>
    <row r="58" ht="13.5" customHeight="1">
      <c r="A58" s="475"/>
      <c r="B58" s="475"/>
      <c r="C58" s="475"/>
      <c r="D58" s="475"/>
      <c r="E58" s="475"/>
      <c r="F58" s="475"/>
      <c r="G58" s="475"/>
      <c r="H58" s="475"/>
      <c r="I58" s="475"/>
      <c r="J58" s="475"/>
      <c r="K58" s="475"/>
      <c r="L58" s="475"/>
      <c r="M58" s="475"/>
      <c r="N58" s="475"/>
      <c r="O58" s="475"/>
      <c r="P58" s="475"/>
      <c r="Q58" s="475"/>
      <c r="R58" s="475"/>
      <c r="S58" s="475"/>
      <c r="T58" s="475"/>
      <c r="U58" s="475"/>
      <c r="V58" s="475"/>
      <c r="W58" s="475"/>
      <c r="X58" s="475"/>
      <c r="Y58" s="475"/>
    </row>
    <row r="59" ht="13.5" customHeight="1">
      <c r="A59" s="475"/>
      <c r="B59" s="475"/>
      <c r="C59" s="475"/>
      <c r="D59" s="475"/>
      <c r="E59" s="475"/>
      <c r="F59" s="475"/>
      <c r="G59" s="475"/>
      <c r="H59" s="475"/>
      <c r="I59" s="475"/>
      <c r="J59" s="475"/>
      <c r="K59" s="475"/>
      <c r="L59" s="475"/>
      <c r="M59" s="475"/>
      <c r="N59" s="475"/>
      <c r="O59" s="475"/>
      <c r="P59" s="475"/>
      <c r="Q59" s="475"/>
      <c r="R59" s="475"/>
      <c r="S59" s="475"/>
      <c r="T59" s="475"/>
      <c r="U59" s="475"/>
      <c r="V59" s="475"/>
      <c r="W59" s="475"/>
      <c r="X59" s="475"/>
      <c r="Y59" s="475"/>
    </row>
    <row r="60" ht="13.5" customHeight="1">
      <c r="A60" s="475"/>
      <c r="B60" s="475"/>
      <c r="C60" s="475"/>
      <c r="D60" s="475"/>
      <c r="E60" s="475"/>
      <c r="F60" s="475"/>
      <c r="G60" s="475"/>
      <c r="H60" s="475"/>
      <c r="I60" s="475"/>
      <c r="J60" s="475"/>
      <c r="K60" s="475"/>
      <c r="L60" s="475"/>
      <c r="M60" s="475"/>
      <c r="N60" s="475"/>
      <c r="O60" s="475"/>
      <c r="P60" s="475"/>
      <c r="Q60" s="475"/>
      <c r="R60" s="475"/>
      <c r="S60" s="475"/>
      <c r="T60" s="475"/>
      <c r="U60" s="475"/>
      <c r="V60" s="475"/>
      <c r="W60" s="475"/>
      <c r="X60" s="475"/>
      <c r="Y60" s="475"/>
    </row>
    <row r="61" ht="13.5" customHeight="1">
      <c r="A61" s="475"/>
      <c r="B61" s="475"/>
      <c r="C61" s="475"/>
      <c r="D61" s="475"/>
      <c r="E61" s="475"/>
      <c r="F61" s="475"/>
      <c r="G61" s="475"/>
      <c r="H61" s="475"/>
      <c r="I61" s="475"/>
      <c r="J61" s="475"/>
      <c r="K61" s="475"/>
      <c r="L61" s="475"/>
      <c r="M61" s="475"/>
      <c r="N61" s="475"/>
      <c r="O61" s="475"/>
      <c r="P61" s="475"/>
      <c r="Q61" s="475"/>
      <c r="R61" s="475"/>
      <c r="S61" s="475"/>
      <c r="T61" s="475"/>
      <c r="U61" s="475"/>
      <c r="V61" s="475"/>
      <c r="W61" s="475"/>
      <c r="X61" s="475"/>
      <c r="Y61" s="475"/>
    </row>
    <row r="62" ht="13.5" customHeight="1">
      <c r="A62" s="475"/>
      <c r="B62" s="475"/>
      <c r="C62" s="475"/>
      <c r="D62" s="475"/>
      <c r="E62" s="475"/>
      <c r="F62" s="475"/>
      <c r="G62" s="475"/>
      <c r="H62" s="475"/>
      <c r="I62" s="475"/>
      <c r="J62" s="475"/>
      <c r="K62" s="475"/>
      <c r="L62" s="475"/>
      <c r="M62" s="475"/>
      <c r="N62" s="475"/>
      <c r="O62" s="475"/>
      <c r="P62" s="475"/>
      <c r="Q62" s="475"/>
      <c r="R62" s="475"/>
      <c r="S62" s="475"/>
      <c r="T62" s="475"/>
      <c r="U62" s="475"/>
      <c r="V62" s="475"/>
      <c r="W62" s="475"/>
      <c r="X62" s="475"/>
      <c r="Y62" s="475"/>
    </row>
    <row r="63" ht="13.5" customHeight="1">
      <c r="A63" s="475"/>
      <c r="B63" s="475"/>
      <c r="C63" s="475"/>
      <c r="D63" s="475"/>
      <c r="E63" s="475"/>
      <c r="F63" s="475"/>
      <c r="G63" s="475"/>
      <c r="H63" s="475"/>
      <c r="I63" s="475"/>
      <c r="J63" s="475"/>
      <c r="K63" s="475"/>
      <c r="L63" s="475"/>
      <c r="M63" s="475"/>
      <c r="N63" s="475"/>
      <c r="O63" s="475"/>
      <c r="P63" s="475"/>
      <c r="Q63" s="475"/>
      <c r="R63" s="475"/>
      <c r="S63" s="475"/>
      <c r="T63" s="475"/>
      <c r="U63" s="475"/>
      <c r="V63" s="475"/>
      <c r="W63" s="475"/>
      <c r="X63" s="475"/>
      <c r="Y63" s="475"/>
    </row>
    <row r="64" ht="13.5" customHeight="1">
      <c r="A64" s="475"/>
      <c r="B64" s="475"/>
      <c r="C64" s="475"/>
      <c r="D64" s="475"/>
      <c r="E64" s="475"/>
      <c r="F64" s="475"/>
      <c r="G64" s="475"/>
      <c r="H64" s="475"/>
      <c r="I64" s="475"/>
      <c r="J64" s="475"/>
      <c r="K64" s="475"/>
      <c r="L64" s="475"/>
      <c r="M64" s="475"/>
      <c r="N64" s="475"/>
      <c r="O64" s="475"/>
      <c r="P64" s="475"/>
      <c r="Q64" s="475"/>
      <c r="R64" s="475"/>
      <c r="S64" s="475"/>
      <c r="T64" s="475"/>
      <c r="U64" s="475"/>
      <c r="V64" s="475"/>
      <c r="W64" s="475"/>
      <c r="X64" s="475"/>
      <c r="Y64" s="475"/>
    </row>
    <row r="65" ht="13.5" customHeight="1">
      <c r="A65" s="475"/>
      <c r="B65" s="475"/>
      <c r="C65" s="475"/>
      <c r="D65" s="475"/>
      <c r="E65" s="475"/>
      <c r="F65" s="475"/>
      <c r="G65" s="475"/>
      <c r="H65" s="475"/>
      <c r="I65" s="475"/>
      <c r="J65" s="475"/>
      <c r="K65" s="475"/>
      <c r="L65" s="475"/>
      <c r="M65" s="475"/>
      <c r="N65" s="475"/>
      <c r="O65" s="475"/>
      <c r="P65" s="475"/>
      <c r="Q65" s="475"/>
      <c r="R65" s="475"/>
      <c r="S65" s="475"/>
      <c r="T65" s="475"/>
      <c r="U65" s="475"/>
      <c r="V65" s="475"/>
      <c r="W65" s="475"/>
      <c r="X65" s="475"/>
      <c r="Y65" s="475"/>
    </row>
    <row r="66" ht="13.5" customHeight="1">
      <c r="A66" s="475"/>
      <c r="B66" s="475"/>
      <c r="C66" s="475"/>
      <c r="D66" s="475"/>
      <c r="E66" s="475"/>
      <c r="F66" s="475"/>
      <c r="G66" s="475"/>
      <c r="H66" s="475"/>
      <c r="I66" s="475"/>
      <c r="J66" s="475"/>
      <c r="K66" s="475"/>
      <c r="L66" s="475"/>
      <c r="M66" s="475"/>
      <c r="N66" s="475"/>
      <c r="O66" s="475"/>
      <c r="P66" s="475"/>
      <c r="Q66" s="475"/>
      <c r="R66" s="475"/>
      <c r="S66" s="475"/>
      <c r="T66" s="475"/>
      <c r="U66" s="475"/>
      <c r="V66" s="475"/>
      <c r="W66" s="475"/>
      <c r="X66" s="475"/>
      <c r="Y66" s="475"/>
    </row>
    <row r="67" ht="13.5" customHeight="1">
      <c r="A67" s="475"/>
      <c r="B67" s="475"/>
      <c r="C67" s="475"/>
      <c r="D67" s="475"/>
      <c r="E67" s="475"/>
      <c r="F67" s="475"/>
      <c r="G67" s="475"/>
      <c r="H67" s="475"/>
      <c r="I67" s="475"/>
      <c r="J67" s="475"/>
      <c r="K67" s="475"/>
      <c r="L67" s="475"/>
      <c r="M67" s="475"/>
      <c r="N67" s="475"/>
      <c r="O67" s="475"/>
      <c r="P67" s="475"/>
      <c r="Q67" s="475"/>
      <c r="R67" s="475"/>
      <c r="S67" s="475"/>
      <c r="T67" s="475"/>
      <c r="U67" s="475"/>
      <c r="V67" s="475"/>
      <c r="W67" s="475"/>
      <c r="X67" s="475"/>
      <c r="Y67" s="475"/>
    </row>
    <row r="68" ht="13.5" customHeight="1">
      <c r="A68" s="475"/>
      <c r="B68" s="475"/>
      <c r="C68" s="475"/>
      <c r="D68" s="475"/>
      <c r="E68" s="475"/>
      <c r="F68" s="475"/>
      <c r="G68" s="475"/>
      <c r="H68" s="475"/>
      <c r="I68" s="475"/>
      <c r="J68" s="475"/>
      <c r="K68" s="475"/>
      <c r="L68" s="475"/>
      <c r="M68" s="475"/>
      <c r="N68" s="475"/>
      <c r="O68" s="475"/>
      <c r="P68" s="475"/>
      <c r="Q68" s="475"/>
      <c r="R68" s="475"/>
      <c r="S68" s="475"/>
      <c r="T68" s="475"/>
      <c r="U68" s="475"/>
      <c r="V68" s="475"/>
      <c r="W68" s="475"/>
      <c r="X68" s="475"/>
      <c r="Y68" s="475"/>
    </row>
    <row r="69" ht="13.5" customHeight="1">
      <c r="A69" s="475"/>
      <c r="B69" s="475"/>
      <c r="C69" s="475"/>
      <c r="D69" s="475"/>
      <c r="E69" s="475"/>
      <c r="F69" s="475"/>
      <c r="G69" s="475"/>
      <c r="H69" s="475"/>
      <c r="I69" s="475"/>
      <c r="J69" s="475"/>
      <c r="K69" s="475"/>
      <c r="L69" s="475"/>
      <c r="M69" s="475"/>
      <c r="N69" s="475"/>
      <c r="O69" s="475"/>
      <c r="P69" s="475"/>
      <c r="Q69" s="475"/>
      <c r="R69" s="475"/>
      <c r="S69" s="475"/>
      <c r="T69" s="475"/>
      <c r="U69" s="475"/>
      <c r="V69" s="475"/>
      <c r="W69" s="475"/>
      <c r="X69" s="475"/>
      <c r="Y69" s="475"/>
    </row>
    <row r="70" ht="13.5" customHeight="1">
      <c r="A70" s="475"/>
      <c r="B70" s="475"/>
      <c r="C70" s="475"/>
      <c r="D70" s="475"/>
      <c r="E70" s="475"/>
      <c r="F70" s="475"/>
      <c r="G70" s="475"/>
      <c r="H70" s="475"/>
      <c r="I70" s="475"/>
      <c r="J70" s="475"/>
      <c r="K70" s="475"/>
      <c r="L70" s="475"/>
      <c r="M70" s="475"/>
      <c r="N70" s="475"/>
      <c r="O70" s="475"/>
      <c r="P70" s="475"/>
      <c r="Q70" s="475"/>
      <c r="R70" s="475"/>
      <c r="S70" s="475"/>
      <c r="T70" s="475"/>
      <c r="U70" s="475"/>
      <c r="V70" s="475"/>
      <c r="W70" s="475"/>
      <c r="X70" s="475"/>
      <c r="Y70" s="475"/>
    </row>
    <row r="71" ht="13.5" customHeight="1">
      <c r="A71" s="475"/>
      <c r="B71" s="475"/>
      <c r="C71" s="475"/>
      <c r="D71" s="475"/>
      <c r="E71" s="475"/>
      <c r="F71" s="475"/>
      <c r="G71" s="475"/>
      <c r="H71" s="475"/>
      <c r="I71" s="475"/>
      <c r="J71" s="475"/>
      <c r="K71" s="475"/>
      <c r="L71" s="475"/>
      <c r="M71" s="475"/>
      <c r="N71" s="475"/>
      <c r="O71" s="475"/>
      <c r="P71" s="475"/>
      <c r="Q71" s="475"/>
      <c r="R71" s="475"/>
      <c r="S71" s="475"/>
      <c r="T71" s="475"/>
      <c r="U71" s="475"/>
      <c r="V71" s="475"/>
      <c r="W71" s="475"/>
      <c r="X71" s="475"/>
      <c r="Y71" s="475"/>
    </row>
    <row r="72" ht="13.5" customHeight="1">
      <c r="A72" s="475"/>
      <c r="B72" s="475"/>
      <c r="C72" s="475"/>
      <c r="D72" s="475"/>
      <c r="E72" s="475"/>
      <c r="F72" s="475"/>
      <c r="G72" s="475"/>
      <c r="H72" s="475"/>
      <c r="I72" s="475"/>
      <c r="J72" s="475"/>
      <c r="K72" s="475"/>
      <c r="L72" s="475"/>
      <c r="M72" s="475"/>
      <c r="N72" s="475"/>
      <c r="O72" s="475"/>
      <c r="P72" s="475"/>
      <c r="Q72" s="475"/>
      <c r="R72" s="475"/>
      <c r="S72" s="475"/>
      <c r="T72" s="475"/>
      <c r="U72" s="475"/>
      <c r="V72" s="475"/>
      <c r="W72" s="475"/>
      <c r="X72" s="475"/>
      <c r="Y72" s="475"/>
    </row>
    <row r="73" ht="13.5" customHeight="1">
      <c r="A73" s="475"/>
      <c r="B73" s="475"/>
      <c r="C73" s="475"/>
      <c r="D73" s="475"/>
      <c r="E73" s="475"/>
      <c r="F73" s="475"/>
      <c r="G73" s="475"/>
      <c r="H73" s="475"/>
      <c r="I73" s="475"/>
      <c r="J73" s="475"/>
      <c r="K73" s="475"/>
      <c r="L73" s="475"/>
      <c r="M73" s="475"/>
      <c r="N73" s="475"/>
      <c r="O73" s="475"/>
      <c r="P73" s="475"/>
      <c r="Q73" s="475"/>
      <c r="R73" s="475"/>
      <c r="S73" s="475"/>
      <c r="T73" s="475"/>
      <c r="U73" s="475"/>
      <c r="V73" s="475"/>
      <c r="W73" s="475"/>
      <c r="X73" s="475"/>
      <c r="Y73" s="475"/>
    </row>
    <row r="74" ht="13.5" customHeight="1">
      <c r="A74" s="475"/>
      <c r="B74" s="475"/>
      <c r="C74" s="475"/>
      <c r="D74" s="475"/>
      <c r="E74" s="475"/>
      <c r="F74" s="475"/>
      <c r="G74" s="475"/>
      <c r="H74" s="475"/>
      <c r="I74" s="475"/>
      <c r="J74" s="475"/>
      <c r="K74" s="475"/>
      <c r="L74" s="475"/>
      <c r="M74" s="475"/>
      <c r="N74" s="475"/>
      <c r="O74" s="475"/>
      <c r="P74" s="475"/>
      <c r="Q74" s="475"/>
      <c r="R74" s="475"/>
      <c r="S74" s="475"/>
      <c r="T74" s="475"/>
      <c r="U74" s="475"/>
      <c r="V74" s="475"/>
      <c r="W74" s="475"/>
      <c r="X74" s="475"/>
      <c r="Y74" s="475"/>
    </row>
    <row r="75" ht="13.5" customHeight="1">
      <c r="A75" s="475"/>
      <c r="B75" s="475"/>
      <c r="C75" s="475"/>
      <c r="D75" s="475"/>
      <c r="E75" s="475"/>
      <c r="F75" s="475"/>
      <c r="G75" s="475"/>
      <c r="H75" s="475"/>
      <c r="I75" s="475"/>
      <c r="J75" s="475"/>
      <c r="K75" s="475"/>
      <c r="L75" s="475"/>
      <c r="M75" s="475"/>
      <c r="N75" s="475"/>
      <c r="O75" s="475"/>
      <c r="P75" s="475"/>
      <c r="Q75" s="475"/>
      <c r="R75" s="475"/>
      <c r="S75" s="475"/>
      <c r="T75" s="475"/>
      <c r="U75" s="475"/>
      <c r="V75" s="475"/>
      <c r="W75" s="475"/>
      <c r="X75" s="475"/>
      <c r="Y75" s="475"/>
    </row>
    <row r="76" ht="13.5" customHeight="1">
      <c r="A76" s="475"/>
      <c r="B76" s="475"/>
      <c r="C76" s="475"/>
      <c r="D76" s="475"/>
      <c r="E76" s="475"/>
      <c r="F76" s="475"/>
      <c r="G76" s="475"/>
      <c r="H76" s="475"/>
      <c r="I76" s="475"/>
      <c r="J76" s="475"/>
      <c r="K76" s="475"/>
      <c r="L76" s="475"/>
      <c r="M76" s="475"/>
      <c r="N76" s="475"/>
      <c r="O76" s="475"/>
      <c r="P76" s="475"/>
      <c r="Q76" s="475"/>
      <c r="R76" s="475"/>
      <c r="S76" s="475"/>
      <c r="T76" s="475"/>
      <c r="U76" s="475"/>
      <c r="V76" s="475"/>
      <c r="W76" s="475"/>
      <c r="X76" s="475"/>
      <c r="Y76" s="475"/>
    </row>
    <row r="77" ht="13.5" customHeight="1">
      <c r="A77" s="475"/>
      <c r="B77" s="475"/>
      <c r="C77" s="475"/>
      <c r="D77" s="475"/>
      <c r="E77" s="475"/>
      <c r="F77" s="475"/>
      <c r="G77" s="475"/>
      <c r="H77" s="475"/>
      <c r="I77" s="475"/>
      <c r="J77" s="475"/>
      <c r="K77" s="475"/>
      <c r="L77" s="475"/>
      <c r="M77" s="475"/>
      <c r="N77" s="475"/>
      <c r="O77" s="475"/>
      <c r="P77" s="475"/>
      <c r="Q77" s="475"/>
      <c r="R77" s="475"/>
      <c r="S77" s="475"/>
      <c r="T77" s="475"/>
      <c r="U77" s="475"/>
      <c r="V77" s="475"/>
      <c r="W77" s="475"/>
      <c r="X77" s="475"/>
      <c r="Y77" s="475"/>
    </row>
    <row r="78" ht="13.5" customHeight="1">
      <c r="A78" s="475"/>
      <c r="B78" s="475"/>
      <c r="C78" s="475"/>
      <c r="D78" s="475"/>
      <c r="E78" s="475"/>
      <c r="F78" s="475"/>
      <c r="G78" s="475"/>
      <c r="H78" s="475"/>
      <c r="I78" s="475"/>
      <c r="J78" s="475"/>
      <c r="K78" s="475"/>
      <c r="L78" s="475"/>
      <c r="M78" s="475"/>
      <c r="N78" s="475"/>
      <c r="O78" s="475"/>
      <c r="P78" s="475"/>
      <c r="Q78" s="475"/>
      <c r="R78" s="475"/>
      <c r="S78" s="475"/>
      <c r="T78" s="475"/>
      <c r="U78" s="475"/>
      <c r="V78" s="475"/>
      <c r="W78" s="475"/>
      <c r="X78" s="475"/>
      <c r="Y78" s="475"/>
    </row>
    <row r="79" ht="13.5" customHeight="1">
      <c r="A79" s="475"/>
      <c r="B79" s="475"/>
      <c r="C79" s="475"/>
      <c r="D79" s="475"/>
      <c r="E79" s="475"/>
      <c r="F79" s="475"/>
      <c r="G79" s="475"/>
      <c r="H79" s="475"/>
      <c r="I79" s="475"/>
      <c r="J79" s="475"/>
      <c r="K79" s="475"/>
      <c r="L79" s="475"/>
      <c r="M79" s="475"/>
      <c r="N79" s="475"/>
      <c r="O79" s="475"/>
      <c r="P79" s="475"/>
      <c r="Q79" s="475"/>
      <c r="R79" s="475"/>
      <c r="S79" s="475"/>
      <c r="T79" s="475"/>
      <c r="U79" s="475"/>
      <c r="V79" s="475"/>
      <c r="W79" s="475"/>
      <c r="X79" s="475"/>
      <c r="Y79" s="475"/>
    </row>
    <row r="80" ht="13.5" customHeight="1">
      <c r="A80" s="475"/>
      <c r="B80" s="475"/>
      <c r="C80" s="475"/>
      <c r="D80" s="475"/>
      <c r="E80" s="475"/>
      <c r="F80" s="475"/>
      <c r="G80" s="475"/>
      <c r="H80" s="475"/>
      <c r="I80" s="475"/>
      <c r="J80" s="475"/>
      <c r="K80" s="475"/>
      <c r="L80" s="475"/>
      <c r="M80" s="475"/>
      <c r="N80" s="475"/>
      <c r="O80" s="475"/>
      <c r="P80" s="475"/>
      <c r="Q80" s="475"/>
      <c r="R80" s="475"/>
      <c r="S80" s="475"/>
      <c r="T80" s="475"/>
      <c r="U80" s="475"/>
      <c r="V80" s="475"/>
      <c r="W80" s="475"/>
      <c r="X80" s="475"/>
      <c r="Y80" s="475"/>
    </row>
    <row r="81" ht="13.5" customHeight="1">
      <c r="A81" s="475"/>
      <c r="B81" s="475"/>
      <c r="C81" s="475"/>
      <c r="D81" s="475"/>
      <c r="E81" s="475"/>
      <c r="F81" s="475"/>
      <c r="G81" s="475"/>
      <c r="H81" s="475"/>
      <c r="I81" s="475"/>
      <c r="J81" s="475"/>
      <c r="K81" s="475"/>
      <c r="L81" s="475"/>
      <c r="M81" s="475"/>
      <c r="N81" s="475"/>
      <c r="O81" s="475"/>
      <c r="P81" s="475"/>
      <c r="Q81" s="475"/>
      <c r="R81" s="475"/>
      <c r="S81" s="475"/>
      <c r="T81" s="475"/>
      <c r="U81" s="475"/>
      <c r="V81" s="475"/>
      <c r="W81" s="475"/>
      <c r="X81" s="475"/>
      <c r="Y81" s="475"/>
    </row>
    <row r="82" ht="13.5" customHeight="1">
      <c r="A82" s="475"/>
      <c r="B82" s="475"/>
      <c r="C82" s="475"/>
      <c r="D82" s="475"/>
      <c r="E82" s="475"/>
      <c r="F82" s="475"/>
      <c r="G82" s="475"/>
      <c r="H82" s="475"/>
      <c r="I82" s="475"/>
      <c r="J82" s="475"/>
      <c r="K82" s="475"/>
      <c r="L82" s="475"/>
      <c r="M82" s="475"/>
      <c r="N82" s="475"/>
      <c r="O82" s="475"/>
      <c r="P82" s="475"/>
      <c r="Q82" s="475"/>
      <c r="R82" s="475"/>
      <c r="S82" s="475"/>
      <c r="T82" s="475"/>
      <c r="U82" s="475"/>
      <c r="V82" s="475"/>
      <c r="W82" s="475"/>
      <c r="X82" s="475"/>
      <c r="Y82" s="475"/>
    </row>
    <row r="83" ht="13.5" customHeight="1">
      <c r="A83" s="475"/>
      <c r="B83" s="475"/>
      <c r="C83" s="475"/>
      <c r="D83" s="475"/>
      <c r="E83" s="475"/>
      <c r="F83" s="475"/>
      <c r="G83" s="475"/>
      <c r="H83" s="475"/>
      <c r="I83" s="475"/>
      <c r="J83" s="475"/>
      <c r="K83" s="475"/>
      <c r="L83" s="475"/>
      <c r="M83" s="475"/>
      <c r="N83" s="475"/>
      <c r="O83" s="475"/>
      <c r="P83" s="475"/>
      <c r="Q83" s="475"/>
      <c r="R83" s="475"/>
      <c r="S83" s="475"/>
      <c r="T83" s="475"/>
      <c r="U83" s="475"/>
      <c r="V83" s="475"/>
      <c r="W83" s="475"/>
      <c r="X83" s="475"/>
      <c r="Y83" s="475"/>
    </row>
    <row r="84" ht="13.5" customHeight="1">
      <c r="A84" s="475"/>
      <c r="B84" s="475"/>
      <c r="C84" s="475"/>
      <c r="D84" s="475"/>
      <c r="E84" s="475"/>
      <c r="F84" s="475"/>
      <c r="G84" s="475"/>
      <c r="H84" s="475"/>
      <c r="I84" s="475"/>
      <c r="J84" s="475"/>
      <c r="K84" s="475"/>
      <c r="L84" s="475"/>
      <c r="M84" s="475"/>
      <c r="N84" s="475"/>
      <c r="O84" s="475"/>
      <c r="P84" s="475"/>
      <c r="Q84" s="475"/>
      <c r="R84" s="475"/>
      <c r="S84" s="475"/>
      <c r="T84" s="475"/>
      <c r="U84" s="475"/>
      <c r="V84" s="475"/>
      <c r="W84" s="475"/>
      <c r="X84" s="475"/>
      <c r="Y84" s="475"/>
    </row>
    <row r="85" ht="13.5" customHeight="1">
      <c r="A85" s="475"/>
      <c r="B85" s="475"/>
      <c r="C85" s="475"/>
      <c r="D85" s="475"/>
      <c r="E85" s="475"/>
      <c r="F85" s="475"/>
      <c r="G85" s="475"/>
      <c r="H85" s="475"/>
      <c r="I85" s="475"/>
      <c r="J85" s="475"/>
      <c r="K85" s="475"/>
      <c r="L85" s="475"/>
      <c r="M85" s="475"/>
      <c r="N85" s="475"/>
      <c r="O85" s="475"/>
      <c r="P85" s="475"/>
      <c r="Q85" s="475"/>
      <c r="R85" s="475"/>
      <c r="S85" s="475"/>
      <c r="T85" s="475"/>
      <c r="U85" s="475"/>
      <c r="V85" s="475"/>
      <c r="W85" s="475"/>
      <c r="X85" s="475"/>
      <c r="Y85" s="475"/>
    </row>
    <row r="86" ht="13.5" customHeight="1">
      <c r="A86" s="475"/>
      <c r="B86" s="475"/>
      <c r="C86" s="475"/>
      <c r="D86" s="475"/>
      <c r="E86" s="475"/>
      <c r="F86" s="475"/>
      <c r="G86" s="475"/>
      <c r="H86" s="475"/>
      <c r="I86" s="475"/>
      <c r="J86" s="475"/>
      <c r="K86" s="475"/>
      <c r="L86" s="475"/>
      <c r="M86" s="475"/>
      <c r="N86" s="475"/>
      <c r="O86" s="475"/>
      <c r="P86" s="475"/>
      <c r="Q86" s="475"/>
      <c r="R86" s="475"/>
      <c r="S86" s="475"/>
      <c r="T86" s="475"/>
      <c r="U86" s="475"/>
      <c r="V86" s="475"/>
      <c r="W86" s="475"/>
      <c r="X86" s="475"/>
      <c r="Y86" s="475"/>
    </row>
    <row r="87" ht="13.5" customHeight="1">
      <c r="A87" s="475"/>
      <c r="B87" s="475"/>
      <c r="C87" s="475"/>
      <c r="D87" s="475"/>
      <c r="E87" s="475"/>
      <c r="F87" s="475"/>
      <c r="G87" s="475"/>
      <c r="H87" s="475"/>
      <c r="I87" s="475"/>
      <c r="J87" s="475"/>
      <c r="K87" s="475"/>
      <c r="L87" s="475"/>
      <c r="M87" s="475"/>
      <c r="N87" s="475"/>
      <c r="O87" s="475"/>
      <c r="P87" s="475"/>
      <c r="Q87" s="475"/>
      <c r="R87" s="475"/>
      <c r="S87" s="475"/>
      <c r="T87" s="475"/>
      <c r="U87" s="475"/>
      <c r="V87" s="475"/>
      <c r="W87" s="475"/>
      <c r="X87" s="475"/>
      <c r="Y87" s="475"/>
    </row>
    <row r="88" ht="13.5" customHeight="1">
      <c r="A88" s="475"/>
      <c r="B88" s="475"/>
      <c r="C88" s="475"/>
      <c r="D88" s="475"/>
      <c r="E88" s="475"/>
      <c r="F88" s="475"/>
      <c r="G88" s="475"/>
      <c r="H88" s="475"/>
      <c r="I88" s="475"/>
      <c r="J88" s="475"/>
      <c r="K88" s="475"/>
      <c r="L88" s="475"/>
      <c r="M88" s="475"/>
      <c r="N88" s="475"/>
      <c r="O88" s="475"/>
      <c r="P88" s="475"/>
      <c r="Q88" s="475"/>
      <c r="R88" s="475"/>
      <c r="S88" s="475"/>
      <c r="T88" s="475"/>
      <c r="U88" s="475"/>
      <c r="V88" s="475"/>
      <c r="W88" s="475"/>
      <c r="X88" s="475"/>
      <c r="Y88" s="475"/>
    </row>
    <row r="89" ht="13.5" customHeight="1">
      <c r="A89" s="475"/>
      <c r="B89" s="475"/>
      <c r="C89" s="475"/>
      <c r="D89" s="475"/>
      <c r="E89" s="475"/>
      <c r="F89" s="475"/>
      <c r="G89" s="475"/>
      <c r="H89" s="475"/>
      <c r="I89" s="475"/>
      <c r="J89" s="475"/>
      <c r="K89" s="475"/>
      <c r="L89" s="475"/>
      <c r="M89" s="475"/>
      <c r="N89" s="475"/>
      <c r="O89" s="475"/>
      <c r="P89" s="475"/>
      <c r="Q89" s="475"/>
      <c r="R89" s="475"/>
      <c r="S89" s="475"/>
      <c r="T89" s="475"/>
      <c r="U89" s="475"/>
      <c r="V89" s="475"/>
      <c r="W89" s="475"/>
      <c r="X89" s="475"/>
      <c r="Y89" s="475"/>
    </row>
    <row r="90" ht="13.5" customHeight="1">
      <c r="A90" s="475"/>
      <c r="B90" s="475"/>
      <c r="C90" s="475"/>
      <c r="D90" s="475"/>
      <c r="E90" s="475"/>
      <c r="F90" s="475"/>
      <c r="G90" s="475"/>
      <c r="H90" s="475"/>
      <c r="I90" s="475"/>
      <c r="J90" s="475"/>
      <c r="K90" s="475"/>
      <c r="L90" s="475"/>
      <c r="M90" s="475"/>
      <c r="N90" s="475"/>
      <c r="O90" s="475"/>
      <c r="P90" s="475"/>
      <c r="Q90" s="475"/>
      <c r="R90" s="475"/>
      <c r="S90" s="475"/>
      <c r="T90" s="475"/>
      <c r="U90" s="475"/>
      <c r="V90" s="475"/>
      <c r="W90" s="475"/>
      <c r="X90" s="475"/>
      <c r="Y90" s="475"/>
    </row>
    <row r="91" ht="13.5" customHeight="1">
      <c r="A91" s="475"/>
      <c r="B91" s="475"/>
      <c r="C91" s="475"/>
      <c r="D91" s="475"/>
      <c r="E91" s="475"/>
      <c r="F91" s="475"/>
      <c r="G91" s="475"/>
      <c r="H91" s="475"/>
      <c r="I91" s="475"/>
      <c r="J91" s="475"/>
      <c r="K91" s="475"/>
      <c r="L91" s="475"/>
      <c r="M91" s="475"/>
      <c r="N91" s="475"/>
      <c r="O91" s="475"/>
      <c r="P91" s="475"/>
      <c r="Q91" s="475"/>
      <c r="R91" s="475"/>
      <c r="S91" s="475"/>
      <c r="T91" s="475"/>
      <c r="U91" s="475"/>
      <c r="V91" s="475"/>
      <c r="W91" s="475"/>
      <c r="X91" s="475"/>
      <c r="Y91" s="475"/>
    </row>
    <row r="92" ht="13.5" customHeight="1">
      <c r="A92" s="475"/>
      <c r="B92" s="475"/>
      <c r="C92" s="475"/>
      <c r="D92" s="475"/>
      <c r="E92" s="475"/>
      <c r="F92" s="475"/>
      <c r="G92" s="475"/>
      <c r="H92" s="475"/>
      <c r="I92" s="475"/>
      <c r="J92" s="475"/>
      <c r="K92" s="475"/>
      <c r="L92" s="475"/>
      <c r="M92" s="475"/>
      <c r="N92" s="475"/>
      <c r="O92" s="475"/>
      <c r="P92" s="475"/>
      <c r="Q92" s="475"/>
      <c r="R92" s="475"/>
      <c r="S92" s="475"/>
      <c r="T92" s="475"/>
      <c r="U92" s="475"/>
      <c r="V92" s="475"/>
      <c r="W92" s="475"/>
      <c r="X92" s="475"/>
      <c r="Y92" s="475"/>
    </row>
    <row r="93" ht="13.5" customHeight="1">
      <c r="A93" s="475"/>
      <c r="B93" s="475"/>
      <c r="C93" s="475"/>
      <c r="D93" s="475"/>
      <c r="E93" s="475"/>
      <c r="F93" s="475"/>
      <c r="G93" s="475"/>
      <c r="H93" s="475"/>
      <c r="I93" s="475"/>
      <c r="J93" s="475"/>
      <c r="K93" s="475"/>
      <c r="L93" s="475"/>
      <c r="M93" s="475"/>
      <c r="N93" s="475"/>
      <c r="O93" s="475"/>
      <c r="P93" s="475"/>
      <c r="Q93" s="475"/>
      <c r="R93" s="475"/>
      <c r="S93" s="475"/>
      <c r="T93" s="475"/>
      <c r="U93" s="475"/>
      <c r="V93" s="475"/>
      <c r="W93" s="475"/>
      <c r="X93" s="475"/>
      <c r="Y93" s="475"/>
    </row>
    <row r="94" ht="13.5" customHeight="1">
      <c r="A94" s="475"/>
      <c r="B94" s="475"/>
      <c r="C94" s="475"/>
      <c r="D94" s="475"/>
      <c r="E94" s="475"/>
      <c r="F94" s="475"/>
      <c r="G94" s="475"/>
      <c r="H94" s="475"/>
      <c r="I94" s="475"/>
      <c r="J94" s="475"/>
      <c r="K94" s="475"/>
      <c r="L94" s="475"/>
      <c r="M94" s="475"/>
      <c r="N94" s="475"/>
      <c r="O94" s="475"/>
      <c r="P94" s="475"/>
      <c r="Q94" s="475"/>
      <c r="R94" s="475"/>
      <c r="S94" s="475"/>
      <c r="T94" s="475"/>
      <c r="U94" s="475"/>
      <c r="V94" s="475"/>
      <c r="W94" s="475"/>
      <c r="X94" s="475"/>
      <c r="Y94" s="475"/>
    </row>
    <row r="95" ht="13.5" customHeight="1">
      <c r="A95" s="475"/>
      <c r="B95" s="475"/>
      <c r="C95" s="475"/>
      <c r="D95" s="475"/>
      <c r="E95" s="475"/>
      <c r="F95" s="475"/>
      <c r="G95" s="475"/>
      <c r="H95" s="475"/>
      <c r="I95" s="475"/>
      <c r="J95" s="475"/>
      <c r="K95" s="475"/>
      <c r="L95" s="475"/>
      <c r="M95" s="475"/>
      <c r="N95" s="475"/>
      <c r="O95" s="475"/>
      <c r="P95" s="475"/>
      <c r="Q95" s="475"/>
      <c r="R95" s="475"/>
      <c r="S95" s="475"/>
      <c r="T95" s="475"/>
      <c r="U95" s="475"/>
      <c r="V95" s="475"/>
      <c r="W95" s="475"/>
      <c r="X95" s="475"/>
      <c r="Y95" s="475"/>
    </row>
    <row r="96" ht="13.5" customHeight="1">
      <c r="A96" s="475"/>
      <c r="B96" s="475"/>
      <c r="C96" s="475"/>
      <c r="D96" s="475"/>
      <c r="E96" s="475"/>
      <c r="F96" s="475"/>
      <c r="G96" s="475"/>
      <c r="H96" s="475"/>
      <c r="I96" s="475"/>
      <c r="J96" s="475"/>
      <c r="K96" s="475"/>
      <c r="L96" s="475"/>
      <c r="M96" s="475"/>
      <c r="N96" s="475"/>
      <c r="O96" s="475"/>
      <c r="P96" s="475"/>
      <c r="Q96" s="475"/>
      <c r="R96" s="475"/>
      <c r="S96" s="475"/>
      <c r="T96" s="475"/>
      <c r="U96" s="475"/>
      <c r="V96" s="475"/>
      <c r="W96" s="475"/>
      <c r="X96" s="475"/>
      <c r="Y96" s="475"/>
    </row>
    <row r="97" ht="13.5" customHeight="1">
      <c r="A97" s="475"/>
      <c r="B97" s="475"/>
      <c r="C97" s="475"/>
      <c r="D97" s="475"/>
      <c r="E97" s="475"/>
      <c r="F97" s="475"/>
      <c r="G97" s="475"/>
      <c r="H97" s="475"/>
      <c r="I97" s="475"/>
      <c r="J97" s="475"/>
      <c r="K97" s="475"/>
      <c r="L97" s="475"/>
      <c r="M97" s="475"/>
      <c r="N97" s="475"/>
      <c r="O97" s="475"/>
      <c r="P97" s="475"/>
      <c r="Q97" s="475"/>
      <c r="R97" s="475"/>
      <c r="S97" s="475"/>
      <c r="T97" s="475"/>
      <c r="U97" s="475"/>
      <c r="V97" s="475"/>
      <c r="W97" s="475"/>
      <c r="X97" s="475"/>
      <c r="Y97" s="475"/>
    </row>
    <row r="98" ht="13.5" customHeight="1">
      <c r="A98" s="475"/>
      <c r="B98" s="475"/>
      <c r="C98" s="475"/>
      <c r="D98" s="475"/>
      <c r="E98" s="475"/>
      <c r="F98" s="475"/>
      <c r="G98" s="475"/>
      <c r="H98" s="475"/>
      <c r="I98" s="475"/>
      <c r="J98" s="475"/>
      <c r="K98" s="475"/>
      <c r="L98" s="475"/>
      <c r="M98" s="475"/>
      <c r="N98" s="475"/>
      <c r="O98" s="475"/>
      <c r="P98" s="475"/>
      <c r="Q98" s="475"/>
      <c r="R98" s="475"/>
      <c r="S98" s="475"/>
      <c r="T98" s="475"/>
      <c r="U98" s="475"/>
      <c r="V98" s="475"/>
      <c r="W98" s="475"/>
      <c r="X98" s="475"/>
      <c r="Y98" s="475"/>
    </row>
    <row r="99" ht="13.5" customHeight="1">
      <c r="A99" s="475"/>
      <c r="B99" s="475"/>
      <c r="C99" s="475"/>
      <c r="D99" s="475"/>
      <c r="E99" s="475"/>
      <c r="F99" s="475"/>
      <c r="G99" s="475"/>
      <c r="H99" s="475"/>
      <c r="I99" s="475"/>
      <c r="J99" s="475"/>
      <c r="K99" s="475"/>
      <c r="L99" s="475"/>
      <c r="M99" s="475"/>
      <c r="N99" s="475"/>
      <c r="O99" s="475"/>
      <c r="P99" s="475"/>
      <c r="Q99" s="475"/>
      <c r="R99" s="475"/>
      <c r="S99" s="475"/>
      <c r="T99" s="475"/>
      <c r="U99" s="475"/>
      <c r="V99" s="475"/>
      <c r="W99" s="475"/>
      <c r="X99" s="475"/>
      <c r="Y99" s="475"/>
    </row>
    <row r="100" ht="13.5" customHeight="1">
      <c r="A100" s="475"/>
      <c r="B100" s="475"/>
      <c r="C100" s="475"/>
      <c r="D100" s="475"/>
      <c r="E100" s="475"/>
      <c r="F100" s="475"/>
      <c r="G100" s="475"/>
      <c r="H100" s="475"/>
      <c r="I100" s="475"/>
      <c r="J100" s="475"/>
      <c r="K100" s="475"/>
      <c r="L100" s="475"/>
      <c r="M100" s="475"/>
      <c r="N100" s="475"/>
      <c r="O100" s="475"/>
      <c r="P100" s="475"/>
      <c r="Q100" s="475"/>
      <c r="R100" s="475"/>
      <c r="S100" s="475"/>
      <c r="T100" s="475"/>
      <c r="U100" s="475"/>
      <c r="V100" s="475"/>
      <c r="W100" s="475"/>
      <c r="X100" s="475"/>
      <c r="Y100" s="475"/>
    </row>
    <row r="101" ht="13.5" customHeight="1">
      <c r="A101" s="475"/>
      <c r="B101" s="475"/>
      <c r="C101" s="475"/>
      <c r="D101" s="475"/>
      <c r="E101" s="475"/>
      <c r="F101" s="475"/>
      <c r="G101" s="475"/>
      <c r="H101" s="475"/>
      <c r="I101" s="475"/>
      <c r="J101" s="475"/>
      <c r="K101" s="475"/>
      <c r="L101" s="475"/>
      <c r="M101" s="475"/>
      <c r="N101" s="475"/>
      <c r="O101" s="475"/>
      <c r="P101" s="475"/>
      <c r="Q101" s="475"/>
      <c r="R101" s="475"/>
      <c r="S101" s="475"/>
      <c r="T101" s="475"/>
      <c r="U101" s="475"/>
      <c r="V101" s="475"/>
      <c r="W101" s="475"/>
      <c r="X101" s="475"/>
      <c r="Y101" s="475"/>
    </row>
    <row r="102" ht="13.5" customHeight="1">
      <c r="A102" s="475"/>
      <c r="B102" s="475"/>
      <c r="C102" s="475"/>
      <c r="D102" s="475"/>
      <c r="E102" s="475"/>
      <c r="F102" s="475"/>
      <c r="G102" s="475"/>
      <c r="H102" s="475"/>
      <c r="I102" s="475"/>
      <c r="J102" s="475"/>
      <c r="K102" s="475"/>
      <c r="L102" s="475"/>
      <c r="M102" s="475"/>
      <c r="N102" s="475"/>
      <c r="O102" s="475"/>
      <c r="P102" s="475"/>
      <c r="Q102" s="475"/>
      <c r="R102" s="475"/>
      <c r="S102" s="475"/>
      <c r="T102" s="475"/>
      <c r="U102" s="475"/>
      <c r="V102" s="475"/>
      <c r="W102" s="475"/>
      <c r="X102" s="475"/>
      <c r="Y102" s="475"/>
    </row>
    <row r="103" ht="13.5" customHeight="1">
      <c r="A103" s="475"/>
      <c r="B103" s="475"/>
      <c r="C103" s="475"/>
      <c r="D103" s="475"/>
      <c r="E103" s="475"/>
      <c r="F103" s="475"/>
      <c r="G103" s="475"/>
      <c r="H103" s="475"/>
      <c r="I103" s="475"/>
      <c r="J103" s="475"/>
      <c r="K103" s="475"/>
      <c r="L103" s="475"/>
      <c r="M103" s="475"/>
      <c r="N103" s="475"/>
      <c r="O103" s="475"/>
      <c r="P103" s="475"/>
      <c r="Q103" s="475"/>
      <c r="R103" s="475"/>
      <c r="S103" s="475"/>
      <c r="T103" s="475"/>
      <c r="U103" s="475"/>
      <c r="V103" s="475"/>
      <c r="W103" s="475"/>
      <c r="X103" s="475"/>
      <c r="Y103" s="475"/>
    </row>
    <row r="104" ht="13.5" customHeight="1">
      <c r="A104" s="475"/>
      <c r="B104" s="475"/>
      <c r="C104" s="475"/>
      <c r="D104" s="475"/>
      <c r="E104" s="475"/>
      <c r="F104" s="475"/>
      <c r="G104" s="475"/>
      <c r="H104" s="475"/>
      <c r="I104" s="475"/>
      <c r="J104" s="475"/>
      <c r="K104" s="475"/>
      <c r="L104" s="475"/>
      <c r="M104" s="475"/>
      <c r="N104" s="475"/>
      <c r="O104" s="475"/>
      <c r="P104" s="475"/>
      <c r="Q104" s="475"/>
      <c r="R104" s="475"/>
      <c r="S104" s="475"/>
      <c r="T104" s="475"/>
      <c r="U104" s="475"/>
      <c r="V104" s="475"/>
      <c r="W104" s="475"/>
      <c r="X104" s="475"/>
      <c r="Y104" s="475"/>
    </row>
    <row r="105" ht="13.5" customHeight="1">
      <c r="A105" s="475"/>
      <c r="B105" s="475"/>
      <c r="C105" s="475"/>
      <c r="D105" s="475"/>
      <c r="E105" s="475"/>
      <c r="F105" s="475"/>
      <c r="G105" s="475"/>
      <c r="H105" s="475"/>
      <c r="I105" s="475"/>
      <c r="J105" s="475"/>
      <c r="K105" s="475"/>
      <c r="L105" s="475"/>
      <c r="M105" s="475"/>
      <c r="N105" s="475"/>
      <c r="O105" s="475"/>
      <c r="P105" s="475"/>
      <c r="Q105" s="475"/>
      <c r="R105" s="475"/>
      <c r="S105" s="475"/>
      <c r="T105" s="475"/>
      <c r="U105" s="475"/>
      <c r="V105" s="475"/>
      <c r="W105" s="475"/>
      <c r="X105" s="475"/>
      <c r="Y105" s="475"/>
    </row>
    <row r="106" ht="13.5" customHeight="1">
      <c r="A106" s="475"/>
      <c r="B106" s="475"/>
      <c r="C106" s="475"/>
      <c r="D106" s="475"/>
      <c r="E106" s="475"/>
      <c r="F106" s="475"/>
      <c r="G106" s="475"/>
      <c r="H106" s="475"/>
      <c r="I106" s="475"/>
      <c r="J106" s="475"/>
      <c r="K106" s="475"/>
      <c r="L106" s="475"/>
      <c r="M106" s="475"/>
      <c r="N106" s="475"/>
      <c r="O106" s="475"/>
      <c r="P106" s="475"/>
      <c r="Q106" s="475"/>
      <c r="R106" s="475"/>
      <c r="S106" s="475"/>
      <c r="T106" s="475"/>
      <c r="U106" s="475"/>
      <c r="V106" s="475"/>
      <c r="W106" s="475"/>
      <c r="X106" s="475"/>
      <c r="Y106" s="475"/>
    </row>
    <row r="107" ht="13.5" customHeight="1">
      <c r="A107" s="475"/>
      <c r="B107" s="475"/>
      <c r="C107" s="475"/>
      <c r="D107" s="475"/>
      <c r="E107" s="475"/>
      <c r="F107" s="475"/>
      <c r="G107" s="475"/>
      <c r="H107" s="475"/>
      <c r="I107" s="475"/>
      <c r="J107" s="475"/>
      <c r="K107" s="475"/>
      <c r="L107" s="475"/>
      <c r="M107" s="475"/>
      <c r="N107" s="475"/>
      <c r="O107" s="475"/>
      <c r="P107" s="475"/>
      <c r="Q107" s="475"/>
      <c r="R107" s="475"/>
      <c r="S107" s="475"/>
      <c r="T107" s="475"/>
      <c r="U107" s="475"/>
      <c r="V107" s="475"/>
      <c r="W107" s="475"/>
      <c r="X107" s="475"/>
      <c r="Y107" s="475"/>
    </row>
    <row r="108" ht="13.5" customHeight="1">
      <c r="A108" s="475"/>
      <c r="B108" s="475"/>
      <c r="C108" s="475"/>
      <c r="D108" s="475"/>
      <c r="E108" s="475"/>
      <c r="F108" s="475"/>
      <c r="G108" s="475"/>
      <c r="H108" s="475"/>
      <c r="I108" s="475"/>
      <c r="J108" s="475"/>
      <c r="K108" s="475"/>
      <c r="L108" s="475"/>
      <c r="M108" s="475"/>
      <c r="N108" s="475"/>
      <c r="O108" s="475"/>
      <c r="P108" s="475"/>
      <c r="Q108" s="475"/>
      <c r="R108" s="475"/>
      <c r="S108" s="475"/>
      <c r="T108" s="475"/>
      <c r="U108" s="475"/>
      <c r="V108" s="475"/>
      <c r="W108" s="475"/>
      <c r="X108" s="475"/>
      <c r="Y108" s="475"/>
    </row>
    <row r="109" ht="13.5" customHeight="1">
      <c r="A109" s="475"/>
      <c r="B109" s="475"/>
      <c r="C109" s="475"/>
      <c r="D109" s="475"/>
      <c r="E109" s="475"/>
      <c r="F109" s="475"/>
      <c r="G109" s="475"/>
      <c r="H109" s="475"/>
      <c r="I109" s="475"/>
      <c r="J109" s="475"/>
      <c r="K109" s="475"/>
      <c r="L109" s="475"/>
      <c r="M109" s="475"/>
      <c r="N109" s="475"/>
      <c r="O109" s="475"/>
      <c r="P109" s="475"/>
      <c r="Q109" s="475"/>
      <c r="R109" s="475"/>
      <c r="S109" s="475"/>
      <c r="T109" s="475"/>
      <c r="U109" s="475"/>
      <c r="V109" s="475"/>
      <c r="W109" s="475"/>
      <c r="X109" s="475"/>
      <c r="Y109" s="475"/>
    </row>
    <row r="110" ht="13.5" customHeight="1">
      <c r="A110" s="475"/>
      <c r="B110" s="475"/>
      <c r="C110" s="475"/>
      <c r="D110" s="475"/>
      <c r="E110" s="475"/>
      <c r="F110" s="475"/>
      <c r="G110" s="475"/>
      <c r="H110" s="475"/>
      <c r="I110" s="475"/>
      <c r="J110" s="475"/>
      <c r="K110" s="475"/>
      <c r="L110" s="475"/>
      <c r="M110" s="475"/>
      <c r="N110" s="475"/>
      <c r="O110" s="475"/>
      <c r="P110" s="475"/>
      <c r="Q110" s="475"/>
      <c r="R110" s="475"/>
      <c r="S110" s="475"/>
      <c r="T110" s="475"/>
      <c r="U110" s="475"/>
      <c r="V110" s="475"/>
      <c r="W110" s="475"/>
      <c r="X110" s="475"/>
      <c r="Y110" s="475"/>
    </row>
    <row r="111" ht="13.5" customHeight="1">
      <c r="A111" s="475"/>
      <c r="B111" s="475"/>
      <c r="C111" s="475"/>
      <c r="D111" s="475"/>
      <c r="E111" s="475"/>
      <c r="F111" s="475"/>
      <c r="G111" s="475"/>
      <c r="H111" s="475"/>
      <c r="I111" s="475"/>
      <c r="J111" s="475"/>
      <c r="K111" s="475"/>
      <c r="L111" s="475"/>
      <c r="M111" s="475"/>
      <c r="N111" s="475"/>
      <c r="O111" s="475"/>
      <c r="P111" s="475"/>
      <c r="Q111" s="475"/>
      <c r="R111" s="475"/>
      <c r="S111" s="475"/>
      <c r="T111" s="475"/>
      <c r="U111" s="475"/>
      <c r="V111" s="475"/>
      <c r="W111" s="475"/>
      <c r="X111" s="475"/>
      <c r="Y111" s="475"/>
    </row>
    <row r="112" ht="13.5" customHeight="1">
      <c r="A112" s="47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row>
    <row r="113" ht="13.5" customHeight="1">
      <c r="A113" s="475"/>
      <c r="B113" s="475"/>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row>
    <row r="114" ht="13.5" customHeight="1">
      <c r="A114" s="475"/>
      <c r="B114" s="475"/>
      <c r="C114" s="475"/>
      <c r="D114" s="475"/>
      <c r="E114" s="475"/>
      <c r="F114" s="475"/>
      <c r="G114" s="475"/>
      <c r="H114" s="475"/>
      <c r="I114" s="475"/>
      <c r="J114" s="475"/>
      <c r="K114" s="475"/>
      <c r="L114" s="475"/>
      <c r="M114" s="475"/>
      <c r="N114" s="475"/>
      <c r="O114" s="475"/>
      <c r="P114" s="475"/>
      <c r="Q114" s="475"/>
      <c r="R114" s="475"/>
      <c r="S114" s="475"/>
      <c r="T114" s="475"/>
      <c r="U114" s="475"/>
      <c r="V114" s="475"/>
      <c r="W114" s="475"/>
      <c r="X114" s="475"/>
      <c r="Y114" s="475"/>
    </row>
    <row r="115" ht="13.5" customHeight="1">
      <c r="A115" s="475"/>
      <c r="B115" s="475"/>
      <c r="C115" s="475"/>
      <c r="D115" s="475"/>
      <c r="E115" s="475"/>
      <c r="F115" s="475"/>
      <c r="G115" s="475"/>
      <c r="H115" s="475"/>
      <c r="I115" s="475"/>
      <c r="J115" s="475"/>
      <c r="K115" s="475"/>
      <c r="L115" s="475"/>
      <c r="M115" s="475"/>
      <c r="N115" s="475"/>
      <c r="O115" s="475"/>
      <c r="P115" s="475"/>
      <c r="Q115" s="475"/>
      <c r="R115" s="475"/>
      <c r="S115" s="475"/>
      <c r="T115" s="475"/>
      <c r="U115" s="475"/>
      <c r="V115" s="475"/>
      <c r="W115" s="475"/>
      <c r="X115" s="475"/>
      <c r="Y115" s="475"/>
    </row>
    <row r="116" ht="13.5" customHeight="1">
      <c r="A116" s="475"/>
      <c r="B116" s="475"/>
      <c r="C116" s="475"/>
      <c r="D116" s="475"/>
      <c r="E116" s="475"/>
      <c r="F116" s="475"/>
      <c r="G116" s="475"/>
      <c r="H116" s="475"/>
      <c r="I116" s="475"/>
      <c r="J116" s="475"/>
      <c r="K116" s="475"/>
      <c r="L116" s="475"/>
      <c r="M116" s="475"/>
      <c r="N116" s="475"/>
      <c r="O116" s="475"/>
      <c r="P116" s="475"/>
      <c r="Q116" s="475"/>
      <c r="R116" s="475"/>
      <c r="S116" s="475"/>
      <c r="T116" s="475"/>
      <c r="U116" s="475"/>
      <c r="V116" s="475"/>
      <c r="W116" s="475"/>
      <c r="X116" s="475"/>
      <c r="Y116" s="475"/>
    </row>
    <row r="117" ht="13.5" customHeight="1">
      <c r="A117" s="475"/>
      <c r="B117" s="475"/>
      <c r="C117" s="475"/>
      <c r="D117" s="475"/>
      <c r="E117" s="475"/>
      <c r="F117" s="475"/>
      <c r="G117" s="475"/>
      <c r="H117" s="475"/>
      <c r="I117" s="475"/>
      <c r="J117" s="475"/>
      <c r="K117" s="475"/>
      <c r="L117" s="475"/>
      <c r="M117" s="475"/>
      <c r="N117" s="475"/>
      <c r="O117" s="475"/>
      <c r="P117" s="475"/>
      <c r="Q117" s="475"/>
      <c r="R117" s="475"/>
      <c r="S117" s="475"/>
      <c r="T117" s="475"/>
      <c r="U117" s="475"/>
      <c r="V117" s="475"/>
      <c r="W117" s="475"/>
      <c r="X117" s="475"/>
      <c r="Y117" s="475"/>
    </row>
    <row r="118" ht="13.5" customHeight="1">
      <c r="A118" s="475"/>
      <c r="B118" s="475"/>
      <c r="C118" s="475"/>
      <c r="D118" s="475"/>
      <c r="E118" s="475"/>
      <c r="F118" s="475"/>
      <c r="G118" s="475"/>
      <c r="H118" s="475"/>
      <c r="I118" s="475"/>
      <c r="J118" s="475"/>
      <c r="K118" s="475"/>
      <c r="L118" s="475"/>
      <c r="M118" s="475"/>
      <c r="N118" s="475"/>
      <c r="O118" s="475"/>
      <c r="P118" s="475"/>
      <c r="Q118" s="475"/>
      <c r="R118" s="475"/>
      <c r="S118" s="475"/>
      <c r="T118" s="475"/>
      <c r="U118" s="475"/>
      <c r="V118" s="475"/>
      <c r="W118" s="475"/>
      <c r="X118" s="475"/>
      <c r="Y118" s="475"/>
    </row>
    <row r="119" ht="13.5" customHeight="1">
      <c r="A119" s="475"/>
      <c r="B119" s="475"/>
      <c r="C119" s="475"/>
      <c r="D119" s="475"/>
      <c r="E119" s="475"/>
      <c r="F119" s="475"/>
      <c r="G119" s="475"/>
      <c r="H119" s="475"/>
      <c r="I119" s="475"/>
      <c r="J119" s="475"/>
      <c r="K119" s="475"/>
      <c r="L119" s="475"/>
      <c r="M119" s="475"/>
      <c r="N119" s="475"/>
      <c r="O119" s="475"/>
      <c r="P119" s="475"/>
      <c r="Q119" s="475"/>
      <c r="R119" s="475"/>
      <c r="S119" s="475"/>
      <c r="T119" s="475"/>
      <c r="U119" s="475"/>
      <c r="V119" s="475"/>
      <c r="W119" s="475"/>
      <c r="X119" s="475"/>
      <c r="Y119" s="475"/>
    </row>
    <row r="120" ht="13.5" customHeight="1">
      <c r="A120" s="475"/>
      <c r="B120" s="475"/>
      <c r="C120" s="475"/>
      <c r="D120" s="475"/>
      <c r="E120" s="475"/>
      <c r="F120" s="475"/>
      <c r="G120" s="475"/>
      <c r="H120" s="475"/>
      <c r="I120" s="475"/>
      <c r="J120" s="475"/>
      <c r="K120" s="475"/>
      <c r="L120" s="475"/>
      <c r="M120" s="475"/>
      <c r="N120" s="475"/>
      <c r="O120" s="475"/>
      <c r="P120" s="475"/>
      <c r="Q120" s="475"/>
      <c r="R120" s="475"/>
      <c r="S120" s="475"/>
      <c r="T120" s="475"/>
      <c r="U120" s="475"/>
      <c r="V120" s="475"/>
      <c r="W120" s="475"/>
      <c r="X120" s="475"/>
      <c r="Y120" s="475"/>
    </row>
    <row r="121" ht="13.5" customHeight="1">
      <c r="A121" s="475"/>
      <c r="B121" s="475"/>
      <c r="C121" s="475"/>
      <c r="D121" s="475"/>
      <c r="E121" s="475"/>
      <c r="F121" s="475"/>
      <c r="G121" s="475"/>
      <c r="H121" s="475"/>
      <c r="I121" s="475"/>
      <c r="J121" s="475"/>
      <c r="K121" s="475"/>
      <c r="L121" s="475"/>
      <c r="M121" s="475"/>
      <c r="N121" s="475"/>
      <c r="O121" s="475"/>
      <c r="P121" s="475"/>
      <c r="Q121" s="475"/>
      <c r="R121" s="475"/>
      <c r="S121" s="475"/>
      <c r="T121" s="475"/>
      <c r="U121" s="475"/>
      <c r="V121" s="475"/>
      <c r="W121" s="475"/>
      <c r="X121" s="475"/>
      <c r="Y121" s="475"/>
    </row>
    <row r="122" ht="13.5" customHeight="1">
      <c r="A122" s="475"/>
      <c r="B122" s="475"/>
      <c r="C122" s="475"/>
      <c r="D122" s="475"/>
      <c r="E122" s="475"/>
      <c r="F122" s="475"/>
      <c r="G122" s="475"/>
      <c r="H122" s="475"/>
      <c r="I122" s="475"/>
      <c r="J122" s="475"/>
      <c r="K122" s="475"/>
      <c r="L122" s="475"/>
      <c r="M122" s="475"/>
      <c r="N122" s="475"/>
      <c r="O122" s="475"/>
      <c r="P122" s="475"/>
      <c r="Q122" s="475"/>
      <c r="R122" s="475"/>
      <c r="S122" s="475"/>
      <c r="T122" s="475"/>
      <c r="U122" s="475"/>
      <c r="V122" s="475"/>
      <c r="W122" s="475"/>
      <c r="X122" s="475"/>
      <c r="Y122" s="475"/>
    </row>
    <row r="123" ht="13.5" customHeight="1">
      <c r="A123" s="475"/>
      <c r="B123" s="475"/>
      <c r="C123" s="475"/>
      <c r="D123" s="475"/>
      <c r="E123" s="475"/>
      <c r="F123" s="475"/>
      <c r="G123" s="475"/>
      <c r="H123" s="475"/>
      <c r="I123" s="475"/>
      <c r="J123" s="475"/>
      <c r="K123" s="475"/>
      <c r="L123" s="475"/>
      <c r="M123" s="475"/>
      <c r="N123" s="475"/>
      <c r="O123" s="475"/>
      <c r="P123" s="475"/>
      <c r="Q123" s="475"/>
      <c r="R123" s="475"/>
      <c r="S123" s="475"/>
      <c r="T123" s="475"/>
      <c r="U123" s="475"/>
      <c r="V123" s="475"/>
      <c r="W123" s="475"/>
      <c r="X123" s="475"/>
      <c r="Y123" s="475"/>
    </row>
    <row r="124" ht="13.5" customHeight="1">
      <c r="A124" s="475"/>
      <c r="B124" s="475"/>
      <c r="C124" s="475"/>
      <c r="D124" s="475"/>
      <c r="E124" s="475"/>
      <c r="F124" s="475"/>
      <c r="G124" s="475"/>
      <c r="H124" s="475"/>
      <c r="I124" s="475"/>
      <c r="J124" s="475"/>
      <c r="K124" s="475"/>
      <c r="L124" s="475"/>
      <c r="M124" s="475"/>
      <c r="N124" s="475"/>
      <c r="O124" s="475"/>
      <c r="P124" s="475"/>
      <c r="Q124" s="475"/>
      <c r="R124" s="475"/>
      <c r="S124" s="475"/>
      <c r="T124" s="475"/>
      <c r="U124" s="475"/>
      <c r="V124" s="475"/>
      <c r="W124" s="475"/>
      <c r="X124" s="475"/>
      <c r="Y124" s="475"/>
    </row>
    <row r="125" ht="13.5" customHeight="1">
      <c r="A125" s="475"/>
      <c r="B125" s="475"/>
      <c r="C125" s="475"/>
      <c r="D125" s="475"/>
      <c r="E125" s="475"/>
      <c r="F125" s="475"/>
      <c r="G125" s="475"/>
      <c r="H125" s="475"/>
      <c r="I125" s="475"/>
      <c r="J125" s="475"/>
      <c r="K125" s="475"/>
      <c r="L125" s="475"/>
      <c r="M125" s="475"/>
      <c r="N125" s="475"/>
      <c r="O125" s="475"/>
      <c r="P125" s="475"/>
      <c r="Q125" s="475"/>
      <c r="R125" s="475"/>
      <c r="S125" s="475"/>
      <c r="T125" s="475"/>
      <c r="U125" s="475"/>
      <c r="V125" s="475"/>
      <c r="W125" s="475"/>
      <c r="X125" s="475"/>
      <c r="Y125" s="475"/>
    </row>
    <row r="126" ht="13.5" customHeight="1">
      <c r="A126" s="475"/>
      <c r="B126" s="475"/>
      <c r="C126" s="475"/>
      <c r="D126" s="475"/>
      <c r="E126" s="475"/>
      <c r="F126" s="475"/>
      <c r="G126" s="475"/>
      <c r="H126" s="475"/>
      <c r="I126" s="475"/>
      <c r="J126" s="475"/>
      <c r="K126" s="475"/>
      <c r="L126" s="475"/>
      <c r="M126" s="475"/>
      <c r="N126" s="475"/>
      <c r="O126" s="475"/>
      <c r="P126" s="475"/>
      <c r="Q126" s="475"/>
      <c r="R126" s="475"/>
      <c r="S126" s="475"/>
      <c r="T126" s="475"/>
      <c r="U126" s="475"/>
      <c r="V126" s="475"/>
      <c r="W126" s="475"/>
      <c r="X126" s="475"/>
      <c r="Y126" s="475"/>
    </row>
    <row r="127" ht="13.5" customHeight="1">
      <c r="A127" s="475"/>
      <c r="B127" s="475"/>
      <c r="C127" s="475"/>
      <c r="D127" s="475"/>
      <c r="E127" s="475"/>
      <c r="F127" s="475"/>
      <c r="G127" s="475"/>
      <c r="H127" s="475"/>
      <c r="I127" s="475"/>
      <c r="J127" s="475"/>
      <c r="K127" s="475"/>
      <c r="L127" s="475"/>
      <c r="M127" s="475"/>
      <c r="N127" s="475"/>
      <c r="O127" s="475"/>
      <c r="P127" s="475"/>
      <c r="Q127" s="475"/>
      <c r="R127" s="475"/>
      <c r="S127" s="475"/>
      <c r="T127" s="475"/>
      <c r="U127" s="475"/>
      <c r="V127" s="475"/>
      <c r="W127" s="475"/>
      <c r="X127" s="475"/>
      <c r="Y127" s="475"/>
    </row>
    <row r="128" ht="13.5" customHeight="1">
      <c r="A128" s="475"/>
      <c r="B128" s="475"/>
      <c r="C128" s="475"/>
      <c r="D128" s="475"/>
      <c r="E128" s="475"/>
      <c r="F128" s="475"/>
      <c r="G128" s="475"/>
      <c r="H128" s="475"/>
      <c r="I128" s="475"/>
      <c r="J128" s="475"/>
      <c r="K128" s="475"/>
      <c r="L128" s="475"/>
      <c r="M128" s="475"/>
      <c r="N128" s="475"/>
      <c r="O128" s="475"/>
      <c r="P128" s="475"/>
      <c r="Q128" s="475"/>
      <c r="R128" s="475"/>
      <c r="S128" s="475"/>
      <c r="T128" s="475"/>
      <c r="U128" s="475"/>
      <c r="V128" s="475"/>
      <c r="W128" s="475"/>
      <c r="X128" s="475"/>
      <c r="Y128" s="475"/>
    </row>
    <row r="129" ht="13.5" customHeight="1">
      <c r="A129" s="475"/>
      <c r="B129" s="475"/>
      <c r="C129" s="475"/>
      <c r="D129" s="475"/>
      <c r="E129" s="475"/>
      <c r="F129" s="475"/>
      <c r="G129" s="475"/>
      <c r="H129" s="475"/>
      <c r="I129" s="475"/>
      <c r="J129" s="475"/>
      <c r="K129" s="475"/>
      <c r="L129" s="475"/>
      <c r="M129" s="475"/>
      <c r="N129" s="475"/>
      <c r="O129" s="475"/>
      <c r="P129" s="475"/>
      <c r="Q129" s="475"/>
      <c r="R129" s="475"/>
      <c r="S129" s="475"/>
      <c r="T129" s="475"/>
      <c r="U129" s="475"/>
      <c r="V129" s="475"/>
      <c r="W129" s="475"/>
      <c r="X129" s="475"/>
      <c r="Y129" s="475"/>
    </row>
    <row r="130" ht="13.5" customHeight="1">
      <c r="A130" s="475"/>
      <c r="B130" s="475"/>
      <c r="C130" s="475"/>
      <c r="D130" s="475"/>
      <c r="E130" s="475"/>
      <c r="F130" s="475"/>
      <c r="G130" s="475"/>
      <c r="H130" s="475"/>
      <c r="I130" s="475"/>
      <c r="J130" s="475"/>
      <c r="K130" s="475"/>
      <c r="L130" s="475"/>
      <c r="M130" s="475"/>
      <c r="N130" s="475"/>
      <c r="O130" s="475"/>
      <c r="P130" s="475"/>
      <c r="Q130" s="475"/>
      <c r="R130" s="475"/>
      <c r="S130" s="475"/>
      <c r="T130" s="475"/>
      <c r="U130" s="475"/>
      <c r="V130" s="475"/>
      <c r="W130" s="475"/>
      <c r="X130" s="475"/>
      <c r="Y130" s="475"/>
    </row>
    <row r="131" ht="13.5" customHeight="1">
      <c r="A131" s="475"/>
      <c r="B131" s="475"/>
      <c r="C131" s="475"/>
      <c r="D131" s="475"/>
      <c r="E131" s="475"/>
      <c r="F131" s="475"/>
      <c r="G131" s="475"/>
      <c r="H131" s="475"/>
      <c r="I131" s="475"/>
      <c r="J131" s="475"/>
      <c r="K131" s="475"/>
      <c r="L131" s="475"/>
      <c r="M131" s="475"/>
      <c r="N131" s="475"/>
      <c r="O131" s="475"/>
      <c r="P131" s="475"/>
      <c r="Q131" s="475"/>
      <c r="R131" s="475"/>
      <c r="S131" s="475"/>
      <c r="T131" s="475"/>
      <c r="U131" s="475"/>
      <c r="V131" s="475"/>
      <c r="W131" s="475"/>
      <c r="X131" s="475"/>
      <c r="Y131" s="475"/>
    </row>
    <row r="132" ht="13.5" customHeight="1">
      <c r="A132" s="475"/>
      <c r="B132" s="475"/>
      <c r="C132" s="475"/>
      <c r="D132" s="475"/>
      <c r="E132" s="475"/>
      <c r="F132" s="475"/>
      <c r="G132" s="475"/>
      <c r="H132" s="475"/>
      <c r="I132" s="475"/>
      <c r="J132" s="475"/>
      <c r="K132" s="475"/>
      <c r="L132" s="475"/>
      <c r="M132" s="475"/>
      <c r="N132" s="475"/>
      <c r="O132" s="475"/>
      <c r="P132" s="475"/>
      <c r="Q132" s="475"/>
      <c r="R132" s="475"/>
      <c r="S132" s="475"/>
      <c r="T132" s="475"/>
      <c r="U132" s="475"/>
      <c r="V132" s="475"/>
      <c r="W132" s="475"/>
      <c r="X132" s="475"/>
      <c r="Y132" s="475"/>
    </row>
    <row r="133" ht="13.5" customHeight="1">
      <c r="A133" s="475"/>
      <c r="B133" s="475"/>
      <c r="C133" s="475"/>
      <c r="D133" s="475"/>
      <c r="E133" s="475"/>
      <c r="F133" s="475"/>
      <c r="G133" s="475"/>
      <c r="H133" s="475"/>
      <c r="I133" s="475"/>
      <c r="J133" s="475"/>
      <c r="K133" s="475"/>
      <c r="L133" s="475"/>
      <c r="M133" s="475"/>
      <c r="N133" s="475"/>
      <c r="O133" s="475"/>
      <c r="P133" s="475"/>
      <c r="Q133" s="475"/>
      <c r="R133" s="475"/>
      <c r="S133" s="475"/>
      <c r="T133" s="475"/>
      <c r="U133" s="475"/>
      <c r="V133" s="475"/>
      <c r="W133" s="475"/>
      <c r="X133" s="475"/>
      <c r="Y133" s="475"/>
    </row>
    <row r="134" ht="13.5" customHeight="1">
      <c r="A134" s="475"/>
      <c r="B134" s="475"/>
      <c r="C134" s="475"/>
      <c r="D134" s="475"/>
      <c r="E134" s="475"/>
      <c r="F134" s="475"/>
      <c r="G134" s="475"/>
      <c r="H134" s="475"/>
      <c r="I134" s="475"/>
      <c r="J134" s="475"/>
      <c r="K134" s="475"/>
      <c r="L134" s="475"/>
      <c r="M134" s="475"/>
      <c r="N134" s="475"/>
      <c r="O134" s="475"/>
      <c r="P134" s="475"/>
      <c r="Q134" s="475"/>
      <c r="R134" s="475"/>
      <c r="S134" s="475"/>
      <c r="T134" s="475"/>
      <c r="U134" s="475"/>
      <c r="V134" s="475"/>
      <c r="W134" s="475"/>
      <c r="X134" s="475"/>
      <c r="Y134" s="475"/>
    </row>
    <row r="135" ht="13.5" customHeight="1">
      <c r="A135" s="475"/>
      <c r="B135" s="475"/>
      <c r="C135" s="475"/>
      <c r="D135" s="475"/>
      <c r="E135" s="475"/>
      <c r="F135" s="475"/>
      <c r="G135" s="475"/>
      <c r="H135" s="475"/>
      <c r="I135" s="475"/>
      <c r="J135" s="475"/>
      <c r="K135" s="475"/>
      <c r="L135" s="475"/>
      <c r="M135" s="475"/>
      <c r="N135" s="475"/>
      <c r="O135" s="475"/>
      <c r="P135" s="475"/>
      <c r="Q135" s="475"/>
      <c r="R135" s="475"/>
      <c r="S135" s="475"/>
      <c r="T135" s="475"/>
      <c r="U135" s="475"/>
      <c r="V135" s="475"/>
      <c r="W135" s="475"/>
      <c r="X135" s="475"/>
      <c r="Y135" s="475"/>
    </row>
    <row r="136" ht="13.5" customHeight="1">
      <c r="A136" s="475"/>
      <c r="B136" s="475"/>
      <c r="C136" s="475"/>
      <c r="D136" s="475"/>
      <c r="E136" s="475"/>
      <c r="F136" s="475"/>
      <c r="G136" s="475"/>
      <c r="H136" s="475"/>
      <c r="I136" s="475"/>
      <c r="J136" s="475"/>
      <c r="K136" s="475"/>
      <c r="L136" s="475"/>
      <c r="M136" s="475"/>
      <c r="N136" s="475"/>
      <c r="O136" s="475"/>
      <c r="P136" s="475"/>
      <c r="Q136" s="475"/>
      <c r="R136" s="475"/>
      <c r="S136" s="475"/>
      <c r="T136" s="475"/>
      <c r="U136" s="475"/>
      <c r="V136" s="475"/>
      <c r="W136" s="475"/>
      <c r="X136" s="475"/>
      <c r="Y136" s="475"/>
    </row>
    <row r="137" ht="13.5" customHeight="1">
      <c r="A137" s="475"/>
      <c r="B137" s="475"/>
      <c r="C137" s="475"/>
      <c r="D137" s="475"/>
      <c r="E137" s="475"/>
      <c r="F137" s="475"/>
      <c r="G137" s="475"/>
      <c r="H137" s="475"/>
      <c r="I137" s="475"/>
      <c r="J137" s="475"/>
      <c r="K137" s="475"/>
      <c r="L137" s="475"/>
      <c r="M137" s="475"/>
      <c r="N137" s="475"/>
      <c r="O137" s="475"/>
      <c r="P137" s="475"/>
      <c r="Q137" s="475"/>
      <c r="R137" s="475"/>
      <c r="S137" s="475"/>
      <c r="T137" s="475"/>
      <c r="U137" s="475"/>
      <c r="V137" s="475"/>
      <c r="W137" s="475"/>
      <c r="X137" s="475"/>
      <c r="Y137" s="475"/>
    </row>
    <row r="138" ht="13.5" customHeight="1">
      <c r="A138" s="475"/>
      <c r="B138" s="475"/>
      <c r="C138" s="475"/>
      <c r="D138" s="475"/>
      <c r="E138" s="475"/>
      <c r="F138" s="475"/>
      <c r="G138" s="475"/>
      <c r="H138" s="475"/>
      <c r="I138" s="475"/>
      <c r="J138" s="475"/>
      <c r="K138" s="475"/>
      <c r="L138" s="475"/>
      <c r="M138" s="475"/>
      <c r="N138" s="475"/>
      <c r="O138" s="475"/>
      <c r="P138" s="475"/>
      <c r="Q138" s="475"/>
      <c r="R138" s="475"/>
      <c r="S138" s="475"/>
      <c r="T138" s="475"/>
      <c r="U138" s="475"/>
      <c r="V138" s="475"/>
      <c r="W138" s="475"/>
      <c r="X138" s="475"/>
      <c r="Y138" s="475"/>
    </row>
    <row r="139" ht="13.5" customHeight="1">
      <c r="A139" s="475"/>
      <c r="B139" s="475"/>
      <c r="C139" s="475"/>
      <c r="D139" s="475"/>
      <c r="E139" s="475"/>
      <c r="F139" s="475"/>
      <c r="G139" s="475"/>
      <c r="H139" s="475"/>
      <c r="I139" s="475"/>
      <c r="J139" s="475"/>
      <c r="K139" s="475"/>
      <c r="L139" s="475"/>
      <c r="M139" s="475"/>
      <c r="N139" s="475"/>
      <c r="O139" s="475"/>
      <c r="P139" s="475"/>
      <c r="Q139" s="475"/>
      <c r="R139" s="475"/>
      <c r="S139" s="475"/>
      <c r="T139" s="475"/>
      <c r="U139" s="475"/>
      <c r="V139" s="475"/>
      <c r="W139" s="475"/>
      <c r="X139" s="475"/>
      <c r="Y139" s="475"/>
    </row>
    <row r="140" ht="13.5" customHeight="1">
      <c r="A140" s="475"/>
      <c r="B140" s="475"/>
      <c r="C140" s="475"/>
      <c r="D140" s="475"/>
      <c r="E140" s="475"/>
      <c r="F140" s="475"/>
      <c r="G140" s="475"/>
      <c r="H140" s="475"/>
      <c r="I140" s="475"/>
      <c r="J140" s="475"/>
      <c r="K140" s="475"/>
      <c r="L140" s="475"/>
      <c r="M140" s="475"/>
      <c r="N140" s="475"/>
      <c r="O140" s="475"/>
      <c r="P140" s="475"/>
      <c r="Q140" s="475"/>
      <c r="R140" s="475"/>
      <c r="S140" s="475"/>
      <c r="T140" s="475"/>
      <c r="U140" s="475"/>
      <c r="V140" s="475"/>
      <c r="W140" s="475"/>
      <c r="X140" s="475"/>
      <c r="Y140" s="475"/>
    </row>
    <row r="141" ht="13.5" customHeight="1">
      <c r="A141" s="475"/>
      <c r="B141" s="475"/>
      <c r="C141" s="475"/>
      <c r="D141" s="475"/>
      <c r="E141" s="475"/>
      <c r="F141" s="475"/>
      <c r="G141" s="475"/>
      <c r="H141" s="475"/>
      <c r="I141" s="475"/>
      <c r="J141" s="475"/>
      <c r="K141" s="475"/>
      <c r="L141" s="475"/>
      <c r="M141" s="475"/>
      <c r="N141" s="475"/>
      <c r="O141" s="475"/>
      <c r="P141" s="475"/>
      <c r="Q141" s="475"/>
      <c r="R141" s="475"/>
      <c r="S141" s="475"/>
      <c r="T141" s="475"/>
      <c r="U141" s="475"/>
      <c r="V141" s="475"/>
      <c r="W141" s="475"/>
      <c r="X141" s="475"/>
      <c r="Y141" s="475"/>
    </row>
    <row r="142" ht="13.5" customHeight="1">
      <c r="A142" s="475"/>
      <c r="B142" s="475"/>
      <c r="C142" s="475"/>
      <c r="D142" s="475"/>
      <c r="E142" s="475"/>
      <c r="F142" s="475"/>
      <c r="G142" s="475"/>
      <c r="H142" s="475"/>
      <c r="I142" s="475"/>
      <c r="J142" s="475"/>
      <c r="K142" s="475"/>
      <c r="L142" s="475"/>
      <c r="M142" s="475"/>
      <c r="N142" s="475"/>
      <c r="O142" s="475"/>
      <c r="P142" s="475"/>
      <c r="Q142" s="475"/>
      <c r="R142" s="475"/>
      <c r="S142" s="475"/>
      <c r="T142" s="475"/>
      <c r="U142" s="475"/>
      <c r="V142" s="475"/>
      <c r="W142" s="475"/>
      <c r="X142" s="475"/>
      <c r="Y142" s="475"/>
    </row>
    <row r="143" ht="13.5" customHeight="1">
      <c r="A143" s="475"/>
      <c r="B143" s="475"/>
      <c r="C143" s="475"/>
      <c r="D143" s="475"/>
      <c r="E143" s="475"/>
      <c r="F143" s="475"/>
      <c r="G143" s="475"/>
      <c r="H143" s="475"/>
      <c r="I143" s="475"/>
      <c r="J143" s="475"/>
      <c r="K143" s="475"/>
      <c r="L143" s="475"/>
      <c r="M143" s="475"/>
      <c r="N143" s="475"/>
      <c r="O143" s="475"/>
      <c r="P143" s="475"/>
      <c r="Q143" s="475"/>
      <c r="R143" s="475"/>
      <c r="S143" s="475"/>
      <c r="T143" s="475"/>
      <c r="U143" s="475"/>
      <c r="V143" s="475"/>
      <c r="W143" s="475"/>
      <c r="X143" s="475"/>
      <c r="Y143" s="475"/>
    </row>
    <row r="144" ht="13.5" customHeight="1">
      <c r="A144" s="475"/>
      <c r="B144" s="475"/>
      <c r="C144" s="475"/>
      <c r="D144" s="475"/>
      <c r="E144" s="475"/>
      <c r="F144" s="475"/>
      <c r="G144" s="475"/>
      <c r="H144" s="475"/>
      <c r="I144" s="475"/>
      <c r="J144" s="475"/>
      <c r="K144" s="475"/>
      <c r="L144" s="475"/>
      <c r="M144" s="475"/>
      <c r="N144" s="475"/>
      <c r="O144" s="475"/>
      <c r="P144" s="475"/>
      <c r="Q144" s="475"/>
      <c r="R144" s="475"/>
      <c r="S144" s="475"/>
      <c r="T144" s="475"/>
      <c r="U144" s="475"/>
      <c r="V144" s="475"/>
      <c r="W144" s="475"/>
      <c r="X144" s="475"/>
      <c r="Y144" s="475"/>
    </row>
    <row r="145" ht="13.5" customHeight="1">
      <c r="A145" s="475"/>
      <c r="B145" s="475"/>
      <c r="C145" s="475"/>
      <c r="D145" s="475"/>
      <c r="E145" s="475"/>
      <c r="F145" s="475"/>
      <c r="G145" s="475"/>
      <c r="H145" s="475"/>
      <c r="I145" s="475"/>
      <c r="J145" s="475"/>
      <c r="K145" s="475"/>
      <c r="L145" s="475"/>
      <c r="M145" s="475"/>
      <c r="N145" s="475"/>
      <c r="O145" s="475"/>
      <c r="P145" s="475"/>
      <c r="Q145" s="475"/>
      <c r="R145" s="475"/>
      <c r="S145" s="475"/>
      <c r="T145" s="475"/>
      <c r="U145" s="475"/>
      <c r="V145" s="475"/>
      <c r="W145" s="475"/>
      <c r="X145" s="475"/>
      <c r="Y145" s="475"/>
    </row>
    <row r="146" ht="13.5" customHeight="1">
      <c r="A146" s="475"/>
      <c r="B146" s="475"/>
      <c r="C146" s="475"/>
      <c r="D146" s="475"/>
      <c r="E146" s="475"/>
      <c r="F146" s="475"/>
      <c r="G146" s="475"/>
      <c r="H146" s="475"/>
      <c r="I146" s="475"/>
      <c r="J146" s="475"/>
      <c r="K146" s="475"/>
      <c r="L146" s="475"/>
      <c r="M146" s="475"/>
      <c r="N146" s="475"/>
      <c r="O146" s="475"/>
      <c r="P146" s="475"/>
      <c r="Q146" s="475"/>
      <c r="R146" s="475"/>
      <c r="S146" s="475"/>
      <c r="T146" s="475"/>
      <c r="U146" s="475"/>
      <c r="V146" s="475"/>
      <c r="W146" s="475"/>
      <c r="X146" s="475"/>
      <c r="Y146" s="475"/>
    </row>
    <row r="147" ht="13.5" customHeight="1">
      <c r="A147" s="475"/>
      <c r="B147" s="475"/>
      <c r="C147" s="475"/>
      <c r="D147" s="475"/>
      <c r="E147" s="475"/>
      <c r="F147" s="475"/>
      <c r="G147" s="475"/>
      <c r="H147" s="475"/>
      <c r="I147" s="475"/>
      <c r="J147" s="475"/>
      <c r="K147" s="475"/>
      <c r="L147" s="475"/>
      <c r="M147" s="475"/>
      <c r="N147" s="475"/>
      <c r="O147" s="475"/>
      <c r="P147" s="475"/>
      <c r="Q147" s="475"/>
      <c r="R147" s="475"/>
      <c r="S147" s="475"/>
      <c r="T147" s="475"/>
      <c r="U147" s="475"/>
      <c r="V147" s="475"/>
      <c r="W147" s="475"/>
      <c r="X147" s="475"/>
      <c r="Y147" s="475"/>
    </row>
    <row r="148" ht="13.5" customHeight="1">
      <c r="A148" s="475"/>
      <c r="B148" s="475"/>
      <c r="C148" s="475"/>
      <c r="D148" s="475"/>
      <c r="E148" s="475"/>
      <c r="F148" s="475"/>
      <c r="G148" s="475"/>
      <c r="H148" s="475"/>
      <c r="I148" s="475"/>
      <c r="J148" s="475"/>
      <c r="K148" s="475"/>
      <c r="L148" s="475"/>
      <c r="M148" s="475"/>
      <c r="N148" s="475"/>
      <c r="O148" s="475"/>
      <c r="P148" s="475"/>
      <c r="Q148" s="475"/>
      <c r="R148" s="475"/>
      <c r="S148" s="475"/>
      <c r="T148" s="475"/>
      <c r="U148" s="475"/>
      <c r="V148" s="475"/>
      <c r="W148" s="475"/>
      <c r="X148" s="475"/>
      <c r="Y148" s="475"/>
    </row>
    <row r="149" ht="13.5" customHeight="1">
      <c r="A149" s="475"/>
      <c r="B149" s="475"/>
      <c r="C149" s="475"/>
      <c r="D149" s="475"/>
      <c r="E149" s="475"/>
      <c r="F149" s="475"/>
      <c r="G149" s="475"/>
      <c r="H149" s="475"/>
      <c r="I149" s="475"/>
      <c r="J149" s="475"/>
      <c r="K149" s="475"/>
      <c r="L149" s="475"/>
      <c r="M149" s="475"/>
      <c r="N149" s="475"/>
      <c r="O149" s="475"/>
      <c r="P149" s="475"/>
      <c r="Q149" s="475"/>
      <c r="R149" s="475"/>
      <c r="S149" s="475"/>
      <c r="T149" s="475"/>
      <c r="U149" s="475"/>
      <c r="V149" s="475"/>
      <c r="W149" s="475"/>
      <c r="X149" s="475"/>
      <c r="Y149" s="475"/>
    </row>
    <row r="150" ht="13.5" customHeight="1">
      <c r="A150" s="475"/>
      <c r="B150" s="475"/>
      <c r="C150" s="475"/>
      <c r="D150" s="475"/>
      <c r="E150" s="475"/>
      <c r="F150" s="475"/>
      <c r="G150" s="475"/>
      <c r="H150" s="475"/>
      <c r="I150" s="475"/>
      <c r="J150" s="475"/>
      <c r="K150" s="475"/>
      <c r="L150" s="475"/>
      <c r="M150" s="475"/>
      <c r="N150" s="475"/>
      <c r="O150" s="475"/>
      <c r="P150" s="475"/>
      <c r="Q150" s="475"/>
      <c r="R150" s="475"/>
      <c r="S150" s="475"/>
      <c r="T150" s="475"/>
      <c r="U150" s="475"/>
      <c r="V150" s="475"/>
      <c r="W150" s="475"/>
      <c r="X150" s="475"/>
      <c r="Y150" s="475"/>
    </row>
    <row r="151" ht="13.5" customHeight="1">
      <c r="A151" s="475"/>
      <c r="B151" s="475"/>
      <c r="C151" s="475"/>
      <c r="D151" s="475"/>
      <c r="E151" s="475"/>
      <c r="F151" s="475"/>
      <c r="G151" s="475"/>
      <c r="H151" s="475"/>
      <c r="I151" s="475"/>
      <c r="J151" s="475"/>
      <c r="K151" s="475"/>
      <c r="L151" s="475"/>
      <c r="M151" s="475"/>
      <c r="N151" s="475"/>
      <c r="O151" s="475"/>
      <c r="P151" s="475"/>
      <c r="Q151" s="475"/>
      <c r="R151" s="475"/>
      <c r="S151" s="475"/>
      <c r="T151" s="475"/>
      <c r="U151" s="475"/>
      <c r="V151" s="475"/>
      <c r="W151" s="475"/>
      <c r="X151" s="475"/>
      <c r="Y151" s="475"/>
    </row>
    <row r="152" ht="13.5" customHeight="1">
      <c r="A152" s="475"/>
      <c r="B152" s="475"/>
      <c r="C152" s="475"/>
      <c r="D152" s="475"/>
      <c r="E152" s="475"/>
      <c r="F152" s="475"/>
      <c r="G152" s="475"/>
      <c r="H152" s="475"/>
      <c r="I152" s="475"/>
      <c r="J152" s="475"/>
      <c r="K152" s="475"/>
      <c r="L152" s="475"/>
      <c r="M152" s="475"/>
      <c r="N152" s="475"/>
      <c r="O152" s="475"/>
      <c r="P152" s="475"/>
      <c r="Q152" s="475"/>
      <c r="R152" s="475"/>
      <c r="S152" s="475"/>
      <c r="T152" s="475"/>
      <c r="U152" s="475"/>
      <c r="V152" s="475"/>
      <c r="W152" s="475"/>
      <c r="X152" s="475"/>
      <c r="Y152" s="475"/>
    </row>
    <row r="153" ht="13.5" customHeight="1">
      <c r="A153" s="475"/>
      <c r="B153" s="475"/>
      <c r="C153" s="475"/>
      <c r="D153" s="475"/>
      <c r="E153" s="475"/>
      <c r="F153" s="475"/>
      <c r="G153" s="475"/>
      <c r="H153" s="475"/>
      <c r="I153" s="475"/>
      <c r="J153" s="475"/>
      <c r="K153" s="475"/>
      <c r="L153" s="475"/>
      <c r="M153" s="475"/>
      <c r="N153" s="475"/>
      <c r="O153" s="475"/>
      <c r="P153" s="475"/>
      <c r="Q153" s="475"/>
      <c r="R153" s="475"/>
      <c r="S153" s="475"/>
      <c r="T153" s="475"/>
      <c r="U153" s="475"/>
      <c r="V153" s="475"/>
      <c r="W153" s="475"/>
      <c r="X153" s="475"/>
      <c r="Y153" s="475"/>
    </row>
    <row r="154" ht="13.5" customHeight="1">
      <c r="A154" s="475"/>
      <c r="B154" s="475"/>
      <c r="C154" s="475"/>
      <c r="D154" s="475"/>
      <c r="E154" s="475"/>
      <c r="F154" s="475"/>
      <c r="G154" s="475"/>
      <c r="H154" s="475"/>
      <c r="I154" s="475"/>
      <c r="J154" s="475"/>
      <c r="K154" s="475"/>
      <c r="L154" s="475"/>
      <c r="M154" s="475"/>
      <c r="N154" s="475"/>
      <c r="O154" s="475"/>
      <c r="P154" s="475"/>
      <c r="Q154" s="475"/>
      <c r="R154" s="475"/>
      <c r="S154" s="475"/>
      <c r="T154" s="475"/>
      <c r="U154" s="475"/>
      <c r="V154" s="475"/>
      <c r="W154" s="475"/>
      <c r="X154" s="475"/>
      <c r="Y154" s="475"/>
    </row>
    <row r="155" ht="13.5" customHeight="1">
      <c r="A155" s="475"/>
      <c r="B155" s="475"/>
      <c r="C155" s="475"/>
      <c r="D155" s="475"/>
      <c r="E155" s="475"/>
      <c r="F155" s="475"/>
      <c r="G155" s="475"/>
      <c r="H155" s="475"/>
      <c r="I155" s="475"/>
      <c r="J155" s="475"/>
      <c r="K155" s="475"/>
      <c r="L155" s="475"/>
      <c r="M155" s="475"/>
      <c r="N155" s="475"/>
      <c r="O155" s="475"/>
      <c r="P155" s="475"/>
      <c r="Q155" s="475"/>
      <c r="R155" s="475"/>
      <c r="S155" s="475"/>
      <c r="T155" s="475"/>
      <c r="U155" s="475"/>
      <c r="V155" s="475"/>
      <c r="W155" s="475"/>
      <c r="X155" s="475"/>
      <c r="Y155" s="475"/>
    </row>
    <row r="156" ht="13.5" customHeight="1">
      <c r="A156" s="475"/>
      <c r="B156" s="475"/>
      <c r="C156" s="475"/>
      <c r="D156" s="475"/>
      <c r="E156" s="475"/>
      <c r="F156" s="475"/>
      <c r="G156" s="475"/>
      <c r="H156" s="475"/>
      <c r="I156" s="475"/>
      <c r="J156" s="475"/>
      <c r="K156" s="475"/>
      <c r="L156" s="475"/>
      <c r="M156" s="475"/>
      <c r="N156" s="475"/>
      <c r="O156" s="475"/>
      <c r="P156" s="475"/>
      <c r="Q156" s="475"/>
      <c r="R156" s="475"/>
      <c r="S156" s="475"/>
      <c r="T156" s="475"/>
      <c r="U156" s="475"/>
      <c r="V156" s="475"/>
      <c r="W156" s="475"/>
      <c r="X156" s="475"/>
      <c r="Y156" s="475"/>
    </row>
    <row r="157" ht="13.5" customHeight="1">
      <c r="A157" s="475"/>
      <c r="B157" s="475"/>
      <c r="C157" s="475"/>
      <c r="D157" s="475"/>
      <c r="E157" s="475"/>
      <c r="F157" s="475"/>
      <c r="G157" s="475"/>
      <c r="H157" s="475"/>
      <c r="I157" s="475"/>
      <c r="J157" s="475"/>
      <c r="K157" s="475"/>
      <c r="L157" s="475"/>
      <c r="M157" s="475"/>
      <c r="N157" s="475"/>
      <c r="O157" s="475"/>
      <c r="P157" s="475"/>
      <c r="Q157" s="475"/>
      <c r="R157" s="475"/>
      <c r="S157" s="475"/>
      <c r="T157" s="475"/>
      <c r="U157" s="475"/>
      <c r="V157" s="475"/>
      <c r="W157" s="475"/>
      <c r="X157" s="475"/>
      <c r="Y157" s="475"/>
    </row>
    <row r="158" ht="13.5" customHeight="1">
      <c r="A158" s="475"/>
      <c r="B158" s="475"/>
      <c r="C158" s="475"/>
      <c r="D158" s="475"/>
      <c r="E158" s="475"/>
      <c r="F158" s="475"/>
      <c r="G158" s="475"/>
      <c r="H158" s="475"/>
      <c r="I158" s="475"/>
      <c r="J158" s="475"/>
      <c r="K158" s="475"/>
      <c r="L158" s="475"/>
      <c r="M158" s="475"/>
      <c r="N158" s="475"/>
      <c r="O158" s="475"/>
      <c r="P158" s="475"/>
      <c r="Q158" s="475"/>
      <c r="R158" s="475"/>
      <c r="S158" s="475"/>
      <c r="T158" s="475"/>
      <c r="U158" s="475"/>
      <c r="V158" s="475"/>
      <c r="W158" s="475"/>
      <c r="X158" s="475"/>
      <c r="Y158" s="475"/>
    </row>
    <row r="159" ht="13.5" customHeight="1">
      <c r="A159" s="475"/>
      <c r="B159" s="475"/>
      <c r="C159" s="475"/>
      <c r="D159" s="475"/>
      <c r="E159" s="475"/>
      <c r="F159" s="475"/>
      <c r="G159" s="475"/>
      <c r="H159" s="475"/>
      <c r="I159" s="475"/>
      <c r="J159" s="475"/>
      <c r="K159" s="475"/>
      <c r="L159" s="475"/>
      <c r="M159" s="475"/>
      <c r="N159" s="475"/>
      <c r="O159" s="475"/>
      <c r="P159" s="475"/>
      <c r="Q159" s="475"/>
      <c r="R159" s="475"/>
      <c r="S159" s="475"/>
      <c r="T159" s="475"/>
      <c r="U159" s="475"/>
      <c r="V159" s="475"/>
      <c r="W159" s="475"/>
      <c r="X159" s="475"/>
      <c r="Y159" s="475"/>
    </row>
    <row r="160" ht="13.5" customHeight="1">
      <c r="A160" s="475"/>
      <c r="B160" s="475"/>
      <c r="C160" s="475"/>
      <c r="D160" s="475"/>
      <c r="E160" s="475"/>
      <c r="F160" s="475"/>
      <c r="G160" s="475"/>
      <c r="H160" s="475"/>
      <c r="I160" s="475"/>
      <c r="J160" s="475"/>
      <c r="K160" s="475"/>
      <c r="L160" s="475"/>
      <c r="M160" s="475"/>
      <c r="N160" s="475"/>
      <c r="O160" s="475"/>
      <c r="P160" s="475"/>
      <c r="Q160" s="475"/>
      <c r="R160" s="475"/>
      <c r="S160" s="475"/>
      <c r="T160" s="475"/>
      <c r="U160" s="475"/>
      <c r="V160" s="475"/>
      <c r="W160" s="475"/>
      <c r="X160" s="475"/>
      <c r="Y160" s="475"/>
    </row>
    <row r="161" ht="13.5" customHeight="1">
      <c r="A161" s="475"/>
      <c r="B161" s="475"/>
      <c r="C161" s="475"/>
      <c r="D161" s="475"/>
      <c r="E161" s="475"/>
      <c r="F161" s="475"/>
      <c r="G161" s="475"/>
      <c r="H161" s="475"/>
      <c r="I161" s="475"/>
      <c r="J161" s="475"/>
      <c r="K161" s="475"/>
      <c r="L161" s="475"/>
      <c r="M161" s="475"/>
      <c r="N161" s="475"/>
      <c r="O161" s="475"/>
      <c r="P161" s="475"/>
      <c r="Q161" s="475"/>
      <c r="R161" s="475"/>
      <c r="S161" s="475"/>
      <c r="T161" s="475"/>
      <c r="U161" s="475"/>
      <c r="V161" s="475"/>
      <c r="W161" s="475"/>
      <c r="X161" s="475"/>
      <c r="Y161" s="475"/>
    </row>
    <row r="162" ht="13.5" customHeight="1">
      <c r="A162" s="475"/>
      <c r="B162" s="475"/>
      <c r="C162" s="475"/>
      <c r="D162" s="475"/>
      <c r="E162" s="475"/>
      <c r="F162" s="475"/>
      <c r="G162" s="475"/>
      <c r="H162" s="475"/>
      <c r="I162" s="475"/>
      <c r="J162" s="475"/>
      <c r="K162" s="475"/>
      <c r="L162" s="475"/>
      <c r="M162" s="475"/>
      <c r="N162" s="475"/>
      <c r="O162" s="475"/>
      <c r="P162" s="475"/>
      <c r="Q162" s="475"/>
      <c r="R162" s="475"/>
      <c r="S162" s="475"/>
      <c r="T162" s="475"/>
      <c r="U162" s="475"/>
      <c r="V162" s="475"/>
      <c r="W162" s="475"/>
      <c r="X162" s="475"/>
      <c r="Y162" s="475"/>
    </row>
    <row r="163" ht="13.5" customHeight="1">
      <c r="A163" s="475"/>
      <c r="B163" s="475"/>
      <c r="C163" s="475"/>
      <c r="D163" s="475"/>
      <c r="E163" s="475"/>
      <c r="F163" s="475"/>
      <c r="G163" s="475"/>
      <c r="H163" s="475"/>
      <c r="I163" s="475"/>
      <c r="J163" s="475"/>
      <c r="K163" s="475"/>
      <c r="L163" s="475"/>
      <c r="M163" s="475"/>
      <c r="N163" s="475"/>
      <c r="O163" s="475"/>
      <c r="P163" s="475"/>
      <c r="Q163" s="475"/>
      <c r="R163" s="475"/>
      <c r="S163" s="475"/>
      <c r="T163" s="475"/>
      <c r="U163" s="475"/>
      <c r="V163" s="475"/>
      <c r="W163" s="475"/>
      <c r="X163" s="475"/>
      <c r="Y163" s="475"/>
    </row>
    <row r="164" ht="13.5" customHeight="1">
      <c r="A164" s="475"/>
      <c r="B164" s="475"/>
      <c r="C164" s="475"/>
      <c r="D164" s="475"/>
      <c r="E164" s="475"/>
      <c r="F164" s="475"/>
      <c r="G164" s="475"/>
      <c r="H164" s="475"/>
      <c r="I164" s="475"/>
      <c r="J164" s="475"/>
      <c r="K164" s="475"/>
      <c r="L164" s="475"/>
      <c r="M164" s="475"/>
      <c r="N164" s="475"/>
      <c r="O164" s="475"/>
      <c r="P164" s="475"/>
      <c r="Q164" s="475"/>
      <c r="R164" s="475"/>
      <c r="S164" s="475"/>
      <c r="T164" s="475"/>
      <c r="U164" s="475"/>
      <c r="V164" s="475"/>
      <c r="W164" s="475"/>
      <c r="X164" s="475"/>
      <c r="Y164" s="475"/>
    </row>
    <row r="165" ht="13.5" customHeight="1">
      <c r="A165" s="475"/>
      <c r="B165" s="475"/>
      <c r="C165" s="475"/>
      <c r="D165" s="475"/>
      <c r="E165" s="475"/>
      <c r="F165" s="475"/>
      <c r="G165" s="475"/>
      <c r="H165" s="475"/>
      <c r="I165" s="475"/>
      <c r="J165" s="475"/>
      <c r="K165" s="475"/>
      <c r="L165" s="475"/>
      <c r="M165" s="475"/>
      <c r="N165" s="475"/>
      <c r="O165" s="475"/>
      <c r="P165" s="475"/>
      <c r="Q165" s="475"/>
      <c r="R165" s="475"/>
      <c r="S165" s="475"/>
      <c r="T165" s="475"/>
      <c r="U165" s="475"/>
      <c r="V165" s="475"/>
      <c r="W165" s="475"/>
      <c r="X165" s="475"/>
      <c r="Y165" s="475"/>
    </row>
    <row r="166" ht="13.5" customHeight="1">
      <c r="A166" s="475"/>
      <c r="B166" s="475"/>
      <c r="C166" s="475"/>
      <c r="D166" s="475"/>
      <c r="E166" s="475"/>
      <c r="F166" s="475"/>
      <c r="G166" s="475"/>
      <c r="H166" s="475"/>
      <c r="I166" s="475"/>
      <c r="J166" s="475"/>
      <c r="K166" s="475"/>
      <c r="L166" s="475"/>
      <c r="M166" s="475"/>
      <c r="N166" s="475"/>
      <c r="O166" s="475"/>
      <c r="P166" s="475"/>
      <c r="Q166" s="475"/>
      <c r="R166" s="475"/>
      <c r="S166" s="475"/>
      <c r="T166" s="475"/>
      <c r="U166" s="475"/>
      <c r="V166" s="475"/>
      <c r="W166" s="475"/>
      <c r="X166" s="475"/>
      <c r="Y166" s="475"/>
    </row>
    <row r="167" ht="13.5" customHeight="1">
      <c r="A167" s="475"/>
      <c r="B167" s="475"/>
      <c r="C167" s="475"/>
      <c r="D167" s="475"/>
      <c r="E167" s="475"/>
      <c r="F167" s="475"/>
      <c r="G167" s="475"/>
      <c r="H167" s="475"/>
      <c r="I167" s="475"/>
      <c r="J167" s="475"/>
      <c r="K167" s="475"/>
      <c r="L167" s="475"/>
      <c r="M167" s="475"/>
      <c r="N167" s="475"/>
      <c r="O167" s="475"/>
      <c r="P167" s="475"/>
      <c r="Q167" s="475"/>
      <c r="R167" s="475"/>
      <c r="S167" s="475"/>
      <c r="T167" s="475"/>
      <c r="U167" s="475"/>
      <c r="V167" s="475"/>
      <c r="W167" s="475"/>
      <c r="X167" s="475"/>
      <c r="Y167" s="475"/>
    </row>
    <row r="168" ht="13.5" customHeight="1">
      <c r="A168" s="475"/>
      <c r="B168" s="475"/>
      <c r="C168" s="475"/>
      <c r="D168" s="475"/>
      <c r="E168" s="475"/>
      <c r="F168" s="475"/>
      <c r="G168" s="475"/>
      <c r="H168" s="475"/>
      <c r="I168" s="475"/>
      <c r="J168" s="475"/>
      <c r="K168" s="475"/>
      <c r="L168" s="475"/>
      <c r="M168" s="475"/>
      <c r="N168" s="475"/>
      <c r="O168" s="475"/>
      <c r="P168" s="475"/>
      <c r="Q168" s="475"/>
      <c r="R168" s="475"/>
      <c r="S168" s="475"/>
      <c r="T168" s="475"/>
      <c r="U168" s="475"/>
      <c r="V168" s="475"/>
      <c r="W168" s="475"/>
      <c r="X168" s="475"/>
      <c r="Y168" s="475"/>
    </row>
    <row r="169" ht="13.5" customHeight="1">
      <c r="A169" s="475"/>
      <c r="B169" s="475"/>
      <c r="C169" s="475"/>
      <c r="D169" s="475"/>
      <c r="E169" s="475"/>
      <c r="F169" s="475"/>
      <c r="G169" s="475"/>
      <c r="H169" s="475"/>
      <c r="I169" s="475"/>
      <c r="J169" s="475"/>
      <c r="K169" s="475"/>
      <c r="L169" s="475"/>
      <c r="M169" s="475"/>
      <c r="N169" s="475"/>
      <c r="O169" s="475"/>
      <c r="P169" s="475"/>
      <c r="Q169" s="475"/>
      <c r="R169" s="475"/>
      <c r="S169" s="475"/>
      <c r="T169" s="475"/>
      <c r="U169" s="475"/>
      <c r="V169" s="475"/>
      <c r="W169" s="475"/>
      <c r="X169" s="475"/>
      <c r="Y169" s="475"/>
    </row>
    <row r="170" ht="13.5" customHeight="1">
      <c r="A170" s="475"/>
      <c r="B170" s="475"/>
      <c r="C170" s="475"/>
      <c r="D170" s="475"/>
      <c r="E170" s="475"/>
      <c r="F170" s="475"/>
      <c r="G170" s="475"/>
      <c r="H170" s="475"/>
      <c r="I170" s="475"/>
      <c r="J170" s="475"/>
      <c r="K170" s="475"/>
      <c r="L170" s="475"/>
      <c r="M170" s="475"/>
      <c r="N170" s="475"/>
      <c r="O170" s="475"/>
      <c r="P170" s="475"/>
      <c r="Q170" s="475"/>
      <c r="R170" s="475"/>
      <c r="S170" s="475"/>
      <c r="T170" s="475"/>
      <c r="U170" s="475"/>
      <c r="V170" s="475"/>
      <c r="W170" s="475"/>
      <c r="X170" s="475"/>
      <c r="Y170" s="475"/>
    </row>
    <row r="171" ht="13.5" customHeight="1">
      <c r="A171" s="475"/>
      <c r="B171" s="475"/>
      <c r="C171" s="475"/>
      <c r="D171" s="475"/>
      <c r="E171" s="475"/>
      <c r="F171" s="475"/>
      <c r="G171" s="475"/>
      <c r="H171" s="475"/>
      <c r="I171" s="475"/>
      <c r="J171" s="475"/>
      <c r="K171" s="475"/>
      <c r="L171" s="475"/>
      <c r="M171" s="475"/>
      <c r="N171" s="475"/>
      <c r="O171" s="475"/>
      <c r="P171" s="475"/>
      <c r="Q171" s="475"/>
      <c r="R171" s="475"/>
      <c r="S171" s="475"/>
      <c r="T171" s="475"/>
      <c r="U171" s="475"/>
      <c r="V171" s="475"/>
      <c r="W171" s="475"/>
      <c r="X171" s="475"/>
      <c r="Y171" s="475"/>
    </row>
    <row r="172" ht="13.5" customHeight="1">
      <c r="A172" s="475"/>
      <c r="B172" s="475"/>
      <c r="C172" s="475"/>
      <c r="D172" s="475"/>
      <c r="E172" s="475"/>
      <c r="F172" s="475"/>
      <c r="G172" s="475"/>
      <c r="H172" s="475"/>
      <c r="I172" s="475"/>
      <c r="J172" s="475"/>
      <c r="K172" s="475"/>
      <c r="L172" s="475"/>
      <c r="M172" s="475"/>
      <c r="N172" s="475"/>
      <c r="O172" s="475"/>
      <c r="P172" s="475"/>
      <c r="Q172" s="475"/>
      <c r="R172" s="475"/>
      <c r="S172" s="475"/>
      <c r="T172" s="475"/>
      <c r="U172" s="475"/>
      <c r="V172" s="475"/>
      <c r="W172" s="475"/>
      <c r="X172" s="475"/>
      <c r="Y172" s="475"/>
    </row>
    <row r="173" ht="13.5" customHeight="1">
      <c r="A173" s="475"/>
      <c r="B173" s="475"/>
      <c r="C173" s="475"/>
      <c r="D173" s="475"/>
      <c r="E173" s="475"/>
      <c r="F173" s="475"/>
      <c r="G173" s="475"/>
      <c r="H173" s="475"/>
      <c r="I173" s="475"/>
      <c r="J173" s="475"/>
      <c r="K173" s="475"/>
      <c r="L173" s="475"/>
      <c r="M173" s="475"/>
      <c r="N173" s="475"/>
      <c r="O173" s="475"/>
      <c r="P173" s="475"/>
      <c r="Q173" s="475"/>
      <c r="R173" s="475"/>
      <c r="S173" s="475"/>
      <c r="T173" s="475"/>
      <c r="U173" s="475"/>
      <c r="V173" s="475"/>
      <c r="W173" s="475"/>
      <c r="X173" s="475"/>
      <c r="Y173" s="475"/>
    </row>
    <row r="174" ht="13.5" customHeight="1">
      <c r="A174" s="475"/>
      <c r="B174" s="475"/>
      <c r="C174" s="475"/>
      <c r="D174" s="475"/>
      <c r="E174" s="475"/>
      <c r="F174" s="475"/>
      <c r="G174" s="475"/>
      <c r="H174" s="475"/>
      <c r="I174" s="475"/>
      <c r="J174" s="475"/>
      <c r="K174" s="475"/>
      <c r="L174" s="475"/>
      <c r="M174" s="475"/>
      <c r="N174" s="475"/>
      <c r="O174" s="475"/>
      <c r="P174" s="475"/>
      <c r="Q174" s="475"/>
      <c r="R174" s="475"/>
      <c r="S174" s="475"/>
      <c r="T174" s="475"/>
      <c r="U174" s="475"/>
      <c r="V174" s="475"/>
      <c r="W174" s="475"/>
      <c r="X174" s="475"/>
      <c r="Y174" s="475"/>
    </row>
    <row r="175" ht="13.5" customHeight="1">
      <c r="A175" s="475"/>
      <c r="B175" s="475"/>
      <c r="C175" s="475"/>
      <c r="D175" s="475"/>
      <c r="E175" s="475"/>
      <c r="F175" s="475"/>
      <c r="G175" s="475"/>
      <c r="H175" s="475"/>
      <c r="I175" s="475"/>
      <c r="J175" s="475"/>
      <c r="K175" s="475"/>
      <c r="L175" s="475"/>
      <c r="M175" s="475"/>
      <c r="N175" s="475"/>
      <c r="O175" s="475"/>
      <c r="P175" s="475"/>
      <c r="Q175" s="475"/>
      <c r="R175" s="475"/>
      <c r="S175" s="475"/>
      <c r="T175" s="475"/>
      <c r="U175" s="475"/>
      <c r="V175" s="475"/>
      <c r="W175" s="475"/>
      <c r="X175" s="475"/>
      <c r="Y175" s="475"/>
    </row>
    <row r="176" ht="13.5" customHeight="1">
      <c r="A176" s="475"/>
      <c r="B176" s="475"/>
      <c r="C176" s="475"/>
      <c r="D176" s="475"/>
      <c r="E176" s="475"/>
      <c r="F176" s="475"/>
      <c r="G176" s="475"/>
      <c r="H176" s="475"/>
      <c r="I176" s="475"/>
      <c r="J176" s="475"/>
      <c r="K176" s="475"/>
      <c r="L176" s="475"/>
      <c r="M176" s="475"/>
      <c r="N176" s="475"/>
      <c r="O176" s="475"/>
      <c r="P176" s="475"/>
      <c r="Q176" s="475"/>
      <c r="R176" s="475"/>
      <c r="S176" s="475"/>
      <c r="T176" s="475"/>
      <c r="U176" s="475"/>
      <c r="V176" s="475"/>
      <c r="W176" s="475"/>
      <c r="X176" s="475"/>
      <c r="Y176" s="475"/>
    </row>
    <row r="177" ht="13.5" customHeight="1">
      <c r="A177" s="475"/>
      <c r="B177" s="475"/>
      <c r="C177" s="475"/>
      <c r="D177" s="475"/>
      <c r="E177" s="475"/>
      <c r="F177" s="475"/>
      <c r="G177" s="475"/>
      <c r="H177" s="475"/>
      <c r="I177" s="475"/>
      <c r="J177" s="475"/>
      <c r="K177" s="475"/>
      <c r="L177" s="475"/>
      <c r="M177" s="475"/>
      <c r="N177" s="475"/>
      <c r="O177" s="475"/>
      <c r="P177" s="475"/>
      <c r="Q177" s="475"/>
      <c r="R177" s="475"/>
      <c r="S177" s="475"/>
      <c r="T177" s="475"/>
      <c r="U177" s="475"/>
      <c r="V177" s="475"/>
      <c r="W177" s="475"/>
      <c r="X177" s="475"/>
      <c r="Y177" s="475"/>
    </row>
    <row r="178" ht="13.5" customHeight="1">
      <c r="A178" s="475"/>
      <c r="B178" s="475"/>
      <c r="C178" s="475"/>
      <c r="D178" s="475"/>
      <c r="E178" s="475"/>
      <c r="F178" s="475"/>
      <c r="G178" s="475"/>
      <c r="H178" s="475"/>
      <c r="I178" s="475"/>
      <c r="J178" s="475"/>
      <c r="K178" s="475"/>
      <c r="L178" s="475"/>
      <c r="M178" s="475"/>
      <c r="N178" s="475"/>
      <c r="O178" s="475"/>
      <c r="P178" s="475"/>
      <c r="Q178" s="475"/>
      <c r="R178" s="475"/>
      <c r="S178" s="475"/>
      <c r="T178" s="475"/>
      <c r="U178" s="475"/>
      <c r="V178" s="475"/>
      <c r="W178" s="475"/>
      <c r="X178" s="475"/>
      <c r="Y178" s="475"/>
    </row>
    <row r="179" ht="13.5" customHeight="1">
      <c r="A179" s="475"/>
      <c r="B179" s="475"/>
      <c r="C179" s="475"/>
      <c r="D179" s="475"/>
      <c r="E179" s="475"/>
      <c r="F179" s="475"/>
      <c r="G179" s="475"/>
      <c r="H179" s="475"/>
      <c r="I179" s="475"/>
      <c r="J179" s="475"/>
      <c r="K179" s="475"/>
      <c r="L179" s="475"/>
      <c r="M179" s="475"/>
      <c r="N179" s="475"/>
      <c r="O179" s="475"/>
      <c r="P179" s="475"/>
      <c r="Q179" s="475"/>
      <c r="R179" s="475"/>
      <c r="S179" s="475"/>
      <c r="T179" s="475"/>
      <c r="U179" s="475"/>
      <c r="V179" s="475"/>
      <c r="W179" s="475"/>
      <c r="X179" s="475"/>
      <c r="Y179" s="475"/>
    </row>
    <row r="180" ht="13.5" customHeight="1">
      <c r="A180" s="475"/>
      <c r="B180" s="475"/>
      <c r="C180" s="475"/>
      <c r="D180" s="475"/>
      <c r="E180" s="475"/>
      <c r="F180" s="475"/>
      <c r="G180" s="475"/>
      <c r="H180" s="475"/>
      <c r="I180" s="475"/>
      <c r="J180" s="475"/>
      <c r="K180" s="475"/>
      <c r="L180" s="475"/>
      <c r="M180" s="475"/>
      <c r="N180" s="475"/>
      <c r="O180" s="475"/>
      <c r="P180" s="475"/>
      <c r="Q180" s="475"/>
      <c r="R180" s="475"/>
      <c r="S180" s="475"/>
      <c r="T180" s="475"/>
      <c r="U180" s="475"/>
      <c r="V180" s="475"/>
      <c r="W180" s="475"/>
      <c r="X180" s="475"/>
      <c r="Y180" s="475"/>
    </row>
    <row r="181" ht="13.5" customHeight="1">
      <c r="A181" s="475"/>
      <c r="B181" s="475"/>
      <c r="C181" s="475"/>
      <c r="D181" s="475"/>
      <c r="E181" s="475"/>
      <c r="F181" s="475"/>
      <c r="G181" s="475"/>
      <c r="H181" s="475"/>
      <c r="I181" s="475"/>
      <c r="J181" s="475"/>
      <c r="K181" s="475"/>
      <c r="L181" s="475"/>
      <c r="M181" s="475"/>
      <c r="N181" s="475"/>
      <c r="O181" s="475"/>
      <c r="P181" s="475"/>
      <c r="Q181" s="475"/>
      <c r="R181" s="475"/>
      <c r="S181" s="475"/>
      <c r="T181" s="475"/>
      <c r="U181" s="475"/>
      <c r="V181" s="475"/>
      <c r="W181" s="475"/>
      <c r="X181" s="475"/>
      <c r="Y181" s="475"/>
    </row>
    <row r="182" ht="13.5" customHeight="1">
      <c r="A182" s="475"/>
      <c r="B182" s="475"/>
      <c r="C182" s="475"/>
      <c r="D182" s="475"/>
      <c r="E182" s="475"/>
      <c r="F182" s="475"/>
      <c r="G182" s="475"/>
      <c r="H182" s="475"/>
      <c r="I182" s="475"/>
      <c r="J182" s="475"/>
      <c r="K182" s="475"/>
      <c r="L182" s="475"/>
      <c r="M182" s="475"/>
      <c r="N182" s="475"/>
      <c r="O182" s="475"/>
      <c r="P182" s="475"/>
      <c r="Q182" s="475"/>
      <c r="R182" s="475"/>
      <c r="S182" s="475"/>
      <c r="T182" s="475"/>
      <c r="U182" s="475"/>
      <c r="V182" s="475"/>
      <c r="W182" s="475"/>
      <c r="X182" s="475"/>
      <c r="Y182" s="475"/>
    </row>
    <row r="183" ht="13.5" customHeight="1">
      <c r="A183" s="475"/>
      <c r="B183" s="475"/>
      <c r="C183" s="475"/>
      <c r="D183" s="475"/>
      <c r="E183" s="475"/>
      <c r="F183" s="475"/>
      <c r="G183" s="475"/>
      <c r="H183" s="475"/>
      <c r="I183" s="475"/>
      <c r="J183" s="475"/>
      <c r="K183" s="475"/>
      <c r="L183" s="475"/>
      <c r="M183" s="475"/>
      <c r="N183" s="475"/>
      <c r="O183" s="475"/>
      <c r="P183" s="475"/>
      <c r="Q183" s="475"/>
      <c r="R183" s="475"/>
      <c r="S183" s="475"/>
      <c r="T183" s="475"/>
      <c r="U183" s="475"/>
      <c r="V183" s="475"/>
      <c r="W183" s="475"/>
      <c r="X183" s="475"/>
      <c r="Y183" s="475"/>
    </row>
    <row r="184" ht="13.5" customHeight="1">
      <c r="A184" s="475"/>
      <c r="B184" s="475"/>
      <c r="C184" s="475"/>
      <c r="D184" s="475"/>
      <c r="E184" s="475"/>
      <c r="F184" s="475"/>
      <c r="G184" s="475"/>
      <c r="H184" s="475"/>
      <c r="I184" s="475"/>
      <c r="J184" s="475"/>
      <c r="K184" s="475"/>
      <c r="L184" s="475"/>
      <c r="M184" s="475"/>
      <c r="N184" s="475"/>
      <c r="O184" s="475"/>
      <c r="P184" s="475"/>
      <c r="Q184" s="475"/>
      <c r="R184" s="475"/>
      <c r="S184" s="475"/>
      <c r="T184" s="475"/>
      <c r="U184" s="475"/>
      <c r="V184" s="475"/>
      <c r="W184" s="475"/>
      <c r="X184" s="475"/>
      <c r="Y184" s="475"/>
    </row>
    <row r="185" ht="13.5" customHeight="1">
      <c r="A185" s="475"/>
      <c r="B185" s="475"/>
      <c r="C185" s="475"/>
      <c r="D185" s="475"/>
      <c r="E185" s="475"/>
      <c r="F185" s="475"/>
      <c r="G185" s="475"/>
      <c r="H185" s="475"/>
      <c r="I185" s="475"/>
      <c r="J185" s="475"/>
      <c r="K185" s="475"/>
      <c r="L185" s="475"/>
      <c r="M185" s="475"/>
      <c r="N185" s="475"/>
      <c r="O185" s="475"/>
      <c r="P185" s="475"/>
      <c r="Q185" s="475"/>
      <c r="R185" s="475"/>
      <c r="S185" s="475"/>
      <c r="T185" s="475"/>
      <c r="U185" s="475"/>
      <c r="V185" s="475"/>
      <c r="W185" s="475"/>
      <c r="X185" s="475"/>
      <c r="Y185" s="475"/>
    </row>
    <row r="186" ht="13.5" customHeight="1">
      <c r="A186" s="475"/>
      <c r="B186" s="475"/>
      <c r="C186" s="475"/>
      <c r="D186" s="475"/>
      <c r="E186" s="475"/>
      <c r="F186" s="475"/>
      <c r="G186" s="475"/>
      <c r="H186" s="475"/>
      <c r="I186" s="475"/>
      <c r="J186" s="475"/>
      <c r="K186" s="475"/>
      <c r="L186" s="475"/>
      <c r="M186" s="475"/>
      <c r="N186" s="475"/>
      <c r="O186" s="475"/>
      <c r="P186" s="475"/>
      <c r="Q186" s="475"/>
      <c r="R186" s="475"/>
      <c r="S186" s="475"/>
      <c r="T186" s="475"/>
      <c r="U186" s="475"/>
      <c r="V186" s="475"/>
      <c r="W186" s="475"/>
      <c r="X186" s="475"/>
      <c r="Y186" s="475"/>
    </row>
    <row r="187" ht="13.5" customHeight="1">
      <c r="A187" s="475"/>
      <c r="B187" s="475"/>
      <c r="C187" s="475"/>
      <c r="D187" s="475"/>
      <c r="E187" s="475"/>
      <c r="F187" s="475"/>
      <c r="G187" s="475"/>
      <c r="H187" s="475"/>
      <c r="I187" s="475"/>
      <c r="J187" s="475"/>
      <c r="K187" s="475"/>
      <c r="L187" s="475"/>
      <c r="M187" s="475"/>
      <c r="N187" s="475"/>
      <c r="O187" s="475"/>
      <c r="P187" s="475"/>
      <c r="Q187" s="475"/>
      <c r="R187" s="475"/>
      <c r="S187" s="475"/>
      <c r="T187" s="475"/>
      <c r="U187" s="475"/>
      <c r="V187" s="475"/>
      <c r="W187" s="475"/>
      <c r="X187" s="475"/>
      <c r="Y187" s="475"/>
    </row>
    <row r="188" ht="13.5" customHeight="1">
      <c r="A188" s="475"/>
      <c r="B188" s="475"/>
      <c r="C188" s="475"/>
      <c r="D188" s="475"/>
      <c r="E188" s="475"/>
      <c r="F188" s="475"/>
      <c r="G188" s="475"/>
      <c r="H188" s="475"/>
      <c r="I188" s="475"/>
      <c r="J188" s="475"/>
      <c r="K188" s="475"/>
      <c r="L188" s="475"/>
      <c r="M188" s="475"/>
      <c r="N188" s="475"/>
      <c r="O188" s="475"/>
      <c r="P188" s="475"/>
      <c r="Q188" s="475"/>
      <c r="R188" s="475"/>
      <c r="S188" s="475"/>
      <c r="T188" s="475"/>
      <c r="U188" s="475"/>
      <c r="V188" s="475"/>
      <c r="W188" s="475"/>
      <c r="X188" s="475"/>
      <c r="Y188" s="475"/>
    </row>
    <row r="189" ht="13.5" customHeight="1">
      <c r="A189" s="475"/>
      <c r="B189" s="475"/>
      <c r="C189" s="475"/>
      <c r="D189" s="475"/>
      <c r="E189" s="475"/>
      <c r="F189" s="475"/>
      <c r="G189" s="475"/>
      <c r="H189" s="475"/>
      <c r="I189" s="475"/>
      <c r="J189" s="475"/>
      <c r="K189" s="475"/>
      <c r="L189" s="475"/>
      <c r="M189" s="475"/>
      <c r="N189" s="475"/>
      <c r="O189" s="475"/>
      <c r="P189" s="475"/>
      <c r="Q189" s="475"/>
      <c r="R189" s="475"/>
      <c r="S189" s="475"/>
      <c r="T189" s="475"/>
      <c r="U189" s="475"/>
      <c r="V189" s="475"/>
      <c r="W189" s="475"/>
      <c r="X189" s="475"/>
      <c r="Y189" s="475"/>
    </row>
    <row r="190" ht="13.5" customHeight="1">
      <c r="A190" s="475"/>
      <c r="B190" s="475"/>
      <c r="C190" s="475"/>
      <c r="D190" s="475"/>
      <c r="E190" s="475"/>
      <c r="F190" s="475"/>
      <c r="G190" s="475"/>
      <c r="H190" s="475"/>
      <c r="I190" s="475"/>
      <c r="J190" s="475"/>
      <c r="K190" s="475"/>
      <c r="L190" s="475"/>
      <c r="M190" s="475"/>
      <c r="N190" s="475"/>
      <c r="O190" s="475"/>
      <c r="P190" s="475"/>
      <c r="Q190" s="475"/>
      <c r="R190" s="475"/>
      <c r="S190" s="475"/>
      <c r="T190" s="475"/>
      <c r="U190" s="475"/>
      <c r="V190" s="475"/>
      <c r="W190" s="475"/>
      <c r="X190" s="475"/>
      <c r="Y190" s="475"/>
    </row>
    <row r="191" ht="13.5" customHeight="1">
      <c r="A191" s="475"/>
      <c r="B191" s="475"/>
      <c r="C191" s="475"/>
      <c r="D191" s="475"/>
      <c r="E191" s="475"/>
      <c r="F191" s="475"/>
      <c r="G191" s="475"/>
      <c r="H191" s="475"/>
      <c r="I191" s="475"/>
      <c r="J191" s="475"/>
      <c r="K191" s="475"/>
      <c r="L191" s="475"/>
      <c r="M191" s="475"/>
      <c r="N191" s="475"/>
      <c r="O191" s="475"/>
      <c r="P191" s="475"/>
      <c r="Q191" s="475"/>
      <c r="R191" s="475"/>
      <c r="S191" s="475"/>
      <c r="T191" s="475"/>
      <c r="U191" s="475"/>
      <c r="V191" s="475"/>
      <c r="W191" s="475"/>
      <c r="X191" s="475"/>
      <c r="Y191" s="475"/>
    </row>
    <row r="192" ht="13.5" customHeight="1">
      <c r="A192" s="475"/>
      <c r="B192" s="475"/>
      <c r="C192" s="475"/>
      <c r="D192" s="475"/>
      <c r="E192" s="475"/>
      <c r="F192" s="475"/>
      <c r="G192" s="475"/>
      <c r="H192" s="475"/>
      <c r="I192" s="475"/>
      <c r="J192" s="475"/>
      <c r="K192" s="475"/>
      <c r="L192" s="475"/>
      <c r="M192" s="475"/>
      <c r="N192" s="475"/>
      <c r="O192" s="475"/>
      <c r="P192" s="475"/>
      <c r="Q192" s="475"/>
      <c r="R192" s="475"/>
      <c r="S192" s="475"/>
      <c r="T192" s="475"/>
      <c r="U192" s="475"/>
      <c r="V192" s="475"/>
      <c r="W192" s="475"/>
      <c r="X192" s="475"/>
      <c r="Y192" s="475"/>
    </row>
    <row r="193" ht="13.5" customHeight="1">
      <c r="A193" s="475"/>
      <c r="B193" s="475"/>
      <c r="C193" s="475"/>
      <c r="D193" s="475"/>
      <c r="E193" s="475"/>
      <c r="F193" s="475"/>
      <c r="G193" s="475"/>
      <c r="H193" s="475"/>
      <c r="I193" s="475"/>
      <c r="J193" s="475"/>
      <c r="K193" s="475"/>
      <c r="L193" s="475"/>
      <c r="M193" s="475"/>
      <c r="N193" s="475"/>
      <c r="O193" s="475"/>
      <c r="P193" s="475"/>
      <c r="Q193" s="475"/>
      <c r="R193" s="475"/>
      <c r="S193" s="475"/>
      <c r="T193" s="475"/>
      <c r="U193" s="475"/>
      <c r="V193" s="475"/>
      <c r="W193" s="475"/>
      <c r="X193" s="475"/>
      <c r="Y193" s="475"/>
    </row>
    <row r="194" ht="13.5" customHeight="1">
      <c r="A194" s="475"/>
      <c r="B194" s="475"/>
      <c r="C194" s="475"/>
      <c r="D194" s="475"/>
      <c r="E194" s="475"/>
      <c r="F194" s="475"/>
      <c r="G194" s="475"/>
      <c r="H194" s="475"/>
      <c r="I194" s="475"/>
      <c r="J194" s="475"/>
      <c r="K194" s="475"/>
      <c r="L194" s="475"/>
      <c r="M194" s="475"/>
      <c r="N194" s="475"/>
      <c r="O194" s="475"/>
      <c r="P194" s="475"/>
      <c r="Q194" s="475"/>
      <c r="R194" s="475"/>
      <c r="S194" s="475"/>
      <c r="T194" s="475"/>
      <c r="U194" s="475"/>
      <c r="V194" s="475"/>
      <c r="W194" s="475"/>
      <c r="X194" s="475"/>
      <c r="Y194" s="475"/>
    </row>
    <row r="195" ht="13.5" customHeight="1">
      <c r="A195" s="475"/>
      <c r="B195" s="475"/>
      <c r="C195" s="475"/>
      <c r="D195" s="475"/>
      <c r="E195" s="475"/>
      <c r="F195" s="475"/>
      <c r="G195" s="475"/>
      <c r="H195" s="475"/>
      <c r="I195" s="475"/>
      <c r="J195" s="475"/>
      <c r="K195" s="475"/>
      <c r="L195" s="475"/>
      <c r="M195" s="475"/>
      <c r="N195" s="475"/>
      <c r="O195" s="475"/>
      <c r="P195" s="475"/>
      <c r="Q195" s="475"/>
      <c r="R195" s="475"/>
      <c r="S195" s="475"/>
      <c r="T195" s="475"/>
      <c r="U195" s="475"/>
      <c r="V195" s="475"/>
      <c r="W195" s="475"/>
      <c r="X195" s="475"/>
      <c r="Y195" s="475"/>
    </row>
    <row r="196" ht="13.5" customHeight="1">
      <c r="A196" s="475"/>
      <c r="B196" s="475"/>
      <c r="C196" s="475"/>
      <c r="D196" s="475"/>
      <c r="E196" s="475"/>
      <c r="F196" s="475"/>
      <c r="G196" s="475"/>
      <c r="H196" s="475"/>
      <c r="I196" s="475"/>
      <c r="J196" s="475"/>
      <c r="K196" s="475"/>
      <c r="L196" s="475"/>
      <c r="M196" s="475"/>
      <c r="N196" s="475"/>
      <c r="O196" s="475"/>
      <c r="P196" s="475"/>
      <c r="Q196" s="475"/>
      <c r="R196" s="475"/>
      <c r="S196" s="475"/>
      <c r="T196" s="475"/>
      <c r="U196" s="475"/>
      <c r="V196" s="475"/>
      <c r="W196" s="475"/>
      <c r="X196" s="475"/>
      <c r="Y196" s="475"/>
    </row>
    <row r="197" ht="13.5" customHeight="1">
      <c r="A197" s="475"/>
      <c r="B197" s="475"/>
      <c r="C197" s="475"/>
      <c r="D197" s="475"/>
      <c r="E197" s="475"/>
      <c r="F197" s="475"/>
      <c r="G197" s="475"/>
      <c r="H197" s="475"/>
      <c r="I197" s="475"/>
      <c r="J197" s="475"/>
      <c r="K197" s="475"/>
      <c r="L197" s="475"/>
      <c r="M197" s="475"/>
      <c r="N197" s="475"/>
      <c r="O197" s="475"/>
      <c r="P197" s="475"/>
      <c r="Q197" s="475"/>
      <c r="R197" s="475"/>
      <c r="S197" s="475"/>
      <c r="T197" s="475"/>
      <c r="U197" s="475"/>
      <c r="V197" s="475"/>
      <c r="W197" s="475"/>
      <c r="X197" s="475"/>
      <c r="Y197" s="475"/>
    </row>
    <row r="198" ht="13.5" customHeight="1">
      <c r="A198" s="475"/>
      <c r="B198" s="475"/>
      <c r="C198" s="475"/>
      <c r="D198" s="475"/>
      <c r="E198" s="475"/>
      <c r="F198" s="475"/>
      <c r="G198" s="475"/>
      <c r="H198" s="475"/>
      <c r="I198" s="475"/>
      <c r="J198" s="475"/>
      <c r="K198" s="475"/>
      <c r="L198" s="475"/>
      <c r="M198" s="475"/>
      <c r="N198" s="475"/>
      <c r="O198" s="475"/>
      <c r="P198" s="475"/>
      <c r="Q198" s="475"/>
      <c r="R198" s="475"/>
      <c r="S198" s="475"/>
      <c r="T198" s="475"/>
      <c r="U198" s="475"/>
      <c r="V198" s="475"/>
      <c r="W198" s="475"/>
      <c r="X198" s="475"/>
      <c r="Y198" s="475"/>
    </row>
    <row r="199" ht="13.5" customHeight="1">
      <c r="A199" s="475"/>
      <c r="B199" s="475"/>
      <c r="C199" s="475"/>
      <c r="D199" s="475"/>
      <c r="E199" s="475"/>
      <c r="F199" s="475"/>
      <c r="G199" s="475"/>
      <c r="H199" s="475"/>
      <c r="I199" s="475"/>
      <c r="J199" s="475"/>
      <c r="K199" s="475"/>
      <c r="L199" s="475"/>
      <c r="M199" s="475"/>
      <c r="N199" s="475"/>
      <c r="O199" s="475"/>
      <c r="P199" s="475"/>
      <c r="Q199" s="475"/>
      <c r="R199" s="475"/>
      <c r="S199" s="475"/>
      <c r="T199" s="475"/>
      <c r="U199" s="475"/>
      <c r="V199" s="475"/>
      <c r="W199" s="475"/>
      <c r="X199" s="475"/>
      <c r="Y199" s="475"/>
    </row>
    <row r="200" ht="13.5" customHeight="1">
      <c r="A200" s="475"/>
      <c r="B200" s="475"/>
      <c r="C200" s="475"/>
      <c r="D200" s="475"/>
      <c r="E200" s="475"/>
      <c r="F200" s="475"/>
      <c r="G200" s="475"/>
      <c r="H200" s="475"/>
      <c r="I200" s="475"/>
      <c r="J200" s="475"/>
      <c r="K200" s="475"/>
      <c r="L200" s="475"/>
      <c r="M200" s="475"/>
      <c r="N200" s="475"/>
      <c r="O200" s="475"/>
      <c r="P200" s="475"/>
      <c r="Q200" s="475"/>
      <c r="R200" s="475"/>
      <c r="S200" s="475"/>
      <c r="T200" s="475"/>
      <c r="U200" s="475"/>
      <c r="V200" s="475"/>
      <c r="W200" s="475"/>
      <c r="X200" s="475"/>
      <c r="Y200" s="475"/>
    </row>
    <row r="201" ht="13.5" customHeight="1">
      <c r="A201" s="475"/>
      <c r="B201" s="475"/>
      <c r="C201" s="475"/>
      <c r="D201" s="475"/>
      <c r="E201" s="475"/>
      <c r="F201" s="475"/>
      <c r="G201" s="475"/>
      <c r="H201" s="475"/>
      <c r="I201" s="475"/>
      <c r="J201" s="475"/>
      <c r="K201" s="475"/>
      <c r="L201" s="475"/>
      <c r="M201" s="475"/>
      <c r="N201" s="475"/>
      <c r="O201" s="475"/>
      <c r="P201" s="475"/>
      <c r="Q201" s="475"/>
      <c r="R201" s="475"/>
      <c r="S201" s="475"/>
      <c r="T201" s="475"/>
      <c r="U201" s="475"/>
      <c r="V201" s="475"/>
      <c r="W201" s="475"/>
      <c r="X201" s="475"/>
      <c r="Y201" s="475"/>
    </row>
    <row r="202" ht="13.5" customHeight="1">
      <c r="A202" s="475"/>
      <c r="B202" s="475"/>
      <c r="C202" s="475"/>
      <c r="D202" s="475"/>
      <c r="E202" s="475"/>
      <c r="F202" s="475"/>
      <c r="G202" s="475"/>
      <c r="H202" s="475"/>
      <c r="I202" s="475"/>
      <c r="J202" s="475"/>
      <c r="K202" s="475"/>
      <c r="L202" s="475"/>
      <c r="M202" s="475"/>
      <c r="N202" s="475"/>
      <c r="O202" s="475"/>
      <c r="P202" s="475"/>
      <c r="Q202" s="475"/>
      <c r="R202" s="475"/>
      <c r="S202" s="475"/>
      <c r="T202" s="475"/>
      <c r="U202" s="475"/>
      <c r="V202" s="475"/>
      <c r="W202" s="475"/>
      <c r="X202" s="475"/>
      <c r="Y202" s="475"/>
    </row>
    <row r="203" ht="13.5" customHeight="1">
      <c r="A203" s="475"/>
      <c r="B203" s="475"/>
      <c r="C203" s="475"/>
      <c r="D203" s="475"/>
      <c r="E203" s="475"/>
      <c r="F203" s="475"/>
      <c r="G203" s="475"/>
      <c r="H203" s="475"/>
      <c r="I203" s="475"/>
      <c r="J203" s="475"/>
      <c r="K203" s="475"/>
      <c r="L203" s="475"/>
      <c r="M203" s="475"/>
      <c r="N203" s="475"/>
      <c r="O203" s="475"/>
      <c r="P203" s="475"/>
      <c r="Q203" s="475"/>
      <c r="R203" s="475"/>
      <c r="S203" s="475"/>
      <c r="T203" s="475"/>
      <c r="U203" s="475"/>
      <c r="V203" s="475"/>
      <c r="W203" s="475"/>
      <c r="X203" s="475"/>
      <c r="Y203" s="475"/>
    </row>
    <row r="204" ht="13.5" customHeight="1">
      <c r="A204" s="475"/>
      <c r="B204" s="475"/>
      <c r="C204" s="475"/>
      <c r="D204" s="475"/>
      <c r="E204" s="475"/>
      <c r="F204" s="475"/>
      <c r="G204" s="475"/>
      <c r="H204" s="475"/>
      <c r="I204" s="475"/>
      <c r="J204" s="475"/>
      <c r="K204" s="475"/>
      <c r="L204" s="475"/>
      <c r="M204" s="475"/>
      <c r="N204" s="475"/>
      <c r="O204" s="475"/>
      <c r="P204" s="475"/>
      <c r="Q204" s="475"/>
      <c r="R204" s="475"/>
      <c r="S204" s="475"/>
      <c r="T204" s="475"/>
      <c r="U204" s="475"/>
      <c r="V204" s="475"/>
      <c r="W204" s="475"/>
      <c r="X204" s="475"/>
      <c r="Y204" s="475"/>
    </row>
    <row r="205" ht="13.5" customHeight="1">
      <c r="A205" s="475"/>
      <c r="B205" s="475"/>
      <c r="C205" s="475"/>
      <c r="D205" s="475"/>
      <c r="E205" s="475"/>
      <c r="F205" s="475"/>
      <c r="G205" s="475"/>
      <c r="H205" s="475"/>
      <c r="I205" s="475"/>
      <c r="J205" s="475"/>
      <c r="K205" s="475"/>
      <c r="L205" s="475"/>
      <c r="M205" s="475"/>
      <c r="N205" s="475"/>
      <c r="O205" s="475"/>
      <c r="P205" s="475"/>
      <c r="Q205" s="475"/>
      <c r="R205" s="475"/>
      <c r="S205" s="475"/>
      <c r="T205" s="475"/>
      <c r="U205" s="475"/>
      <c r="V205" s="475"/>
      <c r="W205" s="475"/>
      <c r="X205" s="475"/>
      <c r="Y205" s="475"/>
    </row>
    <row r="206" ht="13.5" customHeight="1">
      <c r="A206" s="475"/>
      <c r="B206" s="475"/>
      <c r="C206" s="475"/>
      <c r="D206" s="475"/>
      <c r="E206" s="475"/>
      <c r="F206" s="475"/>
      <c r="G206" s="475"/>
      <c r="H206" s="475"/>
      <c r="I206" s="475"/>
      <c r="J206" s="475"/>
      <c r="K206" s="475"/>
      <c r="L206" s="475"/>
      <c r="M206" s="475"/>
      <c r="N206" s="475"/>
      <c r="O206" s="475"/>
      <c r="P206" s="475"/>
      <c r="Q206" s="475"/>
      <c r="R206" s="475"/>
      <c r="S206" s="475"/>
      <c r="T206" s="475"/>
      <c r="U206" s="475"/>
      <c r="V206" s="475"/>
      <c r="W206" s="475"/>
      <c r="X206" s="475"/>
      <c r="Y206" s="475"/>
    </row>
    <row r="207" ht="13.5" customHeight="1">
      <c r="A207" s="475"/>
      <c r="B207" s="475"/>
      <c r="C207" s="475"/>
      <c r="D207" s="475"/>
      <c r="E207" s="475"/>
      <c r="F207" s="475"/>
      <c r="G207" s="475"/>
      <c r="H207" s="475"/>
      <c r="I207" s="475"/>
      <c r="J207" s="475"/>
      <c r="K207" s="475"/>
      <c r="L207" s="475"/>
      <c r="M207" s="475"/>
      <c r="N207" s="475"/>
      <c r="O207" s="475"/>
      <c r="P207" s="475"/>
      <c r="Q207" s="475"/>
      <c r="R207" s="475"/>
      <c r="S207" s="475"/>
      <c r="T207" s="475"/>
      <c r="U207" s="475"/>
      <c r="V207" s="475"/>
      <c r="W207" s="475"/>
      <c r="X207" s="475"/>
      <c r="Y207" s="475"/>
    </row>
    <row r="208" ht="13.5" customHeight="1">
      <c r="A208" s="475"/>
      <c r="B208" s="475"/>
      <c r="C208" s="475"/>
      <c r="D208" s="475"/>
      <c r="E208" s="475"/>
      <c r="F208" s="475"/>
      <c r="G208" s="475"/>
      <c r="H208" s="475"/>
      <c r="I208" s="475"/>
      <c r="J208" s="475"/>
      <c r="K208" s="475"/>
      <c r="L208" s="475"/>
      <c r="M208" s="475"/>
      <c r="N208" s="475"/>
      <c r="O208" s="475"/>
      <c r="P208" s="475"/>
      <c r="Q208" s="475"/>
      <c r="R208" s="475"/>
      <c r="S208" s="475"/>
      <c r="T208" s="475"/>
      <c r="U208" s="475"/>
      <c r="V208" s="475"/>
      <c r="W208" s="475"/>
      <c r="X208" s="475"/>
      <c r="Y208" s="475"/>
    </row>
    <row r="209" ht="13.5" customHeight="1">
      <c r="A209" s="475"/>
      <c r="B209" s="475"/>
      <c r="C209" s="475"/>
      <c r="D209" s="475"/>
      <c r="E209" s="475"/>
      <c r="F209" s="475"/>
      <c r="G209" s="475"/>
      <c r="H209" s="475"/>
      <c r="I209" s="475"/>
      <c r="J209" s="475"/>
      <c r="K209" s="475"/>
      <c r="L209" s="475"/>
      <c r="M209" s="475"/>
      <c r="N209" s="475"/>
      <c r="O209" s="475"/>
      <c r="P209" s="475"/>
      <c r="Q209" s="475"/>
      <c r="R209" s="475"/>
      <c r="S209" s="475"/>
      <c r="T209" s="475"/>
      <c r="U209" s="475"/>
      <c r="V209" s="475"/>
      <c r="W209" s="475"/>
      <c r="X209" s="475"/>
      <c r="Y209" s="475"/>
    </row>
    <row r="210" ht="13.5" customHeight="1">
      <c r="A210" s="475"/>
      <c r="B210" s="475"/>
      <c r="C210" s="475"/>
      <c r="D210" s="475"/>
      <c r="E210" s="475"/>
      <c r="F210" s="475"/>
      <c r="G210" s="475"/>
      <c r="H210" s="475"/>
      <c r="I210" s="475"/>
      <c r="J210" s="475"/>
      <c r="K210" s="475"/>
      <c r="L210" s="475"/>
      <c r="M210" s="475"/>
      <c r="N210" s="475"/>
      <c r="O210" s="475"/>
      <c r="P210" s="475"/>
      <c r="Q210" s="475"/>
      <c r="R210" s="475"/>
      <c r="S210" s="475"/>
      <c r="T210" s="475"/>
      <c r="U210" s="475"/>
      <c r="V210" s="475"/>
      <c r="W210" s="475"/>
      <c r="X210" s="475"/>
      <c r="Y210" s="475"/>
    </row>
    <row r="211" ht="13.5" customHeight="1">
      <c r="A211" s="475"/>
      <c r="B211" s="475"/>
      <c r="C211" s="475"/>
      <c r="D211" s="475"/>
      <c r="E211" s="475"/>
      <c r="F211" s="475"/>
      <c r="G211" s="475"/>
      <c r="H211" s="475"/>
      <c r="I211" s="475"/>
      <c r="J211" s="475"/>
      <c r="K211" s="475"/>
      <c r="L211" s="475"/>
      <c r="M211" s="475"/>
      <c r="N211" s="475"/>
      <c r="O211" s="475"/>
      <c r="P211" s="475"/>
      <c r="Q211" s="475"/>
      <c r="R211" s="475"/>
      <c r="S211" s="475"/>
      <c r="T211" s="475"/>
      <c r="U211" s="475"/>
      <c r="V211" s="475"/>
      <c r="W211" s="475"/>
      <c r="X211" s="475"/>
      <c r="Y211" s="475"/>
    </row>
    <row r="212" ht="13.5" customHeight="1">
      <c r="A212" s="475"/>
      <c r="B212" s="475"/>
      <c r="C212" s="475"/>
      <c r="D212" s="475"/>
      <c r="E212" s="475"/>
      <c r="F212" s="475"/>
      <c r="G212" s="475"/>
      <c r="H212" s="475"/>
      <c r="I212" s="475"/>
      <c r="J212" s="475"/>
      <c r="K212" s="475"/>
      <c r="L212" s="475"/>
      <c r="M212" s="475"/>
      <c r="N212" s="475"/>
      <c r="O212" s="475"/>
      <c r="P212" s="475"/>
      <c r="Q212" s="475"/>
      <c r="R212" s="475"/>
      <c r="S212" s="475"/>
      <c r="T212" s="475"/>
      <c r="U212" s="475"/>
      <c r="V212" s="475"/>
      <c r="W212" s="475"/>
      <c r="X212" s="475"/>
      <c r="Y212" s="475"/>
    </row>
    <row r="213" ht="13.5" customHeight="1">
      <c r="A213" s="475"/>
      <c r="B213" s="475"/>
      <c r="C213" s="475"/>
      <c r="D213" s="475"/>
      <c r="E213" s="475"/>
      <c r="F213" s="475"/>
      <c r="G213" s="475"/>
      <c r="H213" s="475"/>
      <c r="I213" s="475"/>
      <c r="J213" s="475"/>
      <c r="K213" s="475"/>
      <c r="L213" s="475"/>
      <c r="M213" s="475"/>
      <c r="N213" s="475"/>
      <c r="O213" s="475"/>
      <c r="P213" s="475"/>
      <c r="Q213" s="475"/>
      <c r="R213" s="475"/>
      <c r="S213" s="475"/>
      <c r="T213" s="475"/>
      <c r="U213" s="475"/>
      <c r="V213" s="475"/>
      <c r="W213" s="475"/>
      <c r="X213" s="475"/>
      <c r="Y213" s="475"/>
    </row>
    <row r="214" ht="13.5" customHeight="1">
      <c r="A214" s="475"/>
      <c r="B214" s="475"/>
      <c r="C214" s="475"/>
      <c r="D214" s="475"/>
      <c r="E214" s="475"/>
      <c r="F214" s="475"/>
      <c r="G214" s="475"/>
      <c r="H214" s="475"/>
      <c r="I214" s="475"/>
      <c r="J214" s="475"/>
      <c r="K214" s="475"/>
      <c r="L214" s="475"/>
      <c r="M214" s="475"/>
      <c r="N214" s="475"/>
      <c r="O214" s="475"/>
      <c r="P214" s="475"/>
      <c r="Q214" s="475"/>
      <c r="R214" s="475"/>
      <c r="S214" s="475"/>
      <c r="T214" s="475"/>
      <c r="U214" s="475"/>
      <c r="V214" s="475"/>
      <c r="W214" s="475"/>
      <c r="X214" s="475"/>
      <c r="Y214" s="475"/>
    </row>
    <row r="215" ht="13.5" customHeight="1">
      <c r="A215" s="475"/>
      <c r="B215" s="475"/>
      <c r="C215" s="475"/>
      <c r="D215" s="475"/>
      <c r="E215" s="475"/>
      <c r="F215" s="475"/>
      <c r="G215" s="475"/>
      <c r="H215" s="475"/>
      <c r="I215" s="475"/>
      <c r="J215" s="475"/>
      <c r="K215" s="475"/>
      <c r="L215" s="475"/>
      <c r="M215" s="475"/>
      <c r="N215" s="475"/>
      <c r="O215" s="475"/>
      <c r="P215" s="475"/>
      <c r="Q215" s="475"/>
      <c r="R215" s="475"/>
      <c r="S215" s="475"/>
      <c r="T215" s="475"/>
      <c r="U215" s="475"/>
      <c r="V215" s="475"/>
      <c r="W215" s="475"/>
      <c r="X215" s="475"/>
      <c r="Y215" s="475"/>
    </row>
    <row r="216" ht="13.5" customHeight="1">
      <c r="A216" s="475"/>
      <c r="B216" s="475"/>
      <c r="C216" s="475"/>
      <c r="D216" s="475"/>
      <c r="E216" s="475"/>
      <c r="F216" s="475"/>
      <c r="G216" s="475"/>
      <c r="H216" s="475"/>
      <c r="I216" s="475"/>
      <c r="J216" s="475"/>
      <c r="K216" s="475"/>
      <c r="L216" s="475"/>
      <c r="M216" s="475"/>
      <c r="N216" s="475"/>
      <c r="O216" s="475"/>
      <c r="P216" s="475"/>
      <c r="Q216" s="475"/>
      <c r="R216" s="475"/>
      <c r="S216" s="475"/>
      <c r="T216" s="475"/>
      <c r="U216" s="475"/>
      <c r="V216" s="475"/>
      <c r="W216" s="475"/>
      <c r="X216" s="475"/>
      <c r="Y216" s="475"/>
    </row>
    <row r="217" ht="13.5" customHeight="1">
      <c r="A217" s="475"/>
      <c r="B217" s="475"/>
      <c r="C217" s="475"/>
      <c r="D217" s="475"/>
      <c r="E217" s="475"/>
      <c r="F217" s="475"/>
      <c r="G217" s="475"/>
      <c r="H217" s="475"/>
      <c r="I217" s="475"/>
      <c r="J217" s="475"/>
      <c r="K217" s="475"/>
      <c r="L217" s="475"/>
      <c r="M217" s="475"/>
      <c r="N217" s="475"/>
      <c r="O217" s="475"/>
      <c r="P217" s="475"/>
      <c r="Q217" s="475"/>
      <c r="R217" s="475"/>
      <c r="S217" s="475"/>
      <c r="T217" s="475"/>
      <c r="U217" s="475"/>
      <c r="V217" s="475"/>
      <c r="W217" s="475"/>
      <c r="X217" s="475"/>
      <c r="Y217" s="475"/>
    </row>
    <row r="218" ht="13.5" customHeight="1">
      <c r="A218" s="475"/>
      <c r="B218" s="475"/>
      <c r="C218" s="475"/>
      <c r="D218" s="475"/>
      <c r="E218" s="475"/>
      <c r="F218" s="475"/>
      <c r="G218" s="475"/>
      <c r="H218" s="475"/>
      <c r="I218" s="475"/>
      <c r="J218" s="475"/>
      <c r="K218" s="475"/>
      <c r="L218" s="475"/>
      <c r="M218" s="475"/>
      <c r="N218" s="475"/>
      <c r="O218" s="475"/>
      <c r="P218" s="475"/>
      <c r="Q218" s="475"/>
      <c r="R218" s="475"/>
      <c r="S218" s="475"/>
      <c r="T218" s="475"/>
      <c r="U218" s="475"/>
      <c r="V218" s="475"/>
      <c r="W218" s="475"/>
      <c r="X218" s="475"/>
      <c r="Y218" s="475"/>
    </row>
    <row r="219" ht="13.5" customHeight="1">
      <c r="A219" s="475"/>
      <c r="B219" s="475"/>
      <c r="C219" s="475"/>
      <c r="D219" s="475"/>
      <c r="E219" s="475"/>
      <c r="F219" s="475"/>
      <c r="G219" s="475"/>
      <c r="H219" s="475"/>
      <c r="I219" s="475"/>
      <c r="J219" s="475"/>
      <c r="K219" s="475"/>
      <c r="L219" s="475"/>
      <c r="M219" s="475"/>
      <c r="N219" s="475"/>
      <c r="O219" s="475"/>
      <c r="P219" s="475"/>
      <c r="Q219" s="475"/>
      <c r="R219" s="475"/>
      <c r="S219" s="475"/>
      <c r="T219" s="475"/>
      <c r="U219" s="475"/>
      <c r="V219" s="475"/>
      <c r="W219" s="475"/>
      <c r="X219" s="475"/>
      <c r="Y219" s="475"/>
    </row>
    <row r="220" ht="13.5" customHeight="1">
      <c r="A220" s="475"/>
      <c r="B220" s="475"/>
      <c r="C220" s="475"/>
      <c r="D220" s="475"/>
      <c r="E220" s="475"/>
      <c r="F220" s="475"/>
      <c r="G220" s="475"/>
      <c r="H220" s="475"/>
      <c r="I220" s="475"/>
      <c r="J220" s="475"/>
      <c r="K220" s="475"/>
      <c r="L220" s="475"/>
      <c r="M220" s="475"/>
      <c r="N220" s="475"/>
      <c r="O220" s="475"/>
      <c r="P220" s="475"/>
      <c r="Q220" s="475"/>
      <c r="R220" s="475"/>
      <c r="S220" s="475"/>
      <c r="T220" s="475"/>
      <c r="U220" s="475"/>
      <c r="V220" s="475"/>
      <c r="W220" s="475"/>
      <c r="X220" s="475"/>
      <c r="Y220" s="475"/>
    </row>
    <row r="221" ht="13.5" customHeight="1">
      <c r="A221" s="475"/>
      <c r="B221" s="475"/>
      <c r="C221" s="475"/>
      <c r="D221" s="475"/>
      <c r="E221" s="475"/>
      <c r="F221" s="475"/>
      <c r="G221" s="475"/>
      <c r="H221" s="475"/>
      <c r="I221" s="475"/>
      <c r="J221" s="475"/>
      <c r="K221" s="475"/>
      <c r="L221" s="475"/>
      <c r="M221" s="475"/>
      <c r="N221" s="475"/>
      <c r="O221" s="475"/>
      <c r="P221" s="475"/>
      <c r="Q221" s="475"/>
      <c r="R221" s="475"/>
      <c r="S221" s="475"/>
      <c r="T221" s="475"/>
      <c r="U221" s="475"/>
      <c r="V221" s="475"/>
      <c r="W221" s="475"/>
      <c r="X221" s="475"/>
      <c r="Y221" s="475"/>
    </row>
    <row r="222" ht="13.5" customHeight="1">
      <c r="A222" s="475"/>
      <c r="B222" s="475"/>
      <c r="C222" s="475"/>
      <c r="D222" s="475"/>
      <c r="E222" s="475"/>
      <c r="F222" s="475"/>
      <c r="G222" s="475"/>
      <c r="H222" s="475"/>
      <c r="I222" s="475"/>
      <c r="J222" s="475"/>
      <c r="K222" s="475"/>
      <c r="L222" s="475"/>
      <c r="M222" s="475"/>
      <c r="N222" s="475"/>
      <c r="O222" s="475"/>
      <c r="P222" s="475"/>
      <c r="Q222" s="475"/>
      <c r="R222" s="475"/>
      <c r="S222" s="475"/>
      <c r="T222" s="475"/>
      <c r="U222" s="475"/>
      <c r="V222" s="475"/>
      <c r="W222" s="475"/>
      <c r="X222" s="475"/>
      <c r="Y222" s="475"/>
    </row>
    <row r="223" ht="13.5" customHeight="1">
      <c r="A223" s="475"/>
      <c r="B223" s="475"/>
      <c r="C223" s="475"/>
      <c r="D223" s="475"/>
      <c r="E223" s="475"/>
      <c r="F223" s="475"/>
      <c r="G223" s="475"/>
      <c r="H223" s="475"/>
      <c r="I223" s="475"/>
      <c r="J223" s="475"/>
      <c r="K223" s="475"/>
      <c r="L223" s="475"/>
      <c r="M223" s="475"/>
      <c r="N223" s="475"/>
      <c r="O223" s="475"/>
      <c r="P223" s="475"/>
      <c r="Q223" s="475"/>
      <c r="R223" s="475"/>
      <c r="S223" s="475"/>
      <c r="T223" s="475"/>
      <c r="U223" s="475"/>
      <c r="V223" s="475"/>
      <c r="W223" s="475"/>
      <c r="X223" s="475"/>
      <c r="Y223" s="475"/>
    </row>
    <row r="224" ht="13.5" customHeight="1">
      <c r="A224" s="475"/>
      <c r="B224" s="475"/>
      <c r="C224" s="475"/>
      <c r="D224" s="475"/>
      <c r="E224" s="475"/>
      <c r="F224" s="475"/>
      <c r="G224" s="475"/>
      <c r="H224" s="475"/>
      <c r="I224" s="475"/>
      <c r="J224" s="475"/>
      <c r="K224" s="475"/>
      <c r="L224" s="475"/>
      <c r="M224" s="475"/>
      <c r="N224" s="475"/>
      <c r="O224" s="475"/>
      <c r="P224" s="475"/>
      <c r="Q224" s="475"/>
      <c r="R224" s="475"/>
      <c r="S224" s="475"/>
      <c r="T224" s="475"/>
      <c r="U224" s="475"/>
      <c r="V224" s="475"/>
      <c r="W224" s="475"/>
      <c r="X224" s="475"/>
      <c r="Y224" s="475"/>
    </row>
    <row r="225" ht="13.5" customHeight="1">
      <c r="A225" s="475"/>
      <c r="B225" s="475"/>
      <c r="C225" s="475"/>
      <c r="D225" s="475"/>
      <c r="E225" s="475"/>
      <c r="F225" s="475"/>
      <c r="G225" s="475"/>
      <c r="H225" s="475"/>
      <c r="I225" s="475"/>
      <c r="J225" s="475"/>
      <c r="K225" s="475"/>
      <c r="L225" s="475"/>
      <c r="M225" s="475"/>
      <c r="N225" s="475"/>
      <c r="O225" s="475"/>
      <c r="P225" s="475"/>
      <c r="Q225" s="475"/>
      <c r="R225" s="475"/>
      <c r="S225" s="475"/>
      <c r="T225" s="475"/>
      <c r="U225" s="475"/>
      <c r="V225" s="475"/>
      <c r="W225" s="475"/>
      <c r="X225" s="475"/>
      <c r="Y225" s="475"/>
    </row>
    <row r="226" ht="13.5" customHeight="1">
      <c r="A226" s="475"/>
      <c r="B226" s="475"/>
      <c r="C226" s="475"/>
      <c r="D226" s="475"/>
      <c r="E226" s="475"/>
      <c r="F226" s="475"/>
      <c r="G226" s="475"/>
      <c r="H226" s="475"/>
      <c r="I226" s="475"/>
      <c r="J226" s="475"/>
      <c r="K226" s="475"/>
      <c r="L226" s="475"/>
      <c r="M226" s="475"/>
      <c r="N226" s="475"/>
      <c r="O226" s="475"/>
      <c r="P226" s="475"/>
      <c r="Q226" s="475"/>
      <c r="R226" s="475"/>
      <c r="S226" s="475"/>
      <c r="T226" s="475"/>
      <c r="U226" s="475"/>
      <c r="V226" s="475"/>
      <c r="W226" s="475"/>
      <c r="X226" s="475"/>
      <c r="Y226" s="475"/>
    </row>
    <row r="227" ht="13.5" customHeight="1">
      <c r="A227" s="475"/>
      <c r="B227" s="475"/>
      <c r="C227" s="475"/>
      <c r="D227" s="475"/>
      <c r="E227" s="475"/>
      <c r="F227" s="475"/>
      <c r="G227" s="475"/>
      <c r="H227" s="475"/>
      <c r="I227" s="475"/>
      <c r="J227" s="475"/>
      <c r="K227" s="475"/>
      <c r="L227" s="475"/>
      <c r="M227" s="475"/>
      <c r="N227" s="475"/>
      <c r="O227" s="475"/>
      <c r="P227" s="475"/>
      <c r="Q227" s="475"/>
      <c r="R227" s="475"/>
      <c r="S227" s="475"/>
      <c r="T227" s="475"/>
      <c r="U227" s="475"/>
      <c r="V227" s="475"/>
      <c r="W227" s="475"/>
      <c r="X227" s="475"/>
      <c r="Y227" s="475"/>
    </row>
    <row r="228" ht="13.5" customHeight="1">
      <c r="A228" s="475"/>
      <c r="B228" s="475"/>
      <c r="C228" s="475"/>
      <c r="D228" s="475"/>
      <c r="E228" s="475"/>
      <c r="F228" s="475"/>
      <c r="G228" s="475"/>
      <c r="H228" s="475"/>
      <c r="I228" s="475"/>
      <c r="J228" s="475"/>
      <c r="K228" s="475"/>
      <c r="L228" s="475"/>
      <c r="M228" s="475"/>
      <c r="N228" s="475"/>
      <c r="O228" s="475"/>
      <c r="P228" s="475"/>
      <c r="Q228" s="475"/>
      <c r="R228" s="475"/>
      <c r="S228" s="475"/>
      <c r="T228" s="475"/>
      <c r="U228" s="475"/>
      <c r="V228" s="475"/>
      <c r="W228" s="475"/>
      <c r="X228" s="475"/>
      <c r="Y228" s="475"/>
    </row>
    <row r="229" ht="13.5" customHeight="1">
      <c r="A229" s="475"/>
      <c r="B229" s="475"/>
      <c r="C229" s="475"/>
      <c r="D229" s="475"/>
      <c r="E229" s="475"/>
      <c r="F229" s="475"/>
      <c r="G229" s="475"/>
      <c r="H229" s="475"/>
      <c r="I229" s="475"/>
      <c r="J229" s="475"/>
      <c r="K229" s="475"/>
      <c r="L229" s="475"/>
      <c r="M229" s="475"/>
      <c r="N229" s="475"/>
      <c r="O229" s="475"/>
      <c r="P229" s="475"/>
      <c r="Q229" s="475"/>
      <c r="R229" s="475"/>
      <c r="S229" s="475"/>
      <c r="T229" s="475"/>
      <c r="U229" s="475"/>
      <c r="V229" s="475"/>
      <c r="W229" s="475"/>
      <c r="X229" s="475"/>
      <c r="Y229" s="475"/>
    </row>
    <row r="230" ht="13.5" customHeight="1">
      <c r="A230" s="475"/>
      <c r="B230" s="475"/>
      <c r="C230" s="475"/>
      <c r="D230" s="475"/>
      <c r="E230" s="475"/>
      <c r="F230" s="475"/>
      <c r="G230" s="475"/>
      <c r="H230" s="475"/>
      <c r="I230" s="475"/>
      <c r="J230" s="475"/>
      <c r="K230" s="475"/>
      <c r="L230" s="475"/>
      <c r="M230" s="475"/>
      <c r="N230" s="475"/>
      <c r="O230" s="475"/>
      <c r="P230" s="475"/>
      <c r="Q230" s="475"/>
      <c r="R230" s="475"/>
      <c r="S230" s="475"/>
      <c r="T230" s="475"/>
      <c r="U230" s="475"/>
      <c r="V230" s="475"/>
      <c r="W230" s="475"/>
      <c r="X230" s="475"/>
      <c r="Y230" s="475"/>
    </row>
    <row r="231" ht="13.5" customHeight="1">
      <c r="A231" s="475"/>
      <c r="B231" s="475"/>
      <c r="C231" s="475"/>
      <c r="D231" s="475"/>
      <c r="E231" s="475"/>
      <c r="F231" s="475"/>
      <c r="G231" s="475"/>
      <c r="H231" s="475"/>
      <c r="I231" s="475"/>
      <c r="J231" s="475"/>
      <c r="K231" s="475"/>
      <c r="L231" s="475"/>
      <c r="M231" s="475"/>
      <c r="N231" s="475"/>
      <c r="O231" s="475"/>
      <c r="P231" s="475"/>
      <c r="Q231" s="475"/>
      <c r="R231" s="475"/>
      <c r="S231" s="475"/>
      <c r="T231" s="475"/>
      <c r="U231" s="475"/>
      <c r="V231" s="475"/>
      <c r="W231" s="475"/>
      <c r="X231" s="475"/>
      <c r="Y231" s="475"/>
    </row>
    <row r="232" ht="13.5" customHeight="1">
      <c r="A232" s="475"/>
      <c r="B232" s="475"/>
      <c r="C232" s="475"/>
      <c r="D232" s="475"/>
      <c r="E232" s="475"/>
      <c r="F232" s="475"/>
      <c r="G232" s="475"/>
      <c r="H232" s="475"/>
      <c r="I232" s="475"/>
      <c r="J232" s="475"/>
      <c r="K232" s="475"/>
      <c r="L232" s="475"/>
      <c r="M232" s="475"/>
      <c r="N232" s="475"/>
      <c r="O232" s="475"/>
      <c r="P232" s="475"/>
      <c r="Q232" s="475"/>
      <c r="R232" s="475"/>
      <c r="S232" s="475"/>
      <c r="T232" s="475"/>
      <c r="U232" s="475"/>
      <c r="V232" s="475"/>
      <c r="W232" s="475"/>
      <c r="X232" s="475"/>
      <c r="Y232" s="475"/>
    </row>
    <row r="233" ht="13.5" customHeight="1">
      <c r="A233" s="475"/>
      <c r="B233" s="475"/>
      <c r="C233" s="475"/>
      <c r="D233" s="475"/>
      <c r="E233" s="475"/>
      <c r="F233" s="475"/>
      <c r="G233" s="475"/>
      <c r="H233" s="475"/>
      <c r="I233" s="475"/>
      <c r="J233" s="475"/>
      <c r="K233" s="475"/>
      <c r="L233" s="475"/>
      <c r="M233" s="475"/>
      <c r="N233" s="475"/>
      <c r="O233" s="475"/>
      <c r="P233" s="475"/>
      <c r="Q233" s="475"/>
      <c r="R233" s="475"/>
      <c r="S233" s="475"/>
      <c r="T233" s="475"/>
      <c r="U233" s="475"/>
      <c r="V233" s="475"/>
      <c r="W233" s="475"/>
      <c r="X233" s="475"/>
      <c r="Y233" s="475"/>
    </row>
    <row r="234" ht="13.5" customHeight="1">
      <c r="A234" s="475"/>
      <c r="B234" s="475"/>
      <c r="C234" s="475"/>
      <c r="D234" s="475"/>
      <c r="E234" s="475"/>
      <c r="F234" s="475"/>
      <c r="G234" s="475"/>
      <c r="H234" s="475"/>
      <c r="I234" s="475"/>
      <c r="J234" s="475"/>
      <c r="K234" s="475"/>
      <c r="L234" s="475"/>
      <c r="M234" s="475"/>
      <c r="N234" s="475"/>
      <c r="O234" s="475"/>
      <c r="P234" s="475"/>
      <c r="Q234" s="475"/>
      <c r="R234" s="475"/>
      <c r="S234" s="475"/>
      <c r="T234" s="475"/>
      <c r="U234" s="475"/>
      <c r="V234" s="475"/>
      <c r="W234" s="475"/>
      <c r="X234" s="475"/>
      <c r="Y234" s="475"/>
    </row>
    <row r="235" ht="13.5" customHeight="1">
      <c r="A235" s="475"/>
      <c r="B235" s="475"/>
      <c r="C235" s="475"/>
      <c r="D235" s="475"/>
      <c r="E235" s="475"/>
      <c r="F235" s="475"/>
      <c r="G235" s="475"/>
      <c r="H235" s="475"/>
      <c r="I235" s="475"/>
      <c r="J235" s="475"/>
      <c r="K235" s="475"/>
      <c r="L235" s="475"/>
      <c r="M235" s="475"/>
      <c r="N235" s="475"/>
      <c r="O235" s="475"/>
      <c r="P235" s="475"/>
      <c r="Q235" s="475"/>
      <c r="R235" s="475"/>
      <c r="S235" s="475"/>
      <c r="T235" s="475"/>
      <c r="U235" s="475"/>
      <c r="V235" s="475"/>
      <c r="W235" s="475"/>
      <c r="X235" s="475"/>
      <c r="Y235" s="475"/>
    </row>
    <row r="236" ht="13.5" customHeight="1">
      <c r="A236" s="475"/>
      <c r="B236" s="475"/>
      <c r="C236" s="475"/>
      <c r="D236" s="475"/>
      <c r="E236" s="475"/>
      <c r="F236" s="475"/>
      <c r="G236" s="475"/>
      <c r="H236" s="475"/>
      <c r="I236" s="475"/>
      <c r="J236" s="475"/>
      <c r="K236" s="475"/>
      <c r="L236" s="475"/>
      <c r="M236" s="475"/>
      <c r="N236" s="475"/>
      <c r="O236" s="475"/>
      <c r="P236" s="475"/>
      <c r="Q236" s="475"/>
      <c r="R236" s="475"/>
      <c r="S236" s="475"/>
      <c r="T236" s="475"/>
      <c r="U236" s="475"/>
      <c r="V236" s="475"/>
      <c r="W236" s="475"/>
      <c r="X236" s="475"/>
      <c r="Y236" s="475"/>
    </row>
    <row r="237" ht="13.5" customHeight="1">
      <c r="A237" s="475"/>
      <c r="B237" s="475"/>
      <c r="C237" s="475"/>
      <c r="D237" s="475"/>
      <c r="E237" s="475"/>
      <c r="F237" s="475"/>
      <c r="G237" s="475"/>
      <c r="H237" s="475"/>
      <c r="I237" s="475"/>
      <c r="J237" s="475"/>
      <c r="K237" s="475"/>
      <c r="L237" s="475"/>
      <c r="M237" s="475"/>
      <c r="N237" s="475"/>
      <c r="O237" s="475"/>
      <c r="P237" s="475"/>
      <c r="Q237" s="475"/>
      <c r="R237" s="475"/>
      <c r="S237" s="475"/>
      <c r="T237" s="475"/>
      <c r="U237" s="475"/>
      <c r="V237" s="475"/>
      <c r="W237" s="475"/>
      <c r="X237" s="475"/>
      <c r="Y237" s="475"/>
    </row>
    <row r="238" ht="13.5" customHeight="1">
      <c r="A238" s="475"/>
      <c r="B238" s="475"/>
      <c r="C238" s="475"/>
      <c r="D238" s="475"/>
      <c r="E238" s="475"/>
      <c r="F238" s="475"/>
      <c r="G238" s="475"/>
      <c r="H238" s="475"/>
      <c r="I238" s="475"/>
      <c r="J238" s="475"/>
      <c r="K238" s="475"/>
      <c r="L238" s="475"/>
      <c r="M238" s="475"/>
      <c r="N238" s="475"/>
      <c r="O238" s="475"/>
      <c r="P238" s="475"/>
      <c r="Q238" s="475"/>
      <c r="R238" s="475"/>
      <c r="S238" s="475"/>
      <c r="T238" s="475"/>
      <c r="U238" s="475"/>
      <c r="V238" s="475"/>
      <c r="W238" s="475"/>
      <c r="X238" s="475"/>
      <c r="Y238" s="475"/>
    </row>
    <row r="239" ht="13.5" customHeight="1">
      <c r="A239" s="475"/>
      <c r="B239" s="475"/>
      <c r="C239" s="475"/>
      <c r="D239" s="475"/>
      <c r="E239" s="475"/>
      <c r="F239" s="475"/>
      <c r="G239" s="475"/>
      <c r="H239" s="475"/>
      <c r="I239" s="475"/>
      <c r="J239" s="475"/>
      <c r="K239" s="475"/>
      <c r="L239" s="475"/>
      <c r="M239" s="475"/>
      <c r="N239" s="475"/>
      <c r="O239" s="475"/>
      <c r="P239" s="475"/>
      <c r="Q239" s="475"/>
      <c r="R239" s="475"/>
      <c r="S239" s="475"/>
      <c r="T239" s="475"/>
      <c r="U239" s="475"/>
      <c r="V239" s="475"/>
      <c r="W239" s="475"/>
      <c r="X239" s="475"/>
      <c r="Y239" s="475"/>
    </row>
    <row r="240" ht="13.5" customHeight="1">
      <c r="A240" s="475"/>
      <c r="B240" s="475"/>
      <c r="C240" s="475"/>
      <c r="D240" s="475"/>
      <c r="E240" s="475"/>
      <c r="F240" s="475"/>
      <c r="G240" s="475"/>
      <c r="H240" s="475"/>
      <c r="I240" s="475"/>
      <c r="J240" s="475"/>
      <c r="K240" s="475"/>
      <c r="L240" s="475"/>
      <c r="M240" s="475"/>
      <c r="N240" s="475"/>
      <c r="O240" s="475"/>
      <c r="P240" s="475"/>
      <c r="Q240" s="475"/>
      <c r="R240" s="475"/>
      <c r="S240" s="475"/>
      <c r="T240" s="475"/>
      <c r="U240" s="475"/>
      <c r="V240" s="475"/>
      <c r="W240" s="475"/>
      <c r="X240" s="475"/>
      <c r="Y240" s="475"/>
    </row>
    <row r="241" ht="13.5" customHeight="1">
      <c r="A241" s="475"/>
      <c r="B241" s="475"/>
      <c r="C241" s="475"/>
      <c r="D241" s="475"/>
      <c r="E241" s="475"/>
      <c r="F241" s="475"/>
      <c r="G241" s="475"/>
      <c r="H241" s="475"/>
      <c r="I241" s="475"/>
      <c r="J241" s="475"/>
      <c r="K241" s="475"/>
      <c r="L241" s="475"/>
      <c r="M241" s="475"/>
      <c r="N241" s="475"/>
      <c r="O241" s="475"/>
      <c r="P241" s="475"/>
      <c r="Q241" s="475"/>
      <c r="R241" s="475"/>
      <c r="S241" s="475"/>
      <c r="T241" s="475"/>
      <c r="U241" s="475"/>
      <c r="V241" s="475"/>
      <c r="W241" s="475"/>
      <c r="X241" s="475"/>
      <c r="Y241" s="475"/>
    </row>
    <row r="242" ht="13.5" customHeight="1">
      <c r="A242" s="475"/>
      <c r="B242" s="475"/>
      <c r="C242" s="475"/>
      <c r="D242" s="475"/>
      <c r="E242" s="475"/>
      <c r="F242" s="475"/>
      <c r="G242" s="475"/>
      <c r="H242" s="475"/>
      <c r="I242" s="475"/>
      <c r="J242" s="475"/>
      <c r="K242" s="475"/>
      <c r="L242" s="475"/>
      <c r="M242" s="475"/>
      <c r="N242" s="475"/>
      <c r="O242" s="475"/>
      <c r="P242" s="475"/>
      <c r="Q242" s="475"/>
      <c r="R242" s="475"/>
      <c r="S242" s="475"/>
      <c r="T242" s="475"/>
      <c r="U242" s="475"/>
      <c r="V242" s="475"/>
      <c r="W242" s="475"/>
      <c r="X242" s="475"/>
      <c r="Y242" s="475"/>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C2:D2"/>
    <mergeCell ref="E2:J2"/>
    <mergeCell ref="K2:S2"/>
    <mergeCell ref="C3:D3"/>
    <mergeCell ref="E3:J3"/>
    <mergeCell ref="K3:S3"/>
    <mergeCell ref="A3:B3"/>
    <mergeCell ref="A4:B4"/>
    <mergeCell ref="C4:D4"/>
    <mergeCell ref="E4:J4"/>
    <mergeCell ref="K4:S4"/>
    <mergeCell ref="A5:B5"/>
    <mergeCell ref="C5:S5"/>
    <mergeCell ref="N6:S6"/>
    <mergeCell ref="N7:S7"/>
    <mergeCell ref="B39:D39"/>
    <mergeCell ref="B40:D40"/>
    <mergeCell ref="B41:D41"/>
    <mergeCell ref="B42:D42"/>
    <mergeCell ref="A6:B6"/>
    <mergeCell ref="C6:D6"/>
    <mergeCell ref="E6:J6"/>
    <mergeCell ref="K6:M6"/>
    <mergeCell ref="A7:B7"/>
    <mergeCell ref="C7:D7"/>
    <mergeCell ref="E7:J7"/>
  </mergeCells>
  <dataValidations>
    <dataValidation type="list" allowBlank="1" showInputMessage="1" showErrorMessage="1" prompt=" - " sqref="E40:S40">
      <formula1>"P,F"</formula1>
    </dataValidation>
    <dataValidation type="list" allowBlank="1" showInputMessage="1" showErrorMessage="1" prompt=" - " sqref="E10:S38">
      <formula1>"O"</formula1>
    </dataValidation>
    <dataValidation type="list" allowBlank="1" showInputMessage="1" showErrorMessage="1" prompt=" - " sqref="E39:S39">
      <formula1>"N,A,B"</formula1>
    </dataValidation>
  </dataValidations>
  <printOptions/>
  <pageMargins bottom="0.75" footer="0.0" header="0.0" left="0.7" right="0.7" top="0.75"/>
  <pageSetup orientation="landscape"/>
  <headerFooter>
    <oddFooter>&amp;L 02ae-BM/PM/HDCV/FSOFT v2/1&amp;CInternal use&amp;R&amp;P/</oddFooter>
  </headerFooter>
  <drawing r:id="rId1"/>
</worksheet>
</file>